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xr:revisionPtr revIDLastSave="10" documentId="8_{FB4AF5D4-3159-423A-AB58-ACFFB23FF6CF}" xr6:coauthVersionLast="47" xr6:coauthVersionMax="47" xr10:uidLastSave="{20C849A9-1F4F-4EE5-8E8C-58ABB5BCC23A}"/>
  <bookViews>
    <workbookView xWindow="-120" yWindow="-16320" windowWidth="29040" windowHeight="15720" xr2:uid="{00000000-000D-0000-FFFF-FFFF00000000}"/>
  </bookViews>
  <sheets>
    <sheet name="Budget" sheetId="1" r:id="rId1"/>
    <sheet name="Benchmarks" sheetId="3" r:id="rId2"/>
    <sheet name="Local Consultant Advice1" sheetId="12" r:id="rId3"/>
    <sheet name="Local consultant Advice 2" sheetId="15" r:id="rId4"/>
    <sheet name="2025 FX Rates" sheetId="14" r:id="rId5"/>
  </sheets>
  <externalReferences>
    <externalReference r:id="rId6"/>
  </externalReferences>
  <definedNames>
    <definedName name="page\x2dtotal">#REF!</definedName>
    <definedName name="page\x2dtotal\x2dmaster0">#REF!</definedName>
    <definedName name="_xlnm.Print_Area" localSheetId="0">Budget!$A$1:$AY$70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2" i="1" l="1"/>
  <c r="AK48" i="1" l="1"/>
  <c r="AL48" i="1"/>
  <c r="AL31" i="1" s="1"/>
  <c r="AK47" i="1"/>
  <c r="G93" i="3"/>
  <c r="C92" i="3"/>
  <c r="AK39" i="1" s="1"/>
  <c r="AK17" i="1" s="1"/>
  <c r="D84" i="3"/>
  <c r="H145" i="14"/>
  <c r="I145" i="14" s="1"/>
  <c r="H144" i="14"/>
  <c r="I144" i="14" s="1"/>
  <c r="H143" i="14"/>
  <c r="I143" i="14" s="1"/>
  <c r="H142" i="14"/>
  <c r="I142" i="14" s="1"/>
  <c r="H141" i="14"/>
  <c r="I141" i="14" s="1"/>
  <c r="H140" i="14"/>
  <c r="I140" i="14" s="1"/>
  <c r="H139" i="14"/>
  <c r="I139" i="14" s="1"/>
  <c r="H138" i="14"/>
  <c r="I138" i="14" s="1"/>
  <c r="H137" i="14"/>
  <c r="I137" i="14" s="1"/>
  <c r="H136" i="14"/>
  <c r="I136" i="14" s="1"/>
  <c r="H135" i="14"/>
  <c r="I135" i="14" s="1"/>
  <c r="H134" i="14"/>
  <c r="I134" i="14" s="1"/>
  <c r="H133" i="14"/>
  <c r="I133" i="14" s="1"/>
  <c r="H132" i="14"/>
  <c r="I132" i="14" s="1"/>
  <c r="H131" i="14"/>
  <c r="I131" i="14" s="1"/>
  <c r="H130" i="14"/>
  <c r="I130" i="14" s="1"/>
  <c r="H129" i="14"/>
  <c r="I129" i="14" s="1"/>
  <c r="H128" i="14"/>
  <c r="I128" i="14" s="1"/>
  <c r="H127" i="14"/>
  <c r="I127" i="14" s="1"/>
  <c r="H126" i="14"/>
  <c r="I126" i="14" s="1"/>
  <c r="H125" i="14"/>
  <c r="I125" i="14" s="1"/>
  <c r="H124" i="14"/>
  <c r="I124" i="14" s="1"/>
  <c r="H123" i="14"/>
  <c r="I123" i="14" s="1"/>
  <c r="H122" i="14"/>
  <c r="I122" i="14" s="1"/>
  <c r="H121" i="14"/>
  <c r="I121" i="14" s="1"/>
  <c r="H120" i="14"/>
  <c r="I120" i="14" s="1"/>
  <c r="H119" i="14"/>
  <c r="I119" i="14" s="1"/>
  <c r="H118" i="14"/>
  <c r="I118" i="14" s="1"/>
  <c r="H117" i="14"/>
  <c r="I117" i="14" s="1"/>
  <c r="H116" i="14"/>
  <c r="I116" i="14" s="1"/>
  <c r="H115" i="14"/>
  <c r="I115" i="14" s="1"/>
  <c r="H114" i="14"/>
  <c r="I114" i="14" s="1"/>
  <c r="H113" i="14"/>
  <c r="I113" i="14" s="1"/>
  <c r="H112" i="14"/>
  <c r="I112" i="14" s="1"/>
  <c r="H111" i="14"/>
  <c r="I111" i="14" s="1"/>
  <c r="H110" i="14"/>
  <c r="I110" i="14" s="1"/>
  <c r="H109" i="14"/>
  <c r="I109" i="14" s="1"/>
  <c r="H108" i="14"/>
  <c r="I108" i="14" s="1"/>
  <c r="H107" i="14"/>
  <c r="I107" i="14" s="1"/>
  <c r="H106" i="14"/>
  <c r="I106" i="14" s="1"/>
  <c r="H105" i="14"/>
  <c r="I105" i="14" s="1"/>
  <c r="H104" i="14"/>
  <c r="I104" i="14" s="1"/>
  <c r="H103" i="14"/>
  <c r="I103" i="14" s="1"/>
  <c r="H102" i="14"/>
  <c r="I102" i="14" s="1"/>
  <c r="H101" i="14"/>
  <c r="I101" i="14" s="1"/>
  <c r="H100" i="14"/>
  <c r="I100" i="14" s="1"/>
  <c r="H99" i="14"/>
  <c r="I99" i="14" s="1"/>
  <c r="H98" i="14"/>
  <c r="I98" i="14" s="1"/>
  <c r="H97" i="14"/>
  <c r="I97" i="14" s="1"/>
  <c r="H96" i="14"/>
  <c r="I96" i="14" s="1"/>
  <c r="H95" i="14"/>
  <c r="I95" i="14" s="1"/>
  <c r="H94" i="14"/>
  <c r="I94" i="14" s="1"/>
  <c r="H93" i="14"/>
  <c r="I93" i="14" s="1"/>
  <c r="H92" i="14"/>
  <c r="I92" i="14" s="1"/>
  <c r="H91" i="14"/>
  <c r="I91" i="14" s="1"/>
  <c r="H90" i="14"/>
  <c r="I90" i="14" s="1"/>
  <c r="H89" i="14"/>
  <c r="I89" i="14" s="1"/>
  <c r="H88" i="14"/>
  <c r="I88" i="14" s="1"/>
  <c r="H87" i="14"/>
  <c r="I87" i="14" s="1"/>
  <c r="H86" i="14"/>
  <c r="I86" i="14" s="1"/>
  <c r="H85" i="14"/>
  <c r="I85" i="14" s="1"/>
  <c r="H84" i="14"/>
  <c r="I84" i="14" s="1"/>
  <c r="H83" i="14"/>
  <c r="I83" i="14" s="1"/>
  <c r="H82" i="14"/>
  <c r="I82" i="14" s="1"/>
  <c r="H81" i="14"/>
  <c r="I81" i="14" s="1"/>
  <c r="H80" i="14"/>
  <c r="I80" i="14" s="1"/>
  <c r="H79" i="14"/>
  <c r="I79" i="14" s="1"/>
  <c r="H78" i="14"/>
  <c r="I78" i="14" s="1"/>
  <c r="H77" i="14"/>
  <c r="I77" i="14" s="1"/>
  <c r="H76" i="14"/>
  <c r="I76" i="14" s="1"/>
  <c r="H75" i="14"/>
  <c r="I75" i="14" s="1"/>
  <c r="H74" i="14"/>
  <c r="I74" i="14" s="1"/>
  <c r="H73" i="14"/>
  <c r="I73" i="14" s="1"/>
  <c r="H72" i="14"/>
  <c r="I72" i="14" s="1"/>
  <c r="H71" i="14"/>
  <c r="I71" i="14" s="1"/>
  <c r="H70" i="14"/>
  <c r="I70" i="14" s="1"/>
  <c r="H69" i="14"/>
  <c r="I69" i="14" s="1"/>
  <c r="H68" i="14"/>
  <c r="I68" i="14" s="1"/>
  <c r="H67" i="14"/>
  <c r="I67" i="14" s="1"/>
  <c r="H66" i="14"/>
  <c r="I66" i="14" s="1"/>
  <c r="H65" i="14"/>
  <c r="I65" i="14" s="1"/>
  <c r="H64" i="14"/>
  <c r="I64" i="14" s="1"/>
  <c r="H63" i="14"/>
  <c r="I63" i="14" s="1"/>
  <c r="H62" i="14"/>
  <c r="I62" i="14" s="1"/>
  <c r="H61" i="14"/>
  <c r="I61" i="14" s="1"/>
  <c r="H60" i="14"/>
  <c r="I60" i="14" s="1"/>
  <c r="H59" i="14"/>
  <c r="I59" i="14" s="1"/>
  <c r="H58" i="14"/>
  <c r="I58" i="14" s="1"/>
  <c r="H57" i="14"/>
  <c r="I57" i="14" s="1"/>
  <c r="H56" i="14"/>
  <c r="I56" i="14" s="1"/>
  <c r="H55" i="14"/>
  <c r="I55" i="14" s="1"/>
  <c r="H54" i="14"/>
  <c r="I54" i="14" s="1"/>
  <c r="H53" i="14"/>
  <c r="I53" i="14" s="1"/>
  <c r="H52" i="14"/>
  <c r="I52" i="14" s="1"/>
  <c r="H51" i="14"/>
  <c r="I51" i="14" s="1"/>
  <c r="H50" i="14"/>
  <c r="I50" i="14" s="1"/>
  <c r="H49" i="14"/>
  <c r="I49" i="14" s="1"/>
  <c r="H48" i="14"/>
  <c r="I48" i="14" s="1"/>
  <c r="H47" i="14"/>
  <c r="I47" i="14" s="1"/>
  <c r="H46" i="14"/>
  <c r="I46" i="14" s="1"/>
  <c r="H45" i="14"/>
  <c r="I45" i="14" s="1"/>
  <c r="H44" i="14"/>
  <c r="I44" i="14" s="1"/>
  <c r="H43" i="14"/>
  <c r="I43" i="14" s="1"/>
  <c r="H42" i="14"/>
  <c r="I42" i="14" s="1"/>
  <c r="H41" i="14"/>
  <c r="I41" i="14" s="1"/>
  <c r="H40" i="14"/>
  <c r="I40" i="14" s="1"/>
  <c r="H39" i="14"/>
  <c r="I39" i="14" s="1"/>
  <c r="H38" i="14"/>
  <c r="I38" i="14" s="1"/>
  <c r="H37" i="14"/>
  <c r="I37" i="14" s="1"/>
  <c r="H36" i="14"/>
  <c r="I36" i="14" s="1"/>
  <c r="H35" i="14"/>
  <c r="I35" i="14" s="1"/>
  <c r="H34" i="14"/>
  <c r="I34" i="14" s="1"/>
  <c r="H33" i="14"/>
  <c r="I33" i="14" s="1"/>
  <c r="H32" i="14"/>
  <c r="I32" i="14" s="1"/>
  <c r="H31" i="14"/>
  <c r="I31" i="14" s="1"/>
  <c r="H30" i="14"/>
  <c r="I30" i="14" s="1"/>
  <c r="H29" i="14"/>
  <c r="I29" i="14" s="1"/>
  <c r="H28" i="14"/>
  <c r="I28" i="14" s="1"/>
  <c r="H27" i="14"/>
  <c r="I27" i="14" s="1"/>
  <c r="H26" i="14"/>
  <c r="I26" i="14" s="1"/>
  <c r="H25" i="14"/>
  <c r="I25" i="14" s="1"/>
  <c r="H24" i="14"/>
  <c r="I24" i="14" s="1"/>
  <c r="H23" i="14"/>
  <c r="I23" i="14" s="1"/>
  <c r="H22" i="14"/>
  <c r="I22" i="14" s="1"/>
  <c r="H21" i="14"/>
  <c r="I21" i="14" s="1"/>
  <c r="H20" i="14"/>
  <c r="I20" i="14" s="1"/>
  <c r="H19" i="14"/>
  <c r="I19" i="14" s="1"/>
  <c r="H18" i="14"/>
  <c r="I18" i="14" s="1"/>
  <c r="H17" i="14"/>
  <c r="I17" i="14" s="1"/>
  <c r="H16" i="14"/>
  <c r="I16" i="14" s="1"/>
  <c r="H15" i="14"/>
  <c r="I15" i="14" s="1"/>
  <c r="H14" i="14"/>
  <c r="I14" i="14" s="1"/>
  <c r="H13" i="14"/>
  <c r="I13" i="14" s="1"/>
  <c r="H12" i="14"/>
  <c r="I12" i="14" s="1"/>
  <c r="H11" i="14"/>
  <c r="I11" i="14" s="1"/>
  <c r="H10" i="14"/>
  <c r="I10" i="14" s="1"/>
  <c r="H9" i="14"/>
  <c r="I9" i="14" s="1"/>
  <c r="G80" i="12"/>
  <c r="AK11" i="1"/>
  <c r="B74" i="3" l="1"/>
  <c r="A47" i="15"/>
  <c r="A44" i="15"/>
  <c r="A43" i="15"/>
  <c r="A42" i="15"/>
  <c r="G39" i="15"/>
  <c r="G38" i="15" s="1"/>
  <c r="H38" i="15" s="1"/>
  <c r="A39" i="15"/>
  <c r="G36" i="15"/>
  <c r="H36" i="15" s="1"/>
  <c r="G35" i="15"/>
  <c r="H35" i="15" s="1"/>
  <c r="G33" i="15"/>
  <c r="H33" i="15" s="1"/>
  <c r="A33" i="15"/>
  <c r="E32" i="15"/>
  <c r="G32" i="15" s="1"/>
  <c r="H32" i="15" s="1"/>
  <c r="A32" i="15"/>
  <c r="E31" i="15"/>
  <c r="G31" i="15" s="1"/>
  <c r="A31" i="15"/>
  <c r="H28" i="15"/>
  <c r="G28" i="15"/>
  <c r="A28" i="15"/>
  <c r="G27" i="15"/>
  <c r="H27" i="15" s="1"/>
  <c r="A27" i="15"/>
  <c r="G26" i="15"/>
  <c r="H26" i="15" s="1"/>
  <c r="A26" i="15"/>
  <c r="G25" i="15"/>
  <c r="H25" i="15" s="1"/>
  <c r="A25" i="15"/>
  <c r="G24" i="15"/>
  <c r="H24" i="15" s="1"/>
  <c r="E24" i="15"/>
  <c r="A24" i="15"/>
  <c r="H23" i="15"/>
  <c r="G23" i="15"/>
  <c r="A23" i="15"/>
  <c r="A22" i="15"/>
  <c r="A21" i="15"/>
  <c r="A20" i="15"/>
  <c r="A19" i="15"/>
  <c r="E18" i="15"/>
  <c r="E19" i="15" s="1"/>
  <c r="G19" i="15" s="1"/>
  <c r="H19" i="15" s="1"/>
  <c r="A18" i="15"/>
  <c r="G17" i="15"/>
  <c r="H17" i="15" s="1"/>
  <c r="E17" i="15"/>
  <c r="A17" i="15"/>
  <c r="E16" i="15"/>
  <c r="G16" i="15" s="1"/>
  <c r="H16" i="15" s="1"/>
  <c r="A16" i="15"/>
  <c r="G15" i="15"/>
  <c r="H15" i="15" s="1"/>
  <c r="E15" i="15"/>
  <c r="A15" i="15"/>
  <c r="E14" i="15"/>
  <c r="G14" i="15" s="1"/>
  <c r="H14" i="15" s="1"/>
  <c r="A14" i="15"/>
  <c r="G13" i="15"/>
  <c r="H13" i="15" s="1"/>
  <c r="A13" i="15"/>
  <c r="G12" i="15"/>
  <c r="A12" i="15"/>
  <c r="H11" i="15"/>
  <c r="G11" i="15"/>
  <c r="A11" i="15"/>
  <c r="C5" i="15"/>
  <c r="E44" i="15" s="1"/>
  <c r="G44" i="15" s="1"/>
  <c r="H44" i="15" s="1"/>
  <c r="A74" i="12"/>
  <c r="A71" i="12"/>
  <c r="A70" i="12"/>
  <c r="A69" i="12"/>
  <c r="G66" i="12"/>
  <c r="H66" i="12" s="1"/>
  <c r="A66" i="12"/>
  <c r="G65" i="12"/>
  <c r="H65" i="12" s="1"/>
  <c r="A65" i="12"/>
  <c r="G64" i="12"/>
  <c r="H64" i="12" s="1"/>
  <c r="A64" i="12"/>
  <c r="G61" i="12"/>
  <c r="H61" i="12" s="1"/>
  <c r="A61" i="12"/>
  <c r="E60" i="12"/>
  <c r="G60" i="12" s="1"/>
  <c r="H60" i="12" s="1"/>
  <c r="A60" i="12"/>
  <c r="G59" i="12"/>
  <c r="H59" i="12" s="1"/>
  <c r="A59" i="12"/>
  <c r="E58" i="12"/>
  <c r="G58" i="12" s="1"/>
  <c r="H58" i="12" s="1"/>
  <c r="A58" i="12"/>
  <c r="A57" i="12"/>
  <c r="G56" i="12"/>
  <c r="H56" i="12" s="1"/>
  <c r="A56" i="12"/>
  <c r="G55" i="12"/>
  <c r="H55" i="12" s="1"/>
  <c r="A55" i="12"/>
  <c r="G54" i="12"/>
  <c r="H54" i="12" s="1"/>
  <c r="A54" i="12"/>
  <c r="G53" i="12"/>
  <c r="H53" i="12" s="1"/>
  <c r="A53" i="12"/>
  <c r="G52" i="12"/>
  <c r="H52" i="12" s="1"/>
  <c r="A52" i="12"/>
  <c r="G51" i="12"/>
  <c r="H51" i="12" s="1"/>
  <c r="A51" i="12"/>
  <c r="G50" i="12"/>
  <c r="H50" i="12" s="1"/>
  <c r="A50" i="12"/>
  <c r="A49" i="12"/>
  <c r="A48" i="12"/>
  <c r="A47" i="12"/>
  <c r="A46" i="12"/>
  <c r="A45" i="12"/>
  <c r="A44" i="12"/>
  <c r="A43" i="12"/>
  <c r="E42" i="12"/>
  <c r="G42" i="12" s="1"/>
  <c r="H42" i="12" s="1"/>
  <c r="A42" i="12"/>
  <c r="A41" i="12"/>
  <c r="E40" i="12"/>
  <c r="G40" i="12" s="1"/>
  <c r="H40" i="12" s="1"/>
  <c r="A40" i="12"/>
  <c r="E39" i="12"/>
  <c r="G39" i="12" s="1"/>
  <c r="H39" i="12" s="1"/>
  <c r="A39" i="12"/>
  <c r="E38" i="12"/>
  <c r="G38" i="12" s="1"/>
  <c r="A38" i="12"/>
  <c r="E35" i="12"/>
  <c r="G35" i="12" s="1"/>
  <c r="H35" i="12" s="1"/>
  <c r="A35" i="12"/>
  <c r="A34" i="12"/>
  <c r="A33" i="12"/>
  <c r="A32" i="12"/>
  <c r="A31" i="12"/>
  <c r="A30" i="12"/>
  <c r="G27" i="12"/>
  <c r="H27" i="12" s="1"/>
  <c r="A27" i="12"/>
  <c r="G26" i="12"/>
  <c r="H26" i="12" s="1"/>
  <c r="A26" i="12"/>
  <c r="G25" i="12"/>
  <c r="H25" i="12" s="1"/>
  <c r="A25" i="12"/>
  <c r="G24" i="12"/>
  <c r="H24" i="12" s="1"/>
  <c r="A24" i="12"/>
  <c r="G23" i="12"/>
  <c r="H23" i="12" s="1"/>
  <c r="A23" i="12"/>
  <c r="E22" i="12"/>
  <c r="G22" i="12" s="1"/>
  <c r="A22" i="12"/>
  <c r="G19" i="12"/>
  <c r="H19" i="12" s="1"/>
  <c r="A19" i="12"/>
  <c r="G18" i="12"/>
  <c r="H18" i="12" s="1"/>
  <c r="A18" i="12"/>
  <c r="G17" i="12"/>
  <c r="H17" i="12" s="1"/>
  <c r="A17" i="12"/>
  <c r="E16" i="12"/>
  <c r="G16" i="12" s="1"/>
  <c r="H16" i="12" s="1"/>
  <c r="A16" i="12"/>
  <c r="G15" i="12"/>
  <c r="H15" i="12" s="1"/>
  <c r="A15" i="12"/>
  <c r="G14" i="12"/>
  <c r="H14" i="12" s="1"/>
  <c r="A14" i="12"/>
  <c r="G13" i="12"/>
  <c r="H13" i="12" s="1"/>
  <c r="A13" i="12"/>
  <c r="A12" i="12"/>
  <c r="A11" i="12"/>
  <c r="C5" i="12"/>
  <c r="E70" i="12" s="1"/>
  <c r="G70" i="12" s="1"/>
  <c r="H70" i="12" s="1"/>
  <c r="AJ6" i="1"/>
  <c r="B67" i="3"/>
  <c r="V67" i="3" s="1"/>
  <c r="V68" i="3" s="1"/>
  <c r="B68" i="3"/>
  <c r="AK31" i="1" s="1"/>
  <c r="F67" i="3" l="1"/>
  <c r="P67" i="3"/>
  <c r="P68" i="3" s="1"/>
  <c r="D85" i="3"/>
  <c r="C67" i="3"/>
  <c r="C68" i="3" s="1"/>
  <c r="C69" i="3" s="1"/>
  <c r="C72" i="3" s="1"/>
  <c r="C74" i="3"/>
  <c r="C75" i="3" s="1"/>
  <c r="C76" i="3" s="1"/>
  <c r="C77" i="3" s="1"/>
  <c r="C103" i="3"/>
  <c r="Q67" i="3"/>
  <c r="G67" i="3"/>
  <c r="D86" i="3"/>
  <c r="C96" i="3" s="1"/>
  <c r="AK43" i="1" s="1"/>
  <c r="H67" i="3"/>
  <c r="N67" i="3"/>
  <c r="Z67" i="3"/>
  <c r="D87" i="3"/>
  <c r="D67" i="3"/>
  <c r="R67" i="3"/>
  <c r="E67" i="3"/>
  <c r="AA67" i="3"/>
  <c r="I67" i="3"/>
  <c r="M67" i="3"/>
  <c r="Y67" i="3"/>
  <c r="K67" i="3"/>
  <c r="S67" i="3"/>
  <c r="W67" i="3"/>
  <c r="T67" i="3"/>
  <c r="U67" i="3"/>
  <c r="O67" i="3"/>
  <c r="J67" i="3"/>
  <c r="L67" i="3"/>
  <c r="L68" i="3" s="1"/>
  <c r="X67" i="3"/>
  <c r="D100" i="3"/>
  <c r="E41" i="12"/>
  <c r="E47" i="12" s="1"/>
  <c r="E49" i="12" s="1"/>
  <c r="G30" i="15"/>
  <c r="H30" i="15" s="1"/>
  <c r="H31" i="15"/>
  <c r="E20" i="15"/>
  <c r="G18" i="15"/>
  <c r="H18" i="15" s="1"/>
  <c r="H12" i="15"/>
  <c r="E43" i="15"/>
  <c r="G43" i="15" s="1"/>
  <c r="H43" i="15" s="1"/>
  <c r="H39" i="15"/>
  <c r="E42" i="15"/>
  <c r="G42" i="15" s="1"/>
  <c r="E71" i="12"/>
  <c r="G71" i="12" s="1"/>
  <c r="H71" i="12" s="1"/>
  <c r="E45" i="12"/>
  <c r="E46" i="12" s="1"/>
  <c r="G46" i="12" s="1"/>
  <c r="H46" i="12" s="1"/>
  <c r="E11" i="12"/>
  <c r="G11" i="12" s="1"/>
  <c r="H11" i="12" s="1"/>
  <c r="E69" i="12"/>
  <c r="G69" i="12" s="1"/>
  <c r="H38" i="12"/>
  <c r="G68" i="12"/>
  <c r="H68" i="12" s="1"/>
  <c r="H69" i="12"/>
  <c r="G47" i="12"/>
  <c r="H47" i="12" s="1"/>
  <c r="G21" i="12"/>
  <c r="H21" i="12" s="1"/>
  <c r="H22" i="12"/>
  <c r="E57" i="12"/>
  <c r="G57" i="12" s="1"/>
  <c r="H57" i="12" s="1"/>
  <c r="E43" i="12"/>
  <c r="G43" i="12" s="1"/>
  <c r="H43" i="12" s="1"/>
  <c r="E30" i="12"/>
  <c r="F34" i="12"/>
  <c r="G34" i="12" s="1"/>
  <c r="H34" i="12" s="1"/>
  <c r="G63" i="12"/>
  <c r="H63" i="12" s="1"/>
  <c r="E44" i="12"/>
  <c r="G44" i="12" s="1"/>
  <c r="H44" i="12" s="1"/>
  <c r="AL47" i="1"/>
  <c r="AK29" i="1" l="1"/>
  <c r="AL29" i="1"/>
  <c r="E93" i="3"/>
  <c r="AK40" i="1" s="1"/>
  <c r="C107" i="3"/>
  <c r="C104" i="3"/>
  <c r="C108" i="3" s="1"/>
  <c r="AK49" i="1" s="1"/>
  <c r="G45" i="12"/>
  <c r="H45" i="12" s="1"/>
  <c r="G41" i="12"/>
  <c r="H41" i="12" s="1"/>
  <c r="G20" i="15"/>
  <c r="H20" i="15" s="1"/>
  <c r="E22" i="15"/>
  <c r="H42" i="15"/>
  <c r="G41" i="15"/>
  <c r="H41" i="15" s="1"/>
  <c r="E12" i="12"/>
  <c r="G12" i="12" s="1"/>
  <c r="H12" i="12" s="1"/>
  <c r="E33" i="12"/>
  <c r="E31" i="12"/>
  <c r="G31" i="12" s="1"/>
  <c r="H31" i="12" s="1"/>
  <c r="G30" i="12"/>
  <c r="E48" i="12"/>
  <c r="G48" i="12" s="1"/>
  <c r="H48" i="12" s="1"/>
  <c r="G49" i="12"/>
  <c r="H49" i="12" s="1"/>
  <c r="AR40" i="1"/>
  <c r="AQ21" i="1"/>
  <c r="AQ20" i="1"/>
  <c r="AQ19" i="1"/>
  <c r="AQ18" i="1"/>
  <c r="AN21" i="1"/>
  <c r="AN20" i="1"/>
  <c r="AN19" i="1"/>
  <c r="AN18" i="1"/>
  <c r="AJ21" i="1"/>
  <c r="AJ19" i="1"/>
  <c r="AJ18" i="1"/>
  <c r="AR41" i="1"/>
  <c r="AR42" i="1"/>
  <c r="AR43" i="1"/>
  <c r="AO41" i="1"/>
  <c r="C95" i="3"/>
  <c r="N100" i="3"/>
  <c r="N101" i="3" s="1"/>
  <c r="AL41" i="1"/>
  <c r="AK41" i="1"/>
  <c r="H92" i="3"/>
  <c r="H93" i="3"/>
  <c r="H94" i="3"/>
  <c r="H95" i="3"/>
  <c r="H96" i="3"/>
  <c r="AL49" i="1" l="1"/>
  <c r="AK26" i="1"/>
  <c r="H97" i="3"/>
  <c r="G10" i="12"/>
  <c r="H10" i="12" s="1"/>
  <c r="E21" i="15"/>
  <c r="G21" i="15" s="1"/>
  <c r="G22" i="15"/>
  <c r="H22" i="15" s="1"/>
  <c r="G37" i="12"/>
  <c r="H37" i="12" s="1"/>
  <c r="H30" i="12"/>
  <c r="E32" i="12"/>
  <c r="G32" i="12" s="1"/>
  <c r="H32" i="12" s="1"/>
  <c r="G33" i="12"/>
  <c r="H33" i="12" s="1"/>
  <c r="AK20" i="1"/>
  <c r="AR39" i="1"/>
  <c r="AK21" i="1"/>
  <c r="G96" i="3"/>
  <c r="AS40" i="1"/>
  <c r="AL26" i="1" l="1"/>
  <c r="AL43" i="1"/>
  <c r="H21" i="15"/>
  <c r="G10" i="15"/>
  <c r="G29" i="12"/>
  <c r="AS39" i="1"/>
  <c r="AS17" i="1" s="1"/>
  <c r="D68" i="3"/>
  <c r="D69" i="3" s="1"/>
  <c r="AL21" i="1" l="1"/>
  <c r="F47" i="15"/>
  <c r="G47" i="15" s="1"/>
  <c r="H10" i="15"/>
  <c r="H29" i="12"/>
  <c r="F74" i="12"/>
  <c r="G74" i="12" s="1"/>
  <c r="Y68" i="3"/>
  <c r="J68" i="3"/>
  <c r="X68" i="3"/>
  <c r="I68" i="3"/>
  <c r="G68" i="3"/>
  <c r="Q68" i="3"/>
  <c r="AA68" i="3"/>
  <c r="O68" i="3"/>
  <c r="S68" i="3"/>
  <c r="H68" i="3"/>
  <c r="R68" i="3"/>
  <c r="Z68" i="3"/>
  <c r="K68" i="3"/>
  <c r="W68" i="3"/>
  <c r="N68" i="3"/>
  <c r="F68" i="3"/>
  <c r="M68" i="3"/>
  <c r="E68" i="3"/>
  <c r="T68" i="3"/>
  <c r="AR21" i="1"/>
  <c r="AR20" i="1"/>
  <c r="AR18" i="1"/>
  <c r="AR17" i="1"/>
  <c r="AS43" i="1"/>
  <c r="AS41" i="1"/>
  <c r="AS42" i="1"/>
  <c r="H47" i="15" l="1"/>
  <c r="G46" i="15"/>
  <c r="G73" i="12"/>
  <c r="H74" i="12"/>
  <c r="E96" i="3"/>
  <c r="AO43" i="1" s="1"/>
  <c r="H46" i="15" l="1"/>
  <c r="F50" i="15"/>
  <c r="G50" i="15" s="1"/>
  <c r="H73" i="12"/>
  <c r="F77" i="12"/>
  <c r="G77" i="12" s="1"/>
  <c r="G94" i="3"/>
  <c r="I96" i="3"/>
  <c r="E92" i="3"/>
  <c r="AO40" i="1"/>
  <c r="E95" i="3"/>
  <c r="AO42" i="1" s="1"/>
  <c r="AY19" i="1"/>
  <c r="AX19" i="1"/>
  <c r="Z87" i="3"/>
  <c r="Z88" i="3" s="1"/>
  <c r="G49" i="15" l="1"/>
  <c r="H50" i="15"/>
  <c r="H77" i="12"/>
  <c r="G76" i="12"/>
  <c r="AO39" i="1"/>
  <c r="I92" i="3"/>
  <c r="I95" i="3"/>
  <c r="I93" i="3"/>
  <c r="F92" i="3"/>
  <c r="E97" i="3"/>
  <c r="AB90" i="3"/>
  <c r="AB91" i="3" s="1"/>
  <c r="H49" i="15" l="1"/>
  <c r="G52" i="15"/>
  <c r="G53" i="15" s="1"/>
  <c r="G54" i="15" s="1"/>
  <c r="H76" i="12"/>
  <c r="G79" i="12"/>
  <c r="G81" i="12" s="1"/>
  <c r="AP40" i="1"/>
  <c r="AP42" i="1"/>
  <c r="I94" i="3"/>
  <c r="AP43" i="1"/>
  <c r="AP39" i="1"/>
  <c r="AP17" i="1" s="1"/>
  <c r="AS48" i="1" l="1"/>
  <c r="AP48" i="1"/>
  <c r="BJ2" i="1"/>
  <c r="K92" i="3" l="1"/>
  <c r="G91" i="3"/>
  <c r="L92" i="3" l="1"/>
  <c r="AP47" i="1" l="1"/>
  <c r="AP29" i="1" s="1"/>
  <c r="I91" i="3" l="1"/>
  <c r="AV19" i="1" l="1"/>
  <c r="AU19" i="1"/>
  <c r="AO19" i="1"/>
  <c r="AS19" i="1"/>
  <c r="AR19" i="1"/>
  <c r="AP19" i="1"/>
  <c r="AO48" i="1"/>
  <c r="AR48" i="1" s="1"/>
  <c r="E69" i="3"/>
  <c r="F69" i="3"/>
  <c r="F72" i="3" s="1"/>
  <c r="G69" i="3"/>
  <c r="G72" i="3" s="1"/>
  <c r="H69" i="3"/>
  <c r="H72" i="3" s="1"/>
  <c r="I69" i="3"/>
  <c r="I72" i="3" s="1"/>
  <c r="J69" i="3"/>
  <c r="K69" i="3"/>
  <c r="L69" i="3"/>
  <c r="L72" i="3" s="1"/>
  <c r="M69" i="3"/>
  <c r="M72" i="3" s="1"/>
  <c r="N69" i="3"/>
  <c r="N72" i="3" s="1"/>
  <c r="O69" i="3"/>
  <c r="O72" i="3" s="1"/>
  <c r="P69" i="3"/>
  <c r="P72" i="3" s="1"/>
  <c r="Q69" i="3"/>
  <c r="R69" i="3"/>
  <c r="R72" i="3" s="1"/>
  <c r="T69" i="3"/>
  <c r="T72" i="3" s="1"/>
  <c r="V69" i="3"/>
  <c r="V72" i="3" s="1"/>
  <c r="X69" i="3"/>
  <c r="X72" i="3" s="1"/>
  <c r="Y69" i="3"/>
  <c r="Y72" i="3" s="1"/>
  <c r="Z69" i="3"/>
  <c r="AA69" i="3"/>
  <c r="AA10" i="1"/>
  <c r="AB10" i="1" s="1"/>
  <c r="A81" i="3" l="1"/>
  <c r="C93" i="3" s="1"/>
  <c r="Q70" i="3"/>
  <c r="U72" i="3"/>
  <c r="J72" i="3"/>
  <c r="AA72" i="3"/>
  <c r="J70" i="3"/>
  <c r="Z70" i="3"/>
  <c r="Z71" i="3" s="1"/>
  <c r="Z72" i="3"/>
  <c r="D72" i="3"/>
  <c r="B81" i="3" s="1"/>
  <c r="E72" i="3"/>
  <c r="K72" i="3"/>
  <c r="Q72" i="3"/>
  <c r="Q73" i="3" s="1"/>
  <c r="AO47" i="1"/>
  <c r="AS47" i="1"/>
  <c r="AS29" i="1" s="1"/>
  <c r="AP31" i="1"/>
  <c r="AR31" i="1"/>
  <c r="AU48" i="1"/>
  <c r="AO31" i="1"/>
  <c r="I97" i="3"/>
  <c r="AE39" i="1"/>
  <c r="AE40" i="1"/>
  <c r="AE42" i="1"/>
  <c r="AE43" i="1"/>
  <c r="AH43" i="1"/>
  <c r="AI43" i="1"/>
  <c r="AE47" i="1"/>
  <c r="AE48" i="1"/>
  <c r="AH10" i="1"/>
  <c r="AI10" i="1" s="1"/>
  <c r="AG10" i="1"/>
  <c r="AI9" i="1"/>
  <c r="AG9" i="1"/>
  <c r="AK18" i="1" l="1"/>
  <c r="C81" i="3"/>
  <c r="G95" i="3"/>
  <c r="AR47" i="1"/>
  <c r="AO29" i="1"/>
  <c r="AU31" i="1"/>
  <c r="AX48" i="1"/>
  <c r="AX31" i="1" s="1"/>
  <c r="AV42" i="1"/>
  <c r="AU42" i="1"/>
  <c r="AX40" i="1"/>
  <c r="AV47" i="1"/>
  <c r="AS31" i="1"/>
  <c r="AV48" i="1"/>
  <c r="AB42" i="1"/>
  <c r="AI42" i="1" s="1"/>
  <c r="AA42" i="1"/>
  <c r="AH42" i="1" s="1"/>
  <c r="AB9" i="1"/>
  <c r="Z9" i="1"/>
  <c r="AU40" i="1" l="1"/>
  <c r="AU18" i="1" s="1"/>
  <c r="AL40" i="1"/>
  <c r="AV29" i="1"/>
  <c r="AY47" i="1"/>
  <c r="AY29" i="1" s="1"/>
  <c r="AV31" i="1"/>
  <c r="AY48" i="1"/>
  <c r="AY31" i="1" s="1"/>
  <c r="AU47" i="1"/>
  <c r="AR29" i="1"/>
  <c r="AY40" i="1"/>
  <c r="AY18" i="1" s="1"/>
  <c r="AV43" i="1"/>
  <c r="AV21" i="1" s="1"/>
  <c r="AY43" i="1"/>
  <c r="AY21" i="1" s="1"/>
  <c r="AX42" i="1"/>
  <c r="AX20" i="1" s="1"/>
  <c r="AO18" i="1"/>
  <c r="AX43" i="1"/>
  <c r="AX21" i="1" s="1"/>
  <c r="AU43" i="1"/>
  <c r="AU21" i="1" s="1"/>
  <c r="AO21" i="1"/>
  <c r="AU20" i="1"/>
  <c r="AO20" i="1"/>
  <c r="AV20" i="1"/>
  <c r="AP20" i="1"/>
  <c r="Z20" i="1"/>
  <c r="AG20" i="1" s="1"/>
  <c r="Z29" i="1"/>
  <c r="Z47" i="1" s="1"/>
  <c r="Z31" i="1"/>
  <c r="AG31" i="1" s="1"/>
  <c r="AS21" i="1"/>
  <c r="AP21" i="1"/>
  <c r="AS18" i="1"/>
  <c r="AP18" i="1"/>
  <c r="AL18" i="1" l="1"/>
  <c r="G92" i="3"/>
  <c r="AL39" i="1" s="1"/>
  <c r="AV40" i="1"/>
  <c r="AV18" i="1" s="1"/>
  <c r="AV17" i="1" s="1"/>
  <c r="C97" i="3"/>
  <c r="AU29" i="1"/>
  <c r="AX47" i="1"/>
  <c r="AX29" i="1" s="1"/>
  <c r="AU39" i="1"/>
  <c r="AU44" i="1" s="1"/>
  <c r="AS20" i="1"/>
  <c r="AY42" i="1"/>
  <c r="AY20" i="1" s="1"/>
  <c r="AY17" i="1" s="1"/>
  <c r="AX39" i="1"/>
  <c r="AX44" i="1" s="1"/>
  <c r="AX18" i="1"/>
  <c r="AX17" i="1" s="1"/>
  <c r="AX22" i="1" s="1"/>
  <c r="AU17" i="1"/>
  <c r="AU22" i="1" s="1"/>
  <c r="AO17" i="1"/>
  <c r="AO22" i="1" s="1"/>
  <c r="AO44" i="1"/>
  <c r="AR44" i="1"/>
  <c r="Y20" i="1"/>
  <c r="AF20" i="1" s="1"/>
  <c r="AG29" i="1"/>
  <c r="Y31" i="1"/>
  <c r="AF31" i="1" s="1"/>
  <c r="Y29" i="1"/>
  <c r="AF29" i="1" s="1"/>
  <c r="AR22" i="1"/>
  <c r="AB47" i="1"/>
  <c r="AG47" i="1"/>
  <c r="Y19" i="1"/>
  <c r="AF19" i="1" s="1"/>
  <c r="AL17" i="1" l="1"/>
  <c r="AV39" i="1"/>
  <c r="AV44" i="1" s="1"/>
  <c r="AY39" i="1"/>
  <c r="Y47" i="1"/>
  <c r="AA47" i="1" s="1"/>
  <c r="G97" i="3"/>
  <c r="AX34" i="1"/>
  <c r="AU34" i="1"/>
  <c r="AR34" i="1"/>
  <c r="AR23" i="1"/>
  <c r="AO34" i="1"/>
  <c r="AO23" i="1"/>
  <c r="AS22" i="1"/>
  <c r="AS34" i="1" s="1"/>
  <c r="AY22" i="1"/>
  <c r="AY34" i="1" s="1"/>
  <c r="AY44" i="1"/>
  <c r="AV22" i="1"/>
  <c r="AV34" i="1" s="1"/>
  <c r="Z17" i="1"/>
  <c r="AG17" i="1" s="1"/>
  <c r="Y17" i="1"/>
  <c r="Y39" i="1" s="1"/>
  <c r="AF39" i="1" s="1"/>
  <c r="AP22" i="1"/>
  <c r="AP34" i="1" s="1"/>
  <c r="AP44" i="1"/>
  <c r="AS44" i="1"/>
  <c r="AA19" i="1"/>
  <c r="AH19" i="1" s="1"/>
  <c r="AB29" i="1"/>
  <c r="AI29" i="1" s="1"/>
  <c r="AI47" i="1"/>
  <c r="AF47" i="1"/>
  <c r="AF17" i="1" l="1"/>
  <c r="Z19" i="1"/>
  <c r="AG19" i="1" s="1"/>
  <c r="AA29" i="1"/>
  <c r="AH29" i="1" s="1"/>
  <c r="AH47" i="1"/>
  <c r="AB19" i="1" l="1"/>
  <c r="AI19" i="1" s="1"/>
  <c r="Z10" i="1" l="1"/>
  <c r="Y42" i="1"/>
  <c r="AF42" i="1" s="1"/>
  <c r="Y48" i="1"/>
  <c r="X31" i="1"/>
  <c r="AE31" i="1" s="1"/>
  <c r="X21" i="1"/>
  <c r="X18" i="1"/>
  <c r="AE18" i="1" s="1"/>
  <c r="X20" i="1"/>
  <c r="AE20" i="1" s="1"/>
  <c r="X17" i="1"/>
  <c r="AE17" i="1" s="1"/>
  <c r="W20" i="1"/>
  <c r="W21" i="1"/>
  <c r="W31" i="1" l="1"/>
  <c r="W48" i="1" s="1"/>
  <c r="AD48" i="1" s="1"/>
  <c r="W43" i="1"/>
  <c r="AD43" i="1" s="1"/>
  <c r="AF6" i="1" s="1"/>
  <c r="AG6" i="1" s="1"/>
  <c r="AD21" i="1"/>
  <c r="W42" i="1"/>
  <c r="AD42" i="1" s="1"/>
  <c r="AD20" i="1"/>
  <c r="X22" i="1"/>
  <c r="AE21" i="1"/>
  <c r="AE22" i="1" s="1"/>
  <c r="W18" i="1"/>
  <c r="AA48" i="1"/>
  <c r="AH48" i="1" s="1"/>
  <c r="AF48" i="1"/>
  <c r="AA20" i="1"/>
  <c r="AH20" i="1" s="1"/>
  <c r="AA21" i="1"/>
  <c r="AH21" i="1" s="1"/>
  <c r="Z42" i="1"/>
  <c r="AG42" i="1" s="1"/>
  <c r="Z48" i="1"/>
  <c r="Z39" i="1"/>
  <c r="W17" i="1"/>
  <c r="W39" i="1" s="1"/>
  <c r="AD39" i="1" s="1"/>
  <c r="Y6" i="1" l="1"/>
  <c r="Y21" i="1" s="1"/>
  <c r="AF21" i="1" s="1"/>
  <c r="AA31" i="1"/>
  <c r="AH31" i="1" s="1"/>
  <c r="AD31" i="1"/>
  <c r="W29" i="1"/>
  <c r="W47" i="1" s="1"/>
  <c r="AD47" i="1" s="1"/>
  <c r="AD18" i="1"/>
  <c r="W40" i="1"/>
  <c r="AD40" i="1" s="1"/>
  <c r="AD17" i="1"/>
  <c r="W22" i="1"/>
  <c r="AB48" i="1"/>
  <c r="AI48" i="1" s="1"/>
  <c r="AG48" i="1"/>
  <c r="AA39" i="1"/>
  <c r="AH39" i="1" s="1"/>
  <c r="AG39" i="1"/>
  <c r="Y43" i="1"/>
  <c r="AF43" i="1" s="1"/>
  <c r="AB21" i="1"/>
  <c r="AI21" i="1" s="1"/>
  <c r="AB20" i="1"/>
  <c r="AI20" i="1" s="1"/>
  <c r="Z6" i="1" l="1"/>
  <c r="Z18" i="1" s="1"/>
  <c r="AG18" i="1" s="1"/>
  <c r="Y18" i="1"/>
  <c r="Y22" i="1" s="1"/>
  <c r="Y34" i="1" s="1"/>
  <c r="W34" i="1"/>
  <c r="AD29" i="1"/>
  <c r="AB31" i="1"/>
  <c r="AI31" i="1" s="1"/>
  <c r="AD22" i="1"/>
  <c r="AB39" i="1"/>
  <c r="AI39" i="1" s="1"/>
  <c r="AA17" i="1"/>
  <c r="AH17" i="1" s="1"/>
  <c r="Z21" i="1" l="1"/>
  <c r="AG21" i="1" s="1"/>
  <c r="AG22" i="1" s="1"/>
  <c r="AG34" i="1" s="1"/>
  <c r="Z40" i="1"/>
  <c r="AG40" i="1" s="1"/>
  <c r="AD34" i="1"/>
  <c r="AF18" i="1"/>
  <c r="AF22" i="1" s="1"/>
  <c r="AF34" i="1" s="1"/>
  <c r="Y40" i="1"/>
  <c r="AF40" i="1" s="1"/>
  <c r="Z22" i="1"/>
  <c r="Z34" i="1" s="1"/>
  <c r="AB17" i="1"/>
  <c r="AI17" i="1" s="1"/>
  <c r="Z43" i="1"/>
  <c r="AG43" i="1" s="1"/>
  <c r="AB40" i="1" l="1"/>
  <c r="AI40" i="1" s="1"/>
  <c r="AA40" i="1"/>
  <c r="AH40" i="1" s="1"/>
  <c r="S39" i="1"/>
  <c r="V39" i="1" s="1"/>
  <c r="AB18" i="1" l="1"/>
  <c r="AA18" i="1"/>
  <c r="AA22" i="1" s="1"/>
  <c r="AA34" i="1" s="1"/>
  <c r="T39" i="1"/>
  <c r="T10" i="1"/>
  <c r="U9" i="1"/>
  <c r="U10" i="1"/>
  <c r="U17" i="1" s="1"/>
  <c r="H48" i="1"/>
  <c r="I48" i="1" s="1"/>
  <c r="J48" i="1" s="1"/>
  <c r="K48" i="1" s="1"/>
  <c r="L48" i="1" s="1"/>
  <c r="M48" i="1" s="1"/>
  <c r="N48" i="1" s="1"/>
  <c r="O48" i="1" s="1"/>
  <c r="P48" i="1" s="1"/>
  <c r="Q48" i="1" s="1"/>
  <c r="R48" i="1" s="1"/>
  <c r="S48" i="1" s="1"/>
  <c r="AB22" i="1" l="1"/>
  <c r="AB34" i="1" s="1"/>
  <c r="AI18" i="1"/>
  <c r="AI22" i="1" s="1"/>
  <c r="AI34" i="1" s="1"/>
  <c r="AH18" i="1"/>
  <c r="AH22" i="1" s="1"/>
  <c r="AH34" i="1" s="1"/>
  <c r="U20" i="1"/>
  <c r="U48" i="1"/>
  <c r="U31" i="1" s="1"/>
  <c r="S31" i="1"/>
  <c r="T48" i="1"/>
  <c r="T31" i="1" s="1"/>
  <c r="V48" i="1"/>
  <c r="V31" i="1" s="1"/>
  <c r="T17" i="1"/>
  <c r="R17" i="1"/>
  <c r="R18" i="1"/>
  <c r="R21" i="1"/>
  <c r="Q43" i="1"/>
  <c r="Q39" i="1"/>
  <c r="Q18" i="1"/>
  <c r="Q22" i="1" s="1"/>
  <c r="R22" i="1" l="1"/>
  <c r="O21" i="1"/>
  <c r="O43" i="1" s="1"/>
  <c r="S43" i="1" s="1"/>
  <c r="V43" i="1" l="1"/>
  <c r="V21" i="1" s="1"/>
  <c r="T43" i="1"/>
  <c r="T21" i="1" s="1"/>
  <c r="S21" i="1"/>
  <c r="M43" i="1"/>
  <c r="M10" i="1"/>
  <c r="N10" i="1" s="1"/>
  <c r="O9" i="1"/>
  <c r="P10" i="1"/>
  <c r="O29" i="1" l="1"/>
  <c r="P29" i="1" s="1"/>
  <c r="M21" i="1"/>
  <c r="G47" i="1"/>
  <c r="H47" i="1" s="1"/>
  <c r="I47" i="1" s="1"/>
  <c r="J47" i="1" s="1"/>
  <c r="K47" i="1" s="1"/>
  <c r="L47" i="1" s="1"/>
  <c r="M47" i="1" s="1"/>
  <c r="N47" i="1" s="1"/>
  <c r="O47" i="1" s="1"/>
  <c r="P47" i="1" s="1"/>
  <c r="Q47" i="1" s="1"/>
  <c r="R47" i="1" s="1"/>
  <c r="S47" i="1" s="1"/>
  <c r="Q29" i="1"/>
  <c r="R29" i="1" s="1"/>
  <c r="N29" i="1"/>
  <c r="M29" i="1" s="1"/>
  <c r="P9" i="1"/>
  <c r="P18" i="1"/>
  <c r="P40" i="1" s="1"/>
  <c r="U47" i="1" l="1"/>
  <c r="U29" i="1" s="1"/>
  <c r="V47" i="1"/>
  <c r="V29" i="1" s="1"/>
  <c r="S29" i="1"/>
  <c r="T47" i="1"/>
  <c r="T29" i="1" s="1"/>
  <c r="U40" i="1"/>
  <c r="U18" i="1" s="1"/>
  <c r="N40" i="1"/>
  <c r="N18" i="1" s="1"/>
  <c r="K21" i="1"/>
  <c r="K20" i="1"/>
  <c r="K18" i="1"/>
  <c r="K17" i="1"/>
  <c r="K40" i="1" l="1"/>
  <c r="O18" i="1" s="1"/>
  <c r="O40" i="1" s="1"/>
  <c r="K42" i="1"/>
  <c r="K43" i="1"/>
  <c r="P21" i="1" s="1"/>
  <c r="P43" i="1" s="1"/>
  <c r="K39" i="1"/>
  <c r="K22" i="1"/>
  <c r="U43" i="1" l="1"/>
  <c r="U21" i="1" s="1"/>
  <c r="U22" i="1" s="1"/>
  <c r="N43" i="1"/>
  <c r="N21" i="1" s="1"/>
  <c r="S40" i="1"/>
  <c r="M40" i="1"/>
  <c r="M18" i="1" s="1"/>
  <c r="L42" i="1"/>
  <c r="P20" i="1" s="1"/>
  <c r="P42" i="1" s="1"/>
  <c r="O20" i="1"/>
  <c r="O42" i="1" s="1"/>
  <c r="J40" i="1"/>
  <c r="J42" i="1"/>
  <c r="J43" i="1"/>
  <c r="J39" i="1"/>
  <c r="J22" i="1"/>
  <c r="S42" i="1" l="1"/>
  <c r="M42" i="1"/>
  <c r="M20" i="1" s="1"/>
  <c r="V40" i="1"/>
  <c r="V18" i="1" s="1"/>
  <c r="T40" i="1"/>
  <c r="T18" i="1" s="1"/>
  <c r="S18" i="1"/>
  <c r="V42" i="1"/>
  <c r="V20" i="1" s="1"/>
  <c r="N42" i="1"/>
  <c r="N20" i="1" s="1"/>
  <c r="G40" i="1"/>
  <c r="G42" i="1"/>
  <c r="G43" i="1"/>
  <c r="G39" i="1"/>
  <c r="S20" i="1" l="1"/>
  <c r="T42" i="1"/>
  <c r="T20" i="1" s="1"/>
  <c r="T22" i="1" s="1"/>
  <c r="G22" i="1"/>
  <c r="I40" i="1" l="1"/>
  <c r="I42" i="1"/>
  <c r="I43" i="1"/>
  <c r="I39" i="1"/>
  <c r="I22" i="1"/>
  <c r="H29" i="1" l="1"/>
  <c r="H21" i="1"/>
  <c r="H43" i="1" s="1"/>
  <c r="H20" i="1"/>
  <c r="H42" i="1" s="1"/>
  <c r="H18" i="1"/>
  <c r="H40" i="1" s="1"/>
  <c r="H17" i="1"/>
  <c r="H39" i="1" l="1"/>
  <c r="O17" i="1" s="1"/>
  <c r="H22" i="1"/>
  <c r="P17" i="1" l="1"/>
  <c r="P22" i="1" s="1"/>
  <c r="O22" i="1"/>
  <c r="O39" i="1"/>
  <c r="S22" i="1" s="1"/>
  <c r="P39" i="1" l="1"/>
  <c r="V17" i="1" s="1"/>
  <c r="V22" i="1" s="1"/>
  <c r="N39" i="1"/>
  <c r="N17" i="1" s="1"/>
  <c r="N22" i="1" s="1"/>
  <c r="M39" i="1"/>
  <c r="M17" i="1" s="1"/>
  <c r="M22" i="1" s="1"/>
  <c r="X29" i="1"/>
  <c r="AE29" i="1" l="1"/>
  <c r="AE34" i="1" s="1"/>
  <c r="X34" i="1"/>
  <c r="AK44" i="1" l="1"/>
  <c r="AJ20" i="1"/>
  <c r="AL42" i="1"/>
  <c r="AL20" i="1" l="1"/>
  <c r="AK22" i="1"/>
  <c r="AL44" i="1"/>
  <c r="AL22" i="1" l="1"/>
  <c r="AL34" i="1" s="1"/>
  <c r="AK24" i="1"/>
  <c r="AK34" i="1"/>
  <c r="AL23" i="1"/>
  <c r="AK23" i="1"/>
  <c r="AL24" i="1" l="1"/>
</calcChain>
</file>

<file path=xl/sharedStrings.xml><?xml version="1.0" encoding="utf-8"?>
<sst xmlns="http://schemas.openxmlformats.org/spreadsheetml/2006/main" count="1128" uniqueCount="781">
  <si>
    <t>GBP Version</t>
  </si>
  <si>
    <t>USD Version</t>
  </si>
  <si>
    <t>Estimated AV Costs based on WH Rates:</t>
  </si>
  <si>
    <t>Key Data</t>
  </si>
  <si>
    <t>Heads</t>
  </si>
  <si>
    <t>Area (m²)</t>
  </si>
  <si>
    <t>Area (ft²)</t>
  </si>
  <si>
    <t>OW London Project</t>
  </si>
  <si>
    <t>Prague Renewal</t>
  </si>
  <si>
    <t>Haywards Heath 2019</t>
  </si>
  <si>
    <t>Worcester 2020</t>
  </si>
  <si>
    <t>Cardiff 2021</t>
  </si>
  <si>
    <t>Milton Keynes 2021</t>
  </si>
  <si>
    <t>Tower Place 2021</t>
  </si>
  <si>
    <t>Low Cost London fit-out (Benchmarks)</t>
  </si>
  <si>
    <t>Sackville House 5 &amp; 6 
(TP Rates)</t>
  </si>
  <si>
    <t>Sackville house 5 &amp; 6 
(Low Cost)</t>
  </si>
  <si>
    <t>Tower Bridge House 
(TP Rates)</t>
  </si>
  <si>
    <t>Tower Bridge House 
(Low Cost)</t>
  </si>
  <si>
    <t xml:space="preserve">SBB 4th Floor 
(Half Floor) 
Short Term </t>
  </si>
  <si>
    <t>SBB 4th Floor 
(Half Floor) 
Long Term</t>
  </si>
  <si>
    <t>Renew in Baker Street</t>
  </si>
  <si>
    <t>Renew in Baker Street (1 Floor only)</t>
  </si>
  <si>
    <t>Renew in Baker Street (Light Touch)</t>
  </si>
  <si>
    <t>Relocation Option</t>
  </si>
  <si>
    <t>Norwich Willow House 
(from Financial Analysis)</t>
  </si>
  <si>
    <t>Norwich Willow House 
(MMC Rates)</t>
  </si>
  <si>
    <r>
      <t xml:space="preserve">Norwich Victoria House 
</t>
    </r>
    <r>
      <rPr>
        <b/>
        <u/>
        <sz val="11"/>
        <color theme="1"/>
        <rFont val="Calibri"/>
        <family val="2"/>
        <scheme val="minor"/>
      </rPr>
      <t xml:space="preserve">Bronze 
</t>
    </r>
    <r>
      <rPr>
        <b/>
        <sz val="11"/>
        <color theme="1"/>
        <rFont val="Calibri"/>
        <family val="2"/>
        <scheme val="minor"/>
      </rPr>
      <t>(From Financial Analysis)</t>
    </r>
  </si>
  <si>
    <r>
      <t xml:space="preserve">Norwich Victoria House
 </t>
    </r>
    <r>
      <rPr>
        <b/>
        <u/>
        <sz val="11"/>
        <color theme="1"/>
        <rFont val="Calibri"/>
        <family val="2"/>
        <scheme val="minor"/>
      </rPr>
      <t xml:space="preserve">Gold
</t>
    </r>
    <r>
      <rPr>
        <sz val="11"/>
        <color theme="1"/>
        <rFont val="Calibri"/>
        <family val="2"/>
        <scheme val="minor"/>
      </rPr>
      <t xml:space="preserve"> </t>
    </r>
    <r>
      <rPr>
        <b/>
        <sz val="11"/>
        <color theme="1"/>
        <rFont val="Calibri"/>
        <family val="2"/>
        <scheme val="minor"/>
      </rPr>
      <t>(From Financial Analysis)</t>
    </r>
  </si>
  <si>
    <r>
      <t xml:space="preserve">Norwich Victoria House </t>
    </r>
    <r>
      <rPr>
        <b/>
        <u/>
        <sz val="11"/>
        <color theme="1"/>
        <rFont val="Calibri"/>
        <family val="2"/>
        <scheme val="minor"/>
      </rPr>
      <t xml:space="preserve">Bronze
</t>
    </r>
    <r>
      <rPr>
        <b/>
        <sz val="11"/>
        <color theme="1"/>
        <rFont val="Calibri"/>
        <family val="2"/>
        <scheme val="minor"/>
      </rPr>
      <t>(MMC Rates)</t>
    </r>
  </si>
  <si>
    <r>
      <t xml:space="preserve">Norwich Victoria House 
</t>
    </r>
    <r>
      <rPr>
        <b/>
        <u/>
        <sz val="11"/>
        <color theme="1"/>
        <rFont val="Calibri"/>
        <family val="2"/>
        <scheme val="minor"/>
      </rPr>
      <t xml:space="preserve">Gold
</t>
    </r>
    <r>
      <rPr>
        <b/>
        <sz val="11"/>
        <color theme="1"/>
        <rFont val="Calibri"/>
        <family val="2"/>
        <scheme val="minor"/>
      </rPr>
      <t>(MMC Rates)</t>
    </r>
  </si>
  <si>
    <t xml:space="preserve">Prague  - Palac Flora </t>
  </si>
  <si>
    <t>Benchmark - PMO Benchmark</t>
  </si>
  <si>
    <t xml:space="preserve">Option Local Consultant rates </t>
  </si>
  <si>
    <t>Benchmark Previous project rates YEAR</t>
  </si>
  <si>
    <t>Option 4</t>
  </si>
  <si>
    <t>Option 5</t>
  </si>
  <si>
    <t>CAPEX</t>
  </si>
  <si>
    <t>CAPEX BUDGET</t>
  </si>
  <si>
    <t>Ongoing Budget</t>
  </si>
  <si>
    <t>Factor</t>
  </si>
  <si>
    <t>(CZK)</t>
  </si>
  <si>
    <t>(USD)</t>
  </si>
  <si>
    <t>(EUR)</t>
  </si>
  <si>
    <t>Professional Fees</t>
  </si>
  <si>
    <t>Fit-out</t>
  </si>
  <si>
    <t>CAT A Works</t>
  </si>
  <si>
    <t>Furniture</t>
  </si>
  <si>
    <t>AV &amp; Equipment</t>
  </si>
  <si>
    <t>Total</t>
  </si>
  <si>
    <t>Rate per SQM</t>
  </si>
  <si>
    <t>Rate per SQFT</t>
  </si>
  <si>
    <t>LL Contribution</t>
  </si>
  <si>
    <t>P&amp;L - One Off</t>
  </si>
  <si>
    <t>Moves</t>
  </si>
  <si>
    <t>MMC Tech Costs (5y)</t>
  </si>
  <si>
    <t>GRAND TOTAL</t>
  </si>
  <si>
    <t>Full-fit out</t>
  </si>
  <si>
    <t>Full Refurb</t>
  </si>
  <si>
    <t>light-mid touch refurb</t>
  </si>
  <si>
    <t>Full Fit-out</t>
  </si>
  <si>
    <t>5% sit-stand (all rest are with crank)</t>
  </si>
  <si>
    <t>Full Sit-stand</t>
  </si>
  <si>
    <t>Reused Furniture</t>
  </si>
  <si>
    <t>Full-Sit Stand + HS Monitor Arms</t>
  </si>
  <si>
    <t>Old AV Standards</t>
  </si>
  <si>
    <t>All DTENs</t>
  </si>
  <si>
    <t>New AV Standards</t>
  </si>
  <si>
    <t>Improved LED Lighting (GCL) circa 4£/ft²</t>
  </si>
  <si>
    <t>Rates (/m²)</t>
  </si>
  <si>
    <t>Rates ($/ft²)</t>
  </si>
  <si>
    <t>Fit Out</t>
  </si>
  <si>
    <t xml:space="preserve">Total </t>
  </si>
  <si>
    <t>Moves (/person)</t>
  </si>
  <si>
    <t>Assumptions</t>
  </si>
  <si>
    <t>Minimal building works as refresh the space and improve acoustics. No partitions ot be moved</t>
  </si>
  <si>
    <t>Some furniture to be purchased including phone booths</t>
  </si>
  <si>
    <t>Minimal AV Upgrade</t>
  </si>
  <si>
    <t xml:space="preserve">Minimal moves required </t>
  </si>
  <si>
    <t>Minimal MMC Tech upgrades required.</t>
  </si>
  <si>
    <t>Office area estimated by CBRE</t>
  </si>
  <si>
    <t>New Fit-out</t>
  </si>
  <si>
    <t>Sit-stand Desks</t>
  </si>
  <si>
    <t>Refresh to AV</t>
  </si>
  <si>
    <t>No works in-situ</t>
  </si>
  <si>
    <t>Works in-situ</t>
  </si>
  <si>
    <t>No Works in-situ</t>
  </si>
  <si>
    <t>Smart-office</t>
  </si>
  <si>
    <t>Mid-low end rates</t>
  </si>
  <si>
    <t>One floor fit-out only</t>
  </si>
  <si>
    <t xml:space="preserve">Light Touch </t>
  </si>
  <si>
    <t>City</t>
  </si>
  <si>
    <t>FOREIGN EXCHANGE RATE SUMMARY REPORT</t>
  </si>
  <si>
    <t/>
  </si>
  <si>
    <t>1st Pass*</t>
  </si>
  <si>
    <t>Variance</t>
  </si>
  <si>
    <t>CURR</t>
  </si>
  <si>
    <t>BUDGET</t>
  </si>
  <si>
    <t>2nd Pass vs 1st Pass</t>
  </si>
  <si>
    <t>COUNTRY</t>
  </si>
  <si>
    <t>CURRENCY</t>
  </si>
  <si>
    <t>CODE</t>
  </si>
  <si>
    <t>RATE</t>
  </si>
  <si>
    <t>$</t>
  </si>
  <si>
    <t>%</t>
  </si>
  <si>
    <t>ALBANIA</t>
  </si>
  <si>
    <t>LEK</t>
  </si>
  <si>
    <t>ALL</t>
  </si>
  <si>
    <t>ALGERIA</t>
  </si>
  <si>
    <t>DINAR</t>
  </si>
  <si>
    <t>DZD</t>
  </si>
  <si>
    <t>ANGOLA</t>
  </si>
  <si>
    <t>KWANZA</t>
  </si>
  <si>
    <t>AOA</t>
  </si>
  <si>
    <t>ARGENTINA</t>
  </si>
  <si>
    <t>PESO</t>
  </si>
  <si>
    <t>ARS</t>
  </si>
  <si>
    <t>ARUBA</t>
  </si>
  <si>
    <t>FLORIN</t>
  </si>
  <si>
    <t>AWG</t>
  </si>
  <si>
    <t>AUSTRALIA</t>
  </si>
  <si>
    <t>DOLLAR</t>
  </si>
  <si>
    <t>AUD</t>
  </si>
  <si>
    <t>AZERBAIJAN</t>
  </si>
  <si>
    <t>AZN</t>
  </si>
  <si>
    <t>BAHAMAS</t>
  </si>
  <si>
    <t>BSD</t>
  </si>
  <si>
    <t>BAHRAIN</t>
  </si>
  <si>
    <t>BHD</t>
  </si>
  <si>
    <t>BANGLADESH</t>
  </si>
  <si>
    <t>TAKA</t>
  </si>
  <si>
    <t>BDT</t>
  </si>
  <si>
    <t>BARBADOS</t>
  </si>
  <si>
    <t>BBD</t>
  </si>
  <si>
    <t>BELARUS</t>
  </si>
  <si>
    <t>RUBLE</t>
  </si>
  <si>
    <t>BYR</t>
  </si>
  <si>
    <t>BELIZE</t>
  </si>
  <si>
    <t>BZD</t>
  </si>
  <si>
    <t>BERMUDA</t>
  </si>
  <si>
    <t>BMD</t>
  </si>
  <si>
    <t>BHUTAN</t>
  </si>
  <si>
    <t>NGULTRUM</t>
  </si>
  <si>
    <t>BTN</t>
  </si>
  <si>
    <t>BOLIVIA</t>
  </si>
  <si>
    <t>BOLIVIANO</t>
  </si>
  <si>
    <t>BOB</t>
  </si>
  <si>
    <t>BOTSWANA</t>
  </si>
  <si>
    <t>PULA</t>
  </si>
  <si>
    <t>BWP</t>
  </si>
  <si>
    <t>BRAZIL</t>
  </si>
  <si>
    <t>REAL</t>
  </si>
  <si>
    <t>BRL</t>
  </si>
  <si>
    <t>BRUNEI DARUSSALAM</t>
  </si>
  <si>
    <t>BND</t>
  </si>
  <si>
    <t>BULGARIA</t>
  </si>
  <si>
    <t>LEV</t>
  </si>
  <si>
    <t>BGN</t>
  </si>
  <si>
    <t>BURUNDI</t>
  </si>
  <si>
    <t>FRANC</t>
  </si>
  <si>
    <t>BIF</t>
  </si>
  <si>
    <t>CAMBODIA</t>
  </si>
  <si>
    <t>NEW RIEL</t>
  </si>
  <si>
    <t>KHR</t>
  </si>
  <si>
    <t>CANADA</t>
  </si>
  <si>
    <t>CAD DOLLAR</t>
  </si>
  <si>
    <t>CAD</t>
  </si>
  <si>
    <t>CAPE VERDE</t>
  </si>
  <si>
    <t>ESCUDO</t>
  </si>
  <si>
    <t>CVE</t>
  </si>
  <si>
    <t>CAYMAN ISLANDS</t>
  </si>
  <si>
    <t>KYD</t>
  </si>
  <si>
    <t>CENTRAL AFRICAN REPUBLIC</t>
  </si>
  <si>
    <t>XAF</t>
  </si>
  <si>
    <t>CHILE</t>
  </si>
  <si>
    <t>CLP</t>
  </si>
  <si>
    <t>CHINA</t>
  </si>
  <si>
    <t>YUAN</t>
  </si>
  <si>
    <t>CNY</t>
  </si>
  <si>
    <t>COLOMBIA</t>
  </si>
  <si>
    <t>COP</t>
  </si>
  <si>
    <t>COSTA RICA</t>
  </si>
  <si>
    <t>COLON</t>
  </si>
  <si>
    <t>CRC</t>
  </si>
  <si>
    <t>CROATIA</t>
  </si>
  <si>
    <t>KUNA</t>
  </si>
  <si>
    <t>HRK</t>
  </si>
  <si>
    <t>CYPRUS</t>
  </si>
  <si>
    <t>POUND</t>
  </si>
  <si>
    <t>CYP</t>
  </si>
  <si>
    <t>CZECH REPUBLIC</t>
  </si>
  <si>
    <t>KORUNA</t>
  </si>
  <si>
    <t>CZK</t>
  </si>
  <si>
    <t>DENMARK</t>
  </si>
  <si>
    <t>KRONE</t>
  </si>
  <si>
    <t>DKK</t>
  </si>
  <si>
    <t>DJIBOUTI</t>
  </si>
  <si>
    <t>DJF</t>
  </si>
  <si>
    <t>DOMINICA</t>
  </si>
  <si>
    <t>XCD</t>
  </si>
  <si>
    <t>DOMINICAN REPUBLIC</t>
  </si>
  <si>
    <t>DOP</t>
  </si>
  <si>
    <t>EGYPT</t>
  </si>
  <si>
    <t>EGP</t>
  </si>
  <si>
    <t>EL SALVADOR</t>
  </si>
  <si>
    <t>SVC</t>
  </si>
  <si>
    <t>ETHIOPIA</t>
  </si>
  <si>
    <t>BIRR</t>
  </si>
  <si>
    <t>ETB</t>
  </si>
  <si>
    <t>EURO</t>
  </si>
  <si>
    <t>EUR</t>
  </si>
  <si>
    <t>FIJI</t>
  </si>
  <si>
    <t>FJD</t>
  </si>
  <si>
    <t>FRENCH POLYNESIA</t>
  </si>
  <si>
    <t>XPF</t>
  </si>
  <si>
    <t>GAMBIA</t>
  </si>
  <si>
    <t>DALASI</t>
  </si>
  <si>
    <t>GMD</t>
  </si>
  <si>
    <t>GHANA</t>
  </si>
  <si>
    <t>NEW GHANA</t>
  </si>
  <si>
    <t>GHS</t>
  </si>
  <si>
    <t>GUATEMALA</t>
  </si>
  <si>
    <t>QUETZAL</t>
  </si>
  <si>
    <t>GTQ</t>
  </si>
  <si>
    <t>GUINEA</t>
  </si>
  <si>
    <t>GNEA FRANC</t>
  </si>
  <si>
    <t>GNF</t>
  </si>
  <si>
    <t>GUYANA</t>
  </si>
  <si>
    <t>GYD</t>
  </si>
  <si>
    <t>HAITI</t>
  </si>
  <si>
    <t>GOURDE</t>
  </si>
  <si>
    <t>HTG</t>
  </si>
  <si>
    <t>HONDURAS</t>
  </si>
  <si>
    <t>LEMPIRA</t>
  </si>
  <si>
    <t>HNL</t>
  </si>
  <si>
    <t>HONG KONG</t>
  </si>
  <si>
    <t>HKD</t>
  </si>
  <si>
    <t>HUNGARY</t>
  </si>
  <si>
    <t>FORINT</t>
  </si>
  <si>
    <t>HUF</t>
  </si>
  <si>
    <t>ICELAND</t>
  </si>
  <si>
    <t>KRONA</t>
  </si>
  <si>
    <t>ISK</t>
  </si>
  <si>
    <t>INDIA</t>
  </si>
  <si>
    <t>RUPEE</t>
  </si>
  <si>
    <t>INR</t>
  </si>
  <si>
    <t>INDONESIA</t>
  </si>
  <si>
    <t>RUPIAH</t>
  </si>
  <si>
    <t>IDR</t>
  </si>
  <si>
    <t>IRAN (ISLAMIC REPUBLIC OF)</t>
  </si>
  <si>
    <t>RIAL</t>
  </si>
  <si>
    <t>IRR</t>
  </si>
  <si>
    <t>IRAQ</t>
  </si>
  <si>
    <t>IQD</t>
  </si>
  <si>
    <t>ISRAEL</t>
  </si>
  <si>
    <t>SHEQEL</t>
  </si>
  <si>
    <t>ILS</t>
  </si>
  <si>
    <t>JAMAICA</t>
  </si>
  <si>
    <t>JMD</t>
  </si>
  <si>
    <t>JAPAN</t>
  </si>
  <si>
    <t>YEN</t>
  </si>
  <si>
    <t>JPY</t>
  </si>
  <si>
    <t>JORDAN</t>
  </si>
  <si>
    <t>JOD</t>
  </si>
  <si>
    <t>KAZAKHSTAN</t>
  </si>
  <si>
    <t>TENGE</t>
  </si>
  <si>
    <t>KZT</t>
  </si>
  <si>
    <t>KENYA</t>
  </si>
  <si>
    <t>SHILLING</t>
  </si>
  <si>
    <t>KES</t>
  </si>
  <si>
    <t>KOREA, REPUBLIC OF</t>
  </si>
  <si>
    <t>WON</t>
  </si>
  <si>
    <t>KRW</t>
  </si>
  <si>
    <t>KUWAIT</t>
  </si>
  <si>
    <t>KWD</t>
  </si>
  <si>
    <t>LAO PEOPLE'S DEMOCRATIC REP</t>
  </si>
  <si>
    <t>NEW KIP</t>
  </si>
  <si>
    <t>LAK</t>
  </si>
  <si>
    <t>LATVIA</t>
  </si>
  <si>
    <t>LAT</t>
  </si>
  <si>
    <t>LVL</t>
  </si>
  <si>
    <t>LEBANON</t>
  </si>
  <si>
    <t>LBP</t>
  </si>
  <si>
    <t>LIBERIA</t>
  </si>
  <si>
    <t>LRD</t>
  </si>
  <si>
    <t>LIBYAN ARAB JAMAHIRIYA</t>
  </si>
  <si>
    <t>LYD</t>
  </si>
  <si>
    <t>MACAU</t>
  </si>
  <si>
    <t>PATACA</t>
  </si>
  <si>
    <t>MOP</t>
  </si>
  <si>
    <t>MADAGASCAR</t>
  </si>
  <si>
    <t>MALAGASCY</t>
  </si>
  <si>
    <t>MGA</t>
  </si>
  <si>
    <t>MALAWI</t>
  </si>
  <si>
    <t>KWACHA</t>
  </si>
  <si>
    <t>MWK</t>
  </si>
  <si>
    <t>MALAYSIA</t>
  </si>
  <si>
    <t>RINGGIT</t>
  </si>
  <si>
    <t>MYR</t>
  </si>
  <si>
    <t>MALDIVES</t>
  </si>
  <si>
    <t>RUFIYAA</t>
  </si>
  <si>
    <t>MVR</t>
  </si>
  <si>
    <t>MAURITANIA</t>
  </si>
  <si>
    <t>OUGUIYA</t>
  </si>
  <si>
    <t>MRO</t>
  </si>
  <si>
    <t>MAURITIUS</t>
  </si>
  <si>
    <t>MUR</t>
  </si>
  <si>
    <t>MEXICO</t>
  </si>
  <si>
    <t>MEX PESO</t>
  </si>
  <si>
    <t>MXN</t>
  </si>
  <si>
    <t>MOROCCO</t>
  </si>
  <si>
    <t>DIRHAM</t>
  </si>
  <si>
    <t>MAD</t>
  </si>
  <si>
    <t>MOZAMBIQUE</t>
  </si>
  <si>
    <t>NEW MOZAMB</t>
  </si>
  <si>
    <t>MZN</t>
  </si>
  <si>
    <t>MYANMAR</t>
  </si>
  <si>
    <t>KYAT</t>
  </si>
  <si>
    <t>MMK</t>
  </si>
  <si>
    <t>NAMIBIA</t>
  </si>
  <si>
    <t>NAD</t>
  </si>
  <si>
    <t>NEPAL</t>
  </si>
  <si>
    <t>NPR</t>
  </si>
  <si>
    <t>NETHERLANDS ANTILLES</t>
  </si>
  <si>
    <t>NA GUILDER</t>
  </si>
  <si>
    <t>ANG</t>
  </si>
  <si>
    <t>NEW ZEALAND</t>
  </si>
  <si>
    <t>NZD</t>
  </si>
  <si>
    <t>NICARAGUA</t>
  </si>
  <si>
    <t>CORDOBA OR</t>
  </si>
  <si>
    <t>NIO</t>
  </si>
  <si>
    <t>NIGERIA</t>
  </si>
  <si>
    <t>NAIRA</t>
  </si>
  <si>
    <t>NGN</t>
  </si>
  <si>
    <t>NORWAY</t>
  </si>
  <si>
    <t>NOK</t>
  </si>
  <si>
    <t>OMAN</t>
  </si>
  <si>
    <t>OMR</t>
  </si>
  <si>
    <t>PAKISTAN</t>
  </si>
  <si>
    <t>PKR</t>
  </si>
  <si>
    <t>PANAMA</t>
  </si>
  <si>
    <t>BALBOA</t>
  </si>
  <si>
    <t>PAB</t>
  </si>
  <si>
    <t>PAPUA NEW GUINEA</t>
  </si>
  <si>
    <t>KINA</t>
  </si>
  <si>
    <t>PGK</t>
  </si>
  <si>
    <t>PARAGUAY</t>
  </si>
  <si>
    <t>GUARANI</t>
  </si>
  <si>
    <t>PYG</t>
  </si>
  <si>
    <t>PERU</t>
  </si>
  <si>
    <t>NEW SOL</t>
  </si>
  <si>
    <t>PEN</t>
  </si>
  <si>
    <t>SOL</t>
  </si>
  <si>
    <t>PES</t>
  </si>
  <si>
    <t>PHILIPPINES</t>
  </si>
  <si>
    <t>PHP</t>
  </si>
  <si>
    <t>POLAND</t>
  </si>
  <si>
    <t>ZLOTY</t>
  </si>
  <si>
    <t>PLN</t>
  </si>
  <si>
    <t>QATAR</t>
  </si>
  <si>
    <t>RIYAL</t>
  </si>
  <si>
    <t>QAR</t>
  </si>
  <si>
    <t>ROMANIA</t>
  </si>
  <si>
    <t>NEW ROMANI</t>
  </si>
  <si>
    <t>RON</t>
  </si>
  <si>
    <t>RUSSIAN FEDERATION</t>
  </si>
  <si>
    <t>RUB</t>
  </si>
  <si>
    <t>RWANDA</t>
  </si>
  <si>
    <t>RWF</t>
  </si>
  <si>
    <t>SAMOA</t>
  </si>
  <si>
    <t>TALA</t>
  </si>
  <si>
    <t>WST</t>
  </si>
  <si>
    <t>SAO TOME AND PRINCIPE</t>
  </si>
  <si>
    <t>DOBRA</t>
  </si>
  <si>
    <t>STD</t>
  </si>
  <si>
    <t>SAUDI ARABIA</t>
  </si>
  <si>
    <t>SAR</t>
  </si>
  <si>
    <t>SERBIA</t>
  </si>
  <si>
    <t>SERBIAN DI</t>
  </si>
  <si>
    <t>RSD</t>
  </si>
  <si>
    <t>SEYCHELLES</t>
  </si>
  <si>
    <t>SCR</t>
  </si>
  <si>
    <t>SIERRA LEONE</t>
  </si>
  <si>
    <t>LEONE</t>
  </si>
  <si>
    <t>SLL</t>
  </si>
  <si>
    <t>SINGAPORE</t>
  </si>
  <si>
    <t>SGD</t>
  </si>
  <si>
    <t>SOLOMON ISLANDS</t>
  </si>
  <si>
    <t>SBD</t>
  </si>
  <si>
    <t>SOMALIA</t>
  </si>
  <si>
    <t>SOS</t>
  </si>
  <si>
    <t>SOUTH AFRICA</t>
  </si>
  <si>
    <t>RAND</t>
  </si>
  <si>
    <t>ZAR</t>
  </si>
  <si>
    <t>SRI LANKA</t>
  </si>
  <si>
    <t>LKR</t>
  </si>
  <si>
    <t>SUDAN</t>
  </si>
  <si>
    <t>NEW SUDANE</t>
  </si>
  <si>
    <t>SDG</t>
  </si>
  <si>
    <t>SURINAME</t>
  </si>
  <si>
    <t>SURINAME D</t>
  </si>
  <si>
    <t>SRD</t>
  </si>
  <si>
    <t>SWAZILAND</t>
  </si>
  <si>
    <t>PL</t>
  </si>
  <si>
    <t>SZL</t>
  </si>
  <si>
    <t>SWEDEN</t>
  </si>
  <si>
    <t>SEK</t>
  </si>
  <si>
    <t>SWITZERLAND</t>
  </si>
  <si>
    <t>CHF</t>
  </si>
  <si>
    <t>SYRIAN ARAB REPUBLIC</t>
  </si>
  <si>
    <t>SYP</t>
  </si>
  <si>
    <t>TAIWAN, PROVINCE OF CHINA</t>
  </si>
  <si>
    <t>NEW DOLLAR</t>
  </si>
  <si>
    <t>TWD</t>
  </si>
  <si>
    <t>TANZANIA, UNITED REPUBLIC OF</t>
  </si>
  <si>
    <t>TZS</t>
  </si>
  <si>
    <t>THAILAND</t>
  </si>
  <si>
    <t>BAHT</t>
  </si>
  <si>
    <t>THB</t>
  </si>
  <si>
    <t>TOGO</t>
  </si>
  <si>
    <t>XOF</t>
  </si>
  <si>
    <t>TONGA</t>
  </si>
  <si>
    <t>PAANGA</t>
  </si>
  <si>
    <t>TOP</t>
  </si>
  <si>
    <t>TRINIDAD AND TOBAGO</t>
  </si>
  <si>
    <t>TTD</t>
  </si>
  <si>
    <t>TUNISIA</t>
  </si>
  <si>
    <t>TND</t>
  </si>
  <si>
    <t>TURKEY</t>
  </si>
  <si>
    <t>NEW TURKIS</t>
  </si>
  <si>
    <t>TRY</t>
  </si>
  <si>
    <t>UGANDA</t>
  </si>
  <si>
    <t>UGX</t>
  </si>
  <si>
    <t>UKRAINE</t>
  </si>
  <si>
    <t>HRYVNIA</t>
  </si>
  <si>
    <t>UAH</t>
  </si>
  <si>
    <t>UNITED ARAB EMIRATES</t>
  </si>
  <si>
    <t>AED</t>
  </si>
  <si>
    <t>UNITED KINGDOM</t>
  </si>
  <si>
    <t>GBP</t>
  </si>
  <si>
    <t>URUGUAY</t>
  </si>
  <si>
    <t>URUGUAYO</t>
  </si>
  <si>
    <t>UYU</t>
  </si>
  <si>
    <t>VANUATU</t>
  </si>
  <si>
    <t>VATU</t>
  </si>
  <si>
    <t>VUV</t>
  </si>
  <si>
    <t>VENEZUELA</t>
  </si>
  <si>
    <t>VES</t>
  </si>
  <si>
    <t>VIET NAM</t>
  </si>
  <si>
    <t>NEW DONG</t>
  </si>
  <si>
    <t>VND</t>
  </si>
  <si>
    <t>YEMEN</t>
  </si>
  <si>
    <t>YER</t>
  </si>
  <si>
    <t>ZAMBIA</t>
  </si>
  <si>
    <t>ZMW</t>
  </si>
  <si>
    <t>ZIMBABWE</t>
  </si>
  <si>
    <t>ZWL</t>
  </si>
  <si>
    <t>Country</t>
  </si>
  <si>
    <t>CAT B AGILE</t>
  </si>
  <si>
    <t>Furniture Trad</t>
  </si>
  <si>
    <t>Furniture Agile</t>
  </si>
  <si>
    <t>Security</t>
  </si>
  <si>
    <t>AV traditional</t>
  </si>
  <si>
    <t>AV AGILE</t>
  </si>
  <si>
    <t>Fees</t>
  </si>
  <si>
    <t>IT</t>
  </si>
  <si>
    <t>Contingency</t>
  </si>
  <si>
    <t>Traditional Fitout</t>
  </si>
  <si>
    <t>Agile Fit-out</t>
  </si>
  <si>
    <t>LOW</t>
  </si>
  <si>
    <t>MED</t>
  </si>
  <si>
    <t>HIGH</t>
  </si>
  <si>
    <t>LOW, MED &amp; High</t>
  </si>
  <si>
    <t>INSTALL</t>
  </si>
  <si>
    <t>LOGISTICS</t>
  </si>
  <si>
    <t>IMPORT Tax</t>
  </si>
  <si>
    <t>TIME (wks)</t>
  </si>
  <si>
    <t>Angola</t>
  </si>
  <si>
    <t>Luanda</t>
  </si>
  <si>
    <t>95+</t>
  </si>
  <si>
    <t>120+</t>
  </si>
  <si>
    <t>165+</t>
  </si>
  <si>
    <t>145+</t>
  </si>
  <si>
    <t>175+</t>
  </si>
  <si>
    <t>220+</t>
  </si>
  <si>
    <t>40+</t>
  </si>
  <si>
    <t>60+</t>
  </si>
  <si>
    <t>100+</t>
  </si>
  <si>
    <t>180+</t>
  </si>
  <si>
    <t>85+</t>
  </si>
  <si>
    <t>130+</t>
  </si>
  <si>
    <t>245+</t>
  </si>
  <si>
    <t>65+</t>
  </si>
  <si>
    <t>125+</t>
  </si>
  <si>
    <t>1,740+</t>
  </si>
  <si>
    <t>3,239+</t>
  </si>
  <si>
    <t>1,769+</t>
  </si>
  <si>
    <t>3,271+</t>
  </si>
  <si>
    <t>Austria</t>
  </si>
  <si>
    <t>Vienna</t>
  </si>
  <si>
    <t>Belgium</t>
  </si>
  <si>
    <t>Brussels</t>
  </si>
  <si>
    <t>Botswana</t>
  </si>
  <si>
    <t>Gaborone</t>
  </si>
  <si>
    <t>Bulgaria</t>
  </si>
  <si>
    <t>Sofia</t>
  </si>
  <si>
    <t>Croatia</t>
  </si>
  <si>
    <t>Zagreb</t>
  </si>
  <si>
    <t>Czech republic</t>
  </si>
  <si>
    <t>Prague</t>
  </si>
  <si>
    <t>Denmark</t>
  </si>
  <si>
    <t>Copenhagen</t>
  </si>
  <si>
    <t>Egypt</t>
  </si>
  <si>
    <t>Cairo</t>
  </si>
  <si>
    <t>Estonia</t>
  </si>
  <si>
    <t>Tallinn</t>
  </si>
  <si>
    <t>Ethiopia</t>
  </si>
  <si>
    <t>Addis Ababa</t>
  </si>
  <si>
    <t>Finland</t>
  </si>
  <si>
    <t>Helsinki</t>
  </si>
  <si>
    <t>France</t>
  </si>
  <si>
    <t>Paris</t>
  </si>
  <si>
    <t>Germany</t>
  </si>
  <si>
    <t>Berlin</t>
  </si>
  <si>
    <t>Frankfurt</t>
  </si>
  <si>
    <t>Hamburg</t>
  </si>
  <si>
    <t>Munich</t>
  </si>
  <si>
    <t>Stuttgart</t>
  </si>
  <si>
    <t>Ghana</t>
  </si>
  <si>
    <t>Accra</t>
  </si>
  <si>
    <t>Greece</t>
  </si>
  <si>
    <t>Athens</t>
  </si>
  <si>
    <t>Hungary</t>
  </si>
  <si>
    <t>Budapest</t>
  </si>
  <si>
    <t>Ireland</t>
  </si>
  <si>
    <t>Dublin</t>
  </si>
  <si>
    <t>Israel</t>
  </si>
  <si>
    <t>Tel Aviv</t>
  </si>
  <si>
    <t>Italy</t>
  </si>
  <si>
    <t>Milan</t>
  </si>
  <si>
    <t>Rome</t>
  </si>
  <si>
    <t>Ivory Coast</t>
  </si>
  <si>
    <t>Abidjan</t>
  </si>
  <si>
    <t>Kazakhstan</t>
  </si>
  <si>
    <t>Almaty</t>
  </si>
  <si>
    <t>Kenya</t>
  </si>
  <si>
    <t>Nairobi</t>
  </si>
  <si>
    <t>Kuwait</t>
  </si>
  <si>
    <t>Kuwait City</t>
  </si>
  <si>
    <t>Latvia</t>
  </si>
  <si>
    <t>Riga</t>
  </si>
  <si>
    <t>Lebanon</t>
  </si>
  <si>
    <t>Beirut</t>
  </si>
  <si>
    <t>Lithuania</t>
  </si>
  <si>
    <t>Vilnius</t>
  </si>
  <si>
    <t>Luxembourg</t>
  </si>
  <si>
    <t>Morocco</t>
  </si>
  <si>
    <t>Casablanca</t>
  </si>
  <si>
    <t>Netherlands</t>
  </si>
  <si>
    <t>Amsterdam</t>
  </si>
  <si>
    <t>Nigeria</t>
  </si>
  <si>
    <t>Abuja</t>
  </si>
  <si>
    <t>1,871+</t>
  </si>
  <si>
    <t>3,547+</t>
  </si>
  <si>
    <t>1,895+</t>
  </si>
  <si>
    <t>3,564+</t>
  </si>
  <si>
    <t>Norway</t>
  </si>
  <si>
    <t>Oslo</t>
  </si>
  <si>
    <t>Oman</t>
  </si>
  <si>
    <t>Muscat</t>
  </si>
  <si>
    <t>Poland</t>
  </si>
  <si>
    <t>Warsaw</t>
  </si>
  <si>
    <t>Portugal</t>
  </si>
  <si>
    <t>Lisbon</t>
  </si>
  <si>
    <t>Qatar</t>
  </si>
  <si>
    <t>Doha</t>
  </si>
  <si>
    <t>Romania</t>
  </si>
  <si>
    <t>Bucharest</t>
  </si>
  <si>
    <t>Russia</t>
  </si>
  <si>
    <t>Moscow</t>
  </si>
  <si>
    <t>Saudi Arabia</t>
  </si>
  <si>
    <t>Riyadh</t>
  </si>
  <si>
    <t>Serbia</t>
  </si>
  <si>
    <t>Belgrade</t>
  </si>
  <si>
    <t>Slovakia</t>
  </si>
  <si>
    <t>Bratislava</t>
  </si>
  <si>
    <t>South Africa</t>
  </si>
  <si>
    <t>Cape Town</t>
  </si>
  <si>
    <t>Johannesburg</t>
  </si>
  <si>
    <t>Spain</t>
  </si>
  <si>
    <t>Barcelona</t>
  </si>
  <si>
    <t>Madrid</t>
  </si>
  <si>
    <t>Sweden</t>
  </si>
  <si>
    <t>Stockholm</t>
  </si>
  <si>
    <t>Switzerland</t>
  </si>
  <si>
    <t>Geneva</t>
  </si>
  <si>
    <t>Zurich</t>
  </si>
  <si>
    <t>Turkey</t>
  </si>
  <si>
    <t>Istanbul</t>
  </si>
  <si>
    <t>UAE</t>
  </si>
  <si>
    <t>Abu Dhabi</t>
  </si>
  <si>
    <t>Dubai</t>
  </si>
  <si>
    <t>Uganda</t>
  </si>
  <si>
    <t>Kampala</t>
  </si>
  <si>
    <t>UK</t>
  </si>
  <si>
    <t>Aberdeen</t>
  </si>
  <si>
    <t>Belfast</t>
  </si>
  <si>
    <t>Glasgow</t>
  </si>
  <si>
    <t>London</t>
  </si>
  <si>
    <t>Manchester</t>
  </si>
  <si>
    <t>Ukraine</t>
  </si>
  <si>
    <t>Kiev</t>
  </si>
  <si>
    <t>Zambia</t>
  </si>
  <si>
    <t>Lusaka</t>
  </si>
  <si>
    <t>EUR / USD</t>
  </si>
  <si>
    <t>USD/CZK</t>
  </si>
  <si>
    <t xml:space="preserve">Inflation rate </t>
  </si>
  <si>
    <t>Med High</t>
  </si>
  <si>
    <t>Medium grade benchmark</t>
  </si>
  <si>
    <t>Medium to high grade benchmark</t>
  </si>
  <si>
    <t>sqmt to sqft</t>
  </si>
  <si>
    <t>Local Consultant Rate</t>
  </si>
  <si>
    <t>Fit Out Quality Summary</t>
  </si>
  <si>
    <t>Low</t>
  </si>
  <si>
    <t>Medium</t>
  </si>
  <si>
    <t>High</t>
  </si>
  <si>
    <t>CZK /Sqft</t>
  </si>
  <si>
    <t>BENCHMARK</t>
  </si>
  <si>
    <t>MGTI 5 Year</t>
  </si>
  <si>
    <t>$/sqm</t>
  </si>
  <si>
    <t>CZK/Sqft</t>
  </si>
  <si>
    <t>Move</t>
  </si>
  <si>
    <t>$/ HC</t>
  </si>
  <si>
    <t>CZK/HC</t>
  </si>
  <si>
    <t>AV</t>
  </si>
  <si>
    <t>£/sqft</t>
  </si>
  <si>
    <t>CZK/sqft</t>
  </si>
  <si>
    <t>medium eur/sqm</t>
  </si>
  <si>
    <t>incl inflation</t>
  </si>
  <si>
    <t>Rates (CZK/ft²)</t>
  </si>
  <si>
    <t>Local Consultant Advice</t>
  </si>
  <si>
    <t>Rates (USD/ft²)</t>
  </si>
  <si>
    <t>medium to high eur/ sqm</t>
  </si>
  <si>
    <t>Global Benchmark</t>
  </si>
  <si>
    <t>Benchmark previous Project (N/A)</t>
  </si>
  <si>
    <t>TBC - Date</t>
  </si>
  <si>
    <t>Benchmark previous Project</t>
  </si>
  <si>
    <t>Check</t>
  </si>
  <si>
    <t>Low grade</t>
  </si>
  <si>
    <t>Internal Works</t>
  </si>
  <si>
    <t>Medium grade</t>
  </si>
  <si>
    <t>Medium to high grade</t>
  </si>
  <si>
    <t>£</t>
  </si>
  <si>
    <t>Moves per H/C</t>
  </si>
  <si>
    <t>USD</t>
  </si>
  <si>
    <t>PER SQ/M</t>
  </si>
  <si>
    <t>PER SQ FT</t>
  </si>
  <si>
    <t>Project:</t>
  </si>
  <si>
    <t>Marsh, s.r.o.</t>
  </si>
  <si>
    <t>Works dealt with by LL Contribution</t>
  </si>
  <si>
    <t>Offices Fit-out works</t>
  </si>
  <si>
    <t>Atrium Flora, Vinohradská 2828/151, 130 00 Praha 3</t>
  </si>
  <si>
    <t>Estimated office area</t>
  </si>
  <si>
    <t>sqm</t>
  </si>
  <si>
    <t>PRELIMINARY ROUGH COST ESTIMATE</t>
  </si>
  <si>
    <t>No.</t>
  </si>
  <si>
    <t>Description</t>
  </si>
  <si>
    <t>Comments</t>
  </si>
  <si>
    <t>Unit</t>
  </si>
  <si>
    <t>Quantity</t>
  </si>
  <si>
    <t>Material &amp; Work</t>
  </si>
  <si>
    <t>K/P</t>
  </si>
  <si>
    <t>Dopl. popis</t>
  </si>
  <si>
    <t>Výměra</t>
  </si>
  <si>
    <t>Unit price CZK</t>
  </si>
  <si>
    <t>Total price CZK</t>
  </si>
  <si>
    <t>Total price EUR</t>
  </si>
  <si>
    <t>EXCHANGE OF SUSPENDED MINERAL CEILING</t>
  </si>
  <si>
    <t>Dismantling of suspended mineral ceiling /incl. grid/</t>
  </si>
  <si>
    <t>Suspended mineral ceiling /incl. grid/</t>
  </si>
  <si>
    <t>Shift of existing detectors</t>
  </si>
  <si>
    <t>pcs</t>
  </si>
  <si>
    <t>Inspection &amp; protocols</t>
  </si>
  <si>
    <t>set</t>
  </si>
  <si>
    <t>Removal of sprinkler head</t>
  </si>
  <si>
    <t>Sprinkler head</t>
  </si>
  <si>
    <t>Installation works &amp; other material</t>
  </si>
  <si>
    <t>Draining &amp; filling of system</t>
  </si>
  <si>
    <t>Pressure test &amp; system set-up</t>
  </si>
  <si>
    <t>EXCHANGE OF LIGHTS</t>
  </si>
  <si>
    <t>Removal of existing lights</t>
  </si>
  <si>
    <t>New module lights</t>
  </si>
  <si>
    <t>New downlights</t>
  </si>
  <si>
    <t>Lighting measurement</t>
  </si>
  <si>
    <t>EXCHANGE OF CARPET, PAINTING</t>
  </si>
  <si>
    <t>Flooring removal incl. Disposal</t>
  </si>
  <si>
    <t>Mechanical cleaning of suspended double floor after carpet removal</t>
  </si>
  <si>
    <t>Carpet - material only</t>
  </si>
  <si>
    <t>Carpet - mounting /incl. skirting &amp; laying/</t>
  </si>
  <si>
    <t>Skirting, expansion strips, transitions bars</t>
  </si>
  <si>
    <t>Painting - white colour</t>
  </si>
  <si>
    <t>TOILET REFURBISHMENT</t>
  </si>
  <si>
    <t>Dismantling of suspended plasterboard ceiling /incl. grid/</t>
  </si>
  <si>
    <t>Removal of doors incl. frames</t>
  </si>
  <si>
    <t>Removal of sanitary installations</t>
  </si>
  <si>
    <t>Removal of floor tiles</t>
  </si>
  <si>
    <t>Removal of wall tiles</t>
  </si>
  <si>
    <t>Interior doors 800/2100 /incl. steel frames, painting, door hardware/</t>
  </si>
  <si>
    <t>Suspended plasterboard ceiling /incl. grid/</t>
  </si>
  <si>
    <t>Repair of existing plasterboard partitions</t>
  </si>
  <si>
    <t>Wall ceramic tiles cladding /incl. material/</t>
  </si>
  <si>
    <t>Water insulation</t>
  </si>
  <si>
    <t>Floor ceramic tiles - material only</t>
  </si>
  <si>
    <t>Floor ceramic tiles cladding /incl. skirting &amp; laying/</t>
  </si>
  <si>
    <t>Toilet /incl. all components &amp; installation/</t>
  </si>
  <si>
    <t>Wash basin /incl. all components &amp; installation/</t>
  </si>
  <si>
    <t>Urinal /incl. all components &amp; installation/</t>
  </si>
  <si>
    <t>Mirror</t>
  </si>
  <si>
    <t>Sink /incl. all components &amp; installation/</t>
  </si>
  <si>
    <t>Electrical water heater /incl. fixing/</t>
  </si>
  <si>
    <t>Other equipment /bins, towel &amp; soap holders, brushes,…/</t>
  </si>
  <si>
    <t>Adjustment of water outlets and drainage inlets</t>
  </si>
  <si>
    <t>Pressure test of piping</t>
  </si>
  <si>
    <t>Aditional construction works</t>
  </si>
  <si>
    <t>Adjustment of electrical installations</t>
  </si>
  <si>
    <t>Adjustment of ventilation</t>
  </si>
  <si>
    <t>REPAIRS OF ACOUSTIC ISOLATION</t>
  </si>
  <si>
    <t>Replacement of seals in glass partitions</t>
  </si>
  <si>
    <t>Addition of acoustic insulation above and below the partitions</t>
  </si>
  <si>
    <t>m</t>
  </si>
  <si>
    <t>Acoustic panels in openspace</t>
  </si>
  <si>
    <t>OTHER</t>
  </si>
  <si>
    <t>Protecting of existing structure while painting</t>
  </si>
  <si>
    <t>Regular cleaning</t>
  </si>
  <si>
    <t>Final cleaning</t>
  </si>
  <si>
    <t>SOFT COST</t>
  </si>
  <si>
    <t>Soft cost - site equipment</t>
  </si>
  <si>
    <t>CONTINGENCY</t>
  </si>
  <si>
    <t>1.</t>
  </si>
  <si>
    <t>Various unforeseen works</t>
  </si>
  <si>
    <t>TOTAL CONSTRUCTION COST - CZK /VAT excluded/</t>
  </si>
  <si>
    <t>Kč</t>
  </si>
  <si>
    <t>TOTAL CONSTRUCTION COST - € /VAT excluded/</t>
  </si>
  <si>
    <t>€</t>
  </si>
  <si>
    <t xml:space="preserve">TOTAL CONSTRUCTION COST PER SQM - € /VAT excluded/ </t>
  </si>
  <si>
    <r>
      <t>€ / m</t>
    </r>
    <r>
      <rPr>
        <b/>
        <vertAlign val="superscript"/>
        <sz val="10"/>
        <color rgb="FFFFFFFF"/>
        <rFont val="Calibre (Body)"/>
        <charset val="238"/>
      </rPr>
      <t>2</t>
    </r>
  </si>
  <si>
    <t>Uvažovaný kurz:</t>
  </si>
  <si>
    <t>Datum:</t>
  </si>
  <si>
    <t>Exchange rate:</t>
  </si>
  <si>
    <t>Date:</t>
  </si>
  <si>
    <t>1€ =</t>
  </si>
  <si>
    <t>Notes:</t>
  </si>
  <si>
    <t>This is a rough estimation only, based on spaceplan. The detailed offer based on project documantation has to be elaborated.</t>
  </si>
  <si>
    <t>2.</t>
  </si>
  <si>
    <t>The estimate reflects current market prices as of the date above and does not include inflation.</t>
  </si>
  <si>
    <t>3.</t>
  </si>
  <si>
    <t>Estimate does not include design drawings and project management.</t>
  </si>
  <si>
    <t>4.</t>
  </si>
  <si>
    <t>Estimate does not include moving, furniture, audio-video equipment, IT equipment and cabling, branding and other design features</t>
  </si>
  <si>
    <t>5.</t>
  </si>
  <si>
    <t>Electronical security system is not included in the estimate</t>
  </si>
  <si>
    <t>6.</t>
  </si>
  <si>
    <t>The estimate considers that the replacement of the suspended ceiling will take place at the same time as the replacement of the lighting fixtures and with the maintenance of the existing dimensions of the cassettes, if the lighting fixtures remain, the replacement of the suspended ceiling may be more expensive.</t>
  </si>
  <si>
    <t>7.</t>
  </si>
  <si>
    <t>The estimate considers the replacement of light fixtures while keeping the same size, estimate does not consider modifying the ceiling due different dimensions of the light fixtures.</t>
  </si>
  <si>
    <t>Works dealt with by MMC Budget</t>
  </si>
  <si>
    <t>SHOWER REFURBISHMENT</t>
  </si>
  <si>
    <t>Shower corner /800x800 mm, incl. water mixer tap/</t>
  </si>
  <si>
    <t>BLINDS</t>
  </si>
  <si>
    <t>Repairs of blinds</t>
  </si>
  <si>
    <t>Electrical blinds in meeting rooms</t>
  </si>
  <si>
    <t>Controls and motors for electrical blinds</t>
  </si>
  <si>
    <t>REST AREA -  ROUGH ESTIMATE</t>
  </si>
  <si>
    <t>Rest area - need more specification</t>
  </si>
  <si>
    <t>PHONEBOOTHS</t>
  </si>
  <si>
    <t>Phonebooths</t>
  </si>
  <si>
    <t>MARSH MCLENNAN</t>
  </si>
  <si>
    <t>2nd Pass</t>
  </si>
  <si>
    <t>MMC Fixed FX Rate 25</t>
  </si>
  <si>
    <t>2025 BUDGET</t>
  </si>
  <si>
    <t>*Based on 2024 Budget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</si>
</sst>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4" formatCode="_-&quot;£&quot;* #,##0.00_-;\-&quot;£&quot;* #,##0.00_-;_-&quot;£&quot;* &quot;-&quot;??_-;_-@_-"/>
    <numFmt numFmtId="43" formatCode="_-* #,##0.00_-;\-* #,##0.00_-;_-* &quot;-&quot;??_-;_-@_-"/>
    <numFmt numFmtId="164" formatCode="_(* #,##0.00_);_(* \(#,##0.00\);_(* &quot;-&quot;??_);_(@_)"/>
    <numFmt numFmtId="165" formatCode="_-[$£-809]* #,##0.00_-;\-[$£-809]* #,##0.00_-;_-[$£-809]* &quot;-&quot;??_-;_-@_-"/>
    <numFmt numFmtId="166" formatCode="_-[$$-409]* #,##0.00_ ;_-[$$-409]* \-#,##0.00\ ;_-[$$-409]* &quot;-&quot;??_ ;_-@_ "/>
    <numFmt numFmtId="167" formatCode="_-[$£-809]* #,##0.0_-;\-[$£-809]* #,##0.0_-;_-[$£-809]* &quot;-&quot;??_-;_-@_-"/>
    <numFmt numFmtId="168" formatCode="_-[$£-809]* #,##0_-;\-[$£-809]* #,##0_-;_-[$£-809]* &quot;-&quot;??_-;_-@_-"/>
    <numFmt numFmtId="169" formatCode="_-&quot;£&quot;* #,##0_-;\-&quot;£&quot;* #,##0_-;_-&quot;£&quot;* &quot;-&quot;??_-;_-@_-"/>
    <numFmt numFmtId="170" formatCode="_-* #,##0_-;\-* #,##0_-;_-* &quot;-&quot;??_-;_-@_-"/>
    <numFmt numFmtId="171" formatCode="0.00000000"/>
    <numFmt numFmtId="172" formatCode="_(* #,##0.000000_);_(* \(#,##0.000000\);_(* &quot;-&quot;??_);_(@_)"/>
    <numFmt numFmtId="173" formatCode="0.0%"/>
    <numFmt numFmtId="174" formatCode="_-[$$-409]* #,##0_ ;_-[$$-409]* \-#,##0\ ;_-[$$-409]* &quot;-&quot;??_ ;_-@_ "/>
    <numFmt numFmtId="177" formatCode="_-&quot;£&quot;* #,##0.0_-;\-&quot;£&quot;* #,##0.0_-;_-&quot;£&quot;* &quot;-&quot;??_-;_-@_-"/>
    <numFmt numFmtId="178" formatCode="_-[$ZAR]\ * #,##0.00_-;\-[$ZAR]\ * #,##0.00_-;_-[$ZAR]\ * &quot;-&quot;??_-;_-@_-"/>
    <numFmt numFmtId="180" formatCode="_-[$CHF]\ * #,##0.00_-;\-[$CHF]\ * #,##0.00_-;_-[$CHF]\ * &quot;-&quot;??_-;_-@_-"/>
    <numFmt numFmtId="181" formatCode="_-[$€-2]\ * #,##0.00_-;\-[$€-2]\ * #,##0.00_-;_-[$€-2]\ * &quot;-&quot;??_-;_-@_-"/>
    <numFmt numFmtId="182" formatCode="_-[$£-809]* #,##0.000_-;\-[$£-809]* #,##0.000_-;_-[$£-809]* &quot;-&quot;??_-;_-@_-"/>
    <numFmt numFmtId="183" formatCode="_-[$CZK]\ * #,##0.00_-;\-[$CZK]\ * #,##0.00_-;_-[$CZK]\ * &quot;-&quot;??_-;_-@_-"/>
    <numFmt numFmtId="184" formatCode="&quot;Celková plocha prostor&quot;;#;&quot;m2&quot;"/>
    <numFmt numFmtId="185" formatCode="_(#,##0.00_);[Red]\-\ #,##0.00_);[Blue]&quot;–&quot;??;_(@_)"/>
    <numFmt numFmtId="186" formatCode="_(#,##0&quot;.&quot;_);;;_(@_)"/>
    <numFmt numFmtId="187" formatCode="#,##0.0"/>
    <numFmt numFmtId="188" formatCode="#,##0\ [$CZK]"/>
    <numFmt numFmtId="189" formatCode="#,##0\ [$EUR]"/>
    <numFmt numFmtId="190" formatCode="_(#,##0.0??;[Red]\-\ #,##0.0??;[Blue]&quot;–&quot;???;_(@_)"/>
    <numFmt numFmtId="191" formatCode="0.0"/>
    <numFmt numFmtId="192" formatCode="#,##0.000\ &quot;Kč&quot;"/>
    <numFmt numFmtId="193" formatCode="_-[$$-C09]* #,##0.00_-;\-[$$-C09]* #,##0.00_-;_-[$$-C09]* &quot;-&quot;??_-;_-@_-"/>
    <numFmt numFmtId="194" formatCode="_-[$$-2809]* #,##0.00_-;\-[$$-2809]* #,##0.00_-;_-[$$-2809]* &quot;-&quot;??_-;_-@_-"/>
    <numFmt numFmtId="195" formatCode="_([$CZK]\ * #,##0.00_);_([$CZK]\ * \(#,##0.00\);_([$CZK]\ * &quot;-&quot;??_);_(@_)"/>
  </numFmts>
  <fonts count="44">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10"/>
      <name val="Arial"/>
      <family val="2"/>
    </font>
    <font>
      <b/>
      <sz val="11"/>
      <name val="Calibri"/>
      <family val="2"/>
      <scheme val="minor"/>
    </font>
    <font>
      <sz val="11"/>
      <name val="Calibri"/>
      <family val="2"/>
      <scheme val="minor"/>
    </font>
    <font>
      <b/>
      <sz val="11"/>
      <name val="Arial"/>
      <family val="2"/>
    </font>
    <font>
      <i/>
      <sz val="11"/>
      <color rgb="FFFF0000"/>
      <name val="Calibri"/>
      <family val="2"/>
      <scheme val="minor"/>
    </font>
    <font>
      <b/>
      <sz val="10"/>
      <color theme="1"/>
      <name val="Times New Roman"/>
      <family val="1"/>
    </font>
    <font>
      <b/>
      <sz val="9"/>
      <color theme="1"/>
      <name val="Times New Roman"/>
      <family val="1"/>
    </font>
    <font>
      <sz val="9"/>
      <color theme="1"/>
      <name val="Times New Roman"/>
      <family val="1"/>
    </font>
    <font>
      <sz val="11"/>
      <color theme="1"/>
      <name val="Times New Roman"/>
      <family val="1"/>
    </font>
    <font>
      <sz val="11"/>
      <color rgb="FF00B050"/>
      <name val="Calibri"/>
      <family val="2"/>
      <scheme val="minor"/>
    </font>
    <font>
      <b/>
      <u/>
      <sz val="11"/>
      <color theme="1"/>
      <name val="Calibri"/>
      <family val="2"/>
      <scheme val="minor"/>
    </font>
    <font>
      <b/>
      <sz val="18"/>
      <color theme="1"/>
      <name val="Calibri"/>
      <family val="2"/>
      <scheme val="minor"/>
    </font>
    <font>
      <b/>
      <sz val="11"/>
      <color theme="0"/>
      <name val="Calibri"/>
      <family val="2"/>
      <scheme val="minor"/>
    </font>
    <font>
      <sz val="11"/>
      <color theme="0"/>
      <name val="Calibri"/>
      <family val="2"/>
      <scheme val="minor"/>
    </font>
    <font>
      <sz val="11"/>
      <color theme="1"/>
      <name val="KievitOT"/>
      <family val="2"/>
    </font>
    <font>
      <b/>
      <u/>
      <sz val="10"/>
      <name val="Arial"/>
      <family val="2"/>
    </font>
    <font>
      <sz val="11"/>
      <color theme="1"/>
      <name val="Calibri"/>
      <family val="2"/>
    </font>
    <font>
      <b/>
      <sz val="14"/>
      <color theme="0"/>
      <name val="Calibri"/>
      <family val="2"/>
      <scheme val="minor"/>
    </font>
    <font>
      <sz val="11"/>
      <color rgb="FFFF0000"/>
      <name val="Calibri"/>
      <family val="2"/>
      <scheme val="minor"/>
    </font>
    <font>
      <sz val="10"/>
      <name val="Calibre (Body)"/>
      <charset val="238"/>
    </font>
    <font>
      <sz val="8"/>
      <name val="Calibre (Body)"/>
      <charset val="238"/>
    </font>
    <font>
      <sz val="10"/>
      <color theme="9"/>
      <name val="Calibre (Body)"/>
      <charset val="238"/>
    </font>
    <font>
      <sz val="15"/>
      <name val="Calibre (Body)"/>
      <charset val="238"/>
    </font>
    <font>
      <sz val="12"/>
      <name val="Calibre (Body)"/>
      <charset val="238"/>
    </font>
    <font>
      <i/>
      <sz val="10"/>
      <name val="Calibre (Body)"/>
      <charset val="238"/>
    </font>
    <font>
      <sz val="8"/>
      <color theme="9"/>
      <name val="Calibre (Body)"/>
      <charset val="238"/>
    </font>
    <font>
      <sz val="12"/>
      <color theme="9"/>
      <name val="Calibre (Body)"/>
      <charset val="238"/>
    </font>
    <font>
      <i/>
      <sz val="10"/>
      <color rgb="FFFFFFFF"/>
      <name val="Calibre (Body)"/>
      <charset val="238"/>
    </font>
    <font>
      <sz val="10"/>
      <color rgb="FFFFFFFF"/>
      <name val="Calibre (Body)"/>
      <charset val="238"/>
    </font>
    <font>
      <b/>
      <sz val="9"/>
      <color theme="0"/>
      <name val="Calibre (Body)"/>
      <charset val="238"/>
    </font>
    <font>
      <b/>
      <sz val="10"/>
      <color theme="0"/>
      <name val="Calibre (Body)"/>
      <charset val="238"/>
    </font>
    <font>
      <sz val="10"/>
      <name val="Arial CE"/>
      <charset val="238"/>
    </font>
    <font>
      <b/>
      <sz val="10"/>
      <name val="Calibre (Body)"/>
      <charset val="238"/>
    </font>
    <font>
      <sz val="9"/>
      <name val="Calibre (Body)"/>
      <charset val="238"/>
    </font>
    <font>
      <b/>
      <sz val="9"/>
      <name val="Calibre (Body)"/>
      <charset val="238"/>
    </font>
    <font>
      <b/>
      <sz val="10"/>
      <color rgb="FFFFFFFF"/>
      <name val="Calibre (Body)"/>
      <charset val="238"/>
    </font>
    <font>
      <b/>
      <sz val="8"/>
      <color rgb="FFFFFFFF"/>
      <name val="Calibre (Body)"/>
      <charset val="238"/>
    </font>
    <font>
      <b/>
      <vertAlign val="superscript"/>
      <sz val="10"/>
      <color rgb="FFFFFFFF"/>
      <name val="Calibre (Body)"/>
      <charset val="238"/>
    </font>
    <font>
      <sz val="9"/>
      <color theme="9"/>
      <name val="Calibre (Body)"/>
      <charset val="238"/>
    </font>
    <font>
      <b/>
      <sz val="12"/>
      <name val="Calibre (Body)"/>
    </font>
  </fonts>
  <fills count="24">
    <fill>
      <patternFill patternType="none"/>
    </fill>
    <fill>
      <patternFill patternType="gray125"/>
    </fill>
    <fill>
      <patternFill patternType="solid">
        <fgColor theme="0"/>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00B0F0"/>
        <bgColor indexed="64"/>
      </patternFill>
    </fill>
    <fill>
      <patternFill patternType="solid">
        <fgColor theme="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92D050"/>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rgb="FFFFC000"/>
        <bgColor indexed="64"/>
      </patternFill>
    </fill>
    <fill>
      <patternFill patternType="solid">
        <fgColor theme="4" tint="-0.499984740745262"/>
        <bgColor indexed="64"/>
      </patternFill>
    </fill>
    <fill>
      <patternFill patternType="solid">
        <fgColor theme="9"/>
        <bgColor indexed="64"/>
      </patternFill>
    </fill>
    <fill>
      <patternFill patternType="solid">
        <fgColor theme="7" tint="0.59999389629810485"/>
        <bgColor indexed="64"/>
      </patternFill>
    </fill>
    <fill>
      <patternFill patternType="solid">
        <fgColor theme="2" tint="-0.249977111117893"/>
        <bgColor indexed="64"/>
      </patternFill>
    </fill>
  </fills>
  <borders count="53">
    <border>
      <left/>
      <right/>
      <top/>
      <bottom/>
      <diagonal/>
    </border>
    <border>
      <left/>
      <right style="thin">
        <color indexed="64"/>
      </right>
      <top/>
      <bottom/>
      <diagonal/>
    </border>
    <border>
      <left/>
      <right style="thin">
        <color indexed="64"/>
      </right>
      <top/>
      <bottom style="double">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double">
        <color indexed="64"/>
      </top>
      <bottom/>
      <diagonal/>
    </border>
    <border>
      <left style="thin">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s>
  <cellStyleXfs count="10">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4" fontId="18" fillId="0" borderId="0" applyFont="0" applyFill="0" applyBorder="0" applyAlignment="0" applyProtection="0"/>
    <xf numFmtId="0" fontId="1" fillId="0" borderId="0"/>
    <xf numFmtId="0" fontId="20" fillId="0" borderId="0"/>
    <xf numFmtId="164" fontId="20" fillId="0" borderId="0" applyFont="0" applyFill="0" applyBorder="0" applyAlignment="0" applyProtection="0"/>
    <xf numFmtId="9" fontId="20" fillId="0" borderId="0" applyFont="0" applyFill="0" applyBorder="0" applyAlignment="0" applyProtection="0"/>
    <xf numFmtId="0" fontId="35" fillId="0" borderId="0"/>
  </cellStyleXfs>
  <cellXfs count="585">
    <xf numFmtId="0" fontId="0" fillId="0" borderId="0" xfId="0"/>
    <xf numFmtId="0" fontId="0" fillId="2" borderId="0" xfId="0" applyFill="1"/>
    <xf numFmtId="0" fontId="3" fillId="2" borderId="0" xfId="0" applyFont="1" applyFill="1"/>
    <xf numFmtId="165" fontId="0" fillId="2" borderId="0" xfId="1" applyNumberFormat="1" applyFont="1" applyFill="1" applyBorder="1"/>
    <xf numFmtId="166" fontId="0" fillId="2" borderId="0" xfId="0" applyNumberFormat="1" applyFill="1"/>
    <xf numFmtId="0" fontId="3" fillId="2" borderId="0" xfId="0" applyFont="1" applyFill="1" applyAlignment="1">
      <alignment horizontal="center"/>
    </xf>
    <xf numFmtId="0" fontId="3" fillId="2" borderId="0" xfId="0" applyFont="1" applyFill="1" applyAlignment="1">
      <alignment horizontal="right"/>
    </xf>
    <xf numFmtId="0" fontId="0" fillId="2" borderId="0" xfId="0" applyFill="1" applyAlignment="1">
      <alignment horizontal="right"/>
    </xf>
    <xf numFmtId="0" fontId="4" fillId="2" borderId="0" xfId="0" applyFont="1" applyFill="1" applyAlignment="1">
      <alignment horizontal="right"/>
    </xf>
    <xf numFmtId="168" fontId="2" fillId="2" borderId="0" xfId="0" applyNumberFormat="1" applyFont="1" applyFill="1"/>
    <xf numFmtId="165" fontId="2" fillId="2" borderId="0" xfId="1" applyNumberFormat="1" applyFont="1" applyFill="1" applyBorder="1"/>
    <xf numFmtId="165" fontId="2" fillId="2" borderId="0" xfId="0" applyNumberFormat="1" applyFont="1" applyFill="1"/>
    <xf numFmtId="0" fontId="2" fillId="2" borderId="0" xfId="0" applyFont="1" applyFill="1"/>
    <xf numFmtId="168" fontId="2" fillId="2" borderId="0" xfId="1" applyNumberFormat="1" applyFont="1" applyFill="1" applyBorder="1"/>
    <xf numFmtId="169" fontId="2" fillId="2" borderId="0" xfId="1" applyNumberFormat="1" applyFont="1" applyFill="1"/>
    <xf numFmtId="0" fontId="2" fillId="2" borderId="1" xfId="0" applyFont="1" applyFill="1" applyBorder="1"/>
    <xf numFmtId="0" fontId="5" fillId="3" borderId="1" xfId="0" applyFont="1" applyFill="1" applyBorder="1" applyAlignment="1">
      <alignment horizontal="left" vertical="top"/>
    </xf>
    <xf numFmtId="0" fontId="5" fillId="3" borderId="0" xfId="0" applyFont="1" applyFill="1" applyAlignment="1">
      <alignment horizontal="left" vertical="top"/>
    </xf>
    <xf numFmtId="0" fontId="5" fillId="3" borderId="0" xfId="0" applyFont="1" applyFill="1" applyAlignment="1">
      <alignment horizontal="right" vertical="top"/>
    </xf>
    <xf numFmtId="0" fontId="5" fillId="2" borderId="1" xfId="0" applyFont="1" applyFill="1" applyBorder="1" applyAlignment="1">
      <alignment horizontal="left" wrapText="1"/>
    </xf>
    <xf numFmtId="168" fontId="6" fillId="2" borderId="0" xfId="0" applyNumberFormat="1" applyFont="1" applyFill="1" applyAlignment="1">
      <alignment horizontal="right"/>
    </xf>
    <xf numFmtId="168" fontId="0" fillId="2" borderId="0" xfId="0" applyNumberFormat="1" applyFill="1"/>
    <xf numFmtId="0" fontId="5" fillId="2" borderId="1" xfId="0" applyFont="1" applyFill="1" applyBorder="1" applyAlignment="1">
      <alignment horizontal="left"/>
    </xf>
    <xf numFmtId="168" fontId="6" fillId="2" borderId="3" xfId="0" applyNumberFormat="1" applyFont="1" applyFill="1" applyBorder="1" applyAlignment="1">
      <alignment horizontal="right"/>
    </xf>
    <xf numFmtId="0" fontId="0" fillId="2" borderId="3" xfId="0" applyFill="1" applyBorder="1"/>
    <xf numFmtId="168" fontId="5" fillId="2" borderId="0" xfId="0" applyNumberFormat="1" applyFont="1" applyFill="1" applyAlignment="1">
      <alignment horizontal="left"/>
    </xf>
    <xf numFmtId="168" fontId="5" fillId="2" borderId="0" xfId="0" applyNumberFormat="1" applyFont="1" applyFill="1" applyAlignment="1">
      <alignment horizontal="right"/>
    </xf>
    <xf numFmtId="0" fontId="7" fillId="2" borderId="1" xfId="0" applyFont="1" applyFill="1" applyBorder="1"/>
    <xf numFmtId="0" fontId="7" fillId="2" borderId="0" xfId="0" applyFont="1" applyFill="1"/>
    <xf numFmtId="0" fontId="0" fillId="2" borderId="1" xfId="0" applyFill="1" applyBorder="1"/>
    <xf numFmtId="0" fontId="0" fillId="2" borderId="0" xfId="0" applyFill="1" applyAlignment="1">
      <alignment vertical="top"/>
    </xf>
    <xf numFmtId="0" fontId="0" fillId="2" borderId="0" xfId="0" applyFill="1" applyAlignment="1">
      <alignment vertical="top" wrapText="1"/>
    </xf>
    <xf numFmtId="0" fontId="0" fillId="0" borderId="0" xfId="0" applyAlignment="1">
      <alignment vertical="top"/>
    </xf>
    <xf numFmtId="0" fontId="0" fillId="2" borderId="0" xfId="0" applyFill="1" applyAlignment="1">
      <alignment horizontal="left" vertical="top"/>
    </xf>
    <xf numFmtId="167" fontId="0" fillId="2" borderId="0" xfId="0" applyNumberFormat="1" applyFill="1"/>
    <xf numFmtId="165" fontId="0" fillId="2" borderId="0" xfId="0" applyNumberFormat="1" applyFill="1"/>
    <xf numFmtId="0" fontId="8" fillId="2" borderId="0" xfId="0" applyFont="1" applyFill="1" applyAlignment="1">
      <alignment horizontal="left" wrapText="1" indent="1"/>
    </xf>
    <xf numFmtId="168" fontId="0" fillId="2" borderId="3" xfId="0" applyNumberFormat="1" applyFill="1" applyBorder="1"/>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center" wrapText="1"/>
    </xf>
    <xf numFmtId="0" fontId="0" fillId="0" borderId="0" xfId="0" applyAlignment="1">
      <alignment horizontal="center" wrapText="1"/>
    </xf>
    <xf numFmtId="9" fontId="0" fillId="0" borderId="4" xfId="3" applyFont="1" applyBorder="1" applyAlignment="1">
      <alignment horizontal="center" vertical="center"/>
    </xf>
    <xf numFmtId="9" fontId="0" fillId="0" borderId="4" xfId="3" applyFont="1" applyBorder="1" applyAlignment="1">
      <alignment horizontal="center" vertical="center" wrapText="1"/>
    </xf>
    <xf numFmtId="0" fontId="0" fillId="4" borderId="4" xfId="0" applyFill="1" applyBorder="1"/>
    <xf numFmtId="3" fontId="0" fillId="4" borderId="4" xfId="0" applyNumberFormat="1" applyFill="1" applyBorder="1" applyAlignment="1">
      <alignment horizontal="right"/>
    </xf>
    <xf numFmtId="0" fontId="0" fillId="4" borderId="4" xfId="0" applyFill="1" applyBorder="1" applyAlignment="1">
      <alignment horizontal="right"/>
    </xf>
    <xf numFmtId="9" fontId="0" fillId="4" borderId="4" xfId="0" applyNumberFormat="1" applyFill="1" applyBorder="1" applyAlignment="1">
      <alignment horizontal="right"/>
    </xf>
    <xf numFmtId="9" fontId="0" fillId="4" borderId="4" xfId="3" applyFont="1" applyFill="1" applyBorder="1" applyAlignment="1">
      <alignment horizontal="center"/>
    </xf>
    <xf numFmtId="0" fontId="0" fillId="4" borderId="4" xfId="0" applyFill="1" applyBorder="1" applyAlignment="1">
      <alignment horizontal="center"/>
    </xf>
    <xf numFmtId="0" fontId="0" fillId="5" borderId="4" xfId="0" applyFill="1" applyBorder="1"/>
    <xf numFmtId="3" fontId="0" fillId="5" borderId="4" xfId="0" applyNumberFormat="1" applyFill="1" applyBorder="1"/>
    <xf numFmtId="9" fontId="0" fillId="5" borderId="4" xfId="0" applyNumberFormat="1" applyFill="1" applyBorder="1"/>
    <xf numFmtId="9" fontId="0" fillId="5" borderId="4" xfId="3" applyFont="1" applyFill="1" applyBorder="1" applyAlignment="1">
      <alignment horizontal="center"/>
    </xf>
    <xf numFmtId="0" fontId="0" fillId="5" borderId="4" xfId="0" applyFill="1" applyBorder="1" applyAlignment="1">
      <alignment horizontal="center"/>
    </xf>
    <xf numFmtId="0" fontId="0" fillId="6" borderId="4" xfId="0" applyFill="1" applyBorder="1"/>
    <xf numFmtId="9" fontId="0" fillId="6" borderId="4" xfId="0" applyNumberFormat="1" applyFill="1" applyBorder="1"/>
    <xf numFmtId="3" fontId="0" fillId="6" borderId="4" xfId="0" applyNumberFormat="1" applyFill="1" applyBorder="1"/>
    <xf numFmtId="9" fontId="0" fillId="6" borderId="4" xfId="3" applyFont="1" applyFill="1" applyBorder="1" applyAlignment="1">
      <alignment horizontal="center"/>
    </xf>
    <xf numFmtId="0" fontId="0" fillId="6" borderId="4" xfId="0" applyFill="1" applyBorder="1" applyAlignment="1">
      <alignment horizontal="center"/>
    </xf>
    <xf numFmtId="3" fontId="0" fillId="5" borderId="4" xfId="0" applyNumberFormat="1" applyFill="1" applyBorder="1" applyAlignment="1">
      <alignment horizontal="right"/>
    </xf>
    <xf numFmtId="0" fontId="0" fillId="5" borderId="4" xfId="0" applyFill="1" applyBorder="1" applyAlignment="1">
      <alignment horizontal="right"/>
    </xf>
    <xf numFmtId="9" fontId="0" fillId="5" borderId="4" xfId="0" applyNumberFormat="1" applyFill="1" applyBorder="1" applyAlignment="1">
      <alignment horizontal="right"/>
    </xf>
    <xf numFmtId="0" fontId="0" fillId="7" borderId="4" xfId="0" applyFill="1" applyBorder="1"/>
    <xf numFmtId="9" fontId="0" fillId="7" borderId="4" xfId="0" applyNumberFormat="1" applyFill="1" applyBorder="1"/>
    <xf numFmtId="3" fontId="0" fillId="7" borderId="4" xfId="0" applyNumberFormat="1" applyFill="1" applyBorder="1"/>
    <xf numFmtId="3" fontId="0" fillId="7" borderId="4" xfId="0" applyNumberFormat="1" applyFill="1" applyBorder="1" applyAlignment="1">
      <alignment horizontal="right"/>
    </xf>
    <xf numFmtId="0" fontId="0" fillId="7" borderId="4" xfId="0" applyFill="1" applyBorder="1" applyAlignment="1">
      <alignment horizontal="right"/>
    </xf>
    <xf numFmtId="9" fontId="0" fillId="7" borderId="4" xfId="0" applyNumberFormat="1" applyFill="1" applyBorder="1" applyAlignment="1">
      <alignment horizontal="right"/>
    </xf>
    <xf numFmtId="0" fontId="0" fillId="6" borderId="4" xfId="0" applyFill="1" applyBorder="1" applyAlignment="1">
      <alignment horizontal="right"/>
    </xf>
    <xf numFmtId="9" fontId="0" fillId="6" borderId="4" xfId="0" applyNumberFormat="1" applyFill="1" applyBorder="1" applyAlignment="1">
      <alignment horizontal="right"/>
    </xf>
    <xf numFmtId="3" fontId="0" fillId="6" borderId="4" xfId="0" applyNumberFormat="1" applyFill="1" applyBorder="1" applyAlignment="1">
      <alignment horizontal="right"/>
    </xf>
    <xf numFmtId="0" fontId="0" fillId="0" borderId="0" xfId="0" applyAlignment="1">
      <alignment horizontal="right"/>
    </xf>
    <xf numFmtId="0" fontId="0" fillId="8" borderId="4" xfId="0" applyFill="1" applyBorder="1"/>
    <xf numFmtId="3" fontId="0" fillId="8" borderId="4" xfId="0" applyNumberFormat="1" applyFill="1" applyBorder="1"/>
    <xf numFmtId="9" fontId="0" fillId="8" borderId="4" xfId="0" applyNumberFormat="1" applyFill="1" applyBorder="1"/>
    <xf numFmtId="0" fontId="0" fillId="8" borderId="0" xfId="0" applyFill="1"/>
    <xf numFmtId="0" fontId="0" fillId="4" borderId="0" xfId="0" applyFill="1"/>
    <xf numFmtId="3" fontId="0" fillId="4" borderId="4" xfId="0" applyNumberFormat="1" applyFill="1" applyBorder="1"/>
    <xf numFmtId="9" fontId="0" fillId="4" borderId="4" xfId="0" applyNumberFormat="1" applyFill="1" applyBorder="1"/>
    <xf numFmtId="0" fontId="0" fillId="5" borderId="0" xfId="0" applyFill="1"/>
    <xf numFmtId="9" fontId="0" fillId="0" borderId="0" xfId="3" applyFont="1" applyAlignment="1">
      <alignment horizontal="center"/>
    </xf>
    <xf numFmtId="0" fontId="0" fillId="0" borderId="0" xfId="0" applyAlignment="1">
      <alignment horizontal="center"/>
    </xf>
    <xf numFmtId="0" fontId="10" fillId="0" borderId="0" xfId="0" applyFont="1" applyAlignment="1">
      <alignment horizontal="center" vertical="top" wrapText="1"/>
    </xf>
    <xf numFmtId="0" fontId="10" fillId="0" borderId="0" xfId="0" applyFont="1" applyAlignment="1">
      <alignment horizontal="center" vertical="center"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xf numFmtId="171" fontId="11" fillId="0" borderId="0" xfId="0" applyNumberFormat="1" applyFont="1" applyAlignment="1">
      <alignment horizontal="right" vertical="top" wrapText="1"/>
    </xf>
    <xf numFmtId="174" fontId="0" fillId="0" borderId="0" xfId="0" applyNumberFormat="1"/>
    <xf numFmtId="165" fontId="0" fillId="0" borderId="0" xfId="0" applyNumberFormat="1"/>
    <xf numFmtId="168" fontId="6" fillId="2" borderId="0" xfId="0" applyNumberFormat="1" applyFont="1" applyFill="1" applyAlignment="1">
      <alignment horizontal="left" wrapText="1"/>
    </xf>
    <xf numFmtId="0" fontId="5" fillId="3" borderId="8" xfId="0" applyFont="1" applyFill="1" applyBorder="1" applyAlignment="1">
      <alignment horizontal="right" vertical="top"/>
    </xf>
    <xf numFmtId="165" fontId="0" fillId="2" borderId="8" xfId="0" applyNumberFormat="1" applyFill="1" applyBorder="1"/>
    <xf numFmtId="168" fontId="0" fillId="2" borderId="8" xfId="0" applyNumberFormat="1" applyFill="1" applyBorder="1"/>
    <xf numFmtId="168" fontId="0" fillId="2" borderId="9" xfId="0" applyNumberFormat="1" applyFill="1" applyBorder="1"/>
    <xf numFmtId="168" fontId="2" fillId="2" borderId="8" xfId="0" applyNumberFormat="1" applyFont="1" applyFill="1" applyBorder="1"/>
    <xf numFmtId="0" fontId="0" fillId="2" borderId="8" xfId="0" applyFill="1" applyBorder="1"/>
    <xf numFmtId="0" fontId="5" fillId="3" borderId="6" xfId="0" applyFont="1" applyFill="1" applyBorder="1" applyAlignment="1">
      <alignment horizontal="right" vertical="top"/>
    </xf>
    <xf numFmtId="165" fontId="0" fillId="2" borderId="6" xfId="0" applyNumberFormat="1" applyFill="1" applyBorder="1"/>
    <xf numFmtId="168" fontId="0" fillId="2" borderId="6" xfId="0" applyNumberFormat="1" applyFill="1" applyBorder="1"/>
    <xf numFmtId="168" fontId="0" fillId="2" borderId="10" xfId="0" applyNumberFormat="1" applyFill="1" applyBorder="1"/>
    <xf numFmtId="168" fontId="2" fillId="2" borderId="6" xfId="0" applyNumberFormat="1" applyFont="1" applyFill="1" applyBorder="1"/>
    <xf numFmtId="0" fontId="0" fillId="2" borderId="6" xfId="0" applyFill="1" applyBorder="1"/>
    <xf numFmtId="168" fontId="6" fillId="2" borderId="9" xfId="0" applyNumberFormat="1" applyFont="1" applyFill="1" applyBorder="1" applyAlignment="1">
      <alignment horizontal="right"/>
    </xf>
    <xf numFmtId="0" fontId="2" fillId="2" borderId="0" xfId="0" applyFont="1" applyFill="1" applyAlignment="1">
      <alignment horizontal="right" vertical="top"/>
    </xf>
    <xf numFmtId="0" fontId="2" fillId="2" borderId="0" xfId="0" applyFont="1" applyFill="1" applyAlignment="1">
      <alignment horizontal="center" vertical="top" wrapText="1"/>
    </xf>
    <xf numFmtId="165" fontId="0" fillId="2" borderId="10" xfId="0" applyNumberFormat="1" applyFill="1" applyBorder="1"/>
    <xf numFmtId="0" fontId="5" fillId="2" borderId="2" xfId="0" applyFont="1" applyFill="1" applyBorder="1" applyAlignment="1">
      <alignment horizontal="left"/>
    </xf>
    <xf numFmtId="0" fontId="2" fillId="2" borderId="0" xfId="0" applyFont="1" applyFill="1" applyAlignment="1">
      <alignment horizontal="right" vertical="top" wrapText="1"/>
    </xf>
    <xf numFmtId="0" fontId="2" fillId="0" borderId="0" xfId="0" applyFont="1"/>
    <xf numFmtId="165" fontId="5" fillId="3" borderId="0" xfId="0" applyNumberFormat="1" applyFont="1" applyFill="1" applyAlignment="1">
      <alignment horizontal="right" vertical="top"/>
    </xf>
    <xf numFmtId="0" fontId="0" fillId="11" borderId="0" xfId="0" applyFill="1"/>
    <xf numFmtId="44" fontId="0" fillId="2" borderId="0" xfId="0" applyNumberFormat="1" applyFill="1"/>
    <xf numFmtId="177" fontId="0" fillId="2" borderId="0" xfId="1" applyNumberFormat="1" applyFont="1" applyFill="1"/>
    <xf numFmtId="169" fontId="0" fillId="2" borderId="0" xfId="1" applyNumberFormat="1" applyFont="1" applyFill="1"/>
    <xf numFmtId="0" fontId="13" fillId="2" borderId="0" xfId="0" applyFont="1" applyFill="1"/>
    <xf numFmtId="44" fontId="13" fillId="2" borderId="0" xfId="0" applyNumberFormat="1" applyFont="1" applyFill="1"/>
    <xf numFmtId="0" fontId="2" fillId="12" borderId="1" xfId="0" applyFont="1" applyFill="1" applyBorder="1"/>
    <xf numFmtId="0" fontId="2" fillId="12" borderId="0" xfId="0" applyFont="1" applyFill="1" applyAlignment="1">
      <alignment vertical="top"/>
    </xf>
    <xf numFmtId="0" fontId="2" fillId="12" borderId="0" xfId="0" applyFont="1" applyFill="1"/>
    <xf numFmtId="166" fontId="2" fillId="12" borderId="0" xfId="0" applyNumberFormat="1" applyFont="1" applyFill="1"/>
    <xf numFmtId="174" fontId="0" fillId="2" borderId="0" xfId="0" applyNumberFormat="1" applyFill="1"/>
    <xf numFmtId="174" fontId="0" fillId="2" borderId="3" xfId="0" applyNumberFormat="1" applyFill="1" applyBorder="1"/>
    <xf numFmtId="174" fontId="2" fillId="2" borderId="0" xfId="0" applyNumberFormat="1" applyFont="1" applyFill="1"/>
    <xf numFmtId="174" fontId="2" fillId="12" borderId="0" xfId="0" applyNumberFormat="1" applyFont="1" applyFill="1"/>
    <xf numFmtId="174" fontId="5" fillId="3" borderId="0" xfId="0" applyNumberFormat="1" applyFont="1" applyFill="1" applyAlignment="1">
      <alignment horizontal="right" vertical="top"/>
    </xf>
    <xf numFmtId="174" fontId="0" fillId="2" borderId="0" xfId="1" applyNumberFormat="1" applyFont="1" applyFill="1"/>
    <xf numFmtId="169" fontId="0" fillId="2" borderId="0" xfId="0" applyNumberFormat="1" applyFill="1"/>
    <xf numFmtId="168" fontId="2" fillId="12" borderId="0" xfId="0" applyNumberFormat="1" applyFont="1" applyFill="1"/>
    <xf numFmtId="0" fontId="15" fillId="2" borderId="0" xfId="0" applyFont="1" applyFill="1"/>
    <xf numFmtId="0" fontId="5" fillId="2" borderId="0" xfId="0" applyFont="1" applyFill="1" applyAlignment="1">
      <alignment horizontal="left"/>
    </xf>
    <xf numFmtId="178" fontId="0" fillId="2" borderId="0" xfId="0" applyNumberFormat="1" applyFill="1"/>
    <xf numFmtId="0" fontId="0" fillId="11" borderId="3" xfId="0" applyFill="1" applyBorder="1"/>
    <xf numFmtId="168" fontId="6" fillId="2" borderId="3" xfId="0" applyNumberFormat="1" applyFont="1" applyFill="1" applyBorder="1" applyAlignment="1">
      <alignment horizontal="left" wrapText="1"/>
    </xf>
    <xf numFmtId="167" fontId="0" fillId="2" borderId="3" xfId="0" applyNumberFormat="1" applyFill="1" applyBorder="1"/>
    <xf numFmtId="169" fontId="0" fillId="2" borderId="3" xfId="1" applyNumberFormat="1" applyFont="1" applyFill="1" applyBorder="1"/>
    <xf numFmtId="165" fontId="0" fillId="2" borderId="3" xfId="0" applyNumberFormat="1" applyFill="1" applyBorder="1"/>
    <xf numFmtId="44" fontId="0" fillId="2" borderId="3" xfId="0" applyNumberFormat="1" applyFill="1" applyBorder="1"/>
    <xf numFmtId="174" fontId="0" fillId="2" borderId="3" xfId="1" applyNumberFormat="1" applyFont="1" applyFill="1" applyBorder="1"/>
    <xf numFmtId="0" fontId="0" fillId="11" borderId="11" xfId="0" applyFill="1" applyBorder="1"/>
    <xf numFmtId="0" fontId="7" fillId="3" borderId="14" xfId="0" applyFont="1" applyFill="1" applyBorder="1"/>
    <xf numFmtId="0" fontId="7" fillId="3" borderId="11" xfId="0" applyFont="1" applyFill="1" applyBorder="1"/>
    <xf numFmtId="165" fontId="2" fillId="3" borderId="11" xfId="1" applyNumberFormat="1" applyFont="1" applyFill="1" applyBorder="1"/>
    <xf numFmtId="0" fontId="2" fillId="3" borderId="11" xfId="0" applyFont="1" applyFill="1" applyBorder="1"/>
    <xf numFmtId="0" fontId="2" fillId="3" borderId="7" xfId="0" applyFont="1" applyFill="1" applyBorder="1"/>
    <xf numFmtId="0" fontId="2" fillId="3" borderId="12" xfId="0" applyFont="1" applyFill="1" applyBorder="1"/>
    <xf numFmtId="165" fontId="2" fillId="3" borderId="11" xfId="0" applyNumberFormat="1" applyFont="1" applyFill="1" applyBorder="1"/>
    <xf numFmtId="174" fontId="2" fillId="3" borderId="11" xfId="0" applyNumberFormat="1" applyFont="1" applyFill="1" applyBorder="1"/>
    <xf numFmtId="174" fontId="0" fillId="3" borderId="11" xfId="0" applyNumberFormat="1" applyFill="1" applyBorder="1"/>
    <xf numFmtId="0" fontId="0" fillId="2" borderId="2" xfId="0" applyFill="1" applyBorder="1"/>
    <xf numFmtId="165" fontId="0" fillId="2" borderId="3" xfId="1" applyNumberFormat="1" applyFont="1" applyFill="1" applyBorder="1"/>
    <xf numFmtId="165" fontId="2" fillId="2" borderId="3" xfId="0" applyNumberFormat="1" applyFont="1" applyFill="1" applyBorder="1"/>
    <xf numFmtId="174" fontId="2" fillId="2" borderId="3" xfId="0" applyNumberFormat="1" applyFont="1" applyFill="1" applyBorder="1"/>
    <xf numFmtId="0" fontId="0" fillId="3" borderId="11" xfId="0" applyFill="1" applyBorder="1"/>
    <xf numFmtId="165" fontId="0" fillId="3" borderId="11" xfId="1" applyNumberFormat="1" applyFont="1" applyFill="1" applyBorder="1"/>
    <xf numFmtId="0" fontId="0" fillId="3" borderId="12" xfId="0" applyFill="1" applyBorder="1"/>
    <xf numFmtId="165" fontId="0" fillId="3" borderId="11" xfId="0" applyNumberFormat="1" applyFill="1" applyBorder="1"/>
    <xf numFmtId="0" fontId="2" fillId="3" borderId="14" xfId="0" applyFont="1" applyFill="1" applyBorder="1"/>
    <xf numFmtId="0" fontId="0" fillId="0" borderId="11" xfId="0" applyBorder="1"/>
    <xf numFmtId="0" fontId="0" fillId="0" borderId="0" xfId="0" applyAlignment="1">
      <alignment vertical="center"/>
    </xf>
    <xf numFmtId="0" fontId="0" fillId="2" borderId="0" xfId="0" applyFill="1" applyAlignment="1">
      <alignment vertical="center"/>
    </xf>
    <xf numFmtId="0" fontId="5" fillId="2" borderId="0" xfId="0" applyFont="1" applyFill="1" applyAlignment="1">
      <alignment horizontal="left" vertical="center" wrapText="1"/>
    </xf>
    <xf numFmtId="9" fontId="0" fillId="0" borderId="0" xfId="3" applyFont="1" applyAlignment="1">
      <alignment horizontal="center" vertical="center"/>
    </xf>
    <xf numFmtId="0" fontId="0" fillId="0" borderId="0" xfId="0" applyAlignment="1">
      <alignment horizontal="center" vertical="center"/>
    </xf>
    <xf numFmtId="0" fontId="5" fillId="2" borderId="0" xfId="0" applyFont="1" applyFill="1" applyAlignment="1">
      <alignment horizontal="left" vertical="center"/>
    </xf>
    <xf numFmtId="0" fontId="5" fillId="0" borderId="0" xfId="0" applyFont="1" applyAlignment="1">
      <alignment horizontal="left" vertical="center"/>
    </xf>
    <xf numFmtId="0" fontId="5" fillId="2" borderId="11" xfId="0" applyFont="1" applyFill="1" applyBorder="1" applyAlignment="1">
      <alignment horizontal="left" vertical="center"/>
    </xf>
    <xf numFmtId="166" fontId="0" fillId="14" borderId="0" xfId="0" applyNumberFormat="1" applyFill="1"/>
    <xf numFmtId="0" fontId="0" fillId="17" borderId="4" xfId="0" applyFill="1" applyBorder="1" applyAlignment="1">
      <alignment horizontal="center" wrapText="1"/>
    </xf>
    <xf numFmtId="9" fontId="0" fillId="9" borderId="4" xfId="0" applyNumberFormat="1" applyFill="1" applyBorder="1"/>
    <xf numFmtId="3" fontId="0" fillId="9" borderId="4" xfId="0" applyNumberFormat="1" applyFill="1" applyBorder="1"/>
    <xf numFmtId="0" fontId="0" fillId="8" borderId="4" xfId="0" applyFill="1" applyBorder="1" applyAlignment="1">
      <alignment horizontal="center" vertical="center" wrapText="1"/>
    </xf>
    <xf numFmtId="0" fontId="0" fillId="8" borderId="4" xfId="0" applyFill="1" applyBorder="1" applyAlignment="1">
      <alignment horizontal="center" wrapText="1"/>
    </xf>
    <xf numFmtId="9" fontId="0" fillId="9" borderId="0" xfId="3" applyFont="1" applyFill="1" applyAlignment="1">
      <alignment vertical="center"/>
    </xf>
    <xf numFmtId="0" fontId="16" fillId="15" borderId="4" xfId="0" applyFont="1" applyFill="1" applyBorder="1" applyAlignment="1">
      <alignment horizontal="center" vertical="center"/>
    </xf>
    <xf numFmtId="0" fontId="16" fillId="15" borderId="13" xfId="0" applyFont="1" applyFill="1" applyBorder="1" applyAlignment="1">
      <alignment horizontal="center" vertical="center"/>
    </xf>
    <xf numFmtId="9" fontId="0" fillId="2" borderId="0" xfId="3" applyFont="1" applyFill="1" applyAlignment="1">
      <alignment vertical="center"/>
    </xf>
    <xf numFmtId="0" fontId="17" fillId="2" borderId="0" xfId="0" applyFont="1" applyFill="1"/>
    <xf numFmtId="174" fontId="0" fillId="2" borderId="1" xfId="0" applyNumberFormat="1" applyFill="1" applyBorder="1"/>
    <xf numFmtId="174" fontId="0" fillId="2" borderId="1" xfId="0" applyNumberFormat="1" applyFill="1" applyBorder="1" applyAlignment="1">
      <alignment horizontal="left"/>
    </xf>
    <xf numFmtId="174" fontId="0" fillId="2" borderId="2" xfId="0" applyNumberFormat="1" applyFill="1" applyBorder="1" applyAlignment="1">
      <alignment horizontal="left"/>
    </xf>
    <xf numFmtId="0" fontId="2" fillId="2" borderId="8" xfId="0" applyFont="1" applyFill="1" applyBorder="1"/>
    <xf numFmtId="0" fontId="0" fillId="0" borderId="8" xfId="0" applyBorder="1"/>
    <xf numFmtId="0" fontId="0" fillId="0" borderId="1" xfId="0" applyBorder="1"/>
    <xf numFmtId="0" fontId="0" fillId="0" borderId="12" xfId="0" applyBorder="1"/>
    <xf numFmtId="0" fontId="0" fillId="0" borderId="14" xfId="0" applyBorder="1"/>
    <xf numFmtId="166" fontId="0" fillId="2" borderId="1" xfId="0" applyNumberFormat="1" applyFill="1" applyBorder="1"/>
    <xf numFmtId="174" fontId="0" fillId="2" borderId="0" xfId="0" applyNumberFormat="1" applyFill="1" applyAlignment="1">
      <alignment vertical="center"/>
    </xf>
    <xf numFmtId="174" fontId="0" fillId="2" borderId="11" xfId="0" applyNumberFormat="1" applyFill="1" applyBorder="1" applyAlignment="1">
      <alignment vertical="center"/>
    </xf>
    <xf numFmtId="0" fontId="3" fillId="2" borderId="4" xfId="0" applyFont="1" applyFill="1" applyBorder="1" applyAlignment="1">
      <alignment horizontal="right"/>
    </xf>
    <xf numFmtId="0" fontId="4" fillId="2" borderId="4" xfId="0" applyFont="1" applyFill="1" applyBorder="1" applyAlignment="1">
      <alignment horizontal="right"/>
    </xf>
    <xf numFmtId="1" fontId="0" fillId="2" borderId="4" xfId="0" applyNumberFormat="1" applyFill="1" applyBorder="1" applyAlignment="1">
      <alignment horizontal="right"/>
    </xf>
    <xf numFmtId="0" fontId="0" fillId="2" borderId="4" xfId="0" applyFill="1" applyBorder="1" applyAlignment="1">
      <alignment horizontal="right"/>
    </xf>
    <xf numFmtId="0" fontId="0" fillId="2" borderId="4" xfId="0" applyFill="1" applyBorder="1"/>
    <xf numFmtId="0" fontId="0" fillId="11" borderId="4" xfId="0" applyFill="1" applyBorder="1"/>
    <xf numFmtId="2" fontId="0" fillId="2" borderId="4" xfId="0" applyNumberFormat="1" applyFill="1" applyBorder="1"/>
    <xf numFmtId="0" fontId="19" fillId="2" borderId="0" xfId="0" applyFont="1" applyFill="1" applyAlignment="1">
      <alignment horizontal="right"/>
    </xf>
    <xf numFmtId="180" fontId="0" fillId="2" borderId="0" xfId="0" applyNumberFormat="1" applyFill="1"/>
    <xf numFmtId="174" fontId="0" fillId="14" borderId="1" xfId="0" applyNumberFormat="1" applyFill="1" applyBorder="1"/>
    <xf numFmtId="9" fontId="0" fillId="0" borderId="0" xfId="3" applyFont="1" applyAlignment="1">
      <alignment horizontal="left"/>
    </xf>
    <xf numFmtId="0" fontId="16" fillId="15" borderId="11" xfId="0" applyFont="1" applyFill="1" applyBorder="1" applyAlignment="1">
      <alignment vertical="center"/>
    </xf>
    <xf numFmtId="181" fontId="0" fillId="0" borderId="0" xfId="0" applyNumberFormat="1"/>
    <xf numFmtId="9" fontId="0" fillId="0" borderId="0" xfId="3" applyFont="1" applyFill="1" applyAlignment="1">
      <alignment horizontal="left"/>
    </xf>
    <xf numFmtId="9" fontId="0" fillId="0" borderId="0" xfId="3" applyFont="1" applyFill="1" applyAlignment="1">
      <alignment horizontal="center"/>
    </xf>
    <xf numFmtId="181" fontId="0" fillId="19" borderId="0" xfId="0" applyNumberFormat="1" applyFill="1"/>
    <xf numFmtId="181" fontId="0" fillId="2" borderId="0" xfId="0" applyNumberFormat="1" applyFill="1"/>
    <xf numFmtId="181" fontId="0" fillId="2" borderId="3" xfId="0" applyNumberFormat="1" applyFill="1" applyBorder="1"/>
    <xf numFmtId="181" fontId="2" fillId="2" borderId="0" xfId="0" applyNumberFormat="1" applyFont="1" applyFill="1"/>
    <xf numFmtId="181" fontId="0" fillId="3" borderId="11" xfId="0" applyNumberFormat="1" applyFill="1" applyBorder="1"/>
    <xf numFmtId="181" fontId="2" fillId="12" borderId="0" xfId="0" applyNumberFormat="1" applyFont="1" applyFill="1"/>
    <xf numFmtId="181" fontId="0" fillId="3" borderId="0" xfId="0" applyNumberFormat="1" applyFill="1"/>
    <xf numFmtId="181" fontId="0" fillId="2" borderId="0" xfId="0" applyNumberFormat="1" applyFill="1" applyAlignment="1">
      <alignment horizontal="right"/>
    </xf>
    <xf numFmtId="181" fontId="0" fillId="14" borderId="0" xfId="0" applyNumberFormat="1" applyFill="1"/>
    <xf numFmtId="181" fontId="0" fillId="2" borderId="0" xfId="1" applyNumberFormat="1" applyFont="1" applyFill="1" applyBorder="1"/>
    <xf numFmtId="181" fontId="0" fillId="14" borderId="0" xfId="1" applyNumberFormat="1" applyFont="1" applyFill="1" applyBorder="1"/>
    <xf numFmtId="181" fontId="16" fillId="15" borderId="4" xfId="0" applyNumberFormat="1" applyFont="1" applyFill="1" applyBorder="1" applyAlignment="1">
      <alignment horizontal="center" vertical="center"/>
    </xf>
    <xf numFmtId="166" fontId="0" fillId="2" borderId="2" xfId="0" applyNumberFormat="1" applyFill="1" applyBorder="1"/>
    <xf numFmtId="166" fontId="2" fillId="2" borderId="1" xfId="0" applyNumberFormat="1" applyFont="1" applyFill="1" applyBorder="1"/>
    <xf numFmtId="166" fontId="0" fillId="3" borderId="14" xfId="0" applyNumberFormat="1" applyFill="1" applyBorder="1"/>
    <xf numFmtId="166" fontId="2" fillId="12" borderId="1" xfId="0" applyNumberFormat="1" applyFont="1" applyFill="1" applyBorder="1"/>
    <xf numFmtId="166" fontId="0" fillId="3" borderId="1" xfId="0" applyNumberFormat="1" applyFill="1" applyBorder="1"/>
    <xf numFmtId="166" fontId="0" fillId="2" borderId="1" xfId="0" applyNumberFormat="1" applyFill="1" applyBorder="1" applyAlignment="1">
      <alignment horizontal="left"/>
    </xf>
    <xf numFmtId="166" fontId="0" fillId="2" borderId="2" xfId="0" applyNumberFormat="1" applyFill="1" applyBorder="1" applyAlignment="1">
      <alignment horizontal="left"/>
    </xf>
    <xf numFmtId="166" fontId="0" fillId="14" borderId="1" xfId="0" applyNumberFormat="1" applyFill="1" applyBorder="1"/>
    <xf numFmtId="166" fontId="0" fillId="2" borderId="3" xfId="0" applyNumberFormat="1" applyFill="1" applyBorder="1"/>
    <xf numFmtId="166" fontId="2" fillId="2" borderId="0" xfId="0" applyNumberFormat="1" applyFont="1" applyFill="1"/>
    <xf numFmtId="166" fontId="0" fillId="3" borderId="11" xfId="0" applyNumberFormat="1" applyFill="1" applyBorder="1"/>
    <xf numFmtId="166" fontId="0" fillId="2" borderId="0" xfId="0" applyNumberFormat="1" applyFill="1" applyAlignment="1">
      <alignment horizontal="left"/>
    </xf>
    <xf numFmtId="174" fontId="0" fillId="2" borderId="0" xfId="0" applyNumberFormat="1" applyFill="1" applyAlignment="1">
      <alignment horizontal="left"/>
    </xf>
    <xf numFmtId="174" fontId="0" fillId="14" borderId="0" xfId="0" applyNumberFormat="1" applyFill="1"/>
    <xf numFmtId="0" fontId="2" fillId="2" borderId="4" xfId="0" applyFont="1" applyFill="1" applyBorder="1" applyAlignment="1">
      <alignment horizontal="center" vertical="center"/>
    </xf>
    <xf numFmtId="2" fontId="0" fillId="2" borderId="0" xfId="0" applyNumberFormat="1" applyFill="1"/>
    <xf numFmtId="0" fontId="2" fillId="13" borderId="4" xfId="0" applyFont="1" applyFill="1" applyBorder="1"/>
    <xf numFmtId="165" fontId="2" fillId="13" borderId="4" xfId="0" applyNumberFormat="1" applyFont="1" applyFill="1" applyBorder="1" applyAlignment="1">
      <alignment horizontal="center" vertical="center" wrapText="1"/>
    </xf>
    <xf numFmtId="165" fontId="2" fillId="13" borderId="4" xfId="0" applyNumberFormat="1" applyFont="1" applyFill="1" applyBorder="1" applyAlignment="1">
      <alignment horizontal="center" vertical="center"/>
    </xf>
    <xf numFmtId="0" fontId="2" fillId="13" borderId="4" xfId="0" applyFont="1" applyFill="1" applyBorder="1" applyAlignment="1">
      <alignment horizontal="center" vertical="center"/>
    </xf>
    <xf numFmtId="0" fontId="2" fillId="13" borderId="4" xfId="0" applyFont="1" applyFill="1" applyBorder="1" applyAlignment="1">
      <alignment horizontal="center" vertical="center" wrapText="1"/>
    </xf>
    <xf numFmtId="0" fontId="16" fillId="15" borderId="15" xfId="0" applyFont="1" applyFill="1" applyBorder="1" applyAlignment="1">
      <alignment horizontal="center" vertical="center"/>
    </xf>
    <xf numFmtId="0" fontId="15" fillId="2" borderId="0" xfId="0" applyFont="1" applyFill="1" applyAlignment="1">
      <alignment horizontal="center"/>
    </xf>
    <xf numFmtId="0" fontId="21" fillId="20" borderId="0" xfId="0" applyFont="1" applyFill="1" applyAlignment="1">
      <alignment horizontal="center" vertical="center" wrapText="1"/>
    </xf>
    <xf numFmtId="9" fontId="0" fillId="9" borderId="0" xfId="0" applyNumberFormat="1" applyFill="1" applyAlignment="1">
      <alignment horizontal="left" vertical="center"/>
    </xf>
    <xf numFmtId="174" fontId="0" fillId="2" borderId="17" xfId="0" applyNumberFormat="1" applyFill="1" applyBorder="1"/>
    <xf numFmtId="174" fontId="0" fillId="2" borderId="2" xfId="0" applyNumberFormat="1" applyFill="1" applyBorder="1"/>
    <xf numFmtId="174" fontId="2" fillId="2" borderId="1" xfId="0" applyNumberFormat="1" applyFont="1" applyFill="1" applyBorder="1"/>
    <xf numFmtId="174" fontId="0" fillId="3" borderId="14" xfId="0" applyNumberFormat="1" applyFill="1" applyBorder="1"/>
    <xf numFmtId="174" fontId="2" fillId="12" borderId="1" xfId="0" applyNumberFormat="1" applyFont="1" applyFill="1" applyBorder="1"/>
    <xf numFmtId="174" fontId="0" fillId="3" borderId="1" xfId="0" applyNumberFormat="1" applyFill="1" applyBorder="1"/>
    <xf numFmtId="181" fontId="0" fillId="2" borderId="3" xfId="1" applyNumberFormat="1" applyFont="1" applyFill="1" applyBorder="1"/>
    <xf numFmtId="181" fontId="2" fillId="2" borderId="0" xfId="1" applyNumberFormat="1" applyFont="1" applyFill="1" applyBorder="1"/>
    <xf numFmtId="181" fontId="0" fillId="3" borderId="11" xfId="1" applyNumberFormat="1" applyFont="1" applyFill="1" applyBorder="1"/>
    <xf numFmtId="181" fontId="2" fillId="12" borderId="19" xfId="1" applyNumberFormat="1" applyFont="1" applyFill="1" applyBorder="1"/>
    <xf numFmtId="181" fontId="0" fillId="3" borderId="0" xfId="1" applyNumberFormat="1" applyFont="1" applyFill="1" applyBorder="1"/>
    <xf numFmtId="181" fontId="0" fillId="2" borderId="0" xfId="1" applyNumberFormat="1" applyFont="1" applyFill="1" applyBorder="1" applyAlignment="1">
      <alignment horizontal="right"/>
    </xf>
    <xf numFmtId="174" fontId="0" fillId="2" borderId="18" xfId="0" applyNumberFormat="1" applyFill="1" applyBorder="1"/>
    <xf numFmtId="174" fontId="0" fillId="2" borderId="8" xfId="0" applyNumberFormat="1" applyFill="1" applyBorder="1"/>
    <xf numFmtId="174" fontId="0" fillId="2" borderId="9" xfId="0" applyNumberFormat="1" applyFill="1" applyBorder="1"/>
    <xf numFmtId="174" fontId="2" fillId="2" borderId="8" xfId="0" applyNumberFormat="1" applyFont="1" applyFill="1" applyBorder="1"/>
    <xf numFmtId="174" fontId="0" fillId="3" borderId="12" xfId="0" applyNumberFormat="1" applyFill="1" applyBorder="1"/>
    <xf numFmtId="174" fontId="2" fillId="12" borderId="8" xfId="0" applyNumberFormat="1" applyFont="1" applyFill="1" applyBorder="1"/>
    <xf numFmtId="9" fontId="0" fillId="2" borderId="8" xfId="3" applyFont="1" applyFill="1" applyBorder="1" applyAlignment="1">
      <alignment horizontal="left"/>
    </xf>
    <xf numFmtId="0" fontId="5" fillId="3" borderId="0" xfId="0" applyFont="1" applyFill="1" applyAlignment="1">
      <alignment horizontal="center" vertical="center"/>
    </xf>
    <xf numFmtId="0" fontId="5" fillId="3" borderId="8" xfId="0" applyFont="1" applyFill="1" applyBorder="1" applyAlignment="1">
      <alignment horizontal="center" vertical="center"/>
    </xf>
    <xf numFmtId="9" fontId="0" fillId="2" borderId="0" xfId="3" applyFont="1" applyFill="1" applyAlignment="1">
      <alignment horizontal="center"/>
    </xf>
    <xf numFmtId="9" fontId="0" fillId="2" borderId="3" xfId="3" applyFont="1" applyFill="1" applyBorder="1" applyAlignment="1">
      <alignment horizontal="center"/>
    </xf>
    <xf numFmtId="9" fontId="0" fillId="2" borderId="0" xfId="3" applyFont="1" applyFill="1" applyBorder="1" applyAlignment="1">
      <alignment horizontal="center" vertical="center"/>
    </xf>
    <xf numFmtId="9" fontId="0" fillId="2" borderId="3" xfId="3" applyFont="1" applyFill="1" applyBorder="1" applyAlignment="1">
      <alignment horizontal="center" vertical="center"/>
    </xf>
    <xf numFmtId="181" fontId="0" fillId="2" borderId="3" xfId="0" applyNumberFormat="1" applyFill="1" applyBorder="1" applyAlignment="1">
      <alignment horizontal="left"/>
    </xf>
    <xf numFmtId="1" fontId="0" fillId="2" borderId="4" xfId="0" applyNumberFormat="1" applyFill="1" applyBorder="1"/>
    <xf numFmtId="9" fontId="0" fillId="2" borderId="0" xfId="3" applyFont="1" applyFill="1" applyAlignment="1">
      <alignment horizontal="center" vertical="center"/>
    </xf>
    <xf numFmtId="9" fontId="0" fillId="2" borderId="8" xfId="3" applyFont="1" applyFill="1" applyBorder="1" applyAlignment="1">
      <alignment horizontal="center" vertical="center"/>
    </xf>
    <xf numFmtId="0" fontId="16" fillId="15" borderId="14" xfId="0" applyFont="1" applyFill="1" applyBorder="1" applyAlignment="1">
      <alignment vertical="center"/>
    </xf>
    <xf numFmtId="0" fontId="22" fillId="0" borderId="0" xfId="0" applyFont="1" applyAlignment="1">
      <alignment horizontal="center" vertical="center"/>
    </xf>
    <xf numFmtId="9" fontId="22" fillId="0" borderId="0" xfId="0" applyNumberFormat="1" applyFont="1" applyAlignment="1">
      <alignment horizontal="center" vertical="center"/>
    </xf>
    <xf numFmtId="0" fontId="0" fillId="2" borderId="13" xfId="0" applyFill="1" applyBorder="1"/>
    <xf numFmtId="1" fontId="0" fillId="2" borderId="13" xfId="0" applyNumberFormat="1" applyFill="1" applyBorder="1"/>
    <xf numFmtId="0" fontId="0" fillId="2" borderId="15" xfId="0" applyFill="1" applyBorder="1"/>
    <xf numFmtId="1" fontId="0" fillId="2" borderId="15" xfId="0" applyNumberFormat="1" applyFill="1" applyBorder="1"/>
    <xf numFmtId="1" fontId="0" fillId="2" borderId="0" xfId="0" applyNumberFormat="1" applyFill="1"/>
    <xf numFmtId="0" fontId="16" fillId="2" borderId="0" xfId="0" applyFont="1" applyFill="1" applyAlignment="1">
      <alignment horizontal="center" vertical="center"/>
    </xf>
    <xf numFmtId="182" fontId="2" fillId="19" borderId="1" xfId="1" applyNumberFormat="1" applyFont="1" applyFill="1" applyBorder="1"/>
    <xf numFmtId="166" fontId="0" fillId="19" borderId="1" xfId="0" applyNumberFormat="1" applyFill="1" applyBorder="1"/>
    <xf numFmtId="183" fontId="0" fillId="0" borderId="0" xfId="0" applyNumberFormat="1"/>
    <xf numFmtId="183" fontId="6" fillId="0" borderId="0" xfId="0" applyNumberFormat="1" applyFont="1"/>
    <xf numFmtId="183" fontId="0" fillId="2" borderId="4" xfId="0" applyNumberFormat="1" applyFill="1" applyBorder="1" applyAlignment="1">
      <alignment horizontal="center" vertical="center"/>
    </xf>
    <xf numFmtId="183" fontId="0" fillId="9" borderId="0" xfId="0" applyNumberFormat="1" applyFill="1" applyAlignment="1">
      <alignment vertical="center"/>
    </xf>
    <xf numFmtId="183" fontId="0" fillId="0" borderId="0" xfId="0" applyNumberFormat="1" applyAlignment="1">
      <alignment vertical="center"/>
    </xf>
    <xf numFmtId="183" fontId="0" fillId="8" borderId="0" xfId="0" applyNumberFormat="1" applyFill="1"/>
    <xf numFmtId="183" fontId="0" fillId="16" borderId="0" xfId="0" applyNumberFormat="1" applyFill="1"/>
    <xf numFmtId="183" fontId="0" fillId="17" borderId="11" xfId="0" applyNumberFormat="1" applyFill="1" applyBorder="1" applyAlignment="1">
      <alignment vertical="center"/>
    </xf>
    <xf numFmtId="183" fontId="0" fillId="0" borderId="11" xfId="0" applyNumberFormat="1" applyBorder="1" applyAlignment="1">
      <alignment vertical="center"/>
    </xf>
    <xf numFmtId="183" fontId="17" fillId="18" borderId="0" xfId="0" applyNumberFormat="1" applyFont="1" applyFill="1" applyAlignment="1">
      <alignment vertical="center"/>
    </xf>
    <xf numFmtId="183" fontId="0" fillId="2" borderId="0" xfId="0" applyNumberFormat="1" applyFill="1" applyAlignment="1">
      <alignment vertical="center"/>
    </xf>
    <xf numFmtId="183" fontId="0" fillId="14" borderId="0" xfId="0" applyNumberFormat="1" applyFill="1" applyAlignment="1">
      <alignment vertical="center"/>
    </xf>
    <xf numFmtId="183" fontId="0" fillId="0" borderId="0" xfId="0" applyNumberFormat="1" applyAlignment="1">
      <alignment horizontal="center"/>
    </xf>
    <xf numFmtId="183" fontId="0" fillId="0" borderId="0" xfId="0" applyNumberFormat="1" applyAlignment="1">
      <alignment horizontal="center" vertical="center"/>
    </xf>
    <xf numFmtId="183" fontId="0" fillId="19" borderId="0" xfId="0" applyNumberFormat="1" applyFill="1"/>
    <xf numFmtId="183" fontId="0" fillId="2" borderId="8" xfId="0" applyNumberFormat="1" applyFill="1" applyBorder="1"/>
    <xf numFmtId="183" fontId="0" fillId="2" borderId="9" xfId="0" applyNumberFormat="1" applyFill="1" applyBorder="1"/>
    <xf numFmtId="183" fontId="2" fillId="2" borderId="8" xfId="0" applyNumberFormat="1" applyFont="1" applyFill="1" applyBorder="1"/>
    <xf numFmtId="183" fontId="0" fillId="19" borderId="8" xfId="0" applyNumberFormat="1" applyFill="1" applyBorder="1"/>
    <xf numFmtId="183" fontId="0" fillId="3" borderId="12" xfId="0" applyNumberFormat="1" applyFill="1" applyBorder="1"/>
    <xf numFmtId="183" fontId="2" fillId="12" borderId="8" xfId="0" applyNumberFormat="1" applyFont="1" applyFill="1" applyBorder="1"/>
    <xf numFmtId="183" fontId="0" fillId="3" borderId="8" xfId="0" applyNumberFormat="1" applyFill="1" applyBorder="1"/>
    <xf numFmtId="183" fontId="0" fillId="2" borderId="8" xfId="0" applyNumberFormat="1" applyFill="1" applyBorder="1" applyAlignment="1">
      <alignment horizontal="right"/>
    </xf>
    <xf numFmtId="183" fontId="0" fillId="2" borderId="9" xfId="0" applyNumberFormat="1" applyFill="1" applyBorder="1" applyAlignment="1">
      <alignment horizontal="right"/>
    </xf>
    <xf numFmtId="183" fontId="0" fillId="2" borderId="8" xfId="0" applyNumberFormat="1" applyFill="1" applyBorder="1" applyAlignment="1">
      <alignment horizontal="left"/>
    </xf>
    <xf numFmtId="183" fontId="0" fillId="14" borderId="8" xfId="0" applyNumberFormat="1" applyFill="1" applyBorder="1"/>
    <xf numFmtId="0" fontId="23" fillId="2" borderId="0" xfId="6" applyFont="1" applyFill="1" applyAlignment="1">
      <alignment horizontal="left" vertical="center"/>
    </xf>
    <xf numFmtId="0" fontId="23" fillId="2" borderId="0" xfId="0" applyFont="1" applyFill="1" applyAlignment="1">
      <alignment horizontal="left" vertical="center"/>
    </xf>
    <xf numFmtId="0" fontId="23" fillId="2" borderId="0" xfId="6" applyFont="1" applyFill="1" applyAlignment="1">
      <alignment vertical="center"/>
    </xf>
    <xf numFmtId="0" fontId="24" fillId="2" borderId="0" xfId="0" applyFont="1" applyFill="1" applyAlignment="1">
      <alignment horizontal="center" vertical="center"/>
    </xf>
    <xf numFmtId="0" fontId="25" fillId="2" borderId="0" xfId="6" applyFont="1" applyFill="1" applyAlignment="1">
      <alignment vertical="center"/>
    </xf>
    <xf numFmtId="0" fontId="23" fillId="0" borderId="0" xfId="6" applyFont="1" applyAlignment="1">
      <alignment vertical="center"/>
    </xf>
    <xf numFmtId="0" fontId="26" fillId="2" borderId="0" xfId="6" applyFont="1" applyFill="1" applyAlignment="1">
      <alignment horizontal="left" vertical="center"/>
    </xf>
    <xf numFmtId="0" fontId="26" fillId="2" borderId="0" xfId="0" applyFont="1" applyFill="1" applyAlignment="1">
      <alignment horizontal="left" vertical="center"/>
    </xf>
    <xf numFmtId="0" fontId="27" fillId="2" borderId="0" xfId="0" applyFont="1" applyFill="1" applyAlignment="1">
      <alignment horizontal="left" vertical="center"/>
    </xf>
    <xf numFmtId="184" fontId="28" fillId="2" borderId="0" xfId="0" applyNumberFormat="1" applyFont="1" applyFill="1" applyAlignment="1">
      <alignment vertical="center"/>
    </xf>
    <xf numFmtId="1" fontId="28" fillId="2" borderId="0" xfId="0" applyNumberFormat="1" applyFont="1" applyFill="1" applyAlignment="1">
      <alignment vertical="center"/>
    </xf>
    <xf numFmtId="0" fontId="28" fillId="2" borderId="0" xfId="0" applyFont="1" applyFill="1" applyAlignment="1">
      <alignment horizontal="left" vertical="center"/>
    </xf>
    <xf numFmtId="0" fontId="29" fillId="2" borderId="0" xfId="6" applyFont="1" applyFill="1" applyAlignment="1">
      <alignment horizontal="left" vertical="center"/>
    </xf>
    <xf numFmtId="0" fontId="27" fillId="2" borderId="0" xfId="6" applyFont="1" applyFill="1" applyAlignment="1">
      <alignment horizontal="left" vertical="center"/>
    </xf>
    <xf numFmtId="0" fontId="27" fillId="0" borderId="0" xfId="6" applyFont="1" applyAlignment="1">
      <alignment vertical="center"/>
    </xf>
    <xf numFmtId="0" fontId="27" fillId="2" borderId="0" xfId="6" applyFont="1" applyFill="1" applyAlignment="1">
      <alignment vertical="center"/>
    </xf>
    <xf numFmtId="0" fontId="27" fillId="2" borderId="0" xfId="0" applyFont="1" applyFill="1" applyAlignment="1">
      <alignment horizontal="center" vertical="center"/>
    </xf>
    <xf numFmtId="0" fontId="30" fillId="2" borderId="0" xfId="6" applyFont="1" applyFill="1" applyAlignment="1">
      <alignment vertical="center"/>
    </xf>
    <xf numFmtId="185" fontId="31" fillId="21" borderId="4" xfId="0" applyNumberFormat="1" applyFont="1" applyFill="1" applyBorder="1" applyAlignment="1">
      <alignment horizontal="center" vertical="center" wrapText="1"/>
    </xf>
    <xf numFmtId="0" fontId="36" fillId="0" borderId="0" xfId="6" applyFont="1" applyAlignment="1">
      <alignment vertical="center"/>
    </xf>
    <xf numFmtId="186" fontId="37" fillId="0" borderId="20" xfId="6" applyNumberFormat="1" applyFont="1" applyBorder="1" applyAlignment="1">
      <alignment horizontal="center" vertical="center"/>
    </xf>
    <xf numFmtId="0" fontId="37" fillId="0" borderId="21" xfId="9" applyFont="1" applyBorder="1" applyAlignment="1">
      <alignment vertical="center"/>
    </xf>
    <xf numFmtId="186" fontId="37" fillId="0" borderId="22" xfId="6" applyNumberFormat="1" applyFont="1" applyBorder="1" applyAlignment="1" applyProtection="1">
      <alignment horizontal="left" vertical="center"/>
      <protection locked="0"/>
    </xf>
    <xf numFmtId="0" fontId="24" fillId="0" borderId="21" xfId="9" applyFont="1" applyBorder="1" applyAlignment="1">
      <alignment horizontal="center" vertical="center"/>
    </xf>
    <xf numFmtId="187" fontId="24" fillId="0" borderId="21" xfId="6" applyNumberFormat="1" applyFont="1" applyBorder="1" applyAlignment="1" applyProtection="1">
      <alignment vertical="center"/>
      <protection locked="0"/>
    </xf>
    <xf numFmtId="188" fontId="24" fillId="0" borderId="21" xfId="6" applyNumberFormat="1" applyFont="1" applyBorder="1" applyAlignment="1" applyProtection="1">
      <alignment horizontal="right" vertical="center"/>
      <protection locked="0"/>
    </xf>
    <xf numFmtId="188" fontId="24" fillId="0" borderId="23" xfId="6" applyNumberFormat="1" applyFont="1" applyBorder="1" applyAlignment="1">
      <alignment horizontal="right" vertical="center"/>
    </xf>
    <xf numFmtId="189" fontId="24" fillId="0" borderId="23" xfId="6" applyNumberFormat="1" applyFont="1" applyBorder="1" applyAlignment="1">
      <alignment horizontal="right" vertical="center"/>
    </xf>
    <xf numFmtId="186" fontId="37" fillId="2" borderId="21" xfId="6" applyNumberFormat="1" applyFont="1" applyFill="1" applyBorder="1" applyAlignment="1" applyProtection="1">
      <alignment horizontal="left" vertical="center"/>
      <protection locked="0"/>
    </xf>
    <xf numFmtId="187" fontId="24" fillId="2" borderId="24" xfId="6" applyNumberFormat="1" applyFont="1" applyFill="1" applyBorder="1" applyAlignment="1" applyProtection="1">
      <alignment vertical="center"/>
      <protection locked="0"/>
    </xf>
    <xf numFmtId="188" fontId="24" fillId="2" borderId="23" xfId="6" applyNumberFormat="1" applyFont="1" applyFill="1" applyBorder="1" applyAlignment="1">
      <alignment horizontal="right" vertical="center"/>
    </xf>
    <xf numFmtId="189" fontId="24" fillId="2" borderId="23" xfId="6" applyNumberFormat="1" applyFont="1" applyFill="1" applyBorder="1" applyAlignment="1">
      <alignment horizontal="right" vertical="center"/>
    </xf>
    <xf numFmtId="186" fontId="37" fillId="0" borderId="21" xfId="6" applyNumberFormat="1" applyFont="1" applyBorder="1" applyAlignment="1" applyProtection="1">
      <alignment horizontal="left" vertical="center"/>
      <protection locked="0"/>
    </xf>
    <xf numFmtId="188" fontId="24" fillId="0" borderId="25" xfId="6" applyNumberFormat="1" applyFont="1" applyBorder="1" applyAlignment="1" applyProtection="1">
      <alignment horizontal="right" vertical="center"/>
      <protection locked="0"/>
    </xf>
    <xf numFmtId="188" fontId="24" fillId="0" borderId="26" xfId="6" applyNumberFormat="1" applyFont="1" applyBorder="1" applyAlignment="1">
      <alignment horizontal="right" vertical="center"/>
    </xf>
    <xf numFmtId="189" fontId="24" fillId="0" borderId="26" xfId="6" applyNumberFormat="1" applyFont="1" applyBorder="1" applyAlignment="1">
      <alignment horizontal="right" vertical="center"/>
    </xf>
    <xf numFmtId="186" fontId="37" fillId="0" borderId="27" xfId="6" applyNumberFormat="1" applyFont="1" applyBorder="1" applyAlignment="1" applyProtection="1">
      <alignment horizontal="left" vertical="center"/>
      <protection locked="0"/>
    </xf>
    <xf numFmtId="187" fontId="24" fillId="0" borderId="27" xfId="6" applyNumberFormat="1" applyFont="1" applyBorder="1" applyAlignment="1" applyProtection="1">
      <alignment vertical="center"/>
      <protection locked="0"/>
    </xf>
    <xf numFmtId="188" fontId="24" fillId="0" borderId="27" xfId="6" applyNumberFormat="1" applyFont="1" applyBorder="1" applyAlignment="1" applyProtection="1">
      <alignment horizontal="right" vertical="center"/>
      <protection locked="0"/>
    </xf>
    <xf numFmtId="188" fontId="24" fillId="0" borderId="28" xfId="6" applyNumberFormat="1" applyFont="1" applyBorder="1" applyAlignment="1">
      <alignment horizontal="right" vertical="center"/>
    </xf>
    <xf numFmtId="189" fontId="24" fillId="0" borderId="28" xfId="6" applyNumberFormat="1" applyFont="1" applyBorder="1" applyAlignment="1">
      <alignment horizontal="right" vertical="center"/>
    </xf>
    <xf numFmtId="186" fontId="37" fillId="0" borderId="29" xfId="6" applyNumberFormat="1" applyFont="1" applyBorder="1" applyAlignment="1">
      <alignment horizontal="center" vertical="center"/>
    </xf>
    <xf numFmtId="0" fontId="37" fillId="0" borderId="30" xfId="9" applyFont="1" applyBorder="1" applyAlignment="1">
      <alignment vertical="center"/>
    </xf>
    <xf numFmtId="186" fontId="37" fillId="0" borderId="30" xfId="6" applyNumberFormat="1" applyFont="1" applyBorder="1" applyAlignment="1" applyProtection="1">
      <alignment horizontal="left" vertical="center"/>
      <protection locked="0"/>
    </xf>
    <xf numFmtId="0" fontId="24" fillId="0" borderId="30" xfId="9" applyFont="1" applyBorder="1" applyAlignment="1">
      <alignment horizontal="center" vertical="center"/>
    </xf>
    <xf numFmtId="187" fontId="24" fillId="0" borderId="30" xfId="6" applyNumberFormat="1" applyFont="1" applyBorder="1" applyAlignment="1" applyProtection="1">
      <alignment vertical="center"/>
      <protection locked="0"/>
    </xf>
    <xf numFmtId="188" fontId="24" fillId="0" borderId="30" xfId="6" applyNumberFormat="1" applyFont="1" applyBorder="1" applyAlignment="1" applyProtection="1">
      <alignment horizontal="right" vertical="center"/>
      <protection locked="0"/>
    </xf>
    <xf numFmtId="188" fontId="24" fillId="0" borderId="31" xfId="6" applyNumberFormat="1" applyFont="1" applyBorder="1" applyAlignment="1">
      <alignment horizontal="right" vertical="center"/>
    </xf>
    <xf numFmtId="189" fontId="24" fillId="0" borderId="31" xfId="6" applyNumberFormat="1" applyFont="1" applyBorder="1" applyAlignment="1">
      <alignment horizontal="right" vertical="center"/>
    </xf>
    <xf numFmtId="186" fontId="24" fillId="0" borderId="0" xfId="6" applyNumberFormat="1" applyFont="1" applyAlignment="1">
      <alignment horizontal="center" vertical="center"/>
    </xf>
    <xf numFmtId="0" fontId="23" fillId="0" borderId="0" xfId="0" applyFont="1" applyAlignment="1">
      <alignment vertical="center"/>
    </xf>
    <xf numFmtId="186" fontId="24" fillId="0" borderId="0" xfId="6" applyNumberFormat="1" applyFont="1" applyAlignment="1" applyProtection="1">
      <alignment horizontal="left" vertical="center"/>
      <protection locked="0"/>
    </xf>
    <xf numFmtId="187" fontId="24" fillId="0" borderId="0" xfId="9" applyNumberFormat="1" applyFont="1" applyAlignment="1">
      <alignment vertical="center"/>
    </xf>
    <xf numFmtId="188" fontId="24" fillId="0" borderId="0" xfId="6" applyNumberFormat="1" applyFont="1" applyAlignment="1" applyProtection="1">
      <alignment horizontal="right" vertical="center"/>
      <protection locked="0"/>
    </xf>
    <xf numFmtId="188" fontId="24" fillId="0" borderId="0" xfId="6" applyNumberFormat="1" applyFont="1" applyAlignment="1">
      <alignment horizontal="right" vertical="center"/>
    </xf>
    <xf numFmtId="189" fontId="24" fillId="0" borderId="0" xfId="6" applyNumberFormat="1" applyFont="1" applyAlignment="1">
      <alignment horizontal="right" vertical="center"/>
    </xf>
    <xf numFmtId="186" fontId="37" fillId="0" borderId="32" xfId="6" applyNumberFormat="1" applyFont="1" applyBorder="1" applyAlignment="1">
      <alignment horizontal="center" vertical="center"/>
    </xf>
    <xf numFmtId="186" fontId="37" fillId="0" borderId="33" xfId="6" applyNumberFormat="1" applyFont="1" applyBorder="1" applyAlignment="1">
      <alignment horizontal="center" vertical="center"/>
    </xf>
    <xf numFmtId="0" fontId="37" fillId="0" borderId="34" xfId="9" applyFont="1" applyBorder="1" applyAlignment="1">
      <alignment vertical="center"/>
    </xf>
    <xf numFmtId="186" fontId="37" fillId="0" borderId="34" xfId="6" applyNumberFormat="1" applyFont="1" applyBorder="1" applyAlignment="1" applyProtection="1">
      <alignment horizontal="left" vertical="center"/>
      <protection locked="0"/>
    </xf>
    <xf numFmtId="0" fontId="24" fillId="0" borderId="34" xfId="9" applyFont="1" applyBorder="1" applyAlignment="1">
      <alignment horizontal="center" vertical="center"/>
    </xf>
    <xf numFmtId="187" fontId="24" fillId="0" borderId="34" xfId="6" applyNumberFormat="1" applyFont="1" applyBorder="1" applyAlignment="1" applyProtection="1">
      <alignment vertical="center"/>
      <protection locked="0"/>
    </xf>
    <xf numFmtId="188" fontId="24" fillId="0" borderId="34" xfId="6" applyNumberFormat="1" applyFont="1" applyBorder="1" applyAlignment="1" applyProtection="1">
      <alignment horizontal="right" vertical="center"/>
      <protection locked="0"/>
    </xf>
    <xf numFmtId="188" fontId="24" fillId="0" borderId="35" xfId="6" applyNumberFormat="1" applyFont="1" applyBorder="1" applyAlignment="1">
      <alignment horizontal="right" vertical="center"/>
    </xf>
    <xf numFmtId="189" fontId="24" fillId="0" borderId="35" xfId="6" applyNumberFormat="1" applyFont="1" applyBorder="1" applyAlignment="1">
      <alignment horizontal="right" vertical="center"/>
    </xf>
    <xf numFmtId="186" fontId="37" fillId="2" borderId="30" xfId="6" applyNumberFormat="1" applyFont="1" applyFill="1" applyBorder="1" applyAlignment="1" applyProtection="1">
      <alignment horizontal="left" vertical="center"/>
      <protection locked="0"/>
    </xf>
    <xf numFmtId="187" fontId="24" fillId="2" borderId="36" xfId="6" applyNumberFormat="1" applyFont="1" applyFill="1" applyBorder="1" applyAlignment="1" applyProtection="1">
      <alignment vertical="center"/>
      <protection locked="0"/>
    </xf>
    <xf numFmtId="188" fontId="24" fillId="2" borderId="31" xfId="6" applyNumberFormat="1" applyFont="1" applyFill="1" applyBorder="1" applyAlignment="1">
      <alignment horizontal="right" vertical="center"/>
    </xf>
    <xf numFmtId="189" fontId="24" fillId="2" borderId="31" xfId="6" applyNumberFormat="1" applyFont="1" applyFill="1" applyBorder="1" applyAlignment="1">
      <alignment horizontal="right" vertical="center"/>
    </xf>
    <xf numFmtId="186" fontId="37" fillId="0" borderId="25" xfId="6" applyNumberFormat="1" applyFont="1" applyBorder="1" applyAlignment="1" applyProtection="1">
      <alignment horizontal="left" vertical="center"/>
      <protection locked="0"/>
    </xf>
    <xf numFmtId="186" fontId="37" fillId="2" borderId="32" xfId="6" applyNumberFormat="1" applyFont="1" applyFill="1" applyBorder="1" applyAlignment="1">
      <alignment horizontal="center" vertical="center"/>
    </xf>
    <xf numFmtId="0" fontId="37" fillId="2" borderId="21" xfId="9" applyFont="1" applyFill="1" applyBorder="1" applyAlignment="1">
      <alignment vertical="center"/>
    </xf>
    <xf numFmtId="0" fontId="37" fillId="0" borderId="21" xfId="0" applyFont="1" applyBorder="1" applyAlignment="1">
      <alignment vertical="center"/>
    </xf>
    <xf numFmtId="186" fontId="37" fillId="2" borderId="29" xfId="6" applyNumberFormat="1" applyFont="1" applyFill="1" applyBorder="1" applyAlignment="1">
      <alignment horizontal="center" vertical="center"/>
    </xf>
    <xf numFmtId="0" fontId="37" fillId="0" borderId="30" xfId="0" applyFont="1" applyBorder="1" applyAlignment="1">
      <alignment vertical="center"/>
    </xf>
    <xf numFmtId="186" fontId="24" fillId="2" borderId="0" xfId="6" applyNumberFormat="1" applyFont="1" applyFill="1" applyAlignment="1">
      <alignment horizontal="center" vertical="center"/>
    </xf>
    <xf numFmtId="187" fontId="24" fillId="2" borderId="0" xfId="9" applyNumberFormat="1" applyFont="1" applyFill="1" applyAlignment="1">
      <alignment vertical="center"/>
    </xf>
    <xf numFmtId="188" fontId="24" fillId="2" borderId="0" xfId="6" applyNumberFormat="1" applyFont="1" applyFill="1" applyAlignment="1">
      <alignment horizontal="right" vertical="center"/>
    </xf>
    <xf numFmtId="189" fontId="24" fillId="2" borderId="0" xfId="6" applyNumberFormat="1" applyFont="1" applyFill="1" applyAlignment="1">
      <alignment horizontal="right" vertical="center"/>
    </xf>
    <xf numFmtId="0" fontId="37" fillId="0" borderId="34" xfId="6" applyFont="1" applyBorder="1" applyAlignment="1">
      <alignment vertical="center"/>
    </xf>
    <xf numFmtId="188" fontId="24" fillId="0" borderId="37" xfId="6" applyNumberFormat="1" applyFont="1" applyBorder="1" applyAlignment="1">
      <alignment horizontal="right" vertical="center"/>
    </xf>
    <xf numFmtId="189" fontId="24" fillId="0" borderId="37" xfId="6" applyNumberFormat="1" applyFont="1" applyBorder="1" applyAlignment="1">
      <alignment horizontal="right" vertical="center"/>
    </xf>
    <xf numFmtId="0" fontId="37" fillId="0" borderId="21" xfId="6" applyFont="1" applyBorder="1" applyAlignment="1">
      <alignment vertical="center"/>
    </xf>
    <xf numFmtId="0" fontId="37" fillId="0" borderId="30" xfId="6" applyFont="1" applyBorder="1" applyAlignment="1">
      <alignment vertical="center"/>
    </xf>
    <xf numFmtId="186" fontId="37" fillId="2" borderId="38" xfId="6" applyNumberFormat="1" applyFont="1" applyFill="1" applyBorder="1" applyAlignment="1">
      <alignment horizontal="center" vertical="center"/>
    </xf>
    <xf numFmtId="0" fontId="37" fillId="2" borderId="39" xfId="9" applyFont="1" applyFill="1" applyBorder="1" applyAlignment="1">
      <alignment vertical="center"/>
    </xf>
    <xf numFmtId="0" fontId="37" fillId="2" borderId="39" xfId="6" applyFont="1" applyFill="1" applyBorder="1" applyAlignment="1">
      <alignment vertical="center"/>
    </xf>
    <xf numFmtId="0" fontId="24" fillId="2" borderId="39" xfId="9" applyFont="1" applyFill="1" applyBorder="1" applyAlignment="1">
      <alignment horizontal="center" vertical="center"/>
    </xf>
    <xf numFmtId="173" fontId="24" fillId="2" borderId="39" xfId="8" applyNumberFormat="1" applyFont="1" applyFill="1" applyBorder="1" applyAlignment="1">
      <alignment vertical="center"/>
    </xf>
    <xf numFmtId="188" fontId="24" fillId="0" borderId="39" xfId="6" applyNumberFormat="1" applyFont="1" applyBorder="1" applyAlignment="1">
      <alignment horizontal="right" vertical="center"/>
    </xf>
    <xf numFmtId="188" fontId="24" fillId="2" borderId="40" xfId="6" applyNumberFormat="1" applyFont="1" applyFill="1" applyBorder="1" applyAlignment="1">
      <alignment horizontal="right" vertical="center"/>
    </xf>
    <xf numFmtId="189" fontId="24" fillId="2" borderId="40" xfId="6" applyNumberFormat="1" applyFont="1" applyFill="1" applyBorder="1" applyAlignment="1">
      <alignment horizontal="right" vertical="center"/>
    </xf>
    <xf numFmtId="186" fontId="37" fillId="2" borderId="42" xfId="6" applyNumberFormat="1" applyFont="1" applyFill="1" applyBorder="1" applyAlignment="1">
      <alignment horizontal="center" vertical="center"/>
    </xf>
    <xf numFmtId="0" fontId="37" fillId="2" borderId="43" xfId="9" applyFont="1" applyFill="1" applyBorder="1" applyAlignment="1">
      <alignment vertical="center"/>
    </xf>
    <xf numFmtId="0" fontId="37" fillId="2" borderId="43" xfId="6" applyFont="1" applyFill="1" applyBorder="1" applyAlignment="1">
      <alignment vertical="center"/>
    </xf>
    <xf numFmtId="9" fontId="24" fillId="2" borderId="43" xfId="9" applyNumberFormat="1" applyFont="1" applyFill="1" applyBorder="1" applyAlignment="1">
      <alignment horizontal="center" vertical="center"/>
    </xf>
    <xf numFmtId="173" fontId="24" fillId="2" borderId="43" xfId="8" applyNumberFormat="1" applyFont="1" applyFill="1" applyBorder="1" applyAlignment="1">
      <alignment vertical="center"/>
    </xf>
    <xf numFmtId="188" fontId="24" fillId="0" borderId="43" xfId="6" applyNumberFormat="1" applyFont="1" applyBorder="1" applyAlignment="1">
      <alignment vertical="center"/>
    </xf>
    <xf numFmtId="188" fontId="24" fillId="2" borderId="44" xfId="6" applyNumberFormat="1" applyFont="1" applyFill="1" applyBorder="1" applyAlignment="1">
      <alignment horizontal="right" vertical="center"/>
    </xf>
    <xf numFmtId="189" fontId="24" fillId="2" borderId="44" xfId="6" applyNumberFormat="1" applyFont="1" applyFill="1" applyBorder="1" applyAlignment="1">
      <alignment horizontal="right" vertical="center"/>
    </xf>
    <xf numFmtId="186" fontId="23" fillId="2" borderId="0" xfId="6" applyNumberFormat="1" applyFont="1" applyFill="1" applyAlignment="1">
      <alignment horizontal="center" vertical="center"/>
    </xf>
    <xf numFmtId="186" fontId="23" fillId="2" borderId="0" xfId="0" applyNumberFormat="1" applyFont="1" applyFill="1" applyAlignment="1">
      <alignment horizontal="left" vertical="center"/>
    </xf>
    <xf numFmtId="49" fontId="23" fillId="2" borderId="0" xfId="6" applyNumberFormat="1" applyFont="1" applyFill="1" applyAlignment="1">
      <alignment horizontal="left" vertical="center" wrapText="1"/>
    </xf>
    <xf numFmtId="186" fontId="24" fillId="2" borderId="0" xfId="0" applyNumberFormat="1" applyFont="1" applyFill="1" applyAlignment="1">
      <alignment horizontal="center" vertical="center"/>
    </xf>
    <xf numFmtId="190" fontId="23" fillId="2" borderId="0" xfId="6" applyNumberFormat="1" applyFont="1" applyFill="1" applyAlignment="1">
      <alignment horizontal="right" vertical="center"/>
    </xf>
    <xf numFmtId="185" fontId="23" fillId="2" borderId="0" xfId="6" applyNumberFormat="1" applyFont="1" applyFill="1" applyAlignment="1">
      <alignment horizontal="right" vertical="center"/>
    </xf>
    <xf numFmtId="4" fontId="23" fillId="2" borderId="0" xfId="6" applyNumberFormat="1" applyFont="1" applyFill="1" applyAlignment="1">
      <alignment horizontal="right" vertical="center"/>
    </xf>
    <xf numFmtId="186" fontId="32" fillId="21" borderId="13" xfId="6" applyNumberFormat="1" applyFont="1" applyFill="1" applyBorder="1" applyAlignment="1">
      <alignment horizontal="left" vertical="center"/>
    </xf>
    <xf numFmtId="186" fontId="39" fillId="21" borderId="16" xfId="0" applyNumberFormat="1" applyFont="1" applyFill="1" applyBorder="1" applyAlignment="1">
      <alignment horizontal="left" vertical="center"/>
    </xf>
    <xf numFmtId="49" fontId="39" fillId="21" borderId="16" xfId="6" applyNumberFormat="1" applyFont="1" applyFill="1" applyBorder="1" applyAlignment="1">
      <alignment horizontal="left" vertical="center" wrapText="1"/>
    </xf>
    <xf numFmtId="186" fontId="40" fillId="21" borderId="16" xfId="0" applyNumberFormat="1" applyFont="1" applyFill="1" applyBorder="1" applyAlignment="1">
      <alignment horizontal="center" vertical="center"/>
    </xf>
    <xf numFmtId="190" fontId="39" fillId="21" borderId="16" xfId="6" applyNumberFormat="1" applyFont="1" applyFill="1" applyBorder="1" applyAlignment="1">
      <alignment horizontal="right" vertical="center"/>
    </xf>
    <xf numFmtId="185" fontId="39" fillId="21" borderId="16" xfId="6" applyNumberFormat="1" applyFont="1" applyFill="1" applyBorder="1" applyAlignment="1">
      <alignment horizontal="center" vertical="center"/>
    </xf>
    <xf numFmtId="3" fontId="39" fillId="21" borderId="15" xfId="6" applyNumberFormat="1" applyFont="1" applyFill="1" applyBorder="1" applyAlignment="1">
      <alignment horizontal="right" vertical="center"/>
    </xf>
    <xf numFmtId="0" fontId="39" fillId="21" borderId="16" xfId="6" applyFont="1" applyFill="1" applyBorder="1" applyAlignment="1">
      <alignment horizontal="center" vertical="center"/>
    </xf>
    <xf numFmtId="191" fontId="39" fillId="21" borderId="15" xfId="6" applyNumberFormat="1" applyFont="1" applyFill="1" applyBorder="1" applyAlignment="1">
      <alignment horizontal="right" vertical="center"/>
    </xf>
    <xf numFmtId="0" fontId="37" fillId="2" borderId="0" xfId="6" applyFont="1" applyFill="1" applyAlignment="1">
      <alignment vertical="center"/>
    </xf>
    <xf numFmtId="0" fontId="37" fillId="2" borderId="0" xfId="9" applyFont="1" applyFill="1" applyAlignment="1">
      <alignment vertical="center"/>
    </xf>
    <xf numFmtId="0" fontId="37" fillId="2" borderId="0" xfId="9" applyFont="1" applyFill="1" applyAlignment="1">
      <alignment horizontal="center" vertical="center"/>
    </xf>
    <xf numFmtId="187" fontId="37" fillId="2" borderId="0" xfId="9" applyNumberFormat="1" applyFont="1" applyFill="1" applyAlignment="1">
      <alignment vertical="center"/>
    </xf>
    <xf numFmtId="4" fontId="37" fillId="2" borderId="0" xfId="6" applyNumberFormat="1" applyFont="1" applyFill="1" applyAlignment="1">
      <alignment vertical="center"/>
    </xf>
    <xf numFmtId="0" fontId="37" fillId="2" borderId="0" xfId="0" applyFont="1" applyFill="1" applyAlignment="1">
      <alignment vertical="center"/>
    </xf>
    <xf numFmtId="0" fontId="42" fillId="2" borderId="0" xfId="9" applyFont="1" applyFill="1" applyAlignment="1">
      <alignment vertical="center"/>
    </xf>
    <xf numFmtId="192" fontId="42" fillId="2" borderId="0" xfId="9" applyNumberFormat="1" applyFont="1" applyFill="1" applyAlignment="1">
      <alignment horizontal="left" vertical="center"/>
    </xf>
    <xf numFmtId="0" fontId="42" fillId="2" borderId="0" xfId="6" applyFont="1" applyFill="1" applyAlignment="1">
      <alignment vertical="center"/>
    </xf>
    <xf numFmtId="0" fontId="42" fillId="2" borderId="0" xfId="9" applyFont="1" applyFill="1" applyAlignment="1">
      <alignment horizontal="center" vertical="center"/>
    </xf>
    <xf numFmtId="187" fontId="42" fillId="2" borderId="0" xfId="9" applyNumberFormat="1" applyFont="1" applyFill="1" applyAlignment="1">
      <alignment vertical="center"/>
    </xf>
    <xf numFmtId="14" fontId="37" fillId="2" borderId="0" xfId="6" applyNumberFormat="1" applyFont="1" applyFill="1" applyAlignment="1">
      <alignment horizontal="left" vertical="center"/>
    </xf>
    <xf numFmtId="14" fontId="42" fillId="2" borderId="0" xfId="6" applyNumberFormat="1" applyFont="1" applyFill="1" applyAlignment="1">
      <alignment horizontal="left" vertical="center"/>
    </xf>
    <xf numFmtId="186" fontId="24" fillId="2" borderId="0" xfId="6" applyNumberFormat="1" applyFont="1" applyFill="1" applyAlignment="1">
      <alignment horizontal="right" vertical="center"/>
    </xf>
    <xf numFmtId="0" fontId="23" fillId="2" borderId="0" xfId="9" applyFont="1" applyFill="1" applyAlignment="1">
      <alignment vertical="center"/>
    </xf>
    <xf numFmtId="0" fontId="24" fillId="2" borderId="0" xfId="9" applyFont="1" applyFill="1" applyAlignment="1">
      <alignment horizontal="center" vertical="center"/>
    </xf>
    <xf numFmtId="4" fontId="24" fillId="2" borderId="0" xfId="6" applyNumberFormat="1" applyFont="1" applyFill="1" applyAlignment="1">
      <alignment vertical="center"/>
    </xf>
    <xf numFmtId="4" fontId="29" fillId="2" borderId="0" xfId="6" applyNumberFormat="1" applyFont="1" applyFill="1" applyAlignment="1">
      <alignment vertical="center"/>
    </xf>
    <xf numFmtId="0" fontId="37" fillId="2" borderId="0" xfId="6" applyFont="1" applyFill="1" applyAlignment="1">
      <alignment horizontal="center" vertical="center"/>
    </xf>
    <xf numFmtId="0" fontId="38" fillId="2" borderId="0" xfId="0" applyFont="1" applyFill="1" applyAlignment="1">
      <alignment vertical="center"/>
    </xf>
    <xf numFmtId="191" fontId="24" fillId="2" borderId="39" xfId="8" applyNumberFormat="1" applyFont="1" applyFill="1" applyBorder="1" applyAlignment="1">
      <alignment vertical="center"/>
    </xf>
    <xf numFmtId="0" fontId="23" fillId="9" borderId="0" xfId="6" applyFont="1" applyFill="1" applyAlignment="1">
      <alignment vertical="center"/>
    </xf>
    <xf numFmtId="0" fontId="43" fillId="9" borderId="0" xfId="6" applyFont="1" applyFill="1" applyAlignment="1">
      <alignment vertical="center"/>
    </xf>
    <xf numFmtId="0" fontId="0" fillId="9" borderId="0" xfId="0" applyFill="1"/>
    <xf numFmtId="0" fontId="0" fillId="17" borderId="0" xfId="0" applyFill="1"/>
    <xf numFmtId="183" fontId="0" fillId="17" borderId="0" xfId="0" applyNumberFormat="1" applyFill="1"/>
    <xf numFmtId="183" fontId="0" fillId="22" borderId="0" xfId="0" applyNumberFormat="1" applyFill="1"/>
    <xf numFmtId="181" fontId="0" fillId="22" borderId="45" xfId="0" applyNumberFormat="1" applyFill="1" applyBorder="1"/>
    <xf numFmtId="166" fontId="0" fillId="22" borderId="46" xfId="0" applyNumberFormat="1" applyFill="1" applyBorder="1"/>
    <xf numFmtId="0" fontId="0" fillId="22" borderId="0" xfId="0" applyFill="1"/>
    <xf numFmtId="183" fontId="0" fillId="22" borderId="47" xfId="0" applyNumberFormat="1" applyFill="1" applyBorder="1"/>
    <xf numFmtId="9" fontId="22" fillId="22" borderId="0" xfId="0" applyNumberFormat="1" applyFont="1" applyFill="1" applyAlignment="1">
      <alignment horizontal="center" vertical="center"/>
    </xf>
    <xf numFmtId="0" fontId="0" fillId="17" borderId="48" xfId="0" applyFill="1" applyBorder="1"/>
    <xf numFmtId="183" fontId="0" fillId="17" borderId="49" xfId="0" applyNumberFormat="1" applyFill="1" applyBorder="1"/>
    <xf numFmtId="0" fontId="2" fillId="22" borderId="51" xfId="0" applyFont="1" applyFill="1" applyBorder="1"/>
    <xf numFmtId="0" fontId="0" fillId="22" borderId="52" xfId="0" applyFill="1" applyBorder="1"/>
    <xf numFmtId="0" fontId="2" fillId="22" borderId="52" xfId="0" applyFont="1" applyFill="1" applyBorder="1"/>
    <xf numFmtId="0" fontId="2" fillId="17" borderId="50" xfId="0" applyFont="1" applyFill="1" applyBorder="1"/>
    <xf numFmtId="0" fontId="0" fillId="22" borderId="4" xfId="0" applyFill="1" applyBorder="1" applyAlignment="1">
      <alignment horizontal="center" wrapText="1"/>
    </xf>
    <xf numFmtId="183" fontId="0" fillId="22" borderId="4" xfId="0" applyNumberFormat="1" applyFill="1" applyBorder="1" applyAlignment="1">
      <alignment horizontal="center" vertical="center"/>
    </xf>
    <xf numFmtId="183" fontId="0" fillId="0" borderId="4" xfId="0" applyNumberFormat="1" applyBorder="1" applyAlignment="1">
      <alignment horizontal="center" vertical="center"/>
    </xf>
    <xf numFmtId="166" fontId="0" fillId="2" borderId="0" xfId="0" applyNumberFormat="1" applyFill="1" applyAlignment="1">
      <alignment vertical="center"/>
    </xf>
    <xf numFmtId="166" fontId="0" fillId="2" borderId="11" xfId="0" applyNumberFormat="1" applyFill="1" applyBorder="1" applyAlignment="1">
      <alignment vertical="center"/>
    </xf>
    <xf numFmtId="182" fontId="2" fillId="0" borderId="1" xfId="1" applyNumberFormat="1" applyFont="1" applyFill="1" applyBorder="1"/>
    <xf numFmtId="0" fontId="7" fillId="0" borderId="0" xfId="0" applyFont="1"/>
    <xf numFmtId="165" fontId="2" fillId="0" borderId="0" xfId="1" applyNumberFormat="1" applyFont="1" applyFill="1" applyBorder="1"/>
    <xf numFmtId="0" fontId="0" fillId="0" borderId="6" xfId="0" applyBorder="1"/>
    <xf numFmtId="183" fontId="0" fillId="0" borderId="8" xfId="0" applyNumberFormat="1" applyBorder="1"/>
    <xf numFmtId="166" fontId="0" fillId="0" borderId="1" xfId="0" applyNumberFormat="1" applyBorder="1"/>
    <xf numFmtId="0" fontId="2" fillId="17" borderId="0" xfId="0" applyFont="1" applyFill="1"/>
    <xf numFmtId="168" fontId="6" fillId="17" borderId="0" xfId="0" applyNumberFormat="1" applyFont="1" applyFill="1" applyAlignment="1">
      <alignment horizontal="left" wrapText="1"/>
    </xf>
    <xf numFmtId="168" fontId="0" fillId="17" borderId="0" xfId="0" applyNumberFormat="1" applyFill="1"/>
    <xf numFmtId="169" fontId="0" fillId="17" borderId="0" xfId="1" applyNumberFormat="1" applyFont="1" applyFill="1"/>
    <xf numFmtId="44" fontId="0" fillId="17" borderId="0" xfId="0" applyNumberFormat="1" applyFill="1"/>
    <xf numFmtId="174" fontId="0" fillId="17" borderId="0" xfId="1" applyNumberFormat="1" applyFont="1" applyFill="1"/>
    <xf numFmtId="9" fontId="0" fillId="17" borderId="0" xfId="3" applyFont="1" applyFill="1" applyBorder="1" applyAlignment="1">
      <alignment horizontal="center"/>
    </xf>
    <xf numFmtId="183" fontId="0" fillId="17" borderId="8" xfId="0" applyNumberFormat="1" applyFill="1" applyBorder="1"/>
    <xf numFmtId="194" fontId="0" fillId="17" borderId="1" xfId="0" applyNumberFormat="1" applyFill="1" applyBorder="1"/>
    <xf numFmtId="193" fontId="0" fillId="17" borderId="0" xfId="0" applyNumberFormat="1" applyFill="1"/>
    <xf numFmtId="0" fontId="11" fillId="0" borderId="0" xfId="0" applyFont="1" applyAlignment="1">
      <alignment vertical="top" wrapText="1"/>
    </xf>
    <xf numFmtId="0" fontId="11" fillId="0" borderId="0" xfId="0" applyFont="1"/>
    <xf numFmtId="0" fontId="10" fillId="0" borderId="0" xfId="0" applyFont="1" applyAlignment="1">
      <alignment horizontal="center"/>
    </xf>
    <xf numFmtId="0" fontId="11" fillId="0" borderId="0" xfId="0" applyFont="1" applyAlignment="1">
      <alignment horizontal="left" vertical="center" wrapText="1"/>
    </xf>
    <xf numFmtId="171" fontId="11" fillId="0" borderId="0" xfId="0" applyNumberFormat="1" applyFont="1" applyAlignment="1">
      <alignment horizontal="right" vertical="center" wrapText="1"/>
    </xf>
    <xf numFmtId="0" fontId="12" fillId="0" borderId="0" xfId="0" applyFont="1" applyAlignment="1">
      <alignment vertical="center"/>
    </xf>
    <xf numFmtId="172" fontId="11" fillId="0" borderId="0" xfId="7" applyNumberFormat="1" applyFont="1" applyFill="1" applyAlignment="1">
      <alignment horizontal="right" vertical="center"/>
    </xf>
    <xf numFmtId="173" fontId="11" fillId="0" borderId="0" xfId="8" applyNumberFormat="1" applyFont="1" applyFill="1" applyAlignment="1">
      <alignment horizontal="right" vertical="center"/>
    </xf>
    <xf numFmtId="186" fontId="33" fillId="23" borderId="13" xfId="6" applyNumberFormat="1" applyFont="1" applyFill="1" applyBorder="1" applyAlignment="1">
      <alignment horizontal="center" vertical="center"/>
    </xf>
    <xf numFmtId="186" fontId="33" fillId="23" borderId="16" xfId="0" applyNumberFormat="1" applyFont="1" applyFill="1" applyBorder="1" applyAlignment="1">
      <alignment horizontal="left" vertical="center"/>
    </xf>
    <xf numFmtId="186" fontId="34" fillId="23" borderId="16" xfId="6" applyNumberFormat="1" applyFont="1" applyFill="1" applyBorder="1" applyAlignment="1" applyProtection="1">
      <alignment horizontal="left" vertical="center"/>
      <protection locked="0"/>
    </xf>
    <xf numFmtId="0" fontId="34" fillId="23" borderId="16" xfId="9" applyFont="1" applyFill="1" applyBorder="1" applyAlignment="1">
      <alignment horizontal="center" vertical="center"/>
    </xf>
    <xf numFmtId="187" fontId="34" fillId="23" borderId="16" xfId="9" applyNumberFormat="1" applyFont="1" applyFill="1" applyBorder="1" applyAlignment="1">
      <alignment vertical="center"/>
    </xf>
    <xf numFmtId="187" fontId="34" fillId="23" borderId="16" xfId="6" applyNumberFormat="1" applyFont="1" applyFill="1" applyBorder="1" applyAlignment="1" applyProtection="1">
      <alignment horizontal="right" vertical="center"/>
      <protection locked="0"/>
    </xf>
    <xf numFmtId="188" fontId="33" fillId="23" borderId="15" xfId="6" applyNumberFormat="1" applyFont="1" applyFill="1" applyBorder="1" applyAlignment="1" applyProtection="1">
      <alignment horizontal="right" vertical="center"/>
      <protection locked="0"/>
    </xf>
    <xf numFmtId="189" fontId="33" fillId="23" borderId="15" xfId="6" applyNumberFormat="1" applyFont="1" applyFill="1" applyBorder="1" applyAlignment="1" applyProtection="1">
      <alignment horizontal="right" vertical="center"/>
      <protection locked="0"/>
    </xf>
    <xf numFmtId="0" fontId="36" fillId="23" borderId="0" xfId="6" applyFont="1" applyFill="1" applyAlignment="1">
      <alignment vertical="center"/>
    </xf>
    <xf numFmtId="186" fontId="33" fillId="23" borderId="16" xfId="6" applyNumberFormat="1" applyFont="1" applyFill="1" applyBorder="1" applyAlignment="1" applyProtection="1">
      <alignment horizontal="left" vertical="center"/>
      <protection locked="0"/>
    </xf>
    <xf numFmtId="186" fontId="33" fillId="23" borderId="16" xfId="0" applyNumberFormat="1" applyFont="1" applyFill="1" applyBorder="1" applyAlignment="1">
      <alignment horizontal="center" vertical="center"/>
    </xf>
    <xf numFmtId="187" fontId="33" fillId="23" borderId="16" xfId="6" applyNumberFormat="1" applyFont="1" applyFill="1" applyBorder="1" applyAlignment="1">
      <alignment vertical="center"/>
    </xf>
    <xf numFmtId="188" fontId="33" fillId="23" borderId="16" xfId="6" applyNumberFormat="1" applyFont="1" applyFill="1" applyBorder="1" applyAlignment="1" applyProtection="1">
      <alignment horizontal="right" vertical="center"/>
      <protection locked="0"/>
    </xf>
    <xf numFmtId="0" fontId="38" fillId="23" borderId="0" xfId="6" applyFont="1" applyFill="1" applyAlignment="1">
      <alignment vertical="center"/>
    </xf>
    <xf numFmtId="0" fontId="33" fillId="23" borderId="16" xfId="9" applyFont="1" applyFill="1" applyBorder="1" applyAlignment="1">
      <alignment horizontal="center" vertical="center"/>
    </xf>
    <xf numFmtId="187" fontId="33" fillId="23" borderId="16" xfId="9" applyNumberFormat="1" applyFont="1" applyFill="1" applyBorder="1" applyAlignment="1">
      <alignment vertical="center"/>
    </xf>
    <xf numFmtId="0" fontId="33" fillId="23" borderId="16" xfId="6" applyFont="1" applyFill="1" applyBorder="1" applyAlignment="1">
      <alignment vertical="center"/>
    </xf>
    <xf numFmtId="0" fontId="33" fillId="23" borderId="16" xfId="0" applyFont="1" applyFill="1" applyBorder="1" applyAlignment="1">
      <alignment horizontal="center" vertical="center"/>
    </xf>
    <xf numFmtId="188" fontId="33" fillId="23" borderId="16" xfId="6" applyNumberFormat="1" applyFont="1" applyFill="1" applyBorder="1" applyAlignment="1">
      <alignment horizontal="right" vertical="center"/>
    </xf>
    <xf numFmtId="188" fontId="33" fillId="23" borderId="15" xfId="6" applyNumberFormat="1" applyFont="1" applyFill="1" applyBorder="1" applyAlignment="1">
      <alignment horizontal="right" vertical="center"/>
    </xf>
    <xf numFmtId="189" fontId="33" fillId="23" borderId="15" xfId="6" applyNumberFormat="1" applyFont="1" applyFill="1" applyBorder="1" applyAlignment="1">
      <alignment horizontal="right" vertical="center"/>
    </xf>
    <xf numFmtId="0" fontId="33" fillId="23" borderId="41" xfId="9" applyFont="1" applyFill="1" applyBorder="1" applyAlignment="1">
      <alignment vertical="center"/>
    </xf>
    <xf numFmtId="0" fontId="33" fillId="23" borderId="41" xfId="6" applyFont="1" applyFill="1" applyBorder="1" applyAlignment="1">
      <alignment vertical="center"/>
    </xf>
    <xf numFmtId="0" fontId="33" fillId="23" borderId="41" xfId="0" applyFont="1" applyFill="1" applyBorder="1" applyAlignment="1">
      <alignment horizontal="center" vertical="center"/>
    </xf>
    <xf numFmtId="188" fontId="33" fillId="23" borderId="41" xfId="6" applyNumberFormat="1" applyFont="1" applyFill="1" applyBorder="1" applyAlignment="1">
      <alignment vertical="center"/>
    </xf>
    <xf numFmtId="188" fontId="33" fillId="23" borderId="17" xfId="6" applyNumberFormat="1" applyFont="1" applyFill="1" applyBorder="1" applyAlignment="1">
      <alignment horizontal="right" vertical="center"/>
    </xf>
    <xf numFmtId="189" fontId="33" fillId="23" borderId="17" xfId="6" applyNumberFormat="1" applyFont="1" applyFill="1" applyBorder="1" applyAlignment="1">
      <alignment horizontal="right" vertical="center"/>
    </xf>
    <xf numFmtId="0" fontId="23" fillId="23" borderId="0" xfId="6" applyFont="1" applyFill="1" applyAlignment="1">
      <alignment vertical="center"/>
    </xf>
    <xf numFmtId="0" fontId="0" fillId="23" borderId="0" xfId="0" applyFill="1"/>
    <xf numFmtId="195" fontId="0" fillId="2" borderId="0" xfId="0" applyNumberFormat="1" applyFill="1"/>
    <xf numFmtId="171" fontId="11" fillId="9" borderId="0" xfId="0" applyNumberFormat="1" applyFont="1" applyFill="1" applyAlignment="1">
      <alignment horizontal="right" vertical="center" wrapText="1"/>
    </xf>
    <xf numFmtId="0" fontId="16" fillId="15" borderId="13" xfId="0" applyFont="1" applyFill="1" applyBorder="1" applyAlignment="1">
      <alignment horizontal="center" vertical="center"/>
    </xf>
    <xf numFmtId="0" fontId="16" fillId="15" borderId="15" xfId="0" applyFont="1" applyFill="1" applyBorder="1" applyAlignment="1">
      <alignment horizontal="center" vertical="center"/>
    </xf>
    <xf numFmtId="0" fontId="3" fillId="0" borderId="0" xfId="0" applyFont="1" applyAlignment="1">
      <alignment horizontal="right"/>
    </xf>
    <xf numFmtId="0" fontId="2" fillId="10" borderId="0" xfId="0" applyFont="1" applyFill="1" applyAlignment="1">
      <alignment horizontal="center"/>
    </xf>
    <xf numFmtId="0" fontId="15" fillId="2" borderId="0" xfId="0" applyFont="1" applyFill="1" applyAlignment="1">
      <alignment horizontal="center"/>
    </xf>
    <xf numFmtId="0" fontId="0" fillId="2" borderId="8" xfId="0" applyFill="1" applyBorder="1" applyAlignment="1">
      <alignment horizontal="left" vertical="center" wrapText="1"/>
    </xf>
    <xf numFmtId="0" fontId="0" fillId="2" borderId="1" xfId="0" applyFill="1" applyBorder="1" applyAlignment="1">
      <alignment horizontal="left" vertical="center" wrapText="1"/>
    </xf>
    <xf numFmtId="0" fontId="16" fillId="15" borderId="16" xfId="0" applyFont="1" applyFill="1" applyBorder="1" applyAlignment="1">
      <alignment horizontal="center" vertical="center"/>
    </xf>
    <xf numFmtId="0" fontId="16" fillId="14" borderId="13" xfId="0" applyFont="1" applyFill="1" applyBorder="1" applyAlignment="1">
      <alignment horizontal="center" vertical="center"/>
    </xf>
    <xf numFmtId="0" fontId="16" fillId="14" borderId="16" xfId="0" applyFont="1" applyFill="1" applyBorder="1" applyAlignment="1">
      <alignment horizontal="center" vertical="center"/>
    </xf>
    <xf numFmtId="0" fontId="16" fillId="14" borderId="15" xfId="0" applyFont="1" applyFill="1" applyBorder="1" applyAlignment="1">
      <alignment horizontal="center" vertical="center"/>
    </xf>
    <xf numFmtId="0" fontId="16" fillId="19" borderId="13" xfId="0" applyFont="1" applyFill="1" applyBorder="1" applyAlignment="1">
      <alignment horizontal="center" vertical="center"/>
    </xf>
    <xf numFmtId="0" fontId="16" fillId="19" borderId="16" xfId="0" applyFont="1" applyFill="1" applyBorder="1" applyAlignment="1">
      <alignment horizontal="center" vertical="center"/>
    </xf>
    <xf numFmtId="0" fontId="16" fillId="19" borderId="15" xfId="0" applyFont="1" applyFill="1" applyBorder="1" applyAlignment="1">
      <alignment horizontal="center" vertical="center"/>
    </xf>
    <xf numFmtId="0" fontId="11" fillId="0" borderId="0" xfId="0" applyFont="1" applyAlignment="1">
      <alignment horizontal="left" vertical="top" wrapText="1"/>
    </xf>
    <xf numFmtId="0" fontId="9" fillId="0" borderId="0" xfId="0" applyFont="1" applyAlignment="1">
      <alignment horizontal="center" vertical="top" wrapText="1"/>
    </xf>
    <xf numFmtId="183" fontId="0" fillId="0" borderId="0" xfId="0" applyNumberFormat="1" applyAlignment="1">
      <alignment horizontal="center"/>
    </xf>
    <xf numFmtId="183" fontId="0" fillId="0" borderId="0" xfId="0" applyNumberFormat="1" applyAlignment="1">
      <alignment horizontal="center" vertical="center"/>
    </xf>
    <xf numFmtId="0" fontId="0" fillId="8" borderId="13" xfId="0" applyFill="1" applyBorder="1" applyAlignment="1">
      <alignment horizontal="center" vertical="center" wrapText="1"/>
    </xf>
    <xf numFmtId="0" fontId="0" fillId="8" borderId="16" xfId="0" applyFill="1" applyBorder="1" applyAlignment="1">
      <alignment horizontal="center" vertical="center" wrapText="1"/>
    </xf>
    <xf numFmtId="0" fontId="0" fillId="8" borderId="15" xfId="0" applyFill="1" applyBorder="1" applyAlignment="1">
      <alignment horizontal="center" vertical="center" wrapText="1"/>
    </xf>
    <xf numFmtId="0" fontId="0" fillId="8" borderId="4" xfId="0" applyFill="1" applyBorder="1" applyAlignment="1">
      <alignment horizontal="center" vertical="center" wrapText="1"/>
    </xf>
    <xf numFmtId="0" fontId="0" fillId="0" borderId="4" xfId="0" applyBorder="1" applyAlignment="1">
      <alignment horizontal="center" vertical="center" wrapText="1"/>
    </xf>
    <xf numFmtId="0" fontId="0" fillId="16" borderId="4" xfId="0" applyFill="1" applyBorder="1" applyAlignment="1">
      <alignment horizontal="center" vertical="center" wrapText="1"/>
    </xf>
    <xf numFmtId="0" fontId="0" fillId="17" borderId="4" xfId="0" applyFill="1" applyBorder="1" applyAlignment="1">
      <alignment horizontal="center" vertical="center" wrapText="1"/>
    </xf>
    <xf numFmtId="0" fontId="17" fillId="18" borderId="4" xfId="0" applyFont="1" applyFill="1" applyBorder="1" applyAlignment="1">
      <alignment horizontal="center" vertical="center" wrapText="1"/>
    </xf>
    <xf numFmtId="9" fontId="0" fillId="5" borderId="5" xfId="3" applyFont="1" applyFill="1" applyBorder="1" applyAlignment="1">
      <alignment horizontal="center" vertical="center"/>
    </xf>
    <xf numFmtId="9" fontId="0" fillId="5" borderId="6" xfId="3" applyFont="1" applyFill="1" applyBorder="1" applyAlignment="1">
      <alignment horizontal="center" vertical="center"/>
    </xf>
    <xf numFmtId="9" fontId="0" fillId="5" borderId="7" xfId="3" applyFont="1" applyFill="1" applyBorder="1" applyAlignment="1">
      <alignment horizontal="center" vertical="center"/>
    </xf>
    <xf numFmtId="170" fontId="0" fillId="5" borderId="5" xfId="2" applyNumberFormat="1" applyFont="1" applyFill="1" applyBorder="1" applyAlignment="1">
      <alignment horizontal="center" vertical="center"/>
    </xf>
    <xf numFmtId="170" fontId="0" fillId="5" borderId="6" xfId="2" applyNumberFormat="1" applyFont="1" applyFill="1" applyBorder="1" applyAlignment="1">
      <alignment horizontal="center" vertical="center"/>
    </xf>
    <xf numFmtId="170" fontId="0" fillId="5" borderId="7" xfId="2" applyNumberFormat="1" applyFont="1" applyFill="1" applyBorder="1" applyAlignment="1">
      <alignment horizontal="center" vertical="center"/>
    </xf>
    <xf numFmtId="9" fontId="0" fillId="7" borderId="5" xfId="3" applyFont="1" applyFill="1" applyBorder="1" applyAlignment="1">
      <alignment horizontal="center" vertical="center"/>
    </xf>
    <xf numFmtId="9" fontId="0" fillId="7" borderId="7" xfId="3" applyFont="1" applyFill="1" applyBorder="1" applyAlignment="1">
      <alignment horizontal="center" vertical="center"/>
    </xf>
    <xf numFmtId="0" fontId="0" fillId="7" borderId="5" xfId="0" applyFill="1" applyBorder="1" applyAlignment="1">
      <alignment horizontal="center" vertical="center"/>
    </xf>
    <xf numFmtId="0" fontId="0" fillId="7" borderId="7" xfId="0" applyFill="1" applyBorder="1" applyAlignment="1">
      <alignment horizontal="center" vertical="center"/>
    </xf>
    <xf numFmtId="9" fontId="0" fillId="8" borderId="5" xfId="3" applyFont="1" applyFill="1" applyBorder="1" applyAlignment="1">
      <alignment horizontal="center" vertical="center"/>
    </xf>
    <xf numFmtId="9" fontId="0" fillId="8" borderId="7" xfId="3" applyFont="1" applyFill="1" applyBorder="1" applyAlignment="1">
      <alignment horizontal="center" vertical="center"/>
    </xf>
    <xf numFmtId="0" fontId="0" fillId="8" borderId="5" xfId="0" applyFill="1" applyBorder="1" applyAlignment="1">
      <alignment horizontal="center" vertical="center"/>
    </xf>
    <xf numFmtId="0" fontId="0" fillId="8" borderId="7" xfId="0"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9" fontId="0" fillId="4" borderId="5" xfId="3" applyFont="1" applyFill="1" applyBorder="1" applyAlignment="1">
      <alignment horizontal="center" vertical="center"/>
    </xf>
    <xf numFmtId="9" fontId="0" fillId="4" borderId="7" xfId="3" applyFont="1" applyFill="1" applyBorder="1" applyAlignment="1">
      <alignment horizontal="center" vertical="center"/>
    </xf>
    <xf numFmtId="0" fontId="0" fillId="4" borderId="5" xfId="0" applyFill="1" applyBorder="1" applyAlignment="1">
      <alignment horizontal="center" vertical="center"/>
    </xf>
    <xf numFmtId="0" fontId="0" fillId="4" borderId="7" xfId="0" applyFill="1" applyBorder="1" applyAlignment="1">
      <alignment horizontal="center" vertical="center"/>
    </xf>
    <xf numFmtId="183" fontId="17" fillId="18" borderId="0" xfId="0" applyNumberFormat="1" applyFont="1" applyFill="1" applyAlignment="1">
      <alignment horizontal="center" vertical="center"/>
    </xf>
    <xf numFmtId="183" fontId="6" fillId="0" borderId="0" xfId="0" applyNumberFormat="1" applyFont="1" applyAlignment="1">
      <alignment horizontal="center" vertical="center"/>
    </xf>
    <xf numFmtId="0" fontId="37" fillId="2" borderId="0" xfId="0" applyFont="1" applyFill="1" applyAlignment="1">
      <alignment horizontal="center" vertical="center" wrapText="1"/>
    </xf>
    <xf numFmtId="0" fontId="37" fillId="2" borderId="0" xfId="0" applyFont="1" applyFill="1" applyAlignment="1">
      <alignment horizontal="left" vertical="center" wrapText="1"/>
    </xf>
    <xf numFmtId="185" fontId="31" fillId="21" borderId="8" xfId="0" applyNumberFormat="1" applyFont="1" applyFill="1" applyBorder="1" applyAlignment="1">
      <alignment horizontal="center" vertical="center"/>
    </xf>
    <xf numFmtId="185" fontId="31" fillId="21" borderId="0" xfId="0" applyNumberFormat="1" applyFont="1" applyFill="1" applyAlignment="1">
      <alignment horizontal="center" vertical="center"/>
    </xf>
    <xf numFmtId="185" fontId="31" fillId="21" borderId="4" xfId="0" applyNumberFormat="1" applyFont="1" applyFill="1" applyBorder="1" applyAlignment="1">
      <alignment horizontal="center" vertical="center"/>
    </xf>
    <xf numFmtId="0" fontId="32" fillId="21" borderId="4" xfId="0" applyFont="1" applyFill="1" applyBorder="1" applyAlignment="1">
      <alignment horizontal="center" vertical="center"/>
    </xf>
    <xf numFmtId="185" fontId="31" fillId="21" borderId="5" xfId="0" applyNumberFormat="1" applyFont="1" applyFill="1" applyBorder="1" applyAlignment="1">
      <alignment horizontal="center" vertical="center"/>
    </xf>
    <xf numFmtId="185" fontId="31" fillId="21" borderId="7" xfId="0" applyNumberFormat="1" applyFont="1" applyFill="1" applyBorder="1" applyAlignment="1">
      <alignment horizontal="center" vertical="center"/>
    </xf>
    <xf numFmtId="0" fontId="10" fillId="0" borderId="0" xfId="0" applyFont="1" applyAlignment="1">
      <alignment horizontal="center"/>
    </xf>
    <xf numFmtId="0" fontId="10" fillId="9" borderId="0" xfId="0" applyFont="1" applyFill="1" applyAlignment="1">
      <alignment horizontal="center" vertical="top" wrapText="1"/>
    </xf>
    <xf numFmtId="0" fontId="10" fillId="9" borderId="0" xfId="0" applyFont="1" applyFill="1" applyAlignment="1">
      <alignment horizontal="center" vertical="center" wrapText="1"/>
    </xf>
    <xf numFmtId="171" fontId="11" fillId="9" borderId="0" xfId="0" applyNumberFormat="1" applyFont="1" applyFill="1" applyAlignment="1">
      <alignment horizontal="right" vertical="top" wrapText="1"/>
    </xf>
    <xf numFmtId="171" fontId="12" fillId="9" borderId="0" xfId="0" applyNumberFormat="1" applyFont="1" applyFill="1"/>
    <xf numFmtId="0" fontId="12" fillId="9" borderId="0" xfId="0" applyFont="1" applyFill="1"/>
  </cellXfs>
  <cellStyles count="10">
    <cellStyle name="Comma" xfId="2" builtinId="3"/>
    <cellStyle name="Comma 2" xfId="7" xr:uid="{47B5DC13-9998-4B8E-BB71-F8E81EB9428E}"/>
    <cellStyle name="Comma 30" xfId="4" xr:uid="{AABA075E-21BC-475A-A265-2F0610C181ED}"/>
    <cellStyle name="Currency" xfId="1" builtinId="4"/>
    <cellStyle name="Normal" xfId="0" builtinId="0"/>
    <cellStyle name="Normal 2" xfId="6" xr:uid="{60A1558A-BC9A-47E4-99A8-E926047B3EAE}"/>
    <cellStyle name="Normal 4" xfId="5" xr:uid="{55EC5298-C215-4BC2-A2BD-846EF15E45AD}"/>
    <cellStyle name="normální_SABLONY" xfId="9" xr:uid="{167D699B-FC21-4558-B0AA-83D5ABEE7C3F}"/>
    <cellStyle name="Percent" xfId="3" builtinId="5"/>
    <cellStyle name="Percent 2" xfId="8" xr:uid="{234FCBDE-2B1F-4541-A9B1-B993E4FB0A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Budget!$G$39:$G$43</c:f>
            </c:numRef>
          </c:val>
          <c:extLst>
            <c:ext xmlns:c16="http://schemas.microsoft.com/office/drawing/2014/chart" uri="{C3380CC4-5D6E-409C-BE32-E72D297353CC}">
              <c16:uniqueId val="{00000006-2E14-4710-91AE-295DA976E1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Budget!$H$39:$H$43</c:f>
            </c:numRef>
          </c:val>
          <c:extLst>
            <c:ext xmlns:c16="http://schemas.microsoft.com/office/drawing/2014/chart" uri="{C3380CC4-5D6E-409C-BE32-E72D297353CC}">
              <c16:uniqueId val="{00000008-576D-48DD-8C08-8E624BE38D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92382332208473938"/>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Budget!$I$39:$I$43</c:f>
            </c:numRef>
          </c:val>
          <c:extLst>
            <c:ext xmlns:c16="http://schemas.microsoft.com/office/drawing/2014/chart" uri="{C3380CC4-5D6E-409C-BE32-E72D297353CC}">
              <c16:uniqueId val="{00000008-74E8-4C86-B2BB-F62E503E40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Budget!$J$39:$J$43</c:f>
            </c:numRef>
          </c:val>
          <c:extLst>
            <c:ext xmlns:c16="http://schemas.microsoft.com/office/drawing/2014/chart" uri="{C3380CC4-5D6E-409C-BE32-E72D297353CC}">
              <c16:uniqueId val="{00000008-E7DE-476A-A916-62DD0A6BAB4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Budget!$K$39:$K$43</c:f>
            </c:numRef>
          </c:val>
          <c:extLst>
            <c:ext xmlns:c16="http://schemas.microsoft.com/office/drawing/2014/chart" uri="{C3380CC4-5D6E-409C-BE32-E72D297353CC}">
              <c16:uniqueId val="{00000008-ADDA-443B-8359-6C46AD14AE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Budget!$O$39:$O$43</c:f>
            </c:numRef>
          </c:val>
          <c:extLst>
            <c:ext xmlns:c16="http://schemas.microsoft.com/office/drawing/2014/chart" uri="{C3380CC4-5D6E-409C-BE32-E72D297353CC}">
              <c16:uniqueId val="{00000008-04D7-4091-976B-120F92CE9E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Budget!$P$39:$P$43</c:f>
            </c:numRef>
          </c:val>
          <c:extLst>
            <c:ext xmlns:c16="http://schemas.microsoft.com/office/drawing/2014/chart" uri="{C3380CC4-5D6E-409C-BE32-E72D297353CC}">
              <c16:uniqueId val="{00000008-1E02-4700-A3AC-7963A06BCE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Budget!$N$39:$N$43</c:f>
            </c:numRef>
          </c:val>
          <c:extLst>
            <c:ext xmlns:c16="http://schemas.microsoft.com/office/drawing/2014/chart" uri="{C3380CC4-5D6E-409C-BE32-E72D297353CC}">
              <c16:uniqueId val="{00000008-D34F-40EF-88BD-FC5C0DAB11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Budget!$M$39:$M$43</c:f>
            </c:numRef>
          </c:val>
          <c:extLst>
            <c:ext xmlns:c16="http://schemas.microsoft.com/office/drawing/2014/chart" uri="{C3380CC4-5D6E-409C-BE32-E72D297353CC}">
              <c16:uniqueId val="{00000008-D977-4CEC-BE71-33AEDB8E10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Budget!$S$39:$S$43</c:f>
            </c:numRef>
          </c:val>
          <c:extLst>
            <c:ext xmlns:c16="http://schemas.microsoft.com/office/drawing/2014/chart" uri="{C3380CC4-5D6E-409C-BE32-E72D297353CC}">
              <c16:uniqueId val="{00000008-3C70-4329-B8AC-4BEB1E3632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Budget!$T$39:$T$43</c:f>
            </c:numRef>
          </c:val>
          <c:extLst>
            <c:ext xmlns:c16="http://schemas.microsoft.com/office/drawing/2014/chart" uri="{C3380CC4-5D6E-409C-BE32-E72D297353CC}">
              <c16:uniqueId val="{00000008-988B-4E55-8B94-C7B016701C6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Budget!$U$39:$U$43</c:f>
            </c:numRef>
          </c:val>
          <c:extLst>
            <c:ext xmlns:c16="http://schemas.microsoft.com/office/drawing/2014/chart" uri="{C3380CC4-5D6E-409C-BE32-E72D297353CC}">
              <c16:uniqueId val="{00000008-461D-4475-B5B6-782DA6268E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Budget!$V$39:$V$43</c:f>
            </c:numRef>
          </c:val>
          <c:extLst>
            <c:ext xmlns:c16="http://schemas.microsoft.com/office/drawing/2014/chart" uri="{C3380CC4-5D6E-409C-BE32-E72D297353CC}">
              <c16:uniqueId val="{00000008-9E53-43B3-8B2D-637EA121D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Budget!$W$39:$W$43</c:f>
            </c:numRef>
          </c:val>
          <c:extLst>
            <c:ext xmlns:c16="http://schemas.microsoft.com/office/drawing/2014/chart" uri="{C3380CC4-5D6E-409C-BE32-E72D297353CC}">
              <c16:uniqueId val="{00000008-CC63-4AE5-BD93-CCA995297F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Budget!$X$39:$X$43</c:f>
            </c:numRef>
          </c:val>
          <c:extLst>
            <c:ext xmlns:c16="http://schemas.microsoft.com/office/drawing/2014/chart" uri="{C3380CC4-5D6E-409C-BE32-E72D297353CC}">
              <c16:uniqueId val="{00000008-005E-4CCA-B21D-B710617A62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Budget!$Y$39:$Y$43</c:f>
            </c:numRef>
          </c:val>
          <c:extLst>
            <c:ext xmlns:c16="http://schemas.microsoft.com/office/drawing/2014/chart" uri="{C3380CC4-5D6E-409C-BE32-E72D297353CC}">
              <c16:uniqueId val="{00000008-06B1-476E-A29D-5951AAC463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Budget!$Z$39:$Z$43</c:f>
            </c:numRef>
          </c:val>
          <c:extLst>
            <c:ext xmlns:c16="http://schemas.microsoft.com/office/drawing/2014/chart" uri="{C3380CC4-5D6E-409C-BE32-E72D297353CC}">
              <c16:uniqueId val="{00000008-1051-44BC-842E-871E2277735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1"/>
          <c:order val="0"/>
          <c:dLbls>
            <c:spPr>
              <a:noFill/>
              <a:ln>
                <a:noFill/>
              </a:ln>
              <a:effectLst/>
            </c:sp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Budget!$AA$39:$AA$43</c:f>
            </c:numRef>
          </c:val>
          <c:extLst>
            <c:ext xmlns:c16="http://schemas.microsoft.com/office/drawing/2014/chart" uri="{C3380CC4-5D6E-409C-BE32-E72D297353CC}">
              <c16:uniqueId val="{00000013-45E8-4A24-ACA0-35F3470E0B10}"/>
            </c:ext>
          </c:extLst>
        </c:ser>
        <c:ser>
          <c:idx val="0"/>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Budget!$AA$39:$AA$43</c:f>
            </c:numRef>
          </c:val>
          <c:extLst>
            <c:ext xmlns:c16="http://schemas.microsoft.com/office/drawing/2014/chart" uri="{C3380CC4-5D6E-409C-BE32-E72D297353CC}">
              <c16:uniqueId val="{00000012-45E8-4A24-ACA0-35F3470E0B10}"/>
            </c:ext>
          </c:extLst>
        </c:ser>
        <c:dLbls>
          <c:dLblPos val="bestFit"/>
          <c:showLegendKey val="0"/>
          <c:showVal val="1"/>
          <c:showCatName val="0"/>
          <c:showSerName val="0"/>
          <c:showPercent val="0"/>
          <c:showBubbleSize val="0"/>
          <c:showLeaderLines val="1"/>
        </c:dLbls>
        <c:firstSliceAng val="0"/>
      </c:pieChart>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1"/>
          <c:order val="0"/>
          <c:dLbls>
            <c:spPr>
              <a:noFill/>
              <a:ln>
                <a:noFill/>
              </a:ln>
              <a:effectLst/>
            </c:sp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Budget!$AB$39:$AB$43</c:f>
            </c:numRef>
          </c:val>
          <c:extLst>
            <c:ext xmlns:c16="http://schemas.microsoft.com/office/drawing/2014/chart" uri="{C3380CC4-5D6E-409C-BE32-E72D297353CC}">
              <c16:uniqueId val="{00000000-892A-4C58-8A9E-42F9A8AAEE7C}"/>
            </c:ext>
          </c:extLst>
        </c:ser>
        <c:ser>
          <c:idx val="0"/>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Budget!$AA$39:$AA$43</c:f>
            </c:numRef>
          </c:val>
          <c:extLst>
            <c:ext xmlns:c16="http://schemas.microsoft.com/office/drawing/2014/chart" uri="{C3380CC4-5D6E-409C-BE32-E72D297353CC}">
              <c16:uniqueId val="{00000009-892A-4C58-8A9E-42F9A8AAEE7C}"/>
            </c:ext>
          </c:extLst>
        </c:ser>
        <c:dLbls>
          <c:dLblPos val="bestFit"/>
          <c:showLegendKey val="0"/>
          <c:showVal val="1"/>
          <c:showCatName val="0"/>
          <c:showSerName val="0"/>
          <c:showPercent val="0"/>
          <c:showBubbleSize val="0"/>
          <c:showLeaderLines val="1"/>
        </c:dLbls>
        <c:firstSliceAng val="0"/>
      </c:pieChart>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1"/>
          <c:order val="0"/>
          <c:dLbls>
            <c:spPr>
              <a:noFill/>
              <a:ln>
                <a:noFill/>
              </a:ln>
              <a:effectLst/>
            </c:sp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Budget!$AD$39:$AD$43</c:f>
            </c:numRef>
          </c:val>
          <c:extLst>
            <c:ext xmlns:c16="http://schemas.microsoft.com/office/drawing/2014/chart" uri="{C3380CC4-5D6E-409C-BE32-E72D297353CC}">
              <c16:uniqueId val="{00000000-F2B9-4F3F-9B75-3DBED122270F}"/>
            </c:ext>
          </c:extLst>
        </c:ser>
        <c:ser>
          <c:idx val="0"/>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Budget!$AA$39:$AA$43</c:f>
            </c:numRef>
          </c:val>
          <c:extLst>
            <c:ext xmlns:c16="http://schemas.microsoft.com/office/drawing/2014/chart" uri="{C3380CC4-5D6E-409C-BE32-E72D297353CC}">
              <c16:uniqueId val="{00000009-F2B9-4F3F-9B75-3DBED122270F}"/>
            </c:ext>
          </c:extLst>
        </c:ser>
        <c:dLbls>
          <c:dLblPos val="bestFit"/>
          <c:showLegendKey val="0"/>
          <c:showVal val="1"/>
          <c:showCatName val="0"/>
          <c:showSerName val="0"/>
          <c:showPercent val="0"/>
          <c:showBubbleSize val="0"/>
          <c:showLeaderLines val="1"/>
        </c:dLbls>
        <c:firstSliceAng val="0"/>
      </c:pieChart>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1"/>
          <c:order val="0"/>
          <c:dLbls>
            <c:spPr>
              <a:noFill/>
              <a:ln>
                <a:noFill/>
              </a:ln>
              <a:effectLst/>
            </c:sp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Budget!$AE$39:$AE$43</c:f>
            </c:numRef>
          </c:val>
          <c:extLst>
            <c:ext xmlns:c16="http://schemas.microsoft.com/office/drawing/2014/chart" uri="{C3380CC4-5D6E-409C-BE32-E72D297353CC}">
              <c16:uniqueId val="{00000000-0FC4-448B-A6D2-EC249E21CFFF}"/>
            </c:ext>
          </c:extLst>
        </c:ser>
        <c:ser>
          <c:idx val="0"/>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Budget!$AA$39:$AA$43</c:f>
            </c:numRef>
          </c:val>
          <c:extLst>
            <c:ext xmlns:c16="http://schemas.microsoft.com/office/drawing/2014/chart" uri="{C3380CC4-5D6E-409C-BE32-E72D297353CC}">
              <c16:uniqueId val="{00000009-0FC4-448B-A6D2-EC249E21CFFF}"/>
            </c:ext>
          </c:extLst>
        </c:ser>
        <c:dLbls>
          <c:dLblPos val="bestFit"/>
          <c:showLegendKey val="0"/>
          <c:showVal val="1"/>
          <c:showCatName val="0"/>
          <c:showSerName val="0"/>
          <c:showPercent val="0"/>
          <c:showBubbleSize val="0"/>
          <c:showLeaderLines val="1"/>
        </c:dLbls>
        <c:firstSliceAng val="0"/>
      </c:pieChart>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1"/>
          <c:order val="0"/>
          <c:dLbls>
            <c:spPr>
              <a:noFill/>
              <a:ln>
                <a:noFill/>
              </a:ln>
              <a:effectLst/>
            </c:sp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Budget!$AF$39:$AF$43</c:f>
            </c:numRef>
          </c:val>
          <c:extLst>
            <c:ext xmlns:c16="http://schemas.microsoft.com/office/drawing/2014/chart" uri="{C3380CC4-5D6E-409C-BE32-E72D297353CC}">
              <c16:uniqueId val="{00000000-C6F3-46DE-8C4A-622129A8ED30}"/>
            </c:ext>
          </c:extLst>
        </c:ser>
        <c:ser>
          <c:idx val="0"/>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Budget!$AA$39:$AA$43</c:f>
            </c:numRef>
          </c:val>
          <c:extLst>
            <c:ext xmlns:c16="http://schemas.microsoft.com/office/drawing/2014/chart" uri="{C3380CC4-5D6E-409C-BE32-E72D297353CC}">
              <c16:uniqueId val="{00000009-C6F3-46DE-8C4A-622129A8ED30}"/>
            </c:ext>
          </c:extLst>
        </c:ser>
        <c:dLbls>
          <c:dLblPos val="bestFit"/>
          <c:showLegendKey val="0"/>
          <c:showVal val="1"/>
          <c:showCatName val="0"/>
          <c:showSerName val="0"/>
          <c:showPercent val="0"/>
          <c:showBubbleSize val="0"/>
          <c:showLeaderLines val="1"/>
        </c:dLbls>
        <c:firstSliceAng val="0"/>
      </c:pieChart>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1"/>
          <c:order val="0"/>
          <c:dLbls>
            <c:spPr>
              <a:noFill/>
              <a:ln>
                <a:noFill/>
              </a:ln>
              <a:effectLst/>
            </c:sp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Budget!$AG$39:$AG$43</c:f>
            </c:numRef>
          </c:val>
          <c:extLst>
            <c:ext xmlns:c16="http://schemas.microsoft.com/office/drawing/2014/chart" uri="{C3380CC4-5D6E-409C-BE32-E72D297353CC}">
              <c16:uniqueId val="{00000000-730F-4FF4-B962-E1F3DCB9B27B}"/>
            </c:ext>
          </c:extLst>
        </c:ser>
        <c:ser>
          <c:idx val="0"/>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Budget!$AA$39:$AA$43</c:f>
            </c:numRef>
          </c:val>
          <c:extLst>
            <c:ext xmlns:c16="http://schemas.microsoft.com/office/drawing/2014/chart" uri="{C3380CC4-5D6E-409C-BE32-E72D297353CC}">
              <c16:uniqueId val="{00000009-730F-4FF4-B962-E1F3DCB9B27B}"/>
            </c:ext>
          </c:extLst>
        </c:ser>
        <c:dLbls>
          <c:dLblPos val="bestFit"/>
          <c:showLegendKey val="0"/>
          <c:showVal val="1"/>
          <c:showCatName val="0"/>
          <c:showSerName val="0"/>
          <c:showPercent val="0"/>
          <c:showBubbleSize val="0"/>
          <c:showLeaderLines val="1"/>
        </c:dLbls>
        <c:firstSliceAng val="0"/>
      </c:pieChart>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1"/>
          <c:order val="0"/>
          <c:dLbls>
            <c:spPr>
              <a:noFill/>
              <a:ln>
                <a:noFill/>
              </a:ln>
              <a:effectLst/>
            </c:sp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Budget!$AH$39:$AH$43</c:f>
            </c:numRef>
          </c:val>
          <c:extLst>
            <c:ext xmlns:c16="http://schemas.microsoft.com/office/drawing/2014/chart" uri="{C3380CC4-5D6E-409C-BE32-E72D297353CC}">
              <c16:uniqueId val="{00000000-343B-4C6F-82BD-62A61104A971}"/>
            </c:ext>
          </c:extLst>
        </c:ser>
        <c:ser>
          <c:idx val="0"/>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Budget!$AA$39:$AA$43</c:f>
            </c:numRef>
          </c:val>
          <c:extLst>
            <c:ext xmlns:c16="http://schemas.microsoft.com/office/drawing/2014/chart" uri="{C3380CC4-5D6E-409C-BE32-E72D297353CC}">
              <c16:uniqueId val="{00000009-343B-4C6F-82BD-62A61104A971}"/>
            </c:ext>
          </c:extLst>
        </c:ser>
        <c:dLbls>
          <c:dLblPos val="bestFit"/>
          <c:showLegendKey val="0"/>
          <c:showVal val="1"/>
          <c:showCatName val="0"/>
          <c:showSerName val="0"/>
          <c:showPercent val="0"/>
          <c:showBubbleSize val="0"/>
          <c:showLeaderLines val="1"/>
        </c:dLbls>
        <c:firstSliceAng val="0"/>
      </c:pieChart>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655455756472649"/>
          <c:y val="8.5313214175224292E-2"/>
          <c:w val="0.58689088487054697"/>
          <c:h val="0.44407333113779029"/>
        </c:manualLayout>
      </c:layout>
      <c:pieChart>
        <c:varyColors val="1"/>
        <c:ser>
          <c:idx val="1"/>
          <c:order val="0"/>
          <c:dLbls>
            <c:spPr>
              <a:noFill/>
              <a:ln>
                <a:noFill/>
              </a:ln>
              <a:effectLst/>
            </c:sp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Budget!$AD$39:$AD$43</c:f>
            </c:numRef>
          </c:val>
          <c:extLst>
            <c:ext xmlns:c16="http://schemas.microsoft.com/office/drawing/2014/chart" uri="{C3380CC4-5D6E-409C-BE32-E72D297353CC}">
              <c16:uniqueId val="{00000000-006E-4B55-8F62-2BE49E199FA8}"/>
            </c:ext>
          </c:extLst>
        </c:ser>
        <c:ser>
          <c:idx val="0"/>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Budget!$F$39:$F$43</c:f>
              <c:strCache>
                <c:ptCount val="5"/>
                <c:pt idx="0">
                  <c:v>Professional Fees</c:v>
                </c:pt>
                <c:pt idx="1">
                  <c:v>Fit Out</c:v>
                </c:pt>
                <c:pt idx="2">
                  <c:v>CAT A Works</c:v>
                </c:pt>
                <c:pt idx="3">
                  <c:v>Furniture</c:v>
                </c:pt>
                <c:pt idx="4">
                  <c:v>AV &amp; Equipment</c:v>
                </c:pt>
              </c:strCache>
            </c:strRef>
          </c:cat>
          <c:val>
            <c:numRef>
              <c:f>Budget!$AA$39:$AA$43</c:f>
            </c:numRef>
          </c:val>
          <c:extLst>
            <c:ext xmlns:c16="http://schemas.microsoft.com/office/drawing/2014/chart" uri="{C3380CC4-5D6E-409C-BE32-E72D297353CC}">
              <c16:uniqueId val="{00000009-006E-4B55-8F62-2BE49E199FA8}"/>
            </c:ext>
          </c:extLst>
        </c:ser>
        <c:dLbls>
          <c:dLblPos val="bestFit"/>
          <c:showLegendKey val="0"/>
          <c:showVal val="1"/>
          <c:showCatName val="0"/>
          <c:showSerName val="0"/>
          <c:showPercent val="0"/>
          <c:showBubbleSize val="0"/>
          <c:showLeaderLines val="1"/>
        </c:dLbls>
        <c:firstSliceAng val="0"/>
      </c:pieChart>
    </c:plotArea>
    <c:legend>
      <c:legendPos val="b"/>
      <c:layout>
        <c:manualLayout>
          <c:xMode val="edge"/>
          <c:yMode val="edge"/>
          <c:x val="4.570708661417322E-2"/>
          <c:y val="0.61626900793148554"/>
          <c:w val="0.55659148538636061"/>
          <c:h val="0.36113234840769215"/>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9526</xdr:colOff>
      <xdr:row>50</xdr:row>
      <xdr:rowOff>19049</xdr:rowOff>
    </xdr:from>
    <xdr:to>
      <xdr:col>7</xdr:col>
      <xdr:colOff>1</xdr:colOff>
      <xdr:row>64</xdr:row>
      <xdr:rowOff>57150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49</xdr:row>
      <xdr:rowOff>189034</xdr:rowOff>
    </xdr:from>
    <xdr:to>
      <xdr:col>7</xdr:col>
      <xdr:colOff>1685925</xdr:colOff>
      <xdr:row>64</xdr:row>
      <xdr:rowOff>57150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50</xdr:row>
      <xdr:rowOff>9525</xdr:rowOff>
    </xdr:from>
    <xdr:to>
      <xdr:col>9</xdr:col>
      <xdr:colOff>9525</xdr:colOff>
      <xdr:row>64</xdr:row>
      <xdr:rowOff>66675</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28575</xdr:colOff>
      <xdr:row>50</xdr:row>
      <xdr:rowOff>9525</xdr:rowOff>
    </xdr:from>
    <xdr:to>
      <xdr:col>10</xdr:col>
      <xdr:colOff>142875</xdr:colOff>
      <xdr:row>64</xdr:row>
      <xdr:rowOff>57150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142875</xdr:colOff>
      <xdr:row>50</xdr:row>
      <xdr:rowOff>19050</xdr:rowOff>
    </xdr:from>
    <xdr:to>
      <xdr:col>11</xdr:col>
      <xdr:colOff>266700</xdr:colOff>
      <xdr:row>64</xdr:row>
      <xdr:rowOff>66675</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50</xdr:row>
      <xdr:rowOff>0</xdr:rowOff>
    </xdr:from>
    <xdr:to>
      <xdr:col>15</xdr:col>
      <xdr:colOff>66674</xdr:colOff>
      <xdr:row>64</xdr:row>
      <xdr:rowOff>114300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85725</xdr:colOff>
      <xdr:row>50</xdr:row>
      <xdr:rowOff>0</xdr:rowOff>
    </xdr:from>
    <xdr:to>
      <xdr:col>16</xdr:col>
      <xdr:colOff>133350</xdr:colOff>
      <xdr:row>64</xdr:row>
      <xdr:rowOff>123825</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1552574</xdr:colOff>
      <xdr:row>49</xdr:row>
      <xdr:rowOff>180975</xdr:rowOff>
    </xdr:from>
    <xdr:to>
      <xdr:col>13</xdr:col>
      <xdr:colOff>1543049</xdr:colOff>
      <xdr:row>64</xdr:row>
      <xdr:rowOff>114300</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1438275</xdr:colOff>
      <xdr:row>50</xdr:row>
      <xdr:rowOff>1</xdr:rowOff>
    </xdr:from>
    <xdr:to>
      <xdr:col>12</xdr:col>
      <xdr:colOff>1543050</xdr:colOff>
      <xdr:row>64</xdr:row>
      <xdr:rowOff>95251</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38099</xdr:colOff>
      <xdr:row>50</xdr:row>
      <xdr:rowOff>47625</xdr:rowOff>
    </xdr:from>
    <xdr:to>
      <xdr:col>18</xdr:col>
      <xdr:colOff>1524000</xdr:colOff>
      <xdr:row>64</xdr:row>
      <xdr:rowOff>171450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0</xdr:colOff>
      <xdr:row>50</xdr:row>
      <xdr:rowOff>0</xdr:rowOff>
    </xdr:from>
    <xdr:to>
      <xdr:col>20</xdr:col>
      <xdr:colOff>323850</xdr:colOff>
      <xdr:row>64</xdr:row>
      <xdr:rowOff>123825</xdr:rowOff>
    </xdr:to>
    <xdr:graphicFrame macro="">
      <xdr:nvGraphicFramePr>
        <xdr:cNvPr id="13" name="Chart 12">
          <a:extLst>
            <a:ext uri="{FF2B5EF4-FFF2-40B4-BE49-F238E27FC236}">
              <a16:creationId xmlns:a16="http://schemas.microsoft.com/office/drawing/2014/main" id="{00000000-0008-0000-0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0</xdr:colOff>
      <xdr:row>50</xdr:row>
      <xdr:rowOff>0</xdr:rowOff>
    </xdr:from>
    <xdr:to>
      <xdr:col>21</xdr:col>
      <xdr:colOff>19050</xdr:colOff>
      <xdr:row>64</xdr:row>
      <xdr:rowOff>123825</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1</xdr:colOff>
      <xdr:row>50</xdr:row>
      <xdr:rowOff>0</xdr:rowOff>
    </xdr:from>
    <xdr:to>
      <xdr:col>22</xdr:col>
      <xdr:colOff>104776</xdr:colOff>
      <xdr:row>64</xdr:row>
      <xdr:rowOff>123825</xdr:rowOff>
    </xdr:to>
    <xdr:graphicFrame macro="">
      <xdr:nvGraphicFramePr>
        <xdr:cNvPr id="15" name="Chart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123826</xdr:colOff>
      <xdr:row>50</xdr:row>
      <xdr:rowOff>0</xdr:rowOff>
    </xdr:from>
    <xdr:to>
      <xdr:col>23</xdr:col>
      <xdr:colOff>47626</xdr:colOff>
      <xdr:row>64</xdr:row>
      <xdr:rowOff>123825</xdr:rowOff>
    </xdr:to>
    <xdr:graphicFrame macro="">
      <xdr:nvGraphicFramePr>
        <xdr:cNvPr id="17" name="Chart 16">
          <a:extLst>
            <a:ext uri="{FF2B5EF4-FFF2-40B4-BE49-F238E27FC236}">
              <a16:creationId xmlns:a16="http://schemas.microsoft.com/office/drawing/2014/main" i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266700</xdr:colOff>
      <xdr:row>50</xdr:row>
      <xdr:rowOff>0</xdr:rowOff>
    </xdr:from>
    <xdr:to>
      <xdr:col>23</xdr:col>
      <xdr:colOff>1981200</xdr:colOff>
      <xdr:row>64</xdr:row>
      <xdr:rowOff>123825</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0</xdr:colOff>
      <xdr:row>50</xdr:row>
      <xdr:rowOff>0</xdr:rowOff>
    </xdr:from>
    <xdr:to>
      <xdr:col>25</xdr:col>
      <xdr:colOff>76200</xdr:colOff>
      <xdr:row>64</xdr:row>
      <xdr:rowOff>123825</xdr:rowOff>
    </xdr:to>
    <xdr:graphicFrame macro="">
      <xdr:nvGraphicFramePr>
        <xdr:cNvPr id="19" name="Chart 18">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25</xdr:col>
      <xdr:colOff>190499</xdr:colOff>
      <xdr:row>50</xdr:row>
      <xdr:rowOff>0</xdr:rowOff>
    </xdr:from>
    <xdr:to>
      <xdr:col>25</xdr:col>
      <xdr:colOff>2073088</xdr:colOff>
      <xdr:row>64</xdr:row>
      <xdr:rowOff>123825</xdr:rowOff>
    </xdr:to>
    <xdr:graphicFrame macro="">
      <xdr:nvGraphicFramePr>
        <xdr:cNvPr id="20" name="Chart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25</xdr:col>
      <xdr:colOff>2106706</xdr:colOff>
      <xdr:row>49</xdr:row>
      <xdr:rowOff>190499</xdr:rowOff>
    </xdr:from>
    <xdr:to>
      <xdr:col>26</xdr:col>
      <xdr:colOff>1725705</xdr:colOff>
      <xdr:row>64</xdr:row>
      <xdr:rowOff>123824</xdr:rowOff>
    </xdr:to>
    <xdr:graphicFrame macro="">
      <xdr:nvGraphicFramePr>
        <xdr:cNvPr id="21" name="Chart 20">
          <a:extLst>
            <a:ext uri="{FF2B5EF4-FFF2-40B4-BE49-F238E27FC236}">
              <a16:creationId xmlns:a16="http://schemas.microsoft.com/office/drawing/2014/main" id="{00000000-0008-0000-00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27</xdr:col>
      <xdr:colOff>0</xdr:colOff>
      <xdr:row>50</xdr:row>
      <xdr:rowOff>0</xdr:rowOff>
    </xdr:from>
    <xdr:to>
      <xdr:col>27</xdr:col>
      <xdr:colOff>1624853</xdr:colOff>
      <xdr:row>64</xdr:row>
      <xdr:rowOff>123825</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0</xdr:colOff>
      <xdr:row>50</xdr:row>
      <xdr:rowOff>0</xdr:rowOff>
    </xdr:from>
    <xdr:to>
      <xdr:col>30</xdr:col>
      <xdr:colOff>134471</xdr:colOff>
      <xdr:row>64</xdr:row>
      <xdr:rowOff>123825</xdr:rowOff>
    </xdr:to>
    <xdr:graphicFrame macro="">
      <xdr:nvGraphicFramePr>
        <xdr:cNvPr id="23" name="Chart 22">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30</xdr:col>
      <xdr:colOff>190500</xdr:colOff>
      <xdr:row>50</xdr:row>
      <xdr:rowOff>0</xdr:rowOff>
    </xdr:from>
    <xdr:to>
      <xdr:col>30</xdr:col>
      <xdr:colOff>1983441</xdr:colOff>
      <xdr:row>64</xdr:row>
      <xdr:rowOff>123825</xdr:rowOff>
    </xdr:to>
    <xdr:graphicFrame macro="">
      <xdr:nvGraphicFramePr>
        <xdr:cNvPr id="24" name="Chart 23">
          <a:extLst>
            <a:ext uri="{FF2B5EF4-FFF2-40B4-BE49-F238E27FC236}">
              <a16:creationId xmlns:a16="http://schemas.microsoft.com/office/drawing/2014/main" id="{00000000-0008-0000-00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31</xdr:col>
      <xdr:colOff>0</xdr:colOff>
      <xdr:row>50</xdr:row>
      <xdr:rowOff>0</xdr:rowOff>
    </xdr:from>
    <xdr:to>
      <xdr:col>31</xdr:col>
      <xdr:colOff>1792941</xdr:colOff>
      <xdr:row>64</xdr:row>
      <xdr:rowOff>123825</xdr:rowOff>
    </xdr:to>
    <xdr:graphicFrame macro="">
      <xdr:nvGraphicFramePr>
        <xdr:cNvPr id="25" name="Chart 24">
          <a:extLst>
            <a:ext uri="{FF2B5EF4-FFF2-40B4-BE49-F238E27FC236}">
              <a16:creationId xmlns:a16="http://schemas.microsoft.com/office/drawing/2014/main" id="{00000000-0008-0000-00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32</xdr:col>
      <xdr:colOff>0</xdr:colOff>
      <xdr:row>50</xdr:row>
      <xdr:rowOff>0</xdr:rowOff>
    </xdr:from>
    <xdr:to>
      <xdr:col>32</xdr:col>
      <xdr:colOff>1792941</xdr:colOff>
      <xdr:row>64</xdr:row>
      <xdr:rowOff>123825</xdr:rowOff>
    </xdr:to>
    <xdr:graphicFrame macro="">
      <xdr:nvGraphicFramePr>
        <xdr:cNvPr id="26" name="Chart 25">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33</xdr:col>
      <xdr:colOff>0</xdr:colOff>
      <xdr:row>50</xdr:row>
      <xdr:rowOff>0</xdr:rowOff>
    </xdr:from>
    <xdr:to>
      <xdr:col>34</xdr:col>
      <xdr:colOff>11206</xdr:colOff>
      <xdr:row>64</xdr:row>
      <xdr:rowOff>123825</xdr:rowOff>
    </xdr:to>
    <xdr:graphicFrame macro="">
      <xdr:nvGraphicFramePr>
        <xdr:cNvPr id="27" name="Chart 26">
          <a:extLst>
            <a:ext uri="{FF2B5EF4-FFF2-40B4-BE49-F238E27FC236}">
              <a16:creationId xmlns:a16="http://schemas.microsoft.com/office/drawing/2014/main" id="{00000000-0008-0000-00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34</xdr:col>
      <xdr:colOff>0</xdr:colOff>
      <xdr:row>50</xdr:row>
      <xdr:rowOff>0</xdr:rowOff>
    </xdr:from>
    <xdr:to>
      <xdr:col>35</xdr:col>
      <xdr:colOff>0</xdr:colOff>
      <xdr:row>64</xdr:row>
      <xdr:rowOff>123825</xdr:rowOff>
    </xdr:to>
    <xdr:graphicFrame macro="">
      <xdr:nvGraphicFramePr>
        <xdr:cNvPr id="28" name="Chart 27">
          <a:extLst>
            <a:ext uri="{FF2B5EF4-FFF2-40B4-BE49-F238E27FC236}">
              <a16:creationId xmlns:a16="http://schemas.microsoft.com/office/drawing/2014/main" id="{00000000-0008-0000-00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568326</xdr:colOff>
      <xdr:row>0</xdr:row>
      <xdr:rowOff>142876</xdr:rowOff>
    </xdr:from>
    <xdr:to>
      <xdr:col>6</xdr:col>
      <xdr:colOff>608542</xdr:colOff>
      <xdr:row>1</xdr:row>
      <xdr:rowOff>144993</xdr:rowOff>
    </xdr:to>
    <xdr:grpSp>
      <xdr:nvGrpSpPr>
        <xdr:cNvPr id="2" name="Group 1">
          <a:extLst>
            <a:ext uri="{FF2B5EF4-FFF2-40B4-BE49-F238E27FC236}">
              <a16:creationId xmlns:a16="http://schemas.microsoft.com/office/drawing/2014/main" id="{F7A99E41-589F-4BBA-9EDC-156D35B49B72}"/>
            </a:ext>
          </a:extLst>
        </xdr:cNvPr>
        <xdr:cNvGrpSpPr>
          <a:grpSpLocks noChangeAspect="1"/>
        </xdr:cNvGrpSpPr>
      </xdr:nvGrpSpPr>
      <xdr:grpSpPr bwMode="auto">
        <a:xfrm>
          <a:off x="7128152" y="139701"/>
          <a:ext cx="851912" cy="192617"/>
          <a:chOff x="0" y="0"/>
          <a:chExt cx="914400" cy="227012"/>
        </a:xfrm>
        <a:solidFill>
          <a:schemeClr val="accent6"/>
        </a:solidFill>
      </xdr:grpSpPr>
      <xdr:sp macro="" textlink="">
        <xdr:nvSpPr>
          <xdr:cNvPr id="3" name="Freeform 72">
            <a:extLst>
              <a:ext uri="{FF2B5EF4-FFF2-40B4-BE49-F238E27FC236}">
                <a16:creationId xmlns:a16="http://schemas.microsoft.com/office/drawing/2014/main" id="{28870122-6901-2047-A27A-EA320464CA7C}"/>
              </a:ext>
            </a:extLst>
          </xdr:cNvPr>
          <xdr:cNvSpPr>
            <a:spLocks noChangeAspect="1" noEditPoints="1"/>
          </xdr:cNvSpPr>
        </xdr:nvSpPr>
        <xdr:spPr bwMode="auto">
          <a:xfrm>
            <a:off x="247650" y="0"/>
            <a:ext cx="666750" cy="227012"/>
          </a:xfrm>
          <a:custGeom>
            <a:avLst/>
            <a:gdLst>
              <a:gd name="T0" fmla="*/ 2147483647 w 12180"/>
              <a:gd name="T1" fmla="*/ 2147483647 h 4147"/>
              <a:gd name="T2" fmla="*/ 2147483647 w 12180"/>
              <a:gd name="T3" fmla="*/ 2147483647 h 4147"/>
              <a:gd name="T4" fmla="*/ 2147483647 w 12180"/>
              <a:gd name="T5" fmla="*/ 2147483647 h 4147"/>
              <a:gd name="T6" fmla="*/ 2147483647 w 12180"/>
              <a:gd name="T7" fmla="*/ 2147483647 h 4147"/>
              <a:gd name="T8" fmla="*/ 2147483647 w 12180"/>
              <a:gd name="T9" fmla="*/ 2147483647 h 4147"/>
              <a:gd name="T10" fmla="*/ 2147483647 w 12180"/>
              <a:gd name="T11" fmla="*/ 2147483647 h 4147"/>
              <a:gd name="T12" fmla="*/ 2147483647 w 12180"/>
              <a:gd name="T13" fmla="*/ 2147483647 h 4147"/>
              <a:gd name="T14" fmla="*/ 2147483647 w 12180"/>
              <a:gd name="T15" fmla="*/ 2147483647 h 4147"/>
              <a:gd name="T16" fmla="*/ 2147483647 w 12180"/>
              <a:gd name="T17" fmla="*/ 2147483647 h 4147"/>
              <a:gd name="T18" fmla="*/ 2147483647 w 12180"/>
              <a:gd name="T19" fmla="*/ 2147483647 h 4147"/>
              <a:gd name="T20" fmla="*/ 2147483647 w 12180"/>
              <a:gd name="T21" fmla="*/ 2147483647 h 4147"/>
              <a:gd name="T22" fmla="*/ 2147483647 w 12180"/>
              <a:gd name="T23" fmla="*/ 2147483647 h 4147"/>
              <a:gd name="T24" fmla="*/ 2147483647 w 12180"/>
              <a:gd name="T25" fmla="*/ 2147483647 h 4147"/>
              <a:gd name="T26" fmla="*/ 0 w 12180"/>
              <a:gd name="T27" fmla="*/ 2147483647 h 4147"/>
              <a:gd name="T28" fmla="*/ 2147483647 w 12180"/>
              <a:gd name="T29" fmla="*/ 2147483647 h 4147"/>
              <a:gd name="T30" fmla="*/ 2147483647 w 12180"/>
              <a:gd name="T31" fmla="*/ 2147483647 h 4147"/>
              <a:gd name="T32" fmla="*/ 2147483647 w 12180"/>
              <a:gd name="T33" fmla="*/ 2147483647 h 4147"/>
              <a:gd name="T34" fmla="*/ 2147483647 w 12180"/>
              <a:gd name="T35" fmla="*/ 2147483647 h 4147"/>
              <a:gd name="T36" fmla="*/ 2147483647 w 12180"/>
              <a:gd name="T37" fmla="*/ 2147483647 h 4147"/>
              <a:gd name="T38" fmla="*/ 2147483647 w 12180"/>
              <a:gd name="T39" fmla="*/ 2147483647 h 4147"/>
              <a:gd name="T40" fmla="*/ 2147483647 w 12180"/>
              <a:gd name="T41" fmla="*/ 2147483647 h 4147"/>
              <a:gd name="T42" fmla="*/ 2147483647 w 12180"/>
              <a:gd name="T43" fmla="*/ 2147483647 h 4147"/>
              <a:gd name="T44" fmla="*/ 2147483647 w 12180"/>
              <a:gd name="T45" fmla="*/ 2147483647 h 4147"/>
              <a:gd name="T46" fmla="*/ 2147483647 w 12180"/>
              <a:gd name="T47" fmla="*/ 2147483647 h 4147"/>
              <a:gd name="T48" fmla="*/ 2147483647 w 12180"/>
              <a:gd name="T49" fmla="*/ 2147483647 h 4147"/>
              <a:gd name="T50" fmla="*/ 2147483647 w 12180"/>
              <a:gd name="T51" fmla="*/ 2147483647 h 4147"/>
              <a:gd name="T52" fmla="*/ 2147483647 w 12180"/>
              <a:gd name="T53" fmla="*/ 2147483647 h 4147"/>
              <a:gd name="T54" fmla="*/ 2147483647 w 12180"/>
              <a:gd name="T55" fmla="*/ 2147483647 h 4147"/>
              <a:gd name="T56" fmla="*/ 2147483647 w 12180"/>
              <a:gd name="T57" fmla="*/ 2147483647 h 4147"/>
              <a:gd name="T58" fmla="*/ 2147483647 w 12180"/>
              <a:gd name="T59" fmla="*/ 2147483647 h 4147"/>
              <a:gd name="T60" fmla="*/ 2147483647 w 12180"/>
              <a:gd name="T61" fmla="*/ 2147483647 h 4147"/>
              <a:gd name="T62" fmla="*/ 2147483647 w 12180"/>
              <a:gd name="T63" fmla="*/ 2147483647 h 4147"/>
              <a:gd name="T64" fmla="*/ 2147483647 w 12180"/>
              <a:gd name="T65" fmla="*/ 2147483647 h 4147"/>
              <a:gd name="T66" fmla="*/ 2147483647 w 12180"/>
              <a:gd name="T67" fmla="*/ 2147483647 h 4147"/>
              <a:gd name="T68" fmla="*/ 2147483647 w 12180"/>
              <a:gd name="T69" fmla="*/ 2147483647 h 4147"/>
              <a:gd name="T70" fmla="*/ 2147483647 w 12180"/>
              <a:gd name="T71" fmla="*/ 2147483647 h 4147"/>
              <a:gd name="T72" fmla="*/ 2147483647 w 12180"/>
              <a:gd name="T73" fmla="*/ 2147483647 h 4147"/>
              <a:gd name="T74" fmla="*/ 2147483647 w 12180"/>
              <a:gd name="T75" fmla="*/ 2147483647 h 4147"/>
              <a:gd name="T76" fmla="*/ 2147483647 w 12180"/>
              <a:gd name="T77" fmla="*/ 2147483647 h 4147"/>
              <a:gd name="T78" fmla="*/ 2147483647 w 12180"/>
              <a:gd name="T79" fmla="*/ 2147483647 h 4147"/>
              <a:gd name="T80" fmla="*/ 2147483647 w 12180"/>
              <a:gd name="T81" fmla="*/ 2147483647 h 4147"/>
              <a:gd name="T82" fmla="*/ 2147483647 w 12180"/>
              <a:gd name="T83" fmla="*/ 2147483647 h 4147"/>
              <a:gd name="T84" fmla="*/ 2147483647 w 12180"/>
              <a:gd name="T85" fmla="*/ 2147483647 h 4147"/>
              <a:gd name="T86" fmla="*/ 2147483647 w 12180"/>
              <a:gd name="T87" fmla="*/ 2147483647 h 4147"/>
              <a:gd name="T88" fmla="*/ 2147483647 w 12180"/>
              <a:gd name="T89" fmla="*/ 2147483647 h 4147"/>
              <a:gd name="T90" fmla="*/ 2147483647 w 12180"/>
              <a:gd name="T91" fmla="*/ 2147483647 h 4147"/>
              <a:gd name="T92" fmla="*/ 2147483647 w 12180"/>
              <a:gd name="T93" fmla="*/ 2147483647 h 4147"/>
              <a:gd name="T94" fmla="*/ 2147483647 w 12180"/>
              <a:gd name="T95" fmla="*/ 2147483647 h 4147"/>
              <a:gd name="T96" fmla="*/ 2147483647 w 12180"/>
              <a:gd name="T97" fmla="*/ 2147483647 h 4147"/>
              <a:gd name="T98" fmla="*/ 2147483647 w 12180"/>
              <a:gd name="T99" fmla="*/ 2147483647 h 4147"/>
              <a:gd name="T100" fmla="*/ 2147483647 w 12180"/>
              <a:gd name="T101" fmla="*/ 2147483647 h 4147"/>
              <a:gd name="T102" fmla="*/ 2147483647 w 12180"/>
              <a:gd name="T103" fmla="*/ 2147483647 h 4147"/>
              <a:gd name="T104" fmla="*/ 2147483647 w 12180"/>
              <a:gd name="T105" fmla="*/ 2147483647 h 4147"/>
              <a:gd name="T106" fmla="*/ 2147483647 w 12180"/>
              <a:gd name="T107" fmla="*/ 2147483647 h 4147"/>
              <a:gd name="T108" fmla="*/ 2147483647 w 12180"/>
              <a:gd name="T109" fmla="*/ 2147483647 h 4147"/>
              <a:gd name="T110" fmla="*/ 2147483647 w 12180"/>
              <a:gd name="T111" fmla="*/ 2147483647 h 4147"/>
              <a:gd name="T112" fmla="*/ 2147483647 w 12180"/>
              <a:gd name="T113" fmla="*/ 2147483647 h 4147"/>
              <a:gd name="T114" fmla="*/ 2147483647 w 12180"/>
              <a:gd name="T115" fmla="*/ 2147483647 h 4147"/>
              <a:gd name="T116" fmla="*/ 2147483647 w 12180"/>
              <a:gd name="T117" fmla="*/ 2147483647 h 4147"/>
              <a:gd name="T118" fmla="*/ 2147483647 w 12180"/>
              <a:gd name="T119" fmla="*/ 2147483647 h 4147"/>
              <a:gd name="T120" fmla="*/ 2147483647 w 12180"/>
              <a:gd name="T121" fmla="*/ 2147483647 h 4147"/>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w 12180"/>
              <a:gd name="T184" fmla="*/ 0 h 4147"/>
              <a:gd name="T185" fmla="*/ 12180 w 12180"/>
              <a:gd name="T186" fmla="*/ 4147 h 4147"/>
            </a:gdLst>
            <a:ahLst/>
            <a:cxnLst>
              <a:cxn ang="T122">
                <a:pos x="T0" y="T1"/>
              </a:cxn>
              <a:cxn ang="T123">
                <a:pos x="T2" y="T3"/>
              </a:cxn>
              <a:cxn ang="T124">
                <a:pos x="T4" y="T5"/>
              </a:cxn>
              <a:cxn ang="T125">
                <a:pos x="T6" y="T7"/>
              </a:cxn>
              <a:cxn ang="T126">
                <a:pos x="T8" y="T9"/>
              </a:cxn>
              <a:cxn ang="T127">
                <a:pos x="T10" y="T11"/>
              </a:cxn>
              <a:cxn ang="T128">
                <a:pos x="T12" y="T13"/>
              </a:cxn>
              <a:cxn ang="T129">
                <a:pos x="T14" y="T15"/>
              </a:cxn>
              <a:cxn ang="T130">
                <a:pos x="T16" y="T17"/>
              </a:cxn>
              <a:cxn ang="T131">
                <a:pos x="T18" y="T19"/>
              </a:cxn>
              <a:cxn ang="T132">
                <a:pos x="T20" y="T21"/>
              </a:cxn>
              <a:cxn ang="T133">
                <a:pos x="T22" y="T23"/>
              </a:cxn>
              <a:cxn ang="T134">
                <a:pos x="T24" y="T25"/>
              </a:cxn>
              <a:cxn ang="T135">
                <a:pos x="T26" y="T27"/>
              </a:cxn>
              <a:cxn ang="T136">
                <a:pos x="T28" y="T29"/>
              </a:cxn>
              <a:cxn ang="T137">
                <a:pos x="T30" y="T31"/>
              </a:cxn>
              <a:cxn ang="T138">
                <a:pos x="T32" y="T33"/>
              </a:cxn>
              <a:cxn ang="T139">
                <a:pos x="T34" y="T35"/>
              </a:cxn>
              <a:cxn ang="T140">
                <a:pos x="T36" y="T37"/>
              </a:cxn>
              <a:cxn ang="T141">
                <a:pos x="T38" y="T39"/>
              </a:cxn>
              <a:cxn ang="T142">
                <a:pos x="T40" y="T41"/>
              </a:cxn>
              <a:cxn ang="T143">
                <a:pos x="T42" y="T43"/>
              </a:cxn>
              <a:cxn ang="T144">
                <a:pos x="T44" y="T45"/>
              </a:cxn>
              <a:cxn ang="T145">
                <a:pos x="T46" y="T47"/>
              </a:cxn>
              <a:cxn ang="T146">
                <a:pos x="T48" y="T49"/>
              </a:cxn>
              <a:cxn ang="T147">
                <a:pos x="T50" y="T51"/>
              </a:cxn>
              <a:cxn ang="T148">
                <a:pos x="T52" y="T53"/>
              </a:cxn>
              <a:cxn ang="T149">
                <a:pos x="T54" y="T55"/>
              </a:cxn>
              <a:cxn ang="T150">
                <a:pos x="T56" y="T57"/>
              </a:cxn>
              <a:cxn ang="T151">
                <a:pos x="T58" y="T59"/>
              </a:cxn>
              <a:cxn ang="T152">
                <a:pos x="T60" y="T61"/>
              </a:cxn>
              <a:cxn ang="T153">
                <a:pos x="T62" y="T63"/>
              </a:cxn>
              <a:cxn ang="T154">
                <a:pos x="T64" y="T65"/>
              </a:cxn>
              <a:cxn ang="T155">
                <a:pos x="T66" y="T67"/>
              </a:cxn>
              <a:cxn ang="T156">
                <a:pos x="T68" y="T69"/>
              </a:cxn>
              <a:cxn ang="T157">
                <a:pos x="T70" y="T71"/>
              </a:cxn>
              <a:cxn ang="T158">
                <a:pos x="T72" y="T73"/>
              </a:cxn>
              <a:cxn ang="T159">
                <a:pos x="T74" y="T75"/>
              </a:cxn>
              <a:cxn ang="T160">
                <a:pos x="T76" y="T77"/>
              </a:cxn>
              <a:cxn ang="T161">
                <a:pos x="T78" y="T79"/>
              </a:cxn>
              <a:cxn ang="T162">
                <a:pos x="T80" y="T81"/>
              </a:cxn>
              <a:cxn ang="T163">
                <a:pos x="T82" y="T83"/>
              </a:cxn>
              <a:cxn ang="T164">
                <a:pos x="T84" y="T85"/>
              </a:cxn>
              <a:cxn ang="T165">
                <a:pos x="T86" y="T87"/>
              </a:cxn>
              <a:cxn ang="T166">
                <a:pos x="T88" y="T89"/>
              </a:cxn>
              <a:cxn ang="T167">
                <a:pos x="T90" y="T91"/>
              </a:cxn>
              <a:cxn ang="T168">
                <a:pos x="T92" y="T93"/>
              </a:cxn>
              <a:cxn ang="T169">
                <a:pos x="T94" y="T95"/>
              </a:cxn>
              <a:cxn ang="T170">
                <a:pos x="T96" y="T97"/>
              </a:cxn>
              <a:cxn ang="T171">
                <a:pos x="T98" y="T99"/>
              </a:cxn>
              <a:cxn ang="T172">
                <a:pos x="T100" y="T101"/>
              </a:cxn>
              <a:cxn ang="T173">
                <a:pos x="T102" y="T103"/>
              </a:cxn>
              <a:cxn ang="T174">
                <a:pos x="T104" y="T105"/>
              </a:cxn>
              <a:cxn ang="T175">
                <a:pos x="T106" y="T107"/>
              </a:cxn>
              <a:cxn ang="T176">
                <a:pos x="T108" y="T109"/>
              </a:cxn>
              <a:cxn ang="T177">
                <a:pos x="T110" y="T111"/>
              </a:cxn>
              <a:cxn ang="T178">
                <a:pos x="T112" y="T113"/>
              </a:cxn>
              <a:cxn ang="T179">
                <a:pos x="T114" y="T115"/>
              </a:cxn>
              <a:cxn ang="T180">
                <a:pos x="T116" y="T117"/>
              </a:cxn>
              <a:cxn ang="T181">
                <a:pos x="T118" y="T119"/>
              </a:cxn>
              <a:cxn ang="T182">
                <a:pos x="T120" y="T121"/>
              </a:cxn>
            </a:cxnLst>
            <a:rect l="T183" t="T184" r="T185" b="T186"/>
            <a:pathLst>
              <a:path w="12180" h="4147">
                <a:moveTo>
                  <a:pt x="3730" y="2949"/>
                </a:moveTo>
                <a:lnTo>
                  <a:pt x="3730" y="2949"/>
                </a:lnTo>
                <a:lnTo>
                  <a:pt x="3730" y="2915"/>
                </a:lnTo>
                <a:lnTo>
                  <a:pt x="3728" y="2883"/>
                </a:lnTo>
                <a:lnTo>
                  <a:pt x="3726" y="2850"/>
                </a:lnTo>
                <a:lnTo>
                  <a:pt x="3723" y="2819"/>
                </a:lnTo>
                <a:lnTo>
                  <a:pt x="3719" y="2789"/>
                </a:lnTo>
                <a:lnTo>
                  <a:pt x="3714" y="2758"/>
                </a:lnTo>
                <a:lnTo>
                  <a:pt x="3709" y="2730"/>
                </a:lnTo>
                <a:lnTo>
                  <a:pt x="3702" y="2702"/>
                </a:lnTo>
                <a:lnTo>
                  <a:pt x="3695" y="2673"/>
                </a:lnTo>
                <a:lnTo>
                  <a:pt x="3688" y="2646"/>
                </a:lnTo>
                <a:lnTo>
                  <a:pt x="3678" y="2619"/>
                </a:lnTo>
                <a:lnTo>
                  <a:pt x="3669" y="2594"/>
                </a:lnTo>
                <a:lnTo>
                  <a:pt x="3660" y="2569"/>
                </a:lnTo>
                <a:lnTo>
                  <a:pt x="3650" y="2545"/>
                </a:lnTo>
                <a:lnTo>
                  <a:pt x="3639" y="2520"/>
                </a:lnTo>
                <a:lnTo>
                  <a:pt x="3628" y="2497"/>
                </a:lnTo>
                <a:lnTo>
                  <a:pt x="3616" y="2475"/>
                </a:lnTo>
                <a:lnTo>
                  <a:pt x="3603" y="2452"/>
                </a:lnTo>
                <a:lnTo>
                  <a:pt x="3590" y="2431"/>
                </a:lnTo>
                <a:lnTo>
                  <a:pt x="3577" y="2411"/>
                </a:lnTo>
                <a:lnTo>
                  <a:pt x="3564" y="2391"/>
                </a:lnTo>
                <a:lnTo>
                  <a:pt x="3551" y="2370"/>
                </a:lnTo>
                <a:lnTo>
                  <a:pt x="3521" y="2334"/>
                </a:lnTo>
                <a:lnTo>
                  <a:pt x="3492" y="2298"/>
                </a:lnTo>
                <a:lnTo>
                  <a:pt x="3462" y="2266"/>
                </a:lnTo>
                <a:lnTo>
                  <a:pt x="3431" y="2236"/>
                </a:lnTo>
                <a:lnTo>
                  <a:pt x="3401" y="2207"/>
                </a:lnTo>
                <a:lnTo>
                  <a:pt x="3370" y="2181"/>
                </a:lnTo>
                <a:lnTo>
                  <a:pt x="3339" y="2157"/>
                </a:lnTo>
                <a:lnTo>
                  <a:pt x="3309" y="2134"/>
                </a:lnTo>
                <a:lnTo>
                  <a:pt x="3280" y="2114"/>
                </a:lnTo>
                <a:lnTo>
                  <a:pt x="3250" y="2096"/>
                </a:lnTo>
                <a:lnTo>
                  <a:pt x="3224" y="2080"/>
                </a:lnTo>
                <a:lnTo>
                  <a:pt x="3198" y="2064"/>
                </a:lnTo>
                <a:lnTo>
                  <a:pt x="3173" y="2051"/>
                </a:lnTo>
                <a:lnTo>
                  <a:pt x="3132" y="2031"/>
                </a:lnTo>
                <a:lnTo>
                  <a:pt x="3099" y="2017"/>
                </a:lnTo>
                <a:lnTo>
                  <a:pt x="3078" y="2009"/>
                </a:lnTo>
                <a:lnTo>
                  <a:pt x="3071" y="2006"/>
                </a:lnTo>
                <a:lnTo>
                  <a:pt x="3119" y="1988"/>
                </a:lnTo>
                <a:lnTo>
                  <a:pt x="3164" y="1970"/>
                </a:lnTo>
                <a:lnTo>
                  <a:pt x="3208" y="1950"/>
                </a:lnTo>
                <a:lnTo>
                  <a:pt x="3249" y="1928"/>
                </a:lnTo>
                <a:lnTo>
                  <a:pt x="3288" y="1905"/>
                </a:lnTo>
                <a:lnTo>
                  <a:pt x="3324" y="1881"/>
                </a:lnTo>
                <a:lnTo>
                  <a:pt x="3359" y="1856"/>
                </a:lnTo>
                <a:lnTo>
                  <a:pt x="3390" y="1829"/>
                </a:lnTo>
                <a:lnTo>
                  <a:pt x="3421" y="1802"/>
                </a:lnTo>
                <a:lnTo>
                  <a:pt x="3449" y="1774"/>
                </a:lnTo>
                <a:lnTo>
                  <a:pt x="3476" y="1744"/>
                </a:lnTo>
                <a:lnTo>
                  <a:pt x="3500" y="1714"/>
                </a:lnTo>
                <a:lnTo>
                  <a:pt x="3522" y="1684"/>
                </a:lnTo>
                <a:lnTo>
                  <a:pt x="3544" y="1651"/>
                </a:lnTo>
                <a:lnTo>
                  <a:pt x="3563" y="1619"/>
                </a:lnTo>
                <a:lnTo>
                  <a:pt x="3580" y="1586"/>
                </a:lnTo>
                <a:lnTo>
                  <a:pt x="3596" y="1553"/>
                </a:lnTo>
                <a:lnTo>
                  <a:pt x="3610" y="1518"/>
                </a:lnTo>
                <a:lnTo>
                  <a:pt x="3624" y="1484"/>
                </a:lnTo>
                <a:lnTo>
                  <a:pt x="3636" y="1450"/>
                </a:lnTo>
                <a:lnTo>
                  <a:pt x="3646" y="1414"/>
                </a:lnTo>
                <a:lnTo>
                  <a:pt x="3655" y="1379"/>
                </a:lnTo>
                <a:lnTo>
                  <a:pt x="3663" y="1343"/>
                </a:lnTo>
                <a:lnTo>
                  <a:pt x="3670" y="1308"/>
                </a:lnTo>
                <a:lnTo>
                  <a:pt x="3676" y="1272"/>
                </a:lnTo>
                <a:lnTo>
                  <a:pt x="3681" y="1237"/>
                </a:lnTo>
                <a:lnTo>
                  <a:pt x="3686" y="1201"/>
                </a:lnTo>
                <a:lnTo>
                  <a:pt x="3689" y="1166"/>
                </a:lnTo>
                <a:lnTo>
                  <a:pt x="3691" y="1130"/>
                </a:lnTo>
                <a:lnTo>
                  <a:pt x="3692" y="1096"/>
                </a:lnTo>
                <a:lnTo>
                  <a:pt x="3693" y="1062"/>
                </a:lnTo>
                <a:lnTo>
                  <a:pt x="3693" y="1027"/>
                </a:lnTo>
                <a:lnTo>
                  <a:pt x="3692" y="975"/>
                </a:lnTo>
                <a:lnTo>
                  <a:pt x="3689" y="925"/>
                </a:lnTo>
                <a:lnTo>
                  <a:pt x="3686" y="899"/>
                </a:lnTo>
                <a:lnTo>
                  <a:pt x="3682" y="874"/>
                </a:lnTo>
                <a:lnTo>
                  <a:pt x="3678" y="850"/>
                </a:lnTo>
                <a:lnTo>
                  <a:pt x="3673" y="825"/>
                </a:lnTo>
                <a:lnTo>
                  <a:pt x="3668" y="800"/>
                </a:lnTo>
                <a:lnTo>
                  <a:pt x="3662" y="776"/>
                </a:lnTo>
                <a:lnTo>
                  <a:pt x="3656" y="752"/>
                </a:lnTo>
                <a:lnTo>
                  <a:pt x="3649" y="728"/>
                </a:lnTo>
                <a:lnTo>
                  <a:pt x="3641" y="704"/>
                </a:lnTo>
                <a:lnTo>
                  <a:pt x="3633" y="681"/>
                </a:lnTo>
                <a:lnTo>
                  <a:pt x="3624" y="657"/>
                </a:lnTo>
                <a:lnTo>
                  <a:pt x="3614" y="634"/>
                </a:lnTo>
                <a:lnTo>
                  <a:pt x="3603" y="612"/>
                </a:lnTo>
                <a:lnTo>
                  <a:pt x="3591" y="589"/>
                </a:lnTo>
                <a:lnTo>
                  <a:pt x="3580" y="567"/>
                </a:lnTo>
                <a:lnTo>
                  <a:pt x="3567" y="545"/>
                </a:lnTo>
                <a:lnTo>
                  <a:pt x="3554" y="524"/>
                </a:lnTo>
                <a:lnTo>
                  <a:pt x="3539" y="501"/>
                </a:lnTo>
                <a:lnTo>
                  <a:pt x="3524" y="481"/>
                </a:lnTo>
                <a:lnTo>
                  <a:pt x="3508" y="460"/>
                </a:lnTo>
                <a:lnTo>
                  <a:pt x="3492" y="440"/>
                </a:lnTo>
                <a:lnTo>
                  <a:pt x="3475" y="419"/>
                </a:lnTo>
                <a:lnTo>
                  <a:pt x="3456" y="400"/>
                </a:lnTo>
                <a:lnTo>
                  <a:pt x="3437" y="381"/>
                </a:lnTo>
                <a:lnTo>
                  <a:pt x="3418" y="362"/>
                </a:lnTo>
                <a:lnTo>
                  <a:pt x="3397" y="343"/>
                </a:lnTo>
                <a:lnTo>
                  <a:pt x="3375" y="325"/>
                </a:lnTo>
                <a:lnTo>
                  <a:pt x="3354" y="307"/>
                </a:lnTo>
                <a:lnTo>
                  <a:pt x="3331" y="290"/>
                </a:lnTo>
                <a:lnTo>
                  <a:pt x="3306" y="272"/>
                </a:lnTo>
                <a:lnTo>
                  <a:pt x="3282" y="256"/>
                </a:lnTo>
                <a:lnTo>
                  <a:pt x="3257" y="240"/>
                </a:lnTo>
                <a:lnTo>
                  <a:pt x="3229" y="224"/>
                </a:lnTo>
                <a:lnTo>
                  <a:pt x="3202" y="209"/>
                </a:lnTo>
                <a:lnTo>
                  <a:pt x="3173" y="194"/>
                </a:lnTo>
                <a:lnTo>
                  <a:pt x="3145" y="179"/>
                </a:lnTo>
                <a:lnTo>
                  <a:pt x="3115" y="166"/>
                </a:lnTo>
                <a:lnTo>
                  <a:pt x="3083" y="153"/>
                </a:lnTo>
                <a:lnTo>
                  <a:pt x="3052" y="140"/>
                </a:lnTo>
                <a:lnTo>
                  <a:pt x="3018" y="128"/>
                </a:lnTo>
                <a:lnTo>
                  <a:pt x="2985" y="115"/>
                </a:lnTo>
                <a:lnTo>
                  <a:pt x="2950" y="104"/>
                </a:lnTo>
                <a:lnTo>
                  <a:pt x="2914" y="93"/>
                </a:lnTo>
                <a:lnTo>
                  <a:pt x="2877" y="83"/>
                </a:lnTo>
                <a:lnTo>
                  <a:pt x="2840" y="73"/>
                </a:lnTo>
                <a:lnTo>
                  <a:pt x="2801" y="64"/>
                </a:lnTo>
                <a:lnTo>
                  <a:pt x="2762" y="56"/>
                </a:lnTo>
                <a:lnTo>
                  <a:pt x="2721" y="48"/>
                </a:lnTo>
                <a:lnTo>
                  <a:pt x="2678" y="41"/>
                </a:lnTo>
                <a:lnTo>
                  <a:pt x="2636" y="33"/>
                </a:lnTo>
                <a:lnTo>
                  <a:pt x="2592" y="27"/>
                </a:lnTo>
                <a:lnTo>
                  <a:pt x="2548" y="21"/>
                </a:lnTo>
                <a:lnTo>
                  <a:pt x="2502" y="16"/>
                </a:lnTo>
                <a:lnTo>
                  <a:pt x="2454" y="12"/>
                </a:lnTo>
                <a:lnTo>
                  <a:pt x="2407" y="8"/>
                </a:lnTo>
                <a:lnTo>
                  <a:pt x="2358" y="5"/>
                </a:lnTo>
                <a:lnTo>
                  <a:pt x="2307" y="3"/>
                </a:lnTo>
                <a:lnTo>
                  <a:pt x="2257" y="1"/>
                </a:lnTo>
                <a:lnTo>
                  <a:pt x="2204" y="0"/>
                </a:lnTo>
                <a:lnTo>
                  <a:pt x="2151" y="0"/>
                </a:lnTo>
                <a:lnTo>
                  <a:pt x="0" y="0"/>
                </a:lnTo>
                <a:lnTo>
                  <a:pt x="0" y="4138"/>
                </a:lnTo>
                <a:lnTo>
                  <a:pt x="2145" y="4138"/>
                </a:lnTo>
                <a:lnTo>
                  <a:pt x="2199" y="4138"/>
                </a:lnTo>
                <a:lnTo>
                  <a:pt x="2252" y="4137"/>
                </a:lnTo>
                <a:lnTo>
                  <a:pt x="2303" y="4135"/>
                </a:lnTo>
                <a:lnTo>
                  <a:pt x="2354" y="4132"/>
                </a:lnTo>
                <a:lnTo>
                  <a:pt x="2404" y="4128"/>
                </a:lnTo>
                <a:lnTo>
                  <a:pt x="2452" y="4123"/>
                </a:lnTo>
                <a:lnTo>
                  <a:pt x="2499" y="4118"/>
                </a:lnTo>
                <a:lnTo>
                  <a:pt x="2546" y="4112"/>
                </a:lnTo>
                <a:lnTo>
                  <a:pt x="2591" y="4104"/>
                </a:lnTo>
                <a:lnTo>
                  <a:pt x="2636" y="4097"/>
                </a:lnTo>
                <a:lnTo>
                  <a:pt x="2679" y="4088"/>
                </a:lnTo>
                <a:lnTo>
                  <a:pt x="2722" y="4079"/>
                </a:lnTo>
                <a:lnTo>
                  <a:pt x="2763" y="4070"/>
                </a:lnTo>
                <a:lnTo>
                  <a:pt x="2803" y="4059"/>
                </a:lnTo>
                <a:lnTo>
                  <a:pt x="2843" y="4048"/>
                </a:lnTo>
                <a:lnTo>
                  <a:pt x="2881" y="4036"/>
                </a:lnTo>
                <a:lnTo>
                  <a:pt x="2919" y="4023"/>
                </a:lnTo>
                <a:lnTo>
                  <a:pt x="2956" y="4010"/>
                </a:lnTo>
                <a:lnTo>
                  <a:pt x="2992" y="3996"/>
                </a:lnTo>
                <a:lnTo>
                  <a:pt x="3026" y="3982"/>
                </a:lnTo>
                <a:lnTo>
                  <a:pt x="3060" y="3967"/>
                </a:lnTo>
                <a:lnTo>
                  <a:pt x="3093" y="3952"/>
                </a:lnTo>
                <a:lnTo>
                  <a:pt x="3125" y="3935"/>
                </a:lnTo>
                <a:lnTo>
                  <a:pt x="3156" y="3919"/>
                </a:lnTo>
                <a:lnTo>
                  <a:pt x="3187" y="3902"/>
                </a:lnTo>
                <a:lnTo>
                  <a:pt x="3215" y="3884"/>
                </a:lnTo>
                <a:lnTo>
                  <a:pt x="3243" y="3865"/>
                </a:lnTo>
                <a:lnTo>
                  <a:pt x="3271" y="3846"/>
                </a:lnTo>
                <a:lnTo>
                  <a:pt x="3298" y="3827"/>
                </a:lnTo>
                <a:lnTo>
                  <a:pt x="3323" y="3808"/>
                </a:lnTo>
                <a:lnTo>
                  <a:pt x="3348" y="3787"/>
                </a:lnTo>
                <a:lnTo>
                  <a:pt x="3372" y="3766"/>
                </a:lnTo>
                <a:lnTo>
                  <a:pt x="3395" y="3746"/>
                </a:lnTo>
                <a:lnTo>
                  <a:pt x="3418" y="3724"/>
                </a:lnTo>
                <a:lnTo>
                  <a:pt x="3439" y="3702"/>
                </a:lnTo>
                <a:lnTo>
                  <a:pt x="3460" y="3680"/>
                </a:lnTo>
                <a:lnTo>
                  <a:pt x="3480" y="3657"/>
                </a:lnTo>
                <a:lnTo>
                  <a:pt x="3499" y="3633"/>
                </a:lnTo>
                <a:lnTo>
                  <a:pt x="3517" y="3610"/>
                </a:lnTo>
                <a:lnTo>
                  <a:pt x="3534" y="3587"/>
                </a:lnTo>
                <a:lnTo>
                  <a:pt x="3551" y="3563"/>
                </a:lnTo>
                <a:lnTo>
                  <a:pt x="3567" y="3538"/>
                </a:lnTo>
                <a:lnTo>
                  <a:pt x="3582" y="3513"/>
                </a:lnTo>
                <a:lnTo>
                  <a:pt x="3596" y="3489"/>
                </a:lnTo>
                <a:lnTo>
                  <a:pt x="3609" y="3463"/>
                </a:lnTo>
                <a:lnTo>
                  <a:pt x="3623" y="3437"/>
                </a:lnTo>
                <a:lnTo>
                  <a:pt x="3635" y="3412"/>
                </a:lnTo>
                <a:lnTo>
                  <a:pt x="3646" y="3385"/>
                </a:lnTo>
                <a:lnTo>
                  <a:pt x="3656" y="3359"/>
                </a:lnTo>
                <a:lnTo>
                  <a:pt x="3666" y="3333"/>
                </a:lnTo>
                <a:lnTo>
                  <a:pt x="3675" y="3306"/>
                </a:lnTo>
                <a:lnTo>
                  <a:pt x="3683" y="3279"/>
                </a:lnTo>
                <a:lnTo>
                  <a:pt x="3691" y="3253"/>
                </a:lnTo>
                <a:lnTo>
                  <a:pt x="3698" y="3225"/>
                </a:lnTo>
                <a:lnTo>
                  <a:pt x="3704" y="3198"/>
                </a:lnTo>
                <a:lnTo>
                  <a:pt x="3710" y="3171"/>
                </a:lnTo>
                <a:lnTo>
                  <a:pt x="3715" y="3143"/>
                </a:lnTo>
                <a:lnTo>
                  <a:pt x="3719" y="3116"/>
                </a:lnTo>
                <a:lnTo>
                  <a:pt x="3722" y="3087"/>
                </a:lnTo>
                <a:lnTo>
                  <a:pt x="3725" y="3060"/>
                </a:lnTo>
                <a:lnTo>
                  <a:pt x="3727" y="3032"/>
                </a:lnTo>
                <a:lnTo>
                  <a:pt x="3729" y="3004"/>
                </a:lnTo>
                <a:lnTo>
                  <a:pt x="3730" y="2976"/>
                </a:lnTo>
                <a:lnTo>
                  <a:pt x="3730" y="2949"/>
                </a:lnTo>
                <a:close/>
                <a:moveTo>
                  <a:pt x="2462" y="901"/>
                </a:moveTo>
                <a:lnTo>
                  <a:pt x="2469" y="901"/>
                </a:lnTo>
                <a:lnTo>
                  <a:pt x="2474" y="902"/>
                </a:lnTo>
                <a:lnTo>
                  <a:pt x="2489" y="905"/>
                </a:lnTo>
                <a:lnTo>
                  <a:pt x="2504" y="908"/>
                </a:lnTo>
                <a:lnTo>
                  <a:pt x="2518" y="912"/>
                </a:lnTo>
                <a:lnTo>
                  <a:pt x="2532" y="917"/>
                </a:lnTo>
                <a:lnTo>
                  <a:pt x="2547" y="923"/>
                </a:lnTo>
                <a:lnTo>
                  <a:pt x="2561" y="929"/>
                </a:lnTo>
                <a:lnTo>
                  <a:pt x="2574" y="935"/>
                </a:lnTo>
                <a:lnTo>
                  <a:pt x="2587" y="942"/>
                </a:lnTo>
                <a:lnTo>
                  <a:pt x="2599" y="950"/>
                </a:lnTo>
                <a:lnTo>
                  <a:pt x="2612" y="958"/>
                </a:lnTo>
                <a:lnTo>
                  <a:pt x="2624" y="966"/>
                </a:lnTo>
                <a:lnTo>
                  <a:pt x="2635" y="975"/>
                </a:lnTo>
                <a:lnTo>
                  <a:pt x="2646" y="985"/>
                </a:lnTo>
                <a:lnTo>
                  <a:pt x="2656" y="995"/>
                </a:lnTo>
                <a:lnTo>
                  <a:pt x="2666" y="1005"/>
                </a:lnTo>
                <a:lnTo>
                  <a:pt x="2676" y="1016"/>
                </a:lnTo>
                <a:lnTo>
                  <a:pt x="2686" y="1027"/>
                </a:lnTo>
                <a:lnTo>
                  <a:pt x="2694" y="1039"/>
                </a:lnTo>
                <a:lnTo>
                  <a:pt x="2702" y="1050"/>
                </a:lnTo>
                <a:lnTo>
                  <a:pt x="2710" y="1064"/>
                </a:lnTo>
                <a:lnTo>
                  <a:pt x="2717" y="1076"/>
                </a:lnTo>
                <a:lnTo>
                  <a:pt x="2723" y="1089"/>
                </a:lnTo>
                <a:lnTo>
                  <a:pt x="2729" y="1102"/>
                </a:lnTo>
                <a:lnTo>
                  <a:pt x="2735" y="1115"/>
                </a:lnTo>
                <a:lnTo>
                  <a:pt x="2739" y="1129"/>
                </a:lnTo>
                <a:lnTo>
                  <a:pt x="2744" y="1144"/>
                </a:lnTo>
                <a:lnTo>
                  <a:pt x="2747" y="1158"/>
                </a:lnTo>
                <a:lnTo>
                  <a:pt x="2750" y="1172"/>
                </a:lnTo>
                <a:lnTo>
                  <a:pt x="2754" y="1186"/>
                </a:lnTo>
                <a:lnTo>
                  <a:pt x="2755" y="1201"/>
                </a:lnTo>
                <a:lnTo>
                  <a:pt x="2756" y="1217"/>
                </a:lnTo>
                <a:lnTo>
                  <a:pt x="2757" y="1232"/>
                </a:lnTo>
                <a:lnTo>
                  <a:pt x="2756" y="1247"/>
                </a:lnTo>
                <a:lnTo>
                  <a:pt x="2755" y="1263"/>
                </a:lnTo>
                <a:lnTo>
                  <a:pt x="2752" y="1278"/>
                </a:lnTo>
                <a:lnTo>
                  <a:pt x="2750" y="1294"/>
                </a:lnTo>
                <a:lnTo>
                  <a:pt x="2747" y="1309"/>
                </a:lnTo>
                <a:lnTo>
                  <a:pt x="2743" y="1324"/>
                </a:lnTo>
                <a:lnTo>
                  <a:pt x="2738" y="1338"/>
                </a:lnTo>
                <a:lnTo>
                  <a:pt x="2733" y="1353"/>
                </a:lnTo>
                <a:lnTo>
                  <a:pt x="2728" y="1367"/>
                </a:lnTo>
                <a:lnTo>
                  <a:pt x="2721" y="1382"/>
                </a:lnTo>
                <a:lnTo>
                  <a:pt x="2714" y="1395"/>
                </a:lnTo>
                <a:lnTo>
                  <a:pt x="2707" y="1408"/>
                </a:lnTo>
                <a:lnTo>
                  <a:pt x="2699" y="1421"/>
                </a:lnTo>
                <a:lnTo>
                  <a:pt x="2691" y="1434"/>
                </a:lnTo>
                <a:lnTo>
                  <a:pt x="2682" y="1446"/>
                </a:lnTo>
                <a:lnTo>
                  <a:pt x="2671" y="1459"/>
                </a:lnTo>
                <a:lnTo>
                  <a:pt x="2661" y="1471"/>
                </a:lnTo>
                <a:lnTo>
                  <a:pt x="2650" y="1482"/>
                </a:lnTo>
                <a:lnTo>
                  <a:pt x="2640" y="1492"/>
                </a:lnTo>
                <a:lnTo>
                  <a:pt x="2628" y="1502"/>
                </a:lnTo>
                <a:lnTo>
                  <a:pt x="2616" y="1512"/>
                </a:lnTo>
                <a:lnTo>
                  <a:pt x="2603" y="1521"/>
                </a:lnTo>
                <a:lnTo>
                  <a:pt x="2590" y="1530"/>
                </a:lnTo>
                <a:lnTo>
                  <a:pt x="2577" y="1538"/>
                </a:lnTo>
                <a:lnTo>
                  <a:pt x="2564" y="1545"/>
                </a:lnTo>
                <a:lnTo>
                  <a:pt x="2550" y="1552"/>
                </a:lnTo>
                <a:lnTo>
                  <a:pt x="2535" y="1558"/>
                </a:lnTo>
                <a:lnTo>
                  <a:pt x="2521" y="1563"/>
                </a:lnTo>
                <a:lnTo>
                  <a:pt x="2506" y="1568"/>
                </a:lnTo>
                <a:lnTo>
                  <a:pt x="2492" y="1572"/>
                </a:lnTo>
                <a:lnTo>
                  <a:pt x="2476" y="1575"/>
                </a:lnTo>
                <a:lnTo>
                  <a:pt x="2460" y="1578"/>
                </a:lnTo>
                <a:lnTo>
                  <a:pt x="1021" y="1580"/>
                </a:lnTo>
                <a:lnTo>
                  <a:pt x="1020" y="901"/>
                </a:lnTo>
                <a:lnTo>
                  <a:pt x="2462" y="901"/>
                </a:lnTo>
                <a:close/>
                <a:moveTo>
                  <a:pt x="1020" y="2481"/>
                </a:moveTo>
                <a:lnTo>
                  <a:pt x="2429" y="2481"/>
                </a:lnTo>
                <a:lnTo>
                  <a:pt x="2433" y="2481"/>
                </a:lnTo>
                <a:lnTo>
                  <a:pt x="2436" y="2482"/>
                </a:lnTo>
                <a:lnTo>
                  <a:pt x="2452" y="2484"/>
                </a:lnTo>
                <a:lnTo>
                  <a:pt x="2469" y="2487"/>
                </a:lnTo>
                <a:lnTo>
                  <a:pt x="2484" y="2490"/>
                </a:lnTo>
                <a:lnTo>
                  <a:pt x="2500" y="2495"/>
                </a:lnTo>
                <a:lnTo>
                  <a:pt x="2515" y="2500"/>
                </a:lnTo>
                <a:lnTo>
                  <a:pt x="2529" y="2505"/>
                </a:lnTo>
                <a:lnTo>
                  <a:pt x="2545" y="2511"/>
                </a:lnTo>
                <a:lnTo>
                  <a:pt x="2558" y="2518"/>
                </a:lnTo>
                <a:lnTo>
                  <a:pt x="2572" y="2526"/>
                </a:lnTo>
                <a:lnTo>
                  <a:pt x="2585" y="2534"/>
                </a:lnTo>
                <a:lnTo>
                  <a:pt x="2598" y="2542"/>
                </a:lnTo>
                <a:lnTo>
                  <a:pt x="2611" y="2552"/>
                </a:lnTo>
                <a:lnTo>
                  <a:pt x="2623" y="2562"/>
                </a:lnTo>
                <a:lnTo>
                  <a:pt x="2635" y="2572"/>
                </a:lnTo>
                <a:lnTo>
                  <a:pt x="2645" y="2582"/>
                </a:lnTo>
                <a:lnTo>
                  <a:pt x="2656" y="2593"/>
                </a:lnTo>
                <a:lnTo>
                  <a:pt x="2666" y="2605"/>
                </a:lnTo>
                <a:lnTo>
                  <a:pt x="2675" y="2617"/>
                </a:lnTo>
                <a:lnTo>
                  <a:pt x="2685" y="2630"/>
                </a:lnTo>
                <a:lnTo>
                  <a:pt x="2694" y="2643"/>
                </a:lnTo>
                <a:lnTo>
                  <a:pt x="2701" y="2656"/>
                </a:lnTo>
                <a:lnTo>
                  <a:pt x="2708" y="2669"/>
                </a:lnTo>
                <a:lnTo>
                  <a:pt x="2715" y="2683"/>
                </a:lnTo>
                <a:lnTo>
                  <a:pt x="2721" y="2697"/>
                </a:lnTo>
                <a:lnTo>
                  <a:pt x="2726" y="2712"/>
                </a:lnTo>
                <a:lnTo>
                  <a:pt x="2731" y="2727"/>
                </a:lnTo>
                <a:lnTo>
                  <a:pt x="2735" y="2742"/>
                </a:lnTo>
                <a:lnTo>
                  <a:pt x="2738" y="2757"/>
                </a:lnTo>
                <a:lnTo>
                  <a:pt x="2741" y="2772"/>
                </a:lnTo>
                <a:lnTo>
                  <a:pt x="2743" y="2789"/>
                </a:lnTo>
                <a:lnTo>
                  <a:pt x="2744" y="2805"/>
                </a:lnTo>
                <a:lnTo>
                  <a:pt x="2744" y="2821"/>
                </a:lnTo>
                <a:lnTo>
                  <a:pt x="2744" y="2838"/>
                </a:lnTo>
                <a:lnTo>
                  <a:pt x="2742" y="2855"/>
                </a:lnTo>
                <a:lnTo>
                  <a:pt x="2740" y="2873"/>
                </a:lnTo>
                <a:lnTo>
                  <a:pt x="2737" y="2890"/>
                </a:lnTo>
                <a:lnTo>
                  <a:pt x="2733" y="2906"/>
                </a:lnTo>
                <a:lnTo>
                  <a:pt x="2729" y="2923"/>
                </a:lnTo>
                <a:lnTo>
                  <a:pt x="2723" y="2940"/>
                </a:lnTo>
                <a:lnTo>
                  <a:pt x="2717" y="2955"/>
                </a:lnTo>
                <a:lnTo>
                  <a:pt x="2710" y="2971"/>
                </a:lnTo>
                <a:lnTo>
                  <a:pt x="2702" y="2985"/>
                </a:lnTo>
                <a:lnTo>
                  <a:pt x="2694" y="3000"/>
                </a:lnTo>
                <a:lnTo>
                  <a:pt x="2685" y="3015"/>
                </a:lnTo>
                <a:lnTo>
                  <a:pt x="2675" y="3029"/>
                </a:lnTo>
                <a:lnTo>
                  <a:pt x="2664" y="3042"/>
                </a:lnTo>
                <a:lnTo>
                  <a:pt x="2654" y="3055"/>
                </a:lnTo>
                <a:lnTo>
                  <a:pt x="2642" y="3067"/>
                </a:lnTo>
                <a:lnTo>
                  <a:pt x="2630" y="3078"/>
                </a:lnTo>
                <a:lnTo>
                  <a:pt x="2618" y="3089"/>
                </a:lnTo>
                <a:lnTo>
                  <a:pt x="2604" y="3101"/>
                </a:lnTo>
                <a:lnTo>
                  <a:pt x="2591" y="3111"/>
                </a:lnTo>
                <a:lnTo>
                  <a:pt x="2577" y="3120"/>
                </a:lnTo>
                <a:lnTo>
                  <a:pt x="2563" y="3129"/>
                </a:lnTo>
                <a:lnTo>
                  <a:pt x="2548" y="3137"/>
                </a:lnTo>
                <a:lnTo>
                  <a:pt x="2532" y="3144"/>
                </a:lnTo>
                <a:lnTo>
                  <a:pt x="2516" y="3150"/>
                </a:lnTo>
                <a:lnTo>
                  <a:pt x="2501" y="3156"/>
                </a:lnTo>
                <a:lnTo>
                  <a:pt x="2485" y="3161"/>
                </a:lnTo>
                <a:lnTo>
                  <a:pt x="2468" y="3165"/>
                </a:lnTo>
                <a:lnTo>
                  <a:pt x="2451" y="3168"/>
                </a:lnTo>
                <a:lnTo>
                  <a:pt x="2434" y="3172"/>
                </a:lnTo>
                <a:lnTo>
                  <a:pt x="2417" y="3173"/>
                </a:lnTo>
                <a:lnTo>
                  <a:pt x="2399" y="3174"/>
                </a:lnTo>
                <a:lnTo>
                  <a:pt x="1020" y="3174"/>
                </a:lnTo>
                <a:lnTo>
                  <a:pt x="1020" y="2481"/>
                </a:lnTo>
                <a:close/>
                <a:moveTo>
                  <a:pt x="12180" y="3200"/>
                </a:moveTo>
                <a:lnTo>
                  <a:pt x="9558" y="3200"/>
                </a:lnTo>
                <a:lnTo>
                  <a:pt x="9558" y="2479"/>
                </a:lnTo>
                <a:lnTo>
                  <a:pt x="11921" y="2479"/>
                </a:lnTo>
                <a:lnTo>
                  <a:pt x="11921" y="1570"/>
                </a:lnTo>
                <a:lnTo>
                  <a:pt x="9558" y="1570"/>
                </a:lnTo>
                <a:lnTo>
                  <a:pt x="9555" y="904"/>
                </a:lnTo>
                <a:lnTo>
                  <a:pt x="12178" y="904"/>
                </a:lnTo>
                <a:lnTo>
                  <a:pt x="12179" y="0"/>
                </a:lnTo>
                <a:lnTo>
                  <a:pt x="8545" y="0"/>
                </a:lnTo>
                <a:lnTo>
                  <a:pt x="8545" y="4147"/>
                </a:lnTo>
                <a:lnTo>
                  <a:pt x="12180" y="4147"/>
                </a:lnTo>
                <a:lnTo>
                  <a:pt x="12180" y="3200"/>
                </a:lnTo>
                <a:close/>
                <a:moveTo>
                  <a:pt x="7908" y="4142"/>
                </a:moveTo>
                <a:lnTo>
                  <a:pt x="7906" y="2806"/>
                </a:lnTo>
                <a:lnTo>
                  <a:pt x="7906" y="2776"/>
                </a:lnTo>
                <a:lnTo>
                  <a:pt x="7904" y="2749"/>
                </a:lnTo>
                <a:lnTo>
                  <a:pt x="7902" y="2721"/>
                </a:lnTo>
                <a:lnTo>
                  <a:pt x="7899" y="2694"/>
                </a:lnTo>
                <a:lnTo>
                  <a:pt x="7896" y="2668"/>
                </a:lnTo>
                <a:lnTo>
                  <a:pt x="7891" y="2643"/>
                </a:lnTo>
                <a:lnTo>
                  <a:pt x="7886" y="2617"/>
                </a:lnTo>
                <a:lnTo>
                  <a:pt x="7881" y="2593"/>
                </a:lnTo>
                <a:lnTo>
                  <a:pt x="7874" y="2570"/>
                </a:lnTo>
                <a:lnTo>
                  <a:pt x="7867" y="2547"/>
                </a:lnTo>
                <a:lnTo>
                  <a:pt x="7860" y="2523"/>
                </a:lnTo>
                <a:lnTo>
                  <a:pt x="7852" y="2502"/>
                </a:lnTo>
                <a:lnTo>
                  <a:pt x="7842" y="2480"/>
                </a:lnTo>
                <a:lnTo>
                  <a:pt x="7833" y="2459"/>
                </a:lnTo>
                <a:lnTo>
                  <a:pt x="7823" y="2439"/>
                </a:lnTo>
                <a:lnTo>
                  <a:pt x="7813" y="2419"/>
                </a:lnTo>
                <a:lnTo>
                  <a:pt x="7802" y="2400"/>
                </a:lnTo>
                <a:lnTo>
                  <a:pt x="7791" y="2381"/>
                </a:lnTo>
                <a:lnTo>
                  <a:pt x="7767" y="2345"/>
                </a:lnTo>
                <a:lnTo>
                  <a:pt x="7743" y="2312"/>
                </a:lnTo>
                <a:lnTo>
                  <a:pt x="7717" y="2280"/>
                </a:lnTo>
                <a:lnTo>
                  <a:pt x="7690" y="2250"/>
                </a:lnTo>
                <a:lnTo>
                  <a:pt x="7663" y="2222"/>
                </a:lnTo>
                <a:lnTo>
                  <a:pt x="7635" y="2196"/>
                </a:lnTo>
                <a:lnTo>
                  <a:pt x="7607" y="2173"/>
                </a:lnTo>
                <a:lnTo>
                  <a:pt x="7579" y="2150"/>
                </a:lnTo>
                <a:lnTo>
                  <a:pt x="7551" y="2129"/>
                </a:lnTo>
                <a:lnTo>
                  <a:pt x="7524" y="2111"/>
                </a:lnTo>
                <a:lnTo>
                  <a:pt x="7497" y="2094"/>
                </a:lnTo>
                <a:lnTo>
                  <a:pt x="7471" y="2079"/>
                </a:lnTo>
                <a:lnTo>
                  <a:pt x="7447" y="2064"/>
                </a:lnTo>
                <a:lnTo>
                  <a:pt x="7424" y="2052"/>
                </a:lnTo>
                <a:lnTo>
                  <a:pt x="7401" y="2042"/>
                </a:lnTo>
                <a:lnTo>
                  <a:pt x="7363" y="2025"/>
                </a:lnTo>
                <a:lnTo>
                  <a:pt x="7333" y="2013"/>
                </a:lnTo>
                <a:lnTo>
                  <a:pt x="7314" y="2006"/>
                </a:lnTo>
                <a:lnTo>
                  <a:pt x="7308" y="2004"/>
                </a:lnTo>
                <a:lnTo>
                  <a:pt x="7314" y="2002"/>
                </a:lnTo>
                <a:lnTo>
                  <a:pt x="7334" y="1994"/>
                </a:lnTo>
                <a:lnTo>
                  <a:pt x="7364" y="1981"/>
                </a:lnTo>
                <a:lnTo>
                  <a:pt x="7403" y="1963"/>
                </a:lnTo>
                <a:lnTo>
                  <a:pt x="7426" y="1952"/>
                </a:lnTo>
                <a:lnTo>
                  <a:pt x="7450" y="1939"/>
                </a:lnTo>
                <a:lnTo>
                  <a:pt x="7475" y="1924"/>
                </a:lnTo>
                <a:lnTo>
                  <a:pt x="7502" y="1907"/>
                </a:lnTo>
                <a:lnTo>
                  <a:pt x="7529" y="1888"/>
                </a:lnTo>
                <a:lnTo>
                  <a:pt x="7557" y="1868"/>
                </a:lnTo>
                <a:lnTo>
                  <a:pt x="7585" y="1846"/>
                </a:lnTo>
                <a:lnTo>
                  <a:pt x="7613" y="1820"/>
                </a:lnTo>
                <a:lnTo>
                  <a:pt x="7643" y="1794"/>
                </a:lnTo>
                <a:lnTo>
                  <a:pt x="7671" y="1765"/>
                </a:lnTo>
                <a:lnTo>
                  <a:pt x="7698" y="1733"/>
                </a:lnTo>
                <a:lnTo>
                  <a:pt x="7726" y="1700"/>
                </a:lnTo>
                <a:lnTo>
                  <a:pt x="7752" y="1664"/>
                </a:lnTo>
                <a:lnTo>
                  <a:pt x="7765" y="1645"/>
                </a:lnTo>
                <a:lnTo>
                  <a:pt x="7778" y="1626"/>
                </a:lnTo>
                <a:lnTo>
                  <a:pt x="7790" y="1606"/>
                </a:lnTo>
                <a:lnTo>
                  <a:pt x="7802" y="1584"/>
                </a:lnTo>
                <a:lnTo>
                  <a:pt x="7813" y="1563"/>
                </a:lnTo>
                <a:lnTo>
                  <a:pt x="7824" y="1541"/>
                </a:lnTo>
                <a:lnTo>
                  <a:pt x="7834" y="1517"/>
                </a:lnTo>
                <a:lnTo>
                  <a:pt x="7845" y="1494"/>
                </a:lnTo>
                <a:lnTo>
                  <a:pt x="7855" y="1470"/>
                </a:lnTo>
                <a:lnTo>
                  <a:pt x="7864" y="1445"/>
                </a:lnTo>
                <a:lnTo>
                  <a:pt x="7872" y="1419"/>
                </a:lnTo>
                <a:lnTo>
                  <a:pt x="7880" y="1393"/>
                </a:lnTo>
                <a:lnTo>
                  <a:pt x="7887" y="1366"/>
                </a:lnTo>
                <a:lnTo>
                  <a:pt x="7893" y="1338"/>
                </a:lnTo>
                <a:lnTo>
                  <a:pt x="7899" y="1310"/>
                </a:lnTo>
                <a:lnTo>
                  <a:pt x="7904" y="1280"/>
                </a:lnTo>
                <a:lnTo>
                  <a:pt x="7909" y="1251"/>
                </a:lnTo>
                <a:lnTo>
                  <a:pt x="7912" y="1220"/>
                </a:lnTo>
                <a:lnTo>
                  <a:pt x="7916" y="1188"/>
                </a:lnTo>
                <a:lnTo>
                  <a:pt x="7918" y="1156"/>
                </a:lnTo>
                <a:lnTo>
                  <a:pt x="7920" y="1122"/>
                </a:lnTo>
                <a:lnTo>
                  <a:pt x="7920" y="1089"/>
                </a:lnTo>
                <a:lnTo>
                  <a:pt x="7920" y="1047"/>
                </a:lnTo>
                <a:lnTo>
                  <a:pt x="7918" y="1007"/>
                </a:lnTo>
                <a:lnTo>
                  <a:pt x="7915" y="967"/>
                </a:lnTo>
                <a:lnTo>
                  <a:pt x="7910" y="929"/>
                </a:lnTo>
                <a:lnTo>
                  <a:pt x="7906" y="891"/>
                </a:lnTo>
                <a:lnTo>
                  <a:pt x="7900" y="855"/>
                </a:lnTo>
                <a:lnTo>
                  <a:pt x="7893" y="819"/>
                </a:lnTo>
                <a:lnTo>
                  <a:pt x="7885" y="785"/>
                </a:lnTo>
                <a:lnTo>
                  <a:pt x="7876" y="752"/>
                </a:lnTo>
                <a:lnTo>
                  <a:pt x="7867" y="719"/>
                </a:lnTo>
                <a:lnTo>
                  <a:pt x="7856" y="688"/>
                </a:lnTo>
                <a:lnTo>
                  <a:pt x="7844" y="656"/>
                </a:lnTo>
                <a:lnTo>
                  <a:pt x="7831" y="627"/>
                </a:lnTo>
                <a:lnTo>
                  <a:pt x="7818" y="598"/>
                </a:lnTo>
                <a:lnTo>
                  <a:pt x="7803" y="569"/>
                </a:lnTo>
                <a:lnTo>
                  <a:pt x="7788" y="542"/>
                </a:lnTo>
                <a:lnTo>
                  <a:pt x="7773" y="516"/>
                </a:lnTo>
                <a:lnTo>
                  <a:pt x="7755" y="490"/>
                </a:lnTo>
                <a:lnTo>
                  <a:pt x="7738" y="465"/>
                </a:lnTo>
                <a:lnTo>
                  <a:pt x="7719" y="441"/>
                </a:lnTo>
                <a:lnTo>
                  <a:pt x="7701" y="417"/>
                </a:lnTo>
                <a:lnTo>
                  <a:pt x="7680" y="395"/>
                </a:lnTo>
                <a:lnTo>
                  <a:pt x="7660" y="374"/>
                </a:lnTo>
                <a:lnTo>
                  <a:pt x="7639" y="353"/>
                </a:lnTo>
                <a:lnTo>
                  <a:pt x="7616" y="332"/>
                </a:lnTo>
                <a:lnTo>
                  <a:pt x="7594" y="313"/>
                </a:lnTo>
                <a:lnTo>
                  <a:pt x="7571" y="295"/>
                </a:lnTo>
                <a:lnTo>
                  <a:pt x="7546" y="277"/>
                </a:lnTo>
                <a:lnTo>
                  <a:pt x="7522" y="259"/>
                </a:lnTo>
                <a:lnTo>
                  <a:pt x="7497" y="243"/>
                </a:lnTo>
                <a:lnTo>
                  <a:pt x="7471" y="227"/>
                </a:lnTo>
                <a:lnTo>
                  <a:pt x="7445" y="212"/>
                </a:lnTo>
                <a:lnTo>
                  <a:pt x="7419" y="197"/>
                </a:lnTo>
                <a:lnTo>
                  <a:pt x="7391" y="183"/>
                </a:lnTo>
                <a:lnTo>
                  <a:pt x="7363" y="170"/>
                </a:lnTo>
                <a:lnTo>
                  <a:pt x="7335" y="157"/>
                </a:lnTo>
                <a:lnTo>
                  <a:pt x="7306" y="145"/>
                </a:lnTo>
                <a:lnTo>
                  <a:pt x="7278" y="134"/>
                </a:lnTo>
                <a:lnTo>
                  <a:pt x="7248" y="123"/>
                </a:lnTo>
                <a:lnTo>
                  <a:pt x="7218" y="112"/>
                </a:lnTo>
                <a:lnTo>
                  <a:pt x="7187" y="102"/>
                </a:lnTo>
                <a:lnTo>
                  <a:pt x="7157" y="93"/>
                </a:lnTo>
                <a:lnTo>
                  <a:pt x="7095" y="77"/>
                </a:lnTo>
                <a:lnTo>
                  <a:pt x="7031" y="62"/>
                </a:lnTo>
                <a:lnTo>
                  <a:pt x="6967" y="49"/>
                </a:lnTo>
                <a:lnTo>
                  <a:pt x="6901" y="38"/>
                </a:lnTo>
                <a:lnTo>
                  <a:pt x="6835" y="29"/>
                </a:lnTo>
                <a:lnTo>
                  <a:pt x="6769" y="21"/>
                </a:lnTo>
                <a:lnTo>
                  <a:pt x="6702" y="15"/>
                </a:lnTo>
                <a:lnTo>
                  <a:pt x="6635" y="11"/>
                </a:lnTo>
                <a:lnTo>
                  <a:pt x="6567" y="8"/>
                </a:lnTo>
                <a:lnTo>
                  <a:pt x="6500" y="6"/>
                </a:lnTo>
                <a:lnTo>
                  <a:pt x="6432" y="6"/>
                </a:lnTo>
                <a:lnTo>
                  <a:pt x="4234" y="6"/>
                </a:lnTo>
                <a:lnTo>
                  <a:pt x="4234" y="4146"/>
                </a:lnTo>
                <a:lnTo>
                  <a:pt x="5243" y="4146"/>
                </a:lnTo>
                <a:lnTo>
                  <a:pt x="5243" y="2471"/>
                </a:lnTo>
                <a:lnTo>
                  <a:pt x="6355" y="2470"/>
                </a:lnTo>
                <a:lnTo>
                  <a:pt x="6384" y="2471"/>
                </a:lnTo>
                <a:lnTo>
                  <a:pt x="6414" y="2474"/>
                </a:lnTo>
                <a:lnTo>
                  <a:pt x="6442" y="2478"/>
                </a:lnTo>
                <a:lnTo>
                  <a:pt x="6470" y="2483"/>
                </a:lnTo>
                <a:lnTo>
                  <a:pt x="6498" y="2490"/>
                </a:lnTo>
                <a:lnTo>
                  <a:pt x="6525" y="2498"/>
                </a:lnTo>
                <a:lnTo>
                  <a:pt x="6551" y="2507"/>
                </a:lnTo>
                <a:lnTo>
                  <a:pt x="6578" y="2518"/>
                </a:lnTo>
                <a:lnTo>
                  <a:pt x="6602" y="2529"/>
                </a:lnTo>
                <a:lnTo>
                  <a:pt x="6627" y="2542"/>
                </a:lnTo>
                <a:lnTo>
                  <a:pt x="6651" y="2557"/>
                </a:lnTo>
                <a:lnTo>
                  <a:pt x="6673" y="2572"/>
                </a:lnTo>
                <a:lnTo>
                  <a:pt x="6695" y="2589"/>
                </a:lnTo>
                <a:lnTo>
                  <a:pt x="6717" y="2606"/>
                </a:lnTo>
                <a:lnTo>
                  <a:pt x="6737" y="2625"/>
                </a:lnTo>
                <a:lnTo>
                  <a:pt x="6757" y="2644"/>
                </a:lnTo>
                <a:lnTo>
                  <a:pt x="6776" y="2664"/>
                </a:lnTo>
                <a:lnTo>
                  <a:pt x="6793" y="2685"/>
                </a:lnTo>
                <a:lnTo>
                  <a:pt x="6810" y="2708"/>
                </a:lnTo>
                <a:lnTo>
                  <a:pt x="6825" y="2730"/>
                </a:lnTo>
                <a:lnTo>
                  <a:pt x="6840" y="2754"/>
                </a:lnTo>
                <a:lnTo>
                  <a:pt x="6854" y="2779"/>
                </a:lnTo>
                <a:lnTo>
                  <a:pt x="6866" y="2804"/>
                </a:lnTo>
                <a:lnTo>
                  <a:pt x="6877" y="2829"/>
                </a:lnTo>
                <a:lnTo>
                  <a:pt x="6887" y="2855"/>
                </a:lnTo>
                <a:lnTo>
                  <a:pt x="6895" y="2883"/>
                </a:lnTo>
                <a:lnTo>
                  <a:pt x="6903" y="2910"/>
                </a:lnTo>
                <a:lnTo>
                  <a:pt x="6909" y="2939"/>
                </a:lnTo>
                <a:lnTo>
                  <a:pt x="6915" y="2967"/>
                </a:lnTo>
                <a:lnTo>
                  <a:pt x="6918" y="2996"/>
                </a:lnTo>
                <a:lnTo>
                  <a:pt x="6920" y="3026"/>
                </a:lnTo>
                <a:lnTo>
                  <a:pt x="6921" y="3056"/>
                </a:lnTo>
                <a:lnTo>
                  <a:pt x="6921" y="4142"/>
                </a:lnTo>
                <a:lnTo>
                  <a:pt x="7908" y="4142"/>
                </a:lnTo>
                <a:close/>
                <a:moveTo>
                  <a:pt x="6658" y="1574"/>
                </a:moveTo>
                <a:lnTo>
                  <a:pt x="5240" y="1574"/>
                </a:lnTo>
                <a:lnTo>
                  <a:pt x="5240" y="912"/>
                </a:lnTo>
                <a:lnTo>
                  <a:pt x="6659" y="912"/>
                </a:lnTo>
                <a:lnTo>
                  <a:pt x="6674" y="912"/>
                </a:lnTo>
                <a:lnTo>
                  <a:pt x="6690" y="913"/>
                </a:lnTo>
                <a:lnTo>
                  <a:pt x="6706" y="915"/>
                </a:lnTo>
                <a:lnTo>
                  <a:pt x="6721" y="917"/>
                </a:lnTo>
                <a:lnTo>
                  <a:pt x="6735" y="921"/>
                </a:lnTo>
                <a:lnTo>
                  <a:pt x="6750" y="924"/>
                </a:lnTo>
                <a:lnTo>
                  <a:pt x="6764" y="929"/>
                </a:lnTo>
                <a:lnTo>
                  <a:pt x="6778" y="934"/>
                </a:lnTo>
                <a:lnTo>
                  <a:pt x="6792" y="939"/>
                </a:lnTo>
                <a:lnTo>
                  <a:pt x="6805" y="945"/>
                </a:lnTo>
                <a:lnTo>
                  <a:pt x="6817" y="952"/>
                </a:lnTo>
                <a:lnTo>
                  <a:pt x="6830" y="959"/>
                </a:lnTo>
                <a:lnTo>
                  <a:pt x="6843" y="967"/>
                </a:lnTo>
                <a:lnTo>
                  <a:pt x="6854" y="975"/>
                </a:lnTo>
                <a:lnTo>
                  <a:pt x="6865" y="985"/>
                </a:lnTo>
                <a:lnTo>
                  <a:pt x="6876" y="995"/>
                </a:lnTo>
                <a:lnTo>
                  <a:pt x="6887" y="1004"/>
                </a:lnTo>
                <a:lnTo>
                  <a:pt x="6896" y="1015"/>
                </a:lnTo>
                <a:lnTo>
                  <a:pt x="6906" y="1025"/>
                </a:lnTo>
                <a:lnTo>
                  <a:pt x="6916" y="1036"/>
                </a:lnTo>
                <a:lnTo>
                  <a:pt x="6924" y="1048"/>
                </a:lnTo>
                <a:lnTo>
                  <a:pt x="6932" y="1061"/>
                </a:lnTo>
                <a:lnTo>
                  <a:pt x="6940" y="1073"/>
                </a:lnTo>
                <a:lnTo>
                  <a:pt x="6947" y="1086"/>
                </a:lnTo>
                <a:lnTo>
                  <a:pt x="6953" y="1099"/>
                </a:lnTo>
                <a:lnTo>
                  <a:pt x="6959" y="1112"/>
                </a:lnTo>
                <a:lnTo>
                  <a:pt x="6964" y="1126"/>
                </a:lnTo>
                <a:lnTo>
                  <a:pt x="6969" y="1141"/>
                </a:lnTo>
                <a:lnTo>
                  <a:pt x="6973" y="1155"/>
                </a:lnTo>
                <a:lnTo>
                  <a:pt x="6977" y="1169"/>
                </a:lnTo>
                <a:lnTo>
                  <a:pt x="6980" y="1184"/>
                </a:lnTo>
                <a:lnTo>
                  <a:pt x="6983" y="1199"/>
                </a:lnTo>
                <a:lnTo>
                  <a:pt x="6983" y="1290"/>
                </a:lnTo>
                <a:lnTo>
                  <a:pt x="6980" y="1303"/>
                </a:lnTo>
                <a:lnTo>
                  <a:pt x="6977" y="1316"/>
                </a:lnTo>
                <a:lnTo>
                  <a:pt x="6974" y="1328"/>
                </a:lnTo>
                <a:lnTo>
                  <a:pt x="6970" y="1341"/>
                </a:lnTo>
                <a:lnTo>
                  <a:pt x="6960" y="1366"/>
                </a:lnTo>
                <a:lnTo>
                  <a:pt x="6948" y="1392"/>
                </a:lnTo>
                <a:lnTo>
                  <a:pt x="6934" y="1416"/>
                </a:lnTo>
                <a:lnTo>
                  <a:pt x="6917" y="1439"/>
                </a:lnTo>
                <a:lnTo>
                  <a:pt x="6898" y="1462"/>
                </a:lnTo>
                <a:lnTo>
                  <a:pt x="6877" y="1483"/>
                </a:lnTo>
                <a:lnTo>
                  <a:pt x="6867" y="1493"/>
                </a:lnTo>
                <a:lnTo>
                  <a:pt x="6855" y="1502"/>
                </a:lnTo>
                <a:lnTo>
                  <a:pt x="6844" y="1511"/>
                </a:lnTo>
                <a:lnTo>
                  <a:pt x="6831" y="1519"/>
                </a:lnTo>
                <a:lnTo>
                  <a:pt x="6818" y="1528"/>
                </a:lnTo>
                <a:lnTo>
                  <a:pt x="6805" y="1536"/>
                </a:lnTo>
                <a:lnTo>
                  <a:pt x="6792" y="1543"/>
                </a:lnTo>
                <a:lnTo>
                  <a:pt x="6779" y="1549"/>
                </a:lnTo>
                <a:lnTo>
                  <a:pt x="6764" y="1554"/>
                </a:lnTo>
                <a:lnTo>
                  <a:pt x="6750" y="1559"/>
                </a:lnTo>
                <a:lnTo>
                  <a:pt x="6735" y="1564"/>
                </a:lnTo>
                <a:lnTo>
                  <a:pt x="6720" y="1567"/>
                </a:lnTo>
                <a:lnTo>
                  <a:pt x="6706" y="1570"/>
                </a:lnTo>
                <a:lnTo>
                  <a:pt x="6689" y="1572"/>
                </a:lnTo>
                <a:lnTo>
                  <a:pt x="6674" y="1573"/>
                </a:lnTo>
                <a:lnTo>
                  <a:pt x="6658" y="1574"/>
                </a:lnTo>
                <a:close/>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p>
            <a:endParaRPr lang="cs-CZ"/>
          </a:p>
        </xdr:txBody>
      </xdr:sp>
      <xdr:sp macro="" textlink="">
        <xdr:nvSpPr>
          <xdr:cNvPr id="4" name="Freeform 73">
            <a:extLst>
              <a:ext uri="{FF2B5EF4-FFF2-40B4-BE49-F238E27FC236}">
                <a16:creationId xmlns:a16="http://schemas.microsoft.com/office/drawing/2014/main" id="{451273CD-2CB8-7D1D-C959-77E454062281}"/>
              </a:ext>
            </a:extLst>
          </xdr:cNvPr>
          <xdr:cNvSpPr>
            <a:spLocks noChangeAspect="1"/>
          </xdr:cNvSpPr>
        </xdr:nvSpPr>
        <xdr:spPr bwMode="auto">
          <a:xfrm>
            <a:off x="0" y="0"/>
            <a:ext cx="214313" cy="227012"/>
          </a:xfrm>
          <a:custGeom>
            <a:avLst/>
            <a:gdLst>
              <a:gd name="T0" fmla="*/ 2147483647 w 3903"/>
              <a:gd name="T1" fmla="*/ 2147483647 h 4141"/>
              <a:gd name="T2" fmla="*/ 2147483647 w 3903"/>
              <a:gd name="T3" fmla="*/ 2147483647 h 4141"/>
              <a:gd name="T4" fmla="*/ 2147483647 w 3903"/>
              <a:gd name="T5" fmla="*/ 2147483647 h 4141"/>
              <a:gd name="T6" fmla="*/ 2147483647 w 3903"/>
              <a:gd name="T7" fmla="*/ 2147483647 h 4141"/>
              <a:gd name="T8" fmla="*/ 2147483647 w 3903"/>
              <a:gd name="T9" fmla="*/ 2147483647 h 4141"/>
              <a:gd name="T10" fmla="*/ 2147483647 w 3903"/>
              <a:gd name="T11" fmla="*/ 2147483647 h 4141"/>
              <a:gd name="T12" fmla="*/ 2147483647 w 3903"/>
              <a:gd name="T13" fmla="*/ 2147483647 h 4141"/>
              <a:gd name="T14" fmla="*/ 2147483647 w 3903"/>
              <a:gd name="T15" fmla="*/ 2147483647 h 4141"/>
              <a:gd name="T16" fmla="*/ 2147483647 w 3903"/>
              <a:gd name="T17" fmla="*/ 2147483647 h 4141"/>
              <a:gd name="T18" fmla="*/ 2147483647 w 3903"/>
              <a:gd name="T19" fmla="*/ 2147483647 h 4141"/>
              <a:gd name="T20" fmla="*/ 2147483647 w 3903"/>
              <a:gd name="T21" fmla="*/ 2147483647 h 4141"/>
              <a:gd name="T22" fmla="*/ 2147483647 w 3903"/>
              <a:gd name="T23" fmla="*/ 2147483647 h 4141"/>
              <a:gd name="T24" fmla="*/ 2147483647 w 3903"/>
              <a:gd name="T25" fmla="*/ 2147483647 h 4141"/>
              <a:gd name="T26" fmla="*/ 2147483647 w 3903"/>
              <a:gd name="T27" fmla="*/ 2147483647 h 4141"/>
              <a:gd name="T28" fmla="*/ 2147483647 w 3903"/>
              <a:gd name="T29" fmla="*/ 2147483647 h 4141"/>
              <a:gd name="T30" fmla="*/ 2147483647 w 3903"/>
              <a:gd name="T31" fmla="*/ 2147483647 h 4141"/>
              <a:gd name="T32" fmla="*/ 2147483647 w 3903"/>
              <a:gd name="T33" fmla="*/ 2147483647 h 4141"/>
              <a:gd name="T34" fmla="*/ 2147483647 w 3903"/>
              <a:gd name="T35" fmla="*/ 2147483647 h 4141"/>
              <a:gd name="T36" fmla="*/ 2147483647 w 3903"/>
              <a:gd name="T37" fmla="*/ 2147483647 h 4141"/>
              <a:gd name="T38" fmla="*/ 2147483647 w 3903"/>
              <a:gd name="T39" fmla="*/ 2147483647 h 4141"/>
              <a:gd name="T40" fmla="*/ 2147483647 w 3903"/>
              <a:gd name="T41" fmla="*/ 2147483647 h 4141"/>
              <a:gd name="T42" fmla="*/ 2147483647 w 3903"/>
              <a:gd name="T43" fmla="*/ 2147483647 h 4141"/>
              <a:gd name="T44" fmla="*/ 2147483647 w 3903"/>
              <a:gd name="T45" fmla="*/ 2147483647 h 4141"/>
              <a:gd name="T46" fmla="*/ 2147483647 w 3903"/>
              <a:gd name="T47" fmla="*/ 2147483647 h 4141"/>
              <a:gd name="T48" fmla="*/ 2147483647 w 3903"/>
              <a:gd name="T49" fmla="*/ 2147483647 h 4141"/>
              <a:gd name="T50" fmla="*/ 2147483647 w 3903"/>
              <a:gd name="T51" fmla="*/ 2147483647 h 4141"/>
              <a:gd name="T52" fmla="*/ 2147483647 w 3903"/>
              <a:gd name="T53" fmla="*/ 2147483647 h 4141"/>
              <a:gd name="T54" fmla="*/ 2147483647 w 3903"/>
              <a:gd name="T55" fmla="*/ 0 h 4141"/>
              <a:gd name="T56" fmla="*/ 2147483647 w 3903"/>
              <a:gd name="T57" fmla="*/ 2147483647 h 4141"/>
              <a:gd name="T58" fmla="*/ 2147483647 w 3903"/>
              <a:gd name="T59" fmla="*/ 2147483647 h 4141"/>
              <a:gd name="T60" fmla="*/ 2147483647 w 3903"/>
              <a:gd name="T61" fmla="*/ 2147483647 h 4141"/>
              <a:gd name="T62" fmla="*/ 2147483647 w 3903"/>
              <a:gd name="T63" fmla="*/ 2147483647 h 4141"/>
              <a:gd name="T64" fmla="*/ 2147483647 w 3903"/>
              <a:gd name="T65" fmla="*/ 2147483647 h 4141"/>
              <a:gd name="T66" fmla="*/ 2147483647 w 3903"/>
              <a:gd name="T67" fmla="*/ 2147483647 h 4141"/>
              <a:gd name="T68" fmla="*/ 2147483647 w 3903"/>
              <a:gd name="T69" fmla="*/ 2147483647 h 4141"/>
              <a:gd name="T70" fmla="*/ 2147483647 w 3903"/>
              <a:gd name="T71" fmla="*/ 2147483647 h 4141"/>
              <a:gd name="T72" fmla="*/ 2147483647 w 3903"/>
              <a:gd name="T73" fmla="*/ 2147483647 h 4141"/>
              <a:gd name="T74" fmla="*/ 2147483647 w 3903"/>
              <a:gd name="T75" fmla="*/ 2147483647 h 4141"/>
              <a:gd name="T76" fmla="*/ 2147483647 w 3903"/>
              <a:gd name="T77" fmla="*/ 2147483647 h 4141"/>
              <a:gd name="T78" fmla="*/ 2147483647 w 3903"/>
              <a:gd name="T79" fmla="*/ 2147483647 h 4141"/>
              <a:gd name="T80" fmla="*/ 2147483647 w 3903"/>
              <a:gd name="T81" fmla="*/ 2147483647 h 4141"/>
              <a:gd name="T82" fmla="*/ 2147483647 w 3903"/>
              <a:gd name="T83" fmla="*/ 2147483647 h 4141"/>
              <a:gd name="T84" fmla="*/ 2147483647 w 3903"/>
              <a:gd name="T85" fmla="*/ 2147483647 h 4141"/>
              <a:gd name="T86" fmla="*/ 999968864 w 3903"/>
              <a:gd name="T87" fmla="*/ 2147483647 h 4141"/>
              <a:gd name="T88" fmla="*/ 499985914 w 3903"/>
              <a:gd name="T89" fmla="*/ 2147483647 h 4141"/>
              <a:gd name="T90" fmla="*/ 2147483647 w 3903"/>
              <a:gd name="T91" fmla="*/ 2147483647 h 4141"/>
              <a:gd name="T92" fmla="*/ 2147483647 w 3903"/>
              <a:gd name="T93" fmla="*/ 2147483647 h 4141"/>
              <a:gd name="T94" fmla="*/ 2147483647 w 3903"/>
              <a:gd name="T95" fmla="*/ 2147483647 h 4141"/>
              <a:gd name="T96" fmla="*/ 2147483647 w 3903"/>
              <a:gd name="T97" fmla="*/ 2147483647 h 4141"/>
              <a:gd name="T98" fmla="*/ 2147483647 w 3903"/>
              <a:gd name="T99" fmla="*/ 2147483647 h 4141"/>
              <a:gd name="T100" fmla="*/ 2147483647 w 3903"/>
              <a:gd name="T101" fmla="*/ 2147483647 h 4141"/>
              <a:gd name="T102" fmla="*/ 2147483647 w 3903"/>
              <a:gd name="T103" fmla="*/ 2147483647 h 4141"/>
              <a:gd name="T104" fmla="*/ 2147483647 w 3903"/>
              <a:gd name="T105" fmla="*/ 2147483647 h 4141"/>
              <a:gd name="T106" fmla="*/ 2147483647 w 3903"/>
              <a:gd name="T107" fmla="*/ 2147483647 h 4141"/>
              <a:gd name="T108" fmla="*/ 2147483647 w 3903"/>
              <a:gd name="T109" fmla="*/ 2147483647 h 4141"/>
              <a:gd name="T110" fmla="*/ 2147483647 w 3903"/>
              <a:gd name="T111" fmla="*/ 2147483647 h 4141"/>
              <a:gd name="T112" fmla="*/ 2147483647 w 3903"/>
              <a:gd name="T113" fmla="*/ 2147483647 h 4141"/>
              <a:gd name="T114" fmla="*/ 2147483647 w 3903"/>
              <a:gd name="T115" fmla="*/ 2147483647 h 4141"/>
              <a:gd name="T116" fmla="*/ 2147483647 w 3903"/>
              <a:gd name="T117" fmla="*/ 2147483647 h 4141"/>
              <a:gd name="T118" fmla="*/ 2147483647 w 3903"/>
              <a:gd name="T119" fmla="*/ 2147483647 h 4141"/>
              <a:gd name="T120" fmla="*/ 2147483647 w 3903"/>
              <a:gd name="T121" fmla="*/ 2147483647 h 4141"/>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w 3903"/>
              <a:gd name="T184" fmla="*/ 0 h 4141"/>
              <a:gd name="T185" fmla="*/ 3903 w 3903"/>
              <a:gd name="T186" fmla="*/ 4141 h 4141"/>
            </a:gdLst>
            <a:ahLst/>
            <a:cxnLst>
              <a:cxn ang="T122">
                <a:pos x="T0" y="T1"/>
              </a:cxn>
              <a:cxn ang="T123">
                <a:pos x="T2" y="T3"/>
              </a:cxn>
              <a:cxn ang="T124">
                <a:pos x="T4" y="T5"/>
              </a:cxn>
              <a:cxn ang="T125">
                <a:pos x="T6" y="T7"/>
              </a:cxn>
              <a:cxn ang="T126">
                <a:pos x="T8" y="T9"/>
              </a:cxn>
              <a:cxn ang="T127">
                <a:pos x="T10" y="T11"/>
              </a:cxn>
              <a:cxn ang="T128">
                <a:pos x="T12" y="T13"/>
              </a:cxn>
              <a:cxn ang="T129">
                <a:pos x="T14" y="T15"/>
              </a:cxn>
              <a:cxn ang="T130">
                <a:pos x="T16" y="T17"/>
              </a:cxn>
              <a:cxn ang="T131">
                <a:pos x="T18" y="T19"/>
              </a:cxn>
              <a:cxn ang="T132">
                <a:pos x="T20" y="T21"/>
              </a:cxn>
              <a:cxn ang="T133">
                <a:pos x="T22" y="T23"/>
              </a:cxn>
              <a:cxn ang="T134">
                <a:pos x="T24" y="T25"/>
              </a:cxn>
              <a:cxn ang="T135">
                <a:pos x="T26" y="T27"/>
              </a:cxn>
              <a:cxn ang="T136">
                <a:pos x="T28" y="T29"/>
              </a:cxn>
              <a:cxn ang="T137">
                <a:pos x="T30" y="T31"/>
              </a:cxn>
              <a:cxn ang="T138">
                <a:pos x="T32" y="T33"/>
              </a:cxn>
              <a:cxn ang="T139">
                <a:pos x="T34" y="T35"/>
              </a:cxn>
              <a:cxn ang="T140">
                <a:pos x="T36" y="T37"/>
              </a:cxn>
              <a:cxn ang="T141">
                <a:pos x="T38" y="T39"/>
              </a:cxn>
              <a:cxn ang="T142">
                <a:pos x="T40" y="T41"/>
              </a:cxn>
              <a:cxn ang="T143">
                <a:pos x="T42" y="T43"/>
              </a:cxn>
              <a:cxn ang="T144">
                <a:pos x="T44" y="T45"/>
              </a:cxn>
              <a:cxn ang="T145">
                <a:pos x="T46" y="T47"/>
              </a:cxn>
              <a:cxn ang="T146">
                <a:pos x="T48" y="T49"/>
              </a:cxn>
              <a:cxn ang="T147">
                <a:pos x="T50" y="T51"/>
              </a:cxn>
              <a:cxn ang="T148">
                <a:pos x="T52" y="T53"/>
              </a:cxn>
              <a:cxn ang="T149">
                <a:pos x="T54" y="T55"/>
              </a:cxn>
              <a:cxn ang="T150">
                <a:pos x="T56" y="T57"/>
              </a:cxn>
              <a:cxn ang="T151">
                <a:pos x="T58" y="T59"/>
              </a:cxn>
              <a:cxn ang="T152">
                <a:pos x="T60" y="T61"/>
              </a:cxn>
              <a:cxn ang="T153">
                <a:pos x="T62" y="T63"/>
              </a:cxn>
              <a:cxn ang="T154">
                <a:pos x="T64" y="T65"/>
              </a:cxn>
              <a:cxn ang="T155">
                <a:pos x="T66" y="T67"/>
              </a:cxn>
              <a:cxn ang="T156">
                <a:pos x="T68" y="T69"/>
              </a:cxn>
              <a:cxn ang="T157">
                <a:pos x="T70" y="T71"/>
              </a:cxn>
              <a:cxn ang="T158">
                <a:pos x="T72" y="T73"/>
              </a:cxn>
              <a:cxn ang="T159">
                <a:pos x="T74" y="T75"/>
              </a:cxn>
              <a:cxn ang="T160">
                <a:pos x="T76" y="T77"/>
              </a:cxn>
              <a:cxn ang="T161">
                <a:pos x="T78" y="T79"/>
              </a:cxn>
              <a:cxn ang="T162">
                <a:pos x="T80" y="T81"/>
              </a:cxn>
              <a:cxn ang="T163">
                <a:pos x="T82" y="T83"/>
              </a:cxn>
              <a:cxn ang="T164">
                <a:pos x="T84" y="T85"/>
              </a:cxn>
              <a:cxn ang="T165">
                <a:pos x="T86" y="T87"/>
              </a:cxn>
              <a:cxn ang="T166">
                <a:pos x="T88" y="T89"/>
              </a:cxn>
              <a:cxn ang="T167">
                <a:pos x="T90" y="T91"/>
              </a:cxn>
              <a:cxn ang="T168">
                <a:pos x="T92" y="T93"/>
              </a:cxn>
              <a:cxn ang="T169">
                <a:pos x="T94" y="T95"/>
              </a:cxn>
              <a:cxn ang="T170">
                <a:pos x="T96" y="T97"/>
              </a:cxn>
              <a:cxn ang="T171">
                <a:pos x="T98" y="T99"/>
              </a:cxn>
              <a:cxn ang="T172">
                <a:pos x="T100" y="T101"/>
              </a:cxn>
              <a:cxn ang="T173">
                <a:pos x="T102" y="T103"/>
              </a:cxn>
              <a:cxn ang="T174">
                <a:pos x="T104" y="T105"/>
              </a:cxn>
              <a:cxn ang="T175">
                <a:pos x="T106" y="T107"/>
              </a:cxn>
              <a:cxn ang="T176">
                <a:pos x="T108" y="T109"/>
              </a:cxn>
              <a:cxn ang="T177">
                <a:pos x="T110" y="T111"/>
              </a:cxn>
              <a:cxn ang="T178">
                <a:pos x="T112" y="T113"/>
              </a:cxn>
              <a:cxn ang="T179">
                <a:pos x="T114" y="T115"/>
              </a:cxn>
              <a:cxn ang="T180">
                <a:pos x="T116" y="T117"/>
              </a:cxn>
              <a:cxn ang="T181">
                <a:pos x="T118" y="T119"/>
              </a:cxn>
              <a:cxn ang="T182">
                <a:pos x="T120" y="T121"/>
              </a:cxn>
            </a:cxnLst>
            <a:rect l="T183" t="T184" r="T185" b="T186"/>
            <a:pathLst>
              <a:path w="3903" h="4141">
                <a:moveTo>
                  <a:pt x="3870" y="3145"/>
                </a:moveTo>
                <a:lnTo>
                  <a:pt x="3870" y="3145"/>
                </a:lnTo>
                <a:lnTo>
                  <a:pt x="3641" y="3149"/>
                </a:lnTo>
                <a:lnTo>
                  <a:pt x="3402" y="3151"/>
                </a:lnTo>
                <a:lnTo>
                  <a:pt x="3115" y="3153"/>
                </a:lnTo>
                <a:lnTo>
                  <a:pt x="2963" y="3153"/>
                </a:lnTo>
                <a:lnTo>
                  <a:pt x="2808" y="3152"/>
                </a:lnTo>
                <a:lnTo>
                  <a:pt x="2654" y="3151"/>
                </a:lnTo>
                <a:lnTo>
                  <a:pt x="2505" y="3148"/>
                </a:lnTo>
                <a:lnTo>
                  <a:pt x="2364" y="3145"/>
                </a:lnTo>
                <a:lnTo>
                  <a:pt x="2233" y="3140"/>
                </a:lnTo>
                <a:lnTo>
                  <a:pt x="2118" y="3134"/>
                </a:lnTo>
                <a:lnTo>
                  <a:pt x="2066" y="3130"/>
                </a:lnTo>
                <a:lnTo>
                  <a:pt x="2019" y="3126"/>
                </a:lnTo>
                <a:lnTo>
                  <a:pt x="1984" y="3122"/>
                </a:lnTo>
                <a:lnTo>
                  <a:pt x="1949" y="3118"/>
                </a:lnTo>
                <a:lnTo>
                  <a:pt x="1916" y="3113"/>
                </a:lnTo>
                <a:lnTo>
                  <a:pt x="1882" y="3107"/>
                </a:lnTo>
                <a:lnTo>
                  <a:pt x="1850" y="3100"/>
                </a:lnTo>
                <a:lnTo>
                  <a:pt x="1818" y="3093"/>
                </a:lnTo>
                <a:lnTo>
                  <a:pt x="1788" y="3084"/>
                </a:lnTo>
                <a:lnTo>
                  <a:pt x="1758" y="3076"/>
                </a:lnTo>
                <a:lnTo>
                  <a:pt x="1727" y="3067"/>
                </a:lnTo>
                <a:lnTo>
                  <a:pt x="1699" y="3058"/>
                </a:lnTo>
                <a:lnTo>
                  <a:pt x="1670" y="3048"/>
                </a:lnTo>
                <a:lnTo>
                  <a:pt x="1643" y="3037"/>
                </a:lnTo>
                <a:lnTo>
                  <a:pt x="1616" y="3026"/>
                </a:lnTo>
                <a:lnTo>
                  <a:pt x="1589" y="3014"/>
                </a:lnTo>
                <a:lnTo>
                  <a:pt x="1564" y="3001"/>
                </a:lnTo>
                <a:lnTo>
                  <a:pt x="1538" y="2988"/>
                </a:lnTo>
                <a:lnTo>
                  <a:pt x="1514" y="2975"/>
                </a:lnTo>
                <a:lnTo>
                  <a:pt x="1491" y="2961"/>
                </a:lnTo>
                <a:lnTo>
                  <a:pt x="1467" y="2947"/>
                </a:lnTo>
                <a:lnTo>
                  <a:pt x="1444" y="2931"/>
                </a:lnTo>
                <a:lnTo>
                  <a:pt x="1423" y="2916"/>
                </a:lnTo>
                <a:lnTo>
                  <a:pt x="1402" y="2901"/>
                </a:lnTo>
                <a:lnTo>
                  <a:pt x="1380" y="2885"/>
                </a:lnTo>
                <a:lnTo>
                  <a:pt x="1361" y="2868"/>
                </a:lnTo>
                <a:lnTo>
                  <a:pt x="1341" y="2851"/>
                </a:lnTo>
                <a:lnTo>
                  <a:pt x="1322" y="2834"/>
                </a:lnTo>
                <a:lnTo>
                  <a:pt x="1304" y="2816"/>
                </a:lnTo>
                <a:lnTo>
                  <a:pt x="1286" y="2798"/>
                </a:lnTo>
                <a:lnTo>
                  <a:pt x="1269" y="2780"/>
                </a:lnTo>
                <a:lnTo>
                  <a:pt x="1252" y="2761"/>
                </a:lnTo>
                <a:lnTo>
                  <a:pt x="1236" y="2742"/>
                </a:lnTo>
                <a:lnTo>
                  <a:pt x="1221" y="2723"/>
                </a:lnTo>
                <a:lnTo>
                  <a:pt x="1192" y="2683"/>
                </a:lnTo>
                <a:lnTo>
                  <a:pt x="1164" y="2643"/>
                </a:lnTo>
                <a:lnTo>
                  <a:pt x="1140" y="2602"/>
                </a:lnTo>
                <a:lnTo>
                  <a:pt x="1117" y="2560"/>
                </a:lnTo>
                <a:lnTo>
                  <a:pt x="1095" y="2517"/>
                </a:lnTo>
                <a:lnTo>
                  <a:pt x="1077" y="2474"/>
                </a:lnTo>
                <a:lnTo>
                  <a:pt x="1060" y="2430"/>
                </a:lnTo>
                <a:lnTo>
                  <a:pt x="1046" y="2385"/>
                </a:lnTo>
                <a:lnTo>
                  <a:pt x="1032" y="2341"/>
                </a:lnTo>
                <a:lnTo>
                  <a:pt x="1021" y="2296"/>
                </a:lnTo>
                <a:lnTo>
                  <a:pt x="1012" y="2252"/>
                </a:lnTo>
                <a:lnTo>
                  <a:pt x="1004" y="2207"/>
                </a:lnTo>
                <a:lnTo>
                  <a:pt x="999" y="2163"/>
                </a:lnTo>
                <a:lnTo>
                  <a:pt x="995" y="2119"/>
                </a:lnTo>
                <a:lnTo>
                  <a:pt x="992" y="2076"/>
                </a:lnTo>
                <a:lnTo>
                  <a:pt x="992" y="2032"/>
                </a:lnTo>
                <a:lnTo>
                  <a:pt x="993" y="1979"/>
                </a:lnTo>
                <a:lnTo>
                  <a:pt x="996" y="1927"/>
                </a:lnTo>
                <a:lnTo>
                  <a:pt x="1002" y="1875"/>
                </a:lnTo>
                <a:lnTo>
                  <a:pt x="1009" y="1825"/>
                </a:lnTo>
                <a:lnTo>
                  <a:pt x="1019" y="1776"/>
                </a:lnTo>
                <a:lnTo>
                  <a:pt x="1031" y="1728"/>
                </a:lnTo>
                <a:lnTo>
                  <a:pt x="1046" y="1680"/>
                </a:lnTo>
                <a:lnTo>
                  <a:pt x="1062" y="1635"/>
                </a:lnTo>
                <a:lnTo>
                  <a:pt x="1080" y="1589"/>
                </a:lnTo>
                <a:lnTo>
                  <a:pt x="1100" y="1546"/>
                </a:lnTo>
                <a:lnTo>
                  <a:pt x="1123" y="1504"/>
                </a:lnTo>
                <a:lnTo>
                  <a:pt x="1147" y="1463"/>
                </a:lnTo>
                <a:lnTo>
                  <a:pt x="1172" y="1423"/>
                </a:lnTo>
                <a:lnTo>
                  <a:pt x="1201" y="1385"/>
                </a:lnTo>
                <a:lnTo>
                  <a:pt x="1230" y="1347"/>
                </a:lnTo>
                <a:lnTo>
                  <a:pt x="1262" y="1312"/>
                </a:lnTo>
                <a:lnTo>
                  <a:pt x="1295" y="1277"/>
                </a:lnTo>
                <a:lnTo>
                  <a:pt x="1331" y="1245"/>
                </a:lnTo>
                <a:lnTo>
                  <a:pt x="1367" y="1214"/>
                </a:lnTo>
                <a:lnTo>
                  <a:pt x="1406" y="1184"/>
                </a:lnTo>
                <a:lnTo>
                  <a:pt x="1445" y="1156"/>
                </a:lnTo>
                <a:lnTo>
                  <a:pt x="1488" y="1129"/>
                </a:lnTo>
                <a:lnTo>
                  <a:pt x="1530" y="1104"/>
                </a:lnTo>
                <a:lnTo>
                  <a:pt x="1575" y="1081"/>
                </a:lnTo>
                <a:lnTo>
                  <a:pt x="1622" y="1060"/>
                </a:lnTo>
                <a:lnTo>
                  <a:pt x="1669" y="1040"/>
                </a:lnTo>
                <a:lnTo>
                  <a:pt x="1719" y="1022"/>
                </a:lnTo>
                <a:lnTo>
                  <a:pt x="1770" y="1006"/>
                </a:lnTo>
                <a:lnTo>
                  <a:pt x="1821" y="992"/>
                </a:lnTo>
                <a:lnTo>
                  <a:pt x="1875" y="980"/>
                </a:lnTo>
                <a:lnTo>
                  <a:pt x="1930" y="969"/>
                </a:lnTo>
                <a:lnTo>
                  <a:pt x="1986" y="961"/>
                </a:lnTo>
                <a:lnTo>
                  <a:pt x="2016" y="957"/>
                </a:lnTo>
                <a:lnTo>
                  <a:pt x="2054" y="954"/>
                </a:lnTo>
                <a:lnTo>
                  <a:pt x="2098" y="952"/>
                </a:lnTo>
                <a:lnTo>
                  <a:pt x="2148" y="949"/>
                </a:lnTo>
                <a:lnTo>
                  <a:pt x="2264" y="945"/>
                </a:lnTo>
                <a:lnTo>
                  <a:pt x="2397" y="942"/>
                </a:lnTo>
                <a:lnTo>
                  <a:pt x="2544" y="940"/>
                </a:lnTo>
                <a:lnTo>
                  <a:pt x="2701" y="938"/>
                </a:lnTo>
                <a:lnTo>
                  <a:pt x="3025" y="937"/>
                </a:lnTo>
                <a:lnTo>
                  <a:pt x="3337" y="938"/>
                </a:lnTo>
                <a:lnTo>
                  <a:pt x="3602" y="939"/>
                </a:lnTo>
                <a:lnTo>
                  <a:pt x="3862" y="941"/>
                </a:lnTo>
                <a:lnTo>
                  <a:pt x="3894" y="942"/>
                </a:lnTo>
                <a:lnTo>
                  <a:pt x="3897" y="0"/>
                </a:lnTo>
                <a:lnTo>
                  <a:pt x="3865" y="0"/>
                </a:lnTo>
                <a:lnTo>
                  <a:pt x="2086" y="4"/>
                </a:lnTo>
                <a:lnTo>
                  <a:pt x="2006" y="9"/>
                </a:lnTo>
                <a:lnTo>
                  <a:pt x="1915" y="16"/>
                </a:lnTo>
                <a:lnTo>
                  <a:pt x="1865" y="20"/>
                </a:lnTo>
                <a:lnTo>
                  <a:pt x="1814" y="26"/>
                </a:lnTo>
                <a:lnTo>
                  <a:pt x="1762" y="33"/>
                </a:lnTo>
                <a:lnTo>
                  <a:pt x="1706" y="42"/>
                </a:lnTo>
                <a:lnTo>
                  <a:pt x="1649" y="51"/>
                </a:lnTo>
                <a:lnTo>
                  <a:pt x="1591" y="62"/>
                </a:lnTo>
                <a:lnTo>
                  <a:pt x="1532" y="75"/>
                </a:lnTo>
                <a:lnTo>
                  <a:pt x="1472" y="90"/>
                </a:lnTo>
                <a:lnTo>
                  <a:pt x="1411" y="107"/>
                </a:lnTo>
                <a:lnTo>
                  <a:pt x="1349" y="127"/>
                </a:lnTo>
                <a:lnTo>
                  <a:pt x="1286" y="149"/>
                </a:lnTo>
                <a:lnTo>
                  <a:pt x="1223" y="173"/>
                </a:lnTo>
                <a:lnTo>
                  <a:pt x="1163" y="202"/>
                </a:lnTo>
                <a:lnTo>
                  <a:pt x="1103" y="232"/>
                </a:lnTo>
                <a:lnTo>
                  <a:pt x="1046" y="264"/>
                </a:lnTo>
                <a:lnTo>
                  <a:pt x="989" y="298"/>
                </a:lnTo>
                <a:lnTo>
                  <a:pt x="933" y="334"/>
                </a:lnTo>
                <a:lnTo>
                  <a:pt x="879" y="372"/>
                </a:lnTo>
                <a:lnTo>
                  <a:pt x="826" y="410"/>
                </a:lnTo>
                <a:lnTo>
                  <a:pt x="774" y="451"/>
                </a:lnTo>
                <a:lnTo>
                  <a:pt x="723" y="493"/>
                </a:lnTo>
                <a:lnTo>
                  <a:pt x="673" y="537"/>
                </a:lnTo>
                <a:lnTo>
                  <a:pt x="626" y="582"/>
                </a:lnTo>
                <a:lnTo>
                  <a:pt x="579" y="629"/>
                </a:lnTo>
                <a:lnTo>
                  <a:pt x="534" y="678"/>
                </a:lnTo>
                <a:lnTo>
                  <a:pt x="491" y="727"/>
                </a:lnTo>
                <a:lnTo>
                  <a:pt x="449" y="778"/>
                </a:lnTo>
                <a:lnTo>
                  <a:pt x="409" y="831"/>
                </a:lnTo>
                <a:lnTo>
                  <a:pt x="384" y="864"/>
                </a:lnTo>
                <a:lnTo>
                  <a:pt x="360" y="898"/>
                </a:lnTo>
                <a:lnTo>
                  <a:pt x="337" y="933"/>
                </a:lnTo>
                <a:lnTo>
                  <a:pt x="314" y="968"/>
                </a:lnTo>
                <a:lnTo>
                  <a:pt x="293" y="1004"/>
                </a:lnTo>
                <a:lnTo>
                  <a:pt x="272" y="1039"/>
                </a:lnTo>
                <a:lnTo>
                  <a:pt x="252" y="1076"/>
                </a:lnTo>
                <a:lnTo>
                  <a:pt x="232" y="1112"/>
                </a:lnTo>
                <a:lnTo>
                  <a:pt x="214" y="1149"/>
                </a:lnTo>
                <a:lnTo>
                  <a:pt x="196" y="1185"/>
                </a:lnTo>
                <a:lnTo>
                  <a:pt x="178" y="1223"/>
                </a:lnTo>
                <a:lnTo>
                  <a:pt x="162" y="1261"/>
                </a:lnTo>
                <a:lnTo>
                  <a:pt x="147" y="1299"/>
                </a:lnTo>
                <a:lnTo>
                  <a:pt x="132" y="1337"/>
                </a:lnTo>
                <a:lnTo>
                  <a:pt x="118" y="1376"/>
                </a:lnTo>
                <a:lnTo>
                  <a:pt x="104" y="1414"/>
                </a:lnTo>
                <a:lnTo>
                  <a:pt x="92" y="1454"/>
                </a:lnTo>
                <a:lnTo>
                  <a:pt x="80" y="1492"/>
                </a:lnTo>
                <a:lnTo>
                  <a:pt x="69" y="1533"/>
                </a:lnTo>
                <a:lnTo>
                  <a:pt x="59" y="1572"/>
                </a:lnTo>
                <a:lnTo>
                  <a:pt x="50" y="1612"/>
                </a:lnTo>
                <a:lnTo>
                  <a:pt x="42" y="1652"/>
                </a:lnTo>
                <a:lnTo>
                  <a:pt x="33" y="1693"/>
                </a:lnTo>
                <a:lnTo>
                  <a:pt x="26" y="1733"/>
                </a:lnTo>
                <a:lnTo>
                  <a:pt x="20" y="1774"/>
                </a:lnTo>
                <a:lnTo>
                  <a:pt x="15" y="1815"/>
                </a:lnTo>
                <a:lnTo>
                  <a:pt x="11" y="1856"/>
                </a:lnTo>
                <a:lnTo>
                  <a:pt x="7" y="1897"/>
                </a:lnTo>
                <a:lnTo>
                  <a:pt x="4" y="1939"/>
                </a:lnTo>
                <a:lnTo>
                  <a:pt x="2" y="1980"/>
                </a:lnTo>
                <a:lnTo>
                  <a:pt x="1" y="2022"/>
                </a:lnTo>
                <a:lnTo>
                  <a:pt x="0" y="2064"/>
                </a:lnTo>
                <a:lnTo>
                  <a:pt x="1" y="2117"/>
                </a:lnTo>
                <a:lnTo>
                  <a:pt x="2" y="2170"/>
                </a:lnTo>
                <a:lnTo>
                  <a:pt x="5" y="2222"/>
                </a:lnTo>
                <a:lnTo>
                  <a:pt x="9" y="2274"/>
                </a:lnTo>
                <a:lnTo>
                  <a:pt x="13" y="2326"/>
                </a:lnTo>
                <a:lnTo>
                  <a:pt x="19" y="2377"/>
                </a:lnTo>
                <a:lnTo>
                  <a:pt x="26" y="2428"/>
                </a:lnTo>
                <a:lnTo>
                  <a:pt x="34" y="2479"/>
                </a:lnTo>
                <a:lnTo>
                  <a:pt x="47" y="2537"/>
                </a:lnTo>
                <a:lnTo>
                  <a:pt x="62" y="2595"/>
                </a:lnTo>
                <a:lnTo>
                  <a:pt x="78" y="2653"/>
                </a:lnTo>
                <a:lnTo>
                  <a:pt x="95" y="2709"/>
                </a:lnTo>
                <a:lnTo>
                  <a:pt x="115" y="2764"/>
                </a:lnTo>
                <a:lnTo>
                  <a:pt x="136" y="2820"/>
                </a:lnTo>
                <a:lnTo>
                  <a:pt x="158" y="2874"/>
                </a:lnTo>
                <a:lnTo>
                  <a:pt x="182" y="2927"/>
                </a:lnTo>
                <a:lnTo>
                  <a:pt x="207" y="2980"/>
                </a:lnTo>
                <a:lnTo>
                  <a:pt x="234" y="3032"/>
                </a:lnTo>
                <a:lnTo>
                  <a:pt x="263" y="3082"/>
                </a:lnTo>
                <a:lnTo>
                  <a:pt x="292" y="3132"/>
                </a:lnTo>
                <a:lnTo>
                  <a:pt x="324" y="3182"/>
                </a:lnTo>
                <a:lnTo>
                  <a:pt x="357" y="3229"/>
                </a:lnTo>
                <a:lnTo>
                  <a:pt x="390" y="3277"/>
                </a:lnTo>
                <a:lnTo>
                  <a:pt x="426" y="3322"/>
                </a:lnTo>
                <a:lnTo>
                  <a:pt x="462" y="3368"/>
                </a:lnTo>
                <a:lnTo>
                  <a:pt x="501" y="3412"/>
                </a:lnTo>
                <a:lnTo>
                  <a:pt x="541" y="3455"/>
                </a:lnTo>
                <a:lnTo>
                  <a:pt x="581" y="3497"/>
                </a:lnTo>
                <a:lnTo>
                  <a:pt x="624" y="3537"/>
                </a:lnTo>
                <a:lnTo>
                  <a:pt x="666" y="3577"/>
                </a:lnTo>
                <a:lnTo>
                  <a:pt x="711" y="3615"/>
                </a:lnTo>
                <a:lnTo>
                  <a:pt x="758" y="3653"/>
                </a:lnTo>
                <a:lnTo>
                  <a:pt x="804" y="3689"/>
                </a:lnTo>
                <a:lnTo>
                  <a:pt x="852" y="3724"/>
                </a:lnTo>
                <a:lnTo>
                  <a:pt x="902" y="3757"/>
                </a:lnTo>
                <a:lnTo>
                  <a:pt x="952" y="3789"/>
                </a:lnTo>
                <a:lnTo>
                  <a:pt x="1004" y="3821"/>
                </a:lnTo>
                <a:lnTo>
                  <a:pt x="1057" y="3850"/>
                </a:lnTo>
                <a:lnTo>
                  <a:pt x="1110" y="3879"/>
                </a:lnTo>
                <a:lnTo>
                  <a:pt x="1165" y="3905"/>
                </a:lnTo>
                <a:lnTo>
                  <a:pt x="1204" y="3922"/>
                </a:lnTo>
                <a:lnTo>
                  <a:pt x="1245" y="3939"/>
                </a:lnTo>
                <a:lnTo>
                  <a:pt x="1290" y="3956"/>
                </a:lnTo>
                <a:lnTo>
                  <a:pt x="1338" y="3973"/>
                </a:lnTo>
                <a:lnTo>
                  <a:pt x="1389" y="3990"/>
                </a:lnTo>
                <a:lnTo>
                  <a:pt x="1446" y="4007"/>
                </a:lnTo>
                <a:lnTo>
                  <a:pt x="1506" y="4023"/>
                </a:lnTo>
                <a:lnTo>
                  <a:pt x="1571" y="4039"/>
                </a:lnTo>
                <a:lnTo>
                  <a:pt x="1641" y="4054"/>
                </a:lnTo>
                <a:lnTo>
                  <a:pt x="1716" y="4069"/>
                </a:lnTo>
                <a:lnTo>
                  <a:pt x="1796" y="4082"/>
                </a:lnTo>
                <a:lnTo>
                  <a:pt x="1882" y="4095"/>
                </a:lnTo>
                <a:lnTo>
                  <a:pt x="1975" y="4106"/>
                </a:lnTo>
                <a:lnTo>
                  <a:pt x="2074" y="4117"/>
                </a:lnTo>
                <a:lnTo>
                  <a:pt x="2179" y="4126"/>
                </a:lnTo>
                <a:lnTo>
                  <a:pt x="2292" y="4133"/>
                </a:lnTo>
                <a:lnTo>
                  <a:pt x="2627" y="4140"/>
                </a:lnTo>
                <a:lnTo>
                  <a:pt x="3867" y="4141"/>
                </a:lnTo>
                <a:lnTo>
                  <a:pt x="3899" y="4141"/>
                </a:lnTo>
                <a:lnTo>
                  <a:pt x="3903" y="3145"/>
                </a:lnTo>
                <a:lnTo>
                  <a:pt x="3870" y="3145"/>
                </a:lnTo>
                <a:close/>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p>
            <a:endParaRPr lang="cs-CZ"/>
          </a:p>
        </xdr:txBody>
      </xdr:sp>
    </xdr:grpSp>
    <xdr:clientData/>
  </xdr:twoCellAnchor>
  <xdr:twoCellAnchor editAs="oneCell">
    <xdr:from>
      <xdr:col>0</xdr:col>
      <xdr:colOff>0</xdr:colOff>
      <xdr:row>97</xdr:row>
      <xdr:rowOff>0</xdr:rowOff>
    </xdr:from>
    <xdr:to>
      <xdr:col>0</xdr:col>
      <xdr:colOff>304800</xdr:colOff>
      <xdr:row>98</xdr:row>
      <xdr:rowOff>149500</xdr:rowOff>
    </xdr:to>
    <xdr:sp macro="" textlink="">
      <xdr:nvSpPr>
        <xdr:cNvPr id="5" name="AutoShape 2" descr="Framery O | The original soundproof phone pod">
          <a:extLst>
            <a:ext uri="{FF2B5EF4-FFF2-40B4-BE49-F238E27FC236}">
              <a16:creationId xmlns:a16="http://schemas.microsoft.com/office/drawing/2014/main" id="{90F7D741-357E-455C-B973-80BFE3D0B150}"/>
            </a:ext>
          </a:extLst>
        </xdr:cNvPr>
        <xdr:cNvSpPr>
          <a:spLocks noChangeAspect="1" noChangeArrowheads="1"/>
        </xdr:cNvSpPr>
      </xdr:nvSpPr>
      <xdr:spPr bwMode="auto">
        <a:xfrm>
          <a:off x="393700" y="17621250"/>
          <a:ext cx="304800" cy="3136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134</xdr:row>
      <xdr:rowOff>63037</xdr:rowOff>
    </xdr:from>
    <xdr:ext cx="375225" cy="626765"/>
    <xdr:pic>
      <xdr:nvPicPr>
        <xdr:cNvPr id="9" name="Picture 8">
          <a:extLst>
            <a:ext uri="{FF2B5EF4-FFF2-40B4-BE49-F238E27FC236}">
              <a16:creationId xmlns:a16="http://schemas.microsoft.com/office/drawing/2014/main" id="{6BFED969-CF2F-4F44-B199-294AD040FD0C}"/>
            </a:ext>
          </a:extLst>
        </xdr:cNvPr>
        <xdr:cNvPicPr>
          <a:picLocks noChangeAspect="1"/>
        </xdr:cNvPicPr>
      </xdr:nvPicPr>
      <xdr:blipFill>
        <a:blip xmlns:r="http://schemas.openxmlformats.org/officeDocument/2006/relationships" r:embed="rId1"/>
        <a:stretch>
          <a:fillRect/>
        </a:stretch>
      </xdr:blipFill>
      <xdr:spPr>
        <a:xfrm>
          <a:off x="4812725" y="6749587"/>
          <a:ext cx="375225" cy="626765"/>
        </a:xfrm>
        <a:prstGeom prst="rect">
          <a:avLst/>
        </a:prstGeom>
      </xdr:spPr>
    </xdr:pic>
    <xdr:clientData/>
  </xdr:oneCellAnchor>
  <xdr:oneCellAnchor>
    <xdr:from>
      <xdr:col>15</xdr:col>
      <xdr:colOff>0</xdr:colOff>
      <xdr:row>1</xdr:row>
      <xdr:rowOff>0</xdr:rowOff>
    </xdr:from>
    <xdr:ext cx="304800" cy="309610"/>
    <xdr:sp macro="" textlink="">
      <xdr:nvSpPr>
        <xdr:cNvPr id="10" name="AutoShape 2" descr="Framery O | The original soundproof phone pod">
          <a:extLst>
            <a:ext uri="{FF2B5EF4-FFF2-40B4-BE49-F238E27FC236}">
              <a16:creationId xmlns:a16="http://schemas.microsoft.com/office/drawing/2014/main" id="{34C174E5-40BF-4E63-AE2A-D22DA247A057}"/>
            </a:ext>
          </a:extLst>
        </xdr:cNvPr>
        <xdr:cNvSpPr>
          <a:spLocks noChangeAspect="1" noChangeArrowheads="1"/>
        </xdr:cNvSpPr>
      </xdr:nvSpPr>
      <xdr:spPr bwMode="auto">
        <a:xfrm>
          <a:off x="394607" y="17975036"/>
          <a:ext cx="304800" cy="3096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xdr:col>
      <xdr:colOff>0</xdr:colOff>
      <xdr:row>38</xdr:row>
      <xdr:rowOff>66212</xdr:rowOff>
    </xdr:from>
    <xdr:ext cx="82554" cy="137895"/>
    <xdr:pic>
      <xdr:nvPicPr>
        <xdr:cNvPr id="14" name="Picture 13">
          <a:extLst>
            <a:ext uri="{FF2B5EF4-FFF2-40B4-BE49-F238E27FC236}">
              <a16:creationId xmlns:a16="http://schemas.microsoft.com/office/drawing/2014/main" id="{27C40E0C-9245-4DDF-A491-93482F427770}"/>
            </a:ext>
          </a:extLst>
        </xdr:cNvPr>
        <xdr:cNvPicPr>
          <a:picLocks noChangeAspect="1"/>
        </xdr:cNvPicPr>
      </xdr:nvPicPr>
      <xdr:blipFill>
        <a:blip xmlns:r="http://schemas.openxmlformats.org/officeDocument/2006/relationships" r:embed="rId1"/>
        <a:stretch>
          <a:fillRect/>
        </a:stretch>
      </xdr:blipFill>
      <xdr:spPr>
        <a:xfrm>
          <a:off x="15672250" y="6896998"/>
          <a:ext cx="82554" cy="13789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5</xdr:col>
      <xdr:colOff>568326</xdr:colOff>
      <xdr:row>0</xdr:row>
      <xdr:rowOff>142876</xdr:rowOff>
    </xdr:from>
    <xdr:to>
      <xdr:col>6</xdr:col>
      <xdr:colOff>608542</xdr:colOff>
      <xdr:row>1</xdr:row>
      <xdr:rowOff>144993</xdr:rowOff>
    </xdr:to>
    <xdr:grpSp>
      <xdr:nvGrpSpPr>
        <xdr:cNvPr id="6" name="Group 5">
          <a:extLst>
            <a:ext uri="{FF2B5EF4-FFF2-40B4-BE49-F238E27FC236}">
              <a16:creationId xmlns:a16="http://schemas.microsoft.com/office/drawing/2014/main" id="{A1C2ACD8-6C7F-4ADB-9E95-EDDD09291FBD}"/>
            </a:ext>
          </a:extLst>
        </xdr:cNvPr>
        <xdr:cNvGrpSpPr>
          <a:grpSpLocks noChangeAspect="1"/>
        </xdr:cNvGrpSpPr>
      </xdr:nvGrpSpPr>
      <xdr:grpSpPr bwMode="auto">
        <a:xfrm>
          <a:off x="7067307" y="139701"/>
          <a:ext cx="794889" cy="185290"/>
          <a:chOff x="0" y="0"/>
          <a:chExt cx="914400" cy="227012"/>
        </a:xfrm>
        <a:solidFill>
          <a:schemeClr val="accent6"/>
        </a:solidFill>
      </xdr:grpSpPr>
      <xdr:sp macro="" textlink="">
        <xdr:nvSpPr>
          <xdr:cNvPr id="7" name="Freeform 72">
            <a:extLst>
              <a:ext uri="{FF2B5EF4-FFF2-40B4-BE49-F238E27FC236}">
                <a16:creationId xmlns:a16="http://schemas.microsoft.com/office/drawing/2014/main" id="{347B52D5-A311-7F6E-201C-FDFFAE0C29A1}"/>
              </a:ext>
            </a:extLst>
          </xdr:cNvPr>
          <xdr:cNvSpPr>
            <a:spLocks noChangeAspect="1" noEditPoints="1"/>
          </xdr:cNvSpPr>
        </xdr:nvSpPr>
        <xdr:spPr bwMode="auto">
          <a:xfrm>
            <a:off x="247650" y="0"/>
            <a:ext cx="666750" cy="227012"/>
          </a:xfrm>
          <a:custGeom>
            <a:avLst/>
            <a:gdLst>
              <a:gd name="T0" fmla="*/ 2147483647 w 12180"/>
              <a:gd name="T1" fmla="*/ 2147483647 h 4147"/>
              <a:gd name="T2" fmla="*/ 2147483647 w 12180"/>
              <a:gd name="T3" fmla="*/ 2147483647 h 4147"/>
              <a:gd name="T4" fmla="*/ 2147483647 w 12180"/>
              <a:gd name="T5" fmla="*/ 2147483647 h 4147"/>
              <a:gd name="T6" fmla="*/ 2147483647 w 12180"/>
              <a:gd name="T7" fmla="*/ 2147483647 h 4147"/>
              <a:gd name="T8" fmla="*/ 2147483647 w 12180"/>
              <a:gd name="T9" fmla="*/ 2147483647 h 4147"/>
              <a:gd name="T10" fmla="*/ 2147483647 w 12180"/>
              <a:gd name="T11" fmla="*/ 2147483647 h 4147"/>
              <a:gd name="T12" fmla="*/ 2147483647 w 12180"/>
              <a:gd name="T13" fmla="*/ 2147483647 h 4147"/>
              <a:gd name="T14" fmla="*/ 2147483647 w 12180"/>
              <a:gd name="T15" fmla="*/ 2147483647 h 4147"/>
              <a:gd name="T16" fmla="*/ 2147483647 w 12180"/>
              <a:gd name="T17" fmla="*/ 2147483647 h 4147"/>
              <a:gd name="T18" fmla="*/ 2147483647 w 12180"/>
              <a:gd name="T19" fmla="*/ 2147483647 h 4147"/>
              <a:gd name="T20" fmla="*/ 2147483647 w 12180"/>
              <a:gd name="T21" fmla="*/ 2147483647 h 4147"/>
              <a:gd name="T22" fmla="*/ 2147483647 w 12180"/>
              <a:gd name="T23" fmla="*/ 2147483647 h 4147"/>
              <a:gd name="T24" fmla="*/ 2147483647 w 12180"/>
              <a:gd name="T25" fmla="*/ 2147483647 h 4147"/>
              <a:gd name="T26" fmla="*/ 0 w 12180"/>
              <a:gd name="T27" fmla="*/ 2147483647 h 4147"/>
              <a:gd name="T28" fmla="*/ 2147483647 w 12180"/>
              <a:gd name="T29" fmla="*/ 2147483647 h 4147"/>
              <a:gd name="T30" fmla="*/ 2147483647 w 12180"/>
              <a:gd name="T31" fmla="*/ 2147483647 h 4147"/>
              <a:gd name="T32" fmla="*/ 2147483647 w 12180"/>
              <a:gd name="T33" fmla="*/ 2147483647 h 4147"/>
              <a:gd name="T34" fmla="*/ 2147483647 w 12180"/>
              <a:gd name="T35" fmla="*/ 2147483647 h 4147"/>
              <a:gd name="T36" fmla="*/ 2147483647 w 12180"/>
              <a:gd name="T37" fmla="*/ 2147483647 h 4147"/>
              <a:gd name="T38" fmla="*/ 2147483647 w 12180"/>
              <a:gd name="T39" fmla="*/ 2147483647 h 4147"/>
              <a:gd name="T40" fmla="*/ 2147483647 w 12180"/>
              <a:gd name="T41" fmla="*/ 2147483647 h 4147"/>
              <a:gd name="T42" fmla="*/ 2147483647 w 12180"/>
              <a:gd name="T43" fmla="*/ 2147483647 h 4147"/>
              <a:gd name="T44" fmla="*/ 2147483647 w 12180"/>
              <a:gd name="T45" fmla="*/ 2147483647 h 4147"/>
              <a:gd name="T46" fmla="*/ 2147483647 w 12180"/>
              <a:gd name="T47" fmla="*/ 2147483647 h 4147"/>
              <a:gd name="T48" fmla="*/ 2147483647 w 12180"/>
              <a:gd name="T49" fmla="*/ 2147483647 h 4147"/>
              <a:gd name="T50" fmla="*/ 2147483647 w 12180"/>
              <a:gd name="T51" fmla="*/ 2147483647 h 4147"/>
              <a:gd name="T52" fmla="*/ 2147483647 w 12180"/>
              <a:gd name="T53" fmla="*/ 2147483647 h 4147"/>
              <a:gd name="T54" fmla="*/ 2147483647 w 12180"/>
              <a:gd name="T55" fmla="*/ 2147483647 h 4147"/>
              <a:gd name="T56" fmla="*/ 2147483647 w 12180"/>
              <a:gd name="T57" fmla="*/ 2147483647 h 4147"/>
              <a:gd name="T58" fmla="*/ 2147483647 w 12180"/>
              <a:gd name="T59" fmla="*/ 2147483647 h 4147"/>
              <a:gd name="T60" fmla="*/ 2147483647 w 12180"/>
              <a:gd name="T61" fmla="*/ 2147483647 h 4147"/>
              <a:gd name="T62" fmla="*/ 2147483647 w 12180"/>
              <a:gd name="T63" fmla="*/ 2147483647 h 4147"/>
              <a:gd name="T64" fmla="*/ 2147483647 w 12180"/>
              <a:gd name="T65" fmla="*/ 2147483647 h 4147"/>
              <a:gd name="T66" fmla="*/ 2147483647 w 12180"/>
              <a:gd name="T67" fmla="*/ 2147483647 h 4147"/>
              <a:gd name="T68" fmla="*/ 2147483647 w 12180"/>
              <a:gd name="T69" fmla="*/ 2147483647 h 4147"/>
              <a:gd name="T70" fmla="*/ 2147483647 w 12180"/>
              <a:gd name="T71" fmla="*/ 2147483647 h 4147"/>
              <a:gd name="T72" fmla="*/ 2147483647 w 12180"/>
              <a:gd name="T73" fmla="*/ 2147483647 h 4147"/>
              <a:gd name="T74" fmla="*/ 2147483647 w 12180"/>
              <a:gd name="T75" fmla="*/ 2147483647 h 4147"/>
              <a:gd name="T76" fmla="*/ 2147483647 w 12180"/>
              <a:gd name="T77" fmla="*/ 2147483647 h 4147"/>
              <a:gd name="T78" fmla="*/ 2147483647 w 12180"/>
              <a:gd name="T79" fmla="*/ 2147483647 h 4147"/>
              <a:gd name="T80" fmla="*/ 2147483647 w 12180"/>
              <a:gd name="T81" fmla="*/ 2147483647 h 4147"/>
              <a:gd name="T82" fmla="*/ 2147483647 w 12180"/>
              <a:gd name="T83" fmla="*/ 2147483647 h 4147"/>
              <a:gd name="T84" fmla="*/ 2147483647 w 12180"/>
              <a:gd name="T85" fmla="*/ 2147483647 h 4147"/>
              <a:gd name="T86" fmla="*/ 2147483647 w 12180"/>
              <a:gd name="T87" fmla="*/ 2147483647 h 4147"/>
              <a:gd name="T88" fmla="*/ 2147483647 w 12180"/>
              <a:gd name="T89" fmla="*/ 2147483647 h 4147"/>
              <a:gd name="T90" fmla="*/ 2147483647 w 12180"/>
              <a:gd name="T91" fmla="*/ 2147483647 h 4147"/>
              <a:gd name="T92" fmla="*/ 2147483647 w 12180"/>
              <a:gd name="T93" fmla="*/ 2147483647 h 4147"/>
              <a:gd name="T94" fmla="*/ 2147483647 w 12180"/>
              <a:gd name="T95" fmla="*/ 2147483647 h 4147"/>
              <a:gd name="T96" fmla="*/ 2147483647 w 12180"/>
              <a:gd name="T97" fmla="*/ 2147483647 h 4147"/>
              <a:gd name="T98" fmla="*/ 2147483647 w 12180"/>
              <a:gd name="T99" fmla="*/ 2147483647 h 4147"/>
              <a:gd name="T100" fmla="*/ 2147483647 w 12180"/>
              <a:gd name="T101" fmla="*/ 2147483647 h 4147"/>
              <a:gd name="T102" fmla="*/ 2147483647 w 12180"/>
              <a:gd name="T103" fmla="*/ 2147483647 h 4147"/>
              <a:gd name="T104" fmla="*/ 2147483647 w 12180"/>
              <a:gd name="T105" fmla="*/ 2147483647 h 4147"/>
              <a:gd name="T106" fmla="*/ 2147483647 w 12180"/>
              <a:gd name="T107" fmla="*/ 2147483647 h 4147"/>
              <a:gd name="T108" fmla="*/ 2147483647 w 12180"/>
              <a:gd name="T109" fmla="*/ 2147483647 h 4147"/>
              <a:gd name="T110" fmla="*/ 2147483647 w 12180"/>
              <a:gd name="T111" fmla="*/ 2147483647 h 4147"/>
              <a:gd name="T112" fmla="*/ 2147483647 w 12180"/>
              <a:gd name="T113" fmla="*/ 2147483647 h 4147"/>
              <a:gd name="T114" fmla="*/ 2147483647 w 12180"/>
              <a:gd name="T115" fmla="*/ 2147483647 h 4147"/>
              <a:gd name="T116" fmla="*/ 2147483647 w 12180"/>
              <a:gd name="T117" fmla="*/ 2147483647 h 4147"/>
              <a:gd name="T118" fmla="*/ 2147483647 w 12180"/>
              <a:gd name="T119" fmla="*/ 2147483647 h 4147"/>
              <a:gd name="T120" fmla="*/ 2147483647 w 12180"/>
              <a:gd name="T121" fmla="*/ 2147483647 h 4147"/>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w 12180"/>
              <a:gd name="T184" fmla="*/ 0 h 4147"/>
              <a:gd name="T185" fmla="*/ 12180 w 12180"/>
              <a:gd name="T186" fmla="*/ 4147 h 4147"/>
            </a:gdLst>
            <a:ahLst/>
            <a:cxnLst>
              <a:cxn ang="T122">
                <a:pos x="T0" y="T1"/>
              </a:cxn>
              <a:cxn ang="T123">
                <a:pos x="T2" y="T3"/>
              </a:cxn>
              <a:cxn ang="T124">
                <a:pos x="T4" y="T5"/>
              </a:cxn>
              <a:cxn ang="T125">
                <a:pos x="T6" y="T7"/>
              </a:cxn>
              <a:cxn ang="T126">
                <a:pos x="T8" y="T9"/>
              </a:cxn>
              <a:cxn ang="T127">
                <a:pos x="T10" y="T11"/>
              </a:cxn>
              <a:cxn ang="T128">
                <a:pos x="T12" y="T13"/>
              </a:cxn>
              <a:cxn ang="T129">
                <a:pos x="T14" y="T15"/>
              </a:cxn>
              <a:cxn ang="T130">
                <a:pos x="T16" y="T17"/>
              </a:cxn>
              <a:cxn ang="T131">
                <a:pos x="T18" y="T19"/>
              </a:cxn>
              <a:cxn ang="T132">
                <a:pos x="T20" y="T21"/>
              </a:cxn>
              <a:cxn ang="T133">
                <a:pos x="T22" y="T23"/>
              </a:cxn>
              <a:cxn ang="T134">
                <a:pos x="T24" y="T25"/>
              </a:cxn>
              <a:cxn ang="T135">
                <a:pos x="T26" y="T27"/>
              </a:cxn>
              <a:cxn ang="T136">
                <a:pos x="T28" y="T29"/>
              </a:cxn>
              <a:cxn ang="T137">
                <a:pos x="T30" y="T31"/>
              </a:cxn>
              <a:cxn ang="T138">
                <a:pos x="T32" y="T33"/>
              </a:cxn>
              <a:cxn ang="T139">
                <a:pos x="T34" y="T35"/>
              </a:cxn>
              <a:cxn ang="T140">
                <a:pos x="T36" y="T37"/>
              </a:cxn>
              <a:cxn ang="T141">
                <a:pos x="T38" y="T39"/>
              </a:cxn>
              <a:cxn ang="T142">
                <a:pos x="T40" y="T41"/>
              </a:cxn>
              <a:cxn ang="T143">
                <a:pos x="T42" y="T43"/>
              </a:cxn>
              <a:cxn ang="T144">
                <a:pos x="T44" y="T45"/>
              </a:cxn>
              <a:cxn ang="T145">
                <a:pos x="T46" y="T47"/>
              </a:cxn>
              <a:cxn ang="T146">
                <a:pos x="T48" y="T49"/>
              </a:cxn>
              <a:cxn ang="T147">
                <a:pos x="T50" y="T51"/>
              </a:cxn>
              <a:cxn ang="T148">
                <a:pos x="T52" y="T53"/>
              </a:cxn>
              <a:cxn ang="T149">
                <a:pos x="T54" y="T55"/>
              </a:cxn>
              <a:cxn ang="T150">
                <a:pos x="T56" y="T57"/>
              </a:cxn>
              <a:cxn ang="T151">
                <a:pos x="T58" y="T59"/>
              </a:cxn>
              <a:cxn ang="T152">
                <a:pos x="T60" y="T61"/>
              </a:cxn>
              <a:cxn ang="T153">
                <a:pos x="T62" y="T63"/>
              </a:cxn>
              <a:cxn ang="T154">
                <a:pos x="T64" y="T65"/>
              </a:cxn>
              <a:cxn ang="T155">
                <a:pos x="T66" y="T67"/>
              </a:cxn>
              <a:cxn ang="T156">
                <a:pos x="T68" y="T69"/>
              </a:cxn>
              <a:cxn ang="T157">
                <a:pos x="T70" y="T71"/>
              </a:cxn>
              <a:cxn ang="T158">
                <a:pos x="T72" y="T73"/>
              </a:cxn>
              <a:cxn ang="T159">
                <a:pos x="T74" y="T75"/>
              </a:cxn>
              <a:cxn ang="T160">
                <a:pos x="T76" y="T77"/>
              </a:cxn>
              <a:cxn ang="T161">
                <a:pos x="T78" y="T79"/>
              </a:cxn>
              <a:cxn ang="T162">
                <a:pos x="T80" y="T81"/>
              </a:cxn>
              <a:cxn ang="T163">
                <a:pos x="T82" y="T83"/>
              </a:cxn>
              <a:cxn ang="T164">
                <a:pos x="T84" y="T85"/>
              </a:cxn>
              <a:cxn ang="T165">
                <a:pos x="T86" y="T87"/>
              </a:cxn>
              <a:cxn ang="T166">
                <a:pos x="T88" y="T89"/>
              </a:cxn>
              <a:cxn ang="T167">
                <a:pos x="T90" y="T91"/>
              </a:cxn>
              <a:cxn ang="T168">
                <a:pos x="T92" y="T93"/>
              </a:cxn>
              <a:cxn ang="T169">
                <a:pos x="T94" y="T95"/>
              </a:cxn>
              <a:cxn ang="T170">
                <a:pos x="T96" y="T97"/>
              </a:cxn>
              <a:cxn ang="T171">
                <a:pos x="T98" y="T99"/>
              </a:cxn>
              <a:cxn ang="T172">
                <a:pos x="T100" y="T101"/>
              </a:cxn>
              <a:cxn ang="T173">
                <a:pos x="T102" y="T103"/>
              </a:cxn>
              <a:cxn ang="T174">
                <a:pos x="T104" y="T105"/>
              </a:cxn>
              <a:cxn ang="T175">
                <a:pos x="T106" y="T107"/>
              </a:cxn>
              <a:cxn ang="T176">
                <a:pos x="T108" y="T109"/>
              </a:cxn>
              <a:cxn ang="T177">
                <a:pos x="T110" y="T111"/>
              </a:cxn>
              <a:cxn ang="T178">
                <a:pos x="T112" y="T113"/>
              </a:cxn>
              <a:cxn ang="T179">
                <a:pos x="T114" y="T115"/>
              </a:cxn>
              <a:cxn ang="T180">
                <a:pos x="T116" y="T117"/>
              </a:cxn>
              <a:cxn ang="T181">
                <a:pos x="T118" y="T119"/>
              </a:cxn>
              <a:cxn ang="T182">
                <a:pos x="T120" y="T121"/>
              </a:cxn>
            </a:cxnLst>
            <a:rect l="T183" t="T184" r="T185" b="T186"/>
            <a:pathLst>
              <a:path w="12180" h="4147">
                <a:moveTo>
                  <a:pt x="3730" y="2949"/>
                </a:moveTo>
                <a:lnTo>
                  <a:pt x="3730" y="2949"/>
                </a:lnTo>
                <a:lnTo>
                  <a:pt x="3730" y="2915"/>
                </a:lnTo>
                <a:lnTo>
                  <a:pt x="3728" y="2883"/>
                </a:lnTo>
                <a:lnTo>
                  <a:pt x="3726" y="2850"/>
                </a:lnTo>
                <a:lnTo>
                  <a:pt x="3723" y="2819"/>
                </a:lnTo>
                <a:lnTo>
                  <a:pt x="3719" y="2789"/>
                </a:lnTo>
                <a:lnTo>
                  <a:pt x="3714" y="2758"/>
                </a:lnTo>
                <a:lnTo>
                  <a:pt x="3709" y="2730"/>
                </a:lnTo>
                <a:lnTo>
                  <a:pt x="3702" y="2702"/>
                </a:lnTo>
                <a:lnTo>
                  <a:pt x="3695" y="2673"/>
                </a:lnTo>
                <a:lnTo>
                  <a:pt x="3688" y="2646"/>
                </a:lnTo>
                <a:lnTo>
                  <a:pt x="3678" y="2619"/>
                </a:lnTo>
                <a:lnTo>
                  <a:pt x="3669" y="2594"/>
                </a:lnTo>
                <a:lnTo>
                  <a:pt x="3660" y="2569"/>
                </a:lnTo>
                <a:lnTo>
                  <a:pt x="3650" y="2545"/>
                </a:lnTo>
                <a:lnTo>
                  <a:pt x="3639" y="2520"/>
                </a:lnTo>
                <a:lnTo>
                  <a:pt x="3628" y="2497"/>
                </a:lnTo>
                <a:lnTo>
                  <a:pt x="3616" y="2475"/>
                </a:lnTo>
                <a:lnTo>
                  <a:pt x="3603" y="2452"/>
                </a:lnTo>
                <a:lnTo>
                  <a:pt x="3590" y="2431"/>
                </a:lnTo>
                <a:lnTo>
                  <a:pt x="3577" y="2411"/>
                </a:lnTo>
                <a:lnTo>
                  <a:pt x="3564" y="2391"/>
                </a:lnTo>
                <a:lnTo>
                  <a:pt x="3551" y="2370"/>
                </a:lnTo>
                <a:lnTo>
                  <a:pt x="3521" y="2334"/>
                </a:lnTo>
                <a:lnTo>
                  <a:pt x="3492" y="2298"/>
                </a:lnTo>
                <a:lnTo>
                  <a:pt x="3462" y="2266"/>
                </a:lnTo>
                <a:lnTo>
                  <a:pt x="3431" y="2236"/>
                </a:lnTo>
                <a:lnTo>
                  <a:pt x="3401" y="2207"/>
                </a:lnTo>
                <a:lnTo>
                  <a:pt x="3370" y="2181"/>
                </a:lnTo>
                <a:lnTo>
                  <a:pt x="3339" y="2157"/>
                </a:lnTo>
                <a:lnTo>
                  <a:pt x="3309" y="2134"/>
                </a:lnTo>
                <a:lnTo>
                  <a:pt x="3280" y="2114"/>
                </a:lnTo>
                <a:lnTo>
                  <a:pt x="3250" y="2096"/>
                </a:lnTo>
                <a:lnTo>
                  <a:pt x="3224" y="2080"/>
                </a:lnTo>
                <a:lnTo>
                  <a:pt x="3198" y="2064"/>
                </a:lnTo>
                <a:lnTo>
                  <a:pt x="3173" y="2051"/>
                </a:lnTo>
                <a:lnTo>
                  <a:pt x="3132" y="2031"/>
                </a:lnTo>
                <a:lnTo>
                  <a:pt x="3099" y="2017"/>
                </a:lnTo>
                <a:lnTo>
                  <a:pt x="3078" y="2009"/>
                </a:lnTo>
                <a:lnTo>
                  <a:pt x="3071" y="2006"/>
                </a:lnTo>
                <a:lnTo>
                  <a:pt x="3119" y="1988"/>
                </a:lnTo>
                <a:lnTo>
                  <a:pt x="3164" y="1970"/>
                </a:lnTo>
                <a:lnTo>
                  <a:pt x="3208" y="1950"/>
                </a:lnTo>
                <a:lnTo>
                  <a:pt x="3249" y="1928"/>
                </a:lnTo>
                <a:lnTo>
                  <a:pt x="3288" y="1905"/>
                </a:lnTo>
                <a:lnTo>
                  <a:pt x="3324" y="1881"/>
                </a:lnTo>
                <a:lnTo>
                  <a:pt x="3359" y="1856"/>
                </a:lnTo>
                <a:lnTo>
                  <a:pt x="3390" y="1829"/>
                </a:lnTo>
                <a:lnTo>
                  <a:pt x="3421" y="1802"/>
                </a:lnTo>
                <a:lnTo>
                  <a:pt x="3449" y="1774"/>
                </a:lnTo>
                <a:lnTo>
                  <a:pt x="3476" y="1744"/>
                </a:lnTo>
                <a:lnTo>
                  <a:pt x="3500" y="1714"/>
                </a:lnTo>
                <a:lnTo>
                  <a:pt x="3522" y="1684"/>
                </a:lnTo>
                <a:lnTo>
                  <a:pt x="3544" y="1651"/>
                </a:lnTo>
                <a:lnTo>
                  <a:pt x="3563" y="1619"/>
                </a:lnTo>
                <a:lnTo>
                  <a:pt x="3580" y="1586"/>
                </a:lnTo>
                <a:lnTo>
                  <a:pt x="3596" y="1553"/>
                </a:lnTo>
                <a:lnTo>
                  <a:pt x="3610" y="1518"/>
                </a:lnTo>
                <a:lnTo>
                  <a:pt x="3624" y="1484"/>
                </a:lnTo>
                <a:lnTo>
                  <a:pt x="3636" y="1450"/>
                </a:lnTo>
                <a:lnTo>
                  <a:pt x="3646" y="1414"/>
                </a:lnTo>
                <a:lnTo>
                  <a:pt x="3655" y="1379"/>
                </a:lnTo>
                <a:lnTo>
                  <a:pt x="3663" y="1343"/>
                </a:lnTo>
                <a:lnTo>
                  <a:pt x="3670" y="1308"/>
                </a:lnTo>
                <a:lnTo>
                  <a:pt x="3676" y="1272"/>
                </a:lnTo>
                <a:lnTo>
                  <a:pt x="3681" y="1237"/>
                </a:lnTo>
                <a:lnTo>
                  <a:pt x="3686" y="1201"/>
                </a:lnTo>
                <a:lnTo>
                  <a:pt x="3689" y="1166"/>
                </a:lnTo>
                <a:lnTo>
                  <a:pt x="3691" y="1130"/>
                </a:lnTo>
                <a:lnTo>
                  <a:pt x="3692" y="1096"/>
                </a:lnTo>
                <a:lnTo>
                  <a:pt x="3693" y="1062"/>
                </a:lnTo>
                <a:lnTo>
                  <a:pt x="3693" y="1027"/>
                </a:lnTo>
                <a:lnTo>
                  <a:pt x="3692" y="975"/>
                </a:lnTo>
                <a:lnTo>
                  <a:pt x="3689" y="925"/>
                </a:lnTo>
                <a:lnTo>
                  <a:pt x="3686" y="899"/>
                </a:lnTo>
                <a:lnTo>
                  <a:pt x="3682" y="874"/>
                </a:lnTo>
                <a:lnTo>
                  <a:pt x="3678" y="850"/>
                </a:lnTo>
                <a:lnTo>
                  <a:pt x="3673" y="825"/>
                </a:lnTo>
                <a:lnTo>
                  <a:pt x="3668" y="800"/>
                </a:lnTo>
                <a:lnTo>
                  <a:pt x="3662" y="776"/>
                </a:lnTo>
                <a:lnTo>
                  <a:pt x="3656" y="752"/>
                </a:lnTo>
                <a:lnTo>
                  <a:pt x="3649" y="728"/>
                </a:lnTo>
                <a:lnTo>
                  <a:pt x="3641" y="704"/>
                </a:lnTo>
                <a:lnTo>
                  <a:pt x="3633" y="681"/>
                </a:lnTo>
                <a:lnTo>
                  <a:pt x="3624" y="657"/>
                </a:lnTo>
                <a:lnTo>
                  <a:pt x="3614" y="634"/>
                </a:lnTo>
                <a:lnTo>
                  <a:pt x="3603" y="612"/>
                </a:lnTo>
                <a:lnTo>
                  <a:pt x="3591" y="589"/>
                </a:lnTo>
                <a:lnTo>
                  <a:pt x="3580" y="567"/>
                </a:lnTo>
                <a:lnTo>
                  <a:pt x="3567" y="545"/>
                </a:lnTo>
                <a:lnTo>
                  <a:pt x="3554" y="524"/>
                </a:lnTo>
                <a:lnTo>
                  <a:pt x="3539" y="501"/>
                </a:lnTo>
                <a:lnTo>
                  <a:pt x="3524" y="481"/>
                </a:lnTo>
                <a:lnTo>
                  <a:pt x="3508" y="460"/>
                </a:lnTo>
                <a:lnTo>
                  <a:pt x="3492" y="440"/>
                </a:lnTo>
                <a:lnTo>
                  <a:pt x="3475" y="419"/>
                </a:lnTo>
                <a:lnTo>
                  <a:pt x="3456" y="400"/>
                </a:lnTo>
                <a:lnTo>
                  <a:pt x="3437" y="381"/>
                </a:lnTo>
                <a:lnTo>
                  <a:pt x="3418" y="362"/>
                </a:lnTo>
                <a:lnTo>
                  <a:pt x="3397" y="343"/>
                </a:lnTo>
                <a:lnTo>
                  <a:pt x="3375" y="325"/>
                </a:lnTo>
                <a:lnTo>
                  <a:pt x="3354" y="307"/>
                </a:lnTo>
                <a:lnTo>
                  <a:pt x="3331" y="290"/>
                </a:lnTo>
                <a:lnTo>
                  <a:pt x="3306" y="272"/>
                </a:lnTo>
                <a:lnTo>
                  <a:pt x="3282" y="256"/>
                </a:lnTo>
                <a:lnTo>
                  <a:pt x="3257" y="240"/>
                </a:lnTo>
                <a:lnTo>
                  <a:pt x="3229" y="224"/>
                </a:lnTo>
                <a:lnTo>
                  <a:pt x="3202" y="209"/>
                </a:lnTo>
                <a:lnTo>
                  <a:pt x="3173" y="194"/>
                </a:lnTo>
                <a:lnTo>
                  <a:pt x="3145" y="179"/>
                </a:lnTo>
                <a:lnTo>
                  <a:pt x="3115" y="166"/>
                </a:lnTo>
                <a:lnTo>
                  <a:pt x="3083" y="153"/>
                </a:lnTo>
                <a:lnTo>
                  <a:pt x="3052" y="140"/>
                </a:lnTo>
                <a:lnTo>
                  <a:pt x="3018" y="128"/>
                </a:lnTo>
                <a:lnTo>
                  <a:pt x="2985" y="115"/>
                </a:lnTo>
                <a:lnTo>
                  <a:pt x="2950" y="104"/>
                </a:lnTo>
                <a:lnTo>
                  <a:pt x="2914" y="93"/>
                </a:lnTo>
                <a:lnTo>
                  <a:pt x="2877" y="83"/>
                </a:lnTo>
                <a:lnTo>
                  <a:pt x="2840" y="73"/>
                </a:lnTo>
                <a:lnTo>
                  <a:pt x="2801" y="64"/>
                </a:lnTo>
                <a:lnTo>
                  <a:pt x="2762" y="56"/>
                </a:lnTo>
                <a:lnTo>
                  <a:pt x="2721" y="48"/>
                </a:lnTo>
                <a:lnTo>
                  <a:pt x="2678" y="41"/>
                </a:lnTo>
                <a:lnTo>
                  <a:pt x="2636" y="33"/>
                </a:lnTo>
                <a:lnTo>
                  <a:pt x="2592" y="27"/>
                </a:lnTo>
                <a:lnTo>
                  <a:pt x="2548" y="21"/>
                </a:lnTo>
                <a:lnTo>
                  <a:pt x="2502" y="16"/>
                </a:lnTo>
                <a:lnTo>
                  <a:pt x="2454" y="12"/>
                </a:lnTo>
                <a:lnTo>
                  <a:pt x="2407" y="8"/>
                </a:lnTo>
                <a:lnTo>
                  <a:pt x="2358" y="5"/>
                </a:lnTo>
                <a:lnTo>
                  <a:pt x="2307" y="3"/>
                </a:lnTo>
                <a:lnTo>
                  <a:pt x="2257" y="1"/>
                </a:lnTo>
                <a:lnTo>
                  <a:pt x="2204" y="0"/>
                </a:lnTo>
                <a:lnTo>
                  <a:pt x="2151" y="0"/>
                </a:lnTo>
                <a:lnTo>
                  <a:pt x="0" y="0"/>
                </a:lnTo>
                <a:lnTo>
                  <a:pt x="0" y="4138"/>
                </a:lnTo>
                <a:lnTo>
                  <a:pt x="2145" y="4138"/>
                </a:lnTo>
                <a:lnTo>
                  <a:pt x="2199" y="4138"/>
                </a:lnTo>
                <a:lnTo>
                  <a:pt x="2252" y="4137"/>
                </a:lnTo>
                <a:lnTo>
                  <a:pt x="2303" y="4135"/>
                </a:lnTo>
                <a:lnTo>
                  <a:pt x="2354" y="4132"/>
                </a:lnTo>
                <a:lnTo>
                  <a:pt x="2404" y="4128"/>
                </a:lnTo>
                <a:lnTo>
                  <a:pt x="2452" y="4123"/>
                </a:lnTo>
                <a:lnTo>
                  <a:pt x="2499" y="4118"/>
                </a:lnTo>
                <a:lnTo>
                  <a:pt x="2546" y="4112"/>
                </a:lnTo>
                <a:lnTo>
                  <a:pt x="2591" y="4104"/>
                </a:lnTo>
                <a:lnTo>
                  <a:pt x="2636" y="4097"/>
                </a:lnTo>
                <a:lnTo>
                  <a:pt x="2679" y="4088"/>
                </a:lnTo>
                <a:lnTo>
                  <a:pt x="2722" y="4079"/>
                </a:lnTo>
                <a:lnTo>
                  <a:pt x="2763" y="4070"/>
                </a:lnTo>
                <a:lnTo>
                  <a:pt x="2803" y="4059"/>
                </a:lnTo>
                <a:lnTo>
                  <a:pt x="2843" y="4048"/>
                </a:lnTo>
                <a:lnTo>
                  <a:pt x="2881" y="4036"/>
                </a:lnTo>
                <a:lnTo>
                  <a:pt x="2919" y="4023"/>
                </a:lnTo>
                <a:lnTo>
                  <a:pt x="2956" y="4010"/>
                </a:lnTo>
                <a:lnTo>
                  <a:pt x="2992" y="3996"/>
                </a:lnTo>
                <a:lnTo>
                  <a:pt x="3026" y="3982"/>
                </a:lnTo>
                <a:lnTo>
                  <a:pt x="3060" y="3967"/>
                </a:lnTo>
                <a:lnTo>
                  <a:pt x="3093" y="3952"/>
                </a:lnTo>
                <a:lnTo>
                  <a:pt x="3125" y="3935"/>
                </a:lnTo>
                <a:lnTo>
                  <a:pt x="3156" y="3919"/>
                </a:lnTo>
                <a:lnTo>
                  <a:pt x="3187" y="3902"/>
                </a:lnTo>
                <a:lnTo>
                  <a:pt x="3215" y="3884"/>
                </a:lnTo>
                <a:lnTo>
                  <a:pt x="3243" y="3865"/>
                </a:lnTo>
                <a:lnTo>
                  <a:pt x="3271" y="3846"/>
                </a:lnTo>
                <a:lnTo>
                  <a:pt x="3298" y="3827"/>
                </a:lnTo>
                <a:lnTo>
                  <a:pt x="3323" y="3808"/>
                </a:lnTo>
                <a:lnTo>
                  <a:pt x="3348" y="3787"/>
                </a:lnTo>
                <a:lnTo>
                  <a:pt x="3372" y="3766"/>
                </a:lnTo>
                <a:lnTo>
                  <a:pt x="3395" y="3746"/>
                </a:lnTo>
                <a:lnTo>
                  <a:pt x="3418" y="3724"/>
                </a:lnTo>
                <a:lnTo>
                  <a:pt x="3439" y="3702"/>
                </a:lnTo>
                <a:lnTo>
                  <a:pt x="3460" y="3680"/>
                </a:lnTo>
                <a:lnTo>
                  <a:pt x="3480" y="3657"/>
                </a:lnTo>
                <a:lnTo>
                  <a:pt x="3499" y="3633"/>
                </a:lnTo>
                <a:lnTo>
                  <a:pt x="3517" y="3610"/>
                </a:lnTo>
                <a:lnTo>
                  <a:pt x="3534" y="3587"/>
                </a:lnTo>
                <a:lnTo>
                  <a:pt x="3551" y="3563"/>
                </a:lnTo>
                <a:lnTo>
                  <a:pt x="3567" y="3538"/>
                </a:lnTo>
                <a:lnTo>
                  <a:pt x="3582" y="3513"/>
                </a:lnTo>
                <a:lnTo>
                  <a:pt x="3596" y="3489"/>
                </a:lnTo>
                <a:lnTo>
                  <a:pt x="3609" y="3463"/>
                </a:lnTo>
                <a:lnTo>
                  <a:pt x="3623" y="3437"/>
                </a:lnTo>
                <a:lnTo>
                  <a:pt x="3635" y="3412"/>
                </a:lnTo>
                <a:lnTo>
                  <a:pt x="3646" y="3385"/>
                </a:lnTo>
                <a:lnTo>
                  <a:pt x="3656" y="3359"/>
                </a:lnTo>
                <a:lnTo>
                  <a:pt x="3666" y="3333"/>
                </a:lnTo>
                <a:lnTo>
                  <a:pt x="3675" y="3306"/>
                </a:lnTo>
                <a:lnTo>
                  <a:pt x="3683" y="3279"/>
                </a:lnTo>
                <a:lnTo>
                  <a:pt x="3691" y="3253"/>
                </a:lnTo>
                <a:lnTo>
                  <a:pt x="3698" y="3225"/>
                </a:lnTo>
                <a:lnTo>
                  <a:pt x="3704" y="3198"/>
                </a:lnTo>
                <a:lnTo>
                  <a:pt x="3710" y="3171"/>
                </a:lnTo>
                <a:lnTo>
                  <a:pt x="3715" y="3143"/>
                </a:lnTo>
                <a:lnTo>
                  <a:pt x="3719" y="3116"/>
                </a:lnTo>
                <a:lnTo>
                  <a:pt x="3722" y="3087"/>
                </a:lnTo>
                <a:lnTo>
                  <a:pt x="3725" y="3060"/>
                </a:lnTo>
                <a:lnTo>
                  <a:pt x="3727" y="3032"/>
                </a:lnTo>
                <a:lnTo>
                  <a:pt x="3729" y="3004"/>
                </a:lnTo>
                <a:lnTo>
                  <a:pt x="3730" y="2976"/>
                </a:lnTo>
                <a:lnTo>
                  <a:pt x="3730" y="2949"/>
                </a:lnTo>
                <a:close/>
                <a:moveTo>
                  <a:pt x="2462" y="901"/>
                </a:moveTo>
                <a:lnTo>
                  <a:pt x="2469" y="901"/>
                </a:lnTo>
                <a:lnTo>
                  <a:pt x="2474" y="902"/>
                </a:lnTo>
                <a:lnTo>
                  <a:pt x="2489" y="905"/>
                </a:lnTo>
                <a:lnTo>
                  <a:pt x="2504" y="908"/>
                </a:lnTo>
                <a:lnTo>
                  <a:pt x="2518" y="912"/>
                </a:lnTo>
                <a:lnTo>
                  <a:pt x="2532" y="917"/>
                </a:lnTo>
                <a:lnTo>
                  <a:pt x="2547" y="923"/>
                </a:lnTo>
                <a:lnTo>
                  <a:pt x="2561" y="929"/>
                </a:lnTo>
                <a:lnTo>
                  <a:pt x="2574" y="935"/>
                </a:lnTo>
                <a:lnTo>
                  <a:pt x="2587" y="942"/>
                </a:lnTo>
                <a:lnTo>
                  <a:pt x="2599" y="950"/>
                </a:lnTo>
                <a:lnTo>
                  <a:pt x="2612" y="958"/>
                </a:lnTo>
                <a:lnTo>
                  <a:pt x="2624" y="966"/>
                </a:lnTo>
                <a:lnTo>
                  <a:pt x="2635" y="975"/>
                </a:lnTo>
                <a:lnTo>
                  <a:pt x="2646" y="985"/>
                </a:lnTo>
                <a:lnTo>
                  <a:pt x="2656" y="995"/>
                </a:lnTo>
                <a:lnTo>
                  <a:pt x="2666" y="1005"/>
                </a:lnTo>
                <a:lnTo>
                  <a:pt x="2676" y="1016"/>
                </a:lnTo>
                <a:lnTo>
                  <a:pt x="2686" y="1027"/>
                </a:lnTo>
                <a:lnTo>
                  <a:pt x="2694" y="1039"/>
                </a:lnTo>
                <a:lnTo>
                  <a:pt x="2702" y="1050"/>
                </a:lnTo>
                <a:lnTo>
                  <a:pt x="2710" y="1064"/>
                </a:lnTo>
                <a:lnTo>
                  <a:pt x="2717" y="1076"/>
                </a:lnTo>
                <a:lnTo>
                  <a:pt x="2723" y="1089"/>
                </a:lnTo>
                <a:lnTo>
                  <a:pt x="2729" y="1102"/>
                </a:lnTo>
                <a:lnTo>
                  <a:pt x="2735" y="1115"/>
                </a:lnTo>
                <a:lnTo>
                  <a:pt x="2739" y="1129"/>
                </a:lnTo>
                <a:lnTo>
                  <a:pt x="2744" y="1144"/>
                </a:lnTo>
                <a:lnTo>
                  <a:pt x="2747" y="1158"/>
                </a:lnTo>
                <a:lnTo>
                  <a:pt x="2750" y="1172"/>
                </a:lnTo>
                <a:lnTo>
                  <a:pt x="2754" y="1186"/>
                </a:lnTo>
                <a:lnTo>
                  <a:pt x="2755" y="1201"/>
                </a:lnTo>
                <a:lnTo>
                  <a:pt x="2756" y="1217"/>
                </a:lnTo>
                <a:lnTo>
                  <a:pt x="2757" y="1232"/>
                </a:lnTo>
                <a:lnTo>
                  <a:pt x="2756" y="1247"/>
                </a:lnTo>
                <a:lnTo>
                  <a:pt x="2755" y="1263"/>
                </a:lnTo>
                <a:lnTo>
                  <a:pt x="2752" y="1278"/>
                </a:lnTo>
                <a:lnTo>
                  <a:pt x="2750" y="1294"/>
                </a:lnTo>
                <a:lnTo>
                  <a:pt x="2747" y="1309"/>
                </a:lnTo>
                <a:lnTo>
                  <a:pt x="2743" y="1324"/>
                </a:lnTo>
                <a:lnTo>
                  <a:pt x="2738" y="1338"/>
                </a:lnTo>
                <a:lnTo>
                  <a:pt x="2733" y="1353"/>
                </a:lnTo>
                <a:lnTo>
                  <a:pt x="2728" y="1367"/>
                </a:lnTo>
                <a:lnTo>
                  <a:pt x="2721" y="1382"/>
                </a:lnTo>
                <a:lnTo>
                  <a:pt x="2714" y="1395"/>
                </a:lnTo>
                <a:lnTo>
                  <a:pt x="2707" y="1408"/>
                </a:lnTo>
                <a:lnTo>
                  <a:pt x="2699" y="1421"/>
                </a:lnTo>
                <a:lnTo>
                  <a:pt x="2691" y="1434"/>
                </a:lnTo>
                <a:lnTo>
                  <a:pt x="2682" y="1446"/>
                </a:lnTo>
                <a:lnTo>
                  <a:pt x="2671" y="1459"/>
                </a:lnTo>
                <a:lnTo>
                  <a:pt x="2661" y="1471"/>
                </a:lnTo>
                <a:lnTo>
                  <a:pt x="2650" y="1482"/>
                </a:lnTo>
                <a:lnTo>
                  <a:pt x="2640" y="1492"/>
                </a:lnTo>
                <a:lnTo>
                  <a:pt x="2628" y="1502"/>
                </a:lnTo>
                <a:lnTo>
                  <a:pt x="2616" y="1512"/>
                </a:lnTo>
                <a:lnTo>
                  <a:pt x="2603" y="1521"/>
                </a:lnTo>
                <a:lnTo>
                  <a:pt x="2590" y="1530"/>
                </a:lnTo>
                <a:lnTo>
                  <a:pt x="2577" y="1538"/>
                </a:lnTo>
                <a:lnTo>
                  <a:pt x="2564" y="1545"/>
                </a:lnTo>
                <a:lnTo>
                  <a:pt x="2550" y="1552"/>
                </a:lnTo>
                <a:lnTo>
                  <a:pt x="2535" y="1558"/>
                </a:lnTo>
                <a:lnTo>
                  <a:pt x="2521" y="1563"/>
                </a:lnTo>
                <a:lnTo>
                  <a:pt x="2506" y="1568"/>
                </a:lnTo>
                <a:lnTo>
                  <a:pt x="2492" y="1572"/>
                </a:lnTo>
                <a:lnTo>
                  <a:pt x="2476" y="1575"/>
                </a:lnTo>
                <a:lnTo>
                  <a:pt x="2460" y="1578"/>
                </a:lnTo>
                <a:lnTo>
                  <a:pt x="1021" y="1580"/>
                </a:lnTo>
                <a:lnTo>
                  <a:pt x="1020" y="901"/>
                </a:lnTo>
                <a:lnTo>
                  <a:pt x="2462" y="901"/>
                </a:lnTo>
                <a:close/>
                <a:moveTo>
                  <a:pt x="1020" y="2481"/>
                </a:moveTo>
                <a:lnTo>
                  <a:pt x="2429" y="2481"/>
                </a:lnTo>
                <a:lnTo>
                  <a:pt x="2433" y="2481"/>
                </a:lnTo>
                <a:lnTo>
                  <a:pt x="2436" y="2482"/>
                </a:lnTo>
                <a:lnTo>
                  <a:pt x="2452" y="2484"/>
                </a:lnTo>
                <a:lnTo>
                  <a:pt x="2469" y="2487"/>
                </a:lnTo>
                <a:lnTo>
                  <a:pt x="2484" y="2490"/>
                </a:lnTo>
                <a:lnTo>
                  <a:pt x="2500" y="2495"/>
                </a:lnTo>
                <a:lnTo>
                  <a:pt x="2515" y="2500"/>
                </a:lnTo>
                <a:lnTo>
                  <a:pt x="2529" y="2505"/>
                </a:lnTo>
                <a:lnTo>
                  <a:pt x="2545" y="2511"/>
                </a:lnTo>
                <a:lnTo>
                  <a:pt x="2558" y="2518"/>
                </a:lnTo>
                <a:lnTo>
                  <a:pt x="2572" y="2526"/>
                </a:lnTo>
                <a:lnTo>
                  <a:pt x="2585" y="2534"/>
                </a:lnTo>
                <a:lnTo>
                  <a:pt x="2598" y="2542"/>
                </a:lnTo>
                <a:lnTo>
                  <a:pt x="2611" y="2552"/>
                </a:lnTo>
                <a:lnTo>
                  <a:pt x="2623" y="2562"/>
                </a:lnTo>
                <a:lnTo>
                  <a:pt x="2635" y="2572"/>
                </a:lnTo>
                <a:lnTo>
                  <a:pt x="2645" y="2582"/>
                </a:lnTo>
                <a:lnTo>
                  <a:pt x="2656" y="2593"/>
                </a:lnTo>
                <a:lnTo>
                  <a:pt x="2666" y="2605"/>
                </a:lnTo>
                <a:lnTo>
                  <a:pt x="2675" y="2617"/>
                </a:lnTo>
                <a:lnTo>
                  <a:pt x="2685" y="2630"/>
                </a:lnTo>
                <a:lnTo>
                  <a:pt x="2694" y="2643"/>
                </a:lnTo>
                <a:lnTo>
                  <a:pt x="2701" y="2656"/>
                </a:lnTo>
                <a:lnTo>
                  <a:pt x="2708" y="2669"/>
                </a:lnTo>
                <a:lnTo>
                  <a:pt x="2715" y="2683"/>
                </a:lnTo>
                <a:lnTo>
                  <a:pt x="2721" y="2697"/>
                </a:lnTo>
                <a:lnTo>
                  <a:pt x="2726" y="2712"/>
                </a:lnTo>
                <a:lnTo>
                  <a:pt x="2731" y="2727"/>
                </a:lnTo>
                <a:lnTo>
                  <a:pt x="2735" y="2742"/>
                </a:lnTo>
                <a:lnTo>
                  <a:pt x="2738" y="2757"/>
                </a:lnTo>
                <a:lnTo>
                  <a:pt x="2741" y="2772"/>
                </a:lnTo>
                <a:lnTo>
                  <a:pt x="2743" y="2789"/>
                </a:lnTo>
                <a:lnTo>
                  <a:pt x="2744" y="2805"/>
                </a:lnTo>
                <a:lnTo>
                  <a:pt x="2744" y="2821"/>
                </a:lnTo>
                <a:lnTo>
                  <a:pt x="2744" y="2838"/>
                </a:lnTo>
                <a:lnTo>
                  <a:pt x="2742" y="2855"/>
                </a:lnTo>
                <a:lnTo>
                  <a:pt x="2740" y="2873"/>
                </a:lnTo>
                <a:lnTo>
                  <a:pt x="2737" y="2890"/>
                </a:lnTo>
                <a:lnTo>
                  <a:pt x="2733" y="2906"/>
                </a:lnTo>
                <a:lnTo>
                  <a:pt x="2729" y="2923"/>
                </a:lnTo>
                <a:lnTo>
                  <a:pt x="2723" y="2940"/>
                </a:lnTo>
                <a:lnTo>
                  <a:pt x="2717" y="2955"/>
                </a:lnTo>
                <a:lnTo>
                  <a:pt x="2710" y="2971"/>
                </a:lnTo>
                <a:lnTo>
                  <a:pt x="2702" y="2985"/>
                </a:lnTo>
                <a:lnTo>
                  <a:pt x="2694" y="3000"/>
                </a:lnTo>
                <a:lnTo>
                  <a:pt x="2685" y="3015"/>
                </a:lnTo>
                <a:lnTo>
                  <a:pt x="2675" y="3029"/>
                </a:lnTo>
                <a:lnTo>
                  <a:pt x="2664" y="3042"/>
                </a:lnTo>
                <a:lnTo>
                  <a:pt x="2654" y="3055"/>
                </a:lnTo>
                <a:lnTo>
                  <a:pt x="2642" y="3067"/>
                </a:lnTo>
                <a:lnTo>
                  <a:pt x="2630" y="3078"/>
                </a:lnTo>
                <a:lnTo>
                  <a:pt x="2618" y="3089"/>
                </a:lnTo>
                <a:lnTo>
                  <a:pt x="2604" y="3101"/>
                </a:lnTo>
                <a:lnTo>
                  <a:pt x="2591" y="3111"/>
                </a:lnTo>
                <a:lnTo>
                  <a:pt x="2577" y="3120"/>
                </a:lnTo>
                <a:lnTo>
                  <a:pt x="2563" y="3129"/>
                </a:lnTo>
                <a:lnTo>
                  <a:pt x="2548" y="3137"/>
                </a:lnTo>
                <a:lnTo>
                  <a:pt x="2532" y="3144"/>
                </a:lnTo>
                <a:lnTo>
                  <a:pt x="2516" y="3150"/>
                </a:lnTo>
                <a:lnTo>
                  <a:pt x="2501" y="3156"/>
                </a:lnTo>
                <a:lnTo>
                  <a:pt x="2485" y="3161"/>
                </a:lnTo>
                <a:lnTo>
                  <a:pt x="2468" y="3165"/>
                </a:lnTo>
                <a:lnTo>
                  <a:pt x="2451" y="3168"/>
                </a:lnTo>
                <a:lnTo>
                  <a:pt x="2434" y="3172"/>
                </a:lnTo>
                <a:lnTo>
                  <a:pt x="2417" y="3173"/>
                </a:lnTo>
                <a:lnTo>
                  <a:pt x="2399" y="3174"/>
                </a:lnTo>
                <a:lnTo>
                  <a:pt x="1020" y="3174"/>
                </a:lnTo>
                <a:lnTo>
                  <a:pt x="1020" y="2481"/>
                </a:lnTo>
                <a:close/>
                <a:moveTo>
                  <a:pt x="12180" y="3200"/>
                </a:moveTo>
                <a:lnTo>
                  <a:pt x="9558" y="3200"/>
                </a:lnTo>
                <a:lnTo>
                  <a:pt x="9558" y="2479"/>
                </a:lnTo>
                <a:lnTo>
                  <a:pt x="11921" y="2479"/>
                </a:lnTo>
                <a:lnTo>
                  <a:pt x="11921" y="1570"/>
                </a:lnTo>
                <a:lnTo>
                  <a:pt x="9558" y="1570"/>
                </a:lnTo>
                <a:lnTo>
                  <a:pt x="9555" y="904"/>
                </a:lnTo>
                <a:lnTo>
                  <a:pt x="12178" y="904"/>
                </a:lnTo>
                <a:lnTo>
                  <a:pt x="12179" y="0"/>
                </a:lnTo>
                <a:lnTo>
                  <a:pt x="8545" y="0"/>
                </a:lnTo>
                <a:lnTo>
                  <a:pt x="8545" y="4147"/>
                </a:lnTo>
                <a:lnTo>
                  <a:pt x="12180" y="4147"/>
                </a:lnTo>
                <a:lnTo>
                  <a:pt x="12180" y="3200"/>
                </a:lnTo>
                <a:close/>
                <a:moveTo>
                  <a:pt x="7908" y="4142"/>
                </a:moveTo>
                <a:lnTo>
                  <a:pt x="7906" y="2806"/>
                </a:lnTo>
                <a:lnTo>
                  <a:pt x="7906" y="2776"/>
                </a:lnTo>
                <a:lnTo>
                  <a:pt x="7904" y="2749"/>
                </a:lnTo>
                <a:lnTo>
                  <a:pt x="7902" y="2721"/>
                </a:lnTo>
                <a:lnTo>
                  <a:pt x="7899" y="2694"/>
                </a:lnTo>
                <a:lnTo>
                  <a:pt x="7896" y="2668"/>
                </a:lnTo>
                <a:lnTo>
                  <a:pt x="7891" y="2643"/>
                </a:lnTo>
                <a:lnTo>
                  <a:pt x="7886" y="2617"/>
                </a:lnTo>
                <a:lnTo>
                  <a:pt x="7881" y="2593"/>
                </a:lnTo>
                <a:lnTo>
                  <a:pt x="7874" y="2570"/>
                </a:lnTo>
                <a:lnTo>
                  <a:pt x="7867" y="2547"/>
                </a:lnTo>
                <a:lnTo>
                  <a:pt x="7860" y="2523"/>
                </a:lnTo>
                <a:lnTo>
                  <a:pt x="7852" y="2502"/>
                </a:lnTo>
                <a:lnTo>
                  <a:pt x="7842" y="2480"/>
                </a:lnTo>
                <a:lnTo>
                  <a:pt x="7833" y="2459"/>
                </a:lnTo>
                <a:lnTo>
                  <a:pt x="7823" y="2439"/>
                </a:lnTo>
                <a:lnTo>
                  <a:pt x="7813" y="2419"/>
                </a:lnTo>
                <a:lnTo>
                  <a:pt x="7802" y="2400"/>
                </a:lnTo>
                <a:lnTo>
                  <a:pt x="7791" y="2381"/>
                </a:lnTo>
                <a:lnTo>
                  <a:pt x="7767" y="2345"/>
                </a:lnTo>
                <a:lnTo>
                  <a:pt x="7743" y="2312"/>
                </a:lnTo>
                <a:lnTo>
                  <a:pt x="7717" y="2280"/>
                </a:lnTo>
                <a:lnTo>
                  <a:pt x="7690" y="2250"/>
                </a:lnTo>
                <a:lnTo>
                  <a:pt x="7663" y="2222"/>
                </a:lnTo>
                <a:lnTo>
                  <a:pt x="7635" y="2196"/>
                </a:lnTo>
                <a:lnTo>
                  <a:pt x="7607" y="2173"/>
                </a:lnTo>
                <a:lnTo>
                  <a:pt x="7579" y="2150"/>
                </a:lnTo>
                <a:lnTo>
                  <a:pt x="7551" y="2129"/>
                </a:lnTo>
                <a:lnTo>
                  <a:pt x="7524" y="2111"/>
                </a:lnTo>
                <a:lnTo>
                  <a:pt x="7497" y="2094"/>
                </a:lnTo>
                <a:lnTo>
                  <a:pt x="7471" y="2079"/>
                </a:lnTo>
                <a:lnTo>
                  <a:pt x="7447" y="2064"/>
                </a:lnTo>
                <a:lnTo>
                  <a:pt x="7424" y="2052"/>
                </a:lnTo>
                <a:lnTo>
                  <a:pt x="7401" y="2042"/>
                </a:lnTo>
                <a:lnTo>
                  <a:pt x="7363" y="2025"/>
                </a:lnTo>
                <a:lnTo>
                  <a:pt x="7333" y="2013"/>
                </a:lnTo>
                <a:lnTo>
                  <a:pt x="7314" y="2006"/>
                </a:lnTo>
                <a:lnTo>
                  <a:pt x="7308" y="2004"/>
                </a:lnTo>
                <a:lnTo>
                  <a:pt x="7314" y="2002"/>
                </a:lnTo>
                <a:lnTo>
                  <a:pt x="7334" y="1994"/>
                </a:lnTo>
                <a:lnTo>
                  <a:pt x="7364" y="1981"/>
                </a:lnTo>
                <a:lnTo>
                  <a:pt x="7403" y="1963"/>
                </a:lnTo>
                <a:lnTo>
                  <a:pt x="7426" y="1952"/>
                </a:lnTo>
                <a:lnTo>
                  <a:pt x="7450" y="1939"/>
                </a:lnTo>
                <a:lnTo>
                  <a:pt x="7475" y="1924"/>
                </a:lnTo>
                <a:lnTo>
                  <a:pt x="7502" y="1907"/>
                </a:lnTo>
                <a:lnTo>
                  <a:pt x="7529" y="1888"/>
                </a:lnTo>
                <a:lnTo>
                  <a:pt x="7557" y="1868"/>
                </a:lnTo>
                <a:lnTo>
                  <a:pt x="7585" y="1846"/>
                </a:lnTo>
                <a:lnTo>
                  <a:pt x="7613" y="1820"/>
                </a:lnTo>
                <a:lnTo>
                  <a:pt x="7643" y="1794"/>
                </a:lnTo>
                <a:lnTo>
                  <a:pt x="7671" y="1765"/>
                </a:lnTo>
                <a:lnTo>
                  <a:pt x="7698" y="1733"/>
                </a:lnTo>
                <a:lnTo>
                  <a:pt x="7726" y="1700"/>
                </a:lnTo>
                <a:lnTo>
                  <a:pt x="7752" y="1664"/>
                </a:lnTo>
                <a:lnTo>
                  <a:pt x="7765" y="1645"/>
                </a:lnTo>
                <a:lnTo>
                  <a:pt x="7778" y="1626"/>
                </a:lnTo>
                <a:lnTo>
                  <a:pt x="7790" y="1606"/>
                </a:lnTo>
                <a:lnTo>
                  <a:pt x="7802" y="1584"/>
                </a:lnTo>
                <a:lnTo>
                  <a:pt x="7813" y="1563"/>
                </a:lnTo>
                <a:lnTo>
                  <a:pt x="7824" y="1541"/>
                </a:lnTo>
                <a:lnTo>
                  <a:pt x="7834" y="1517"/>
                </a:lnTo>
                <a:lnTo>
                  <a:pt x="7845" y="1494"/>
                </a:lnTo>
                <a:lnTo>
                  <a:pt x="7855" y="1470"/>
                </a:lnTo>
                <a:lnTo>
                  <a:pt x="7864" y="1445"/>
                </a:lnTo>
                <a:lnTo>
                  <a:pt x="7872" y="1419"/>
                </a:lnTo>
                <a:lnTo>
                  <a:pt x="7880" y="1393"/>
                </a:lnTo>
                <a:lnTo>
                  <a:pt x="7887" y="1366"/>
                </a:lnTo>
                <a:lnTo>
                  <a:pt x="7893" y="1338"/>
                </a:lnTo>
                <a:lnTo>
                  <a:pt x="7899" y="1310"/>
                </a:lnTo>
                <a:lnTo>
                  <a:pt x="7904" y="1280"/>
                </a:lnTo>
                <a:lnTo>
                  <a:pt x="7909" y="1251"/>
                </a:lnTo>
                <a:lnTo>
                  <a:pt x="7912" y="1220"/>
                </a:lnTo>
                <a:lnTo>
                  <a:pt x="7916" y="1188"/>
                </a:lnTo>
                <a:lnTo>
                  <a:pt x="7918" y="1156"/>
                </a:lnTo>
                <a:lnTo>
                  <a:pt x="7920" y="1122"/>
                </a:lnTo>
                <a:lnTo>
                  <a:pt x="7920" y="1089"/>
                </a:lnTo>
                <a:lnTo>
                  <a:pt x="7920" y="1047"/>
                </a:lnTo>
                <a:lnTo>
                  <a:pt x="7918" y="1007"/>
                </a:lnTo>
                <a:lnTo>
                  <a:pt x="7915" y="967"/>
                </a:lnTo>
                <a:lnTo>
                  <a:pt x="7910" y="929"/>
                </a:lnTo>
                <a:lnTo>
                  <a:pt x="7906" y="891"/>
                </a:lnTo>
                <a:lnTo>
                  <a:pt x="7900" y="855"/>
                </a:lnTo>
                <a:lnTo>
                  <a:pt x="7893" y="819"/>
                </a:lnTo>
                <a:lnTo>
                  <a:pt x="7885" y="785"/>
                </a:lnTo>
                <a:lnTo>
                  <a:pt x="7876" y="752"/>
                </a:lnTo>
                <a:lnTo>
                  <a:pt x="7867" y="719"/>
                </a:lnTo>
                <a:lnTo>
                  <a:pt x="7856" y="688"/>
                </a:lnTo>
                <a:lnTo>
                  <a:pt x="7844" y="656"/>
                </a:lnTo>
                <a:lnTo>
                  <a:pt x="7831" y="627"/>
                </a:lnTo>
                <a:lnTo>
                  <a:pt x="7818" y="598"/>
                </a:lnTo>
                <a:lnTo>
                  <a:pt x="7803" y="569"/>
                </a:lnTo>
                <a:lnTo>
                  <a:pt x="7788" y="542"/>
                </a:lnTo>
                <a:lnTo>
                  <a:pt x="7773" y="516"/>
                </a:lnTo>
                <a:lnTo>
                  <a:pt x="7755" y="490"/>
                </a:lnTo>
                <a:lnTo>
                  <a:pt x="7738" y="465"/>
                </a:lnTo>
                <a:lnTo>
                  <a:pt x="7719" y="441"/>
                </a:lnTo>
                <a:lnTo>
                  <a:pt x="7701" y="417"/>
                </a:lnTo>
                <a:lnTo>
                  <a:pt x="7680" y="395"/>
                </a:lnTo>
                <a:lnTo>
                  <a:pt x="7660" y="374"/>
                </a:lnTo>
                <a:lnTo>
                  <a:pt x="7639" y="353"/>
                </a:lnTo>
                <a:lnTo>
                  <a:pt x="7616" y="332"/>
                </a:lnTo>
                <a:lnTo>
                  <a:pt x="7594" y="313"/>
                </a:lnTo>
                <a:lnTo>
                  <a:pt x="7571" y="295"/>
                </a:lnTo>
                <a:lnTo>
                  <a:pt x="7546" y="277"/>
                </a:lnTo>
                <a:lnTo>
                  <a:pt x="7522" y="259"/>
                </a:lnTo>
                <a:lnTo>
                  <a:pt x="7497" y="243"/>
                </a:lnTo>
                <a:lnTo>
                  <a:pt x="7471" y="227"/>
                </a:lnTo>
                <a:lnTo>
                  <a:pt x="7445" y="212"/>
                </a:lnTo>
                <a:lnTo>
                  <a:pt x="7419" y="197"/>
                </a:lnTo>
                <a:lnTo>
                  <a:pt x="7391" y="183"/>
                </a:lnTo>
                <a:lnTo>
                  <a:pt x="7363" y="170"/>
                </a:lnTo>
                <a:lnTo>
                  <a:pt x="7335" y="157"/>
                </a:lnTo>
                <a:lnTo>
                  <a:pt x="7306" y="145"/>
                </a:lnTo>
                <a:lnTo>
                  <a:pt x="7278" y="134"/>
                </a:lnTo>
                <a:lnTo>
                  <a:pt x="7248" y="123"/>
                </a:lnTo>
                <a:lnTo>
                  <a:pt x="7218" y="112"/>
                </a:lnTo>
                <a:lnTo>
                  <a:pt x="7187" y="102"/>
                </a:lnTo>
                <a:lnTo>
                  <a:pt x="7157" y="93"/>
                </a:lnTo>
                <a:lnTo>
                  <a:pt x="7095" y="77"/>
                </a:lnTo>
                <a:lnTo>
                  <a:pt x="7031" y="62"/>
                </a:lnTo>
                <a:lnTo>
                  <a:pt x="6967" y="49"/>
                </a:lnTo>
                <a:lnTo>
                  <a:pt x="6901" y="38"/>
                </a:lnTo>
                <a:lnTo>
                  <a:pt x="6835" y="29"/>
                </a:lnTo>
                <a:lnTo>
                  <a:pt x="6769" y="21"/>
                </a:lnTo>
                <a:lnTo>
                  <a:pt x="6702" y="15"/>
                </a:lnTo>
                <a:lnTo>
                  <a:pt x="6635" y="11"/>
                </a:lnTo>
                <a:lnTo>
                  <a:pt x="6567" y="8"/>
                </a:lnTo>
                <a:lnTo>
                  <a:pt x="6500" y="6"/>
                </a:lnTo>
                <a:lnTo>
                  <a:pt x="6432" y="6"/>
                </a:lnTo>
                <a:lnTo>
                  <a:pt x="4234" y="6"/>
                </a:lnTo>
                <a:lnTo>
                  <a:pt x="4234" y="4146"/>
                </a:lnTo>
                <a:lnTo>
                  <a:pt x="5243" y="4146"/>
                </a:lnTo>
                <a:lnTo>
                  <a:pt x="5243" y="2471"/>
                </a:lnTo>
                <a:lnTo>
                  <a:pt x="6355" y="2470"/>
                </a:lnTo>
                <a:lnTo>
                  <a:pt x="6384" y="2471"/>
                </a:lnTo>
                <a:lnTo>
                  <a:pt x="6414" y="2474"/>
                </a:lnTo>
                <a:lnTo>
                  <a:pt x="6442" y="2478"/>
                </a:lnTo>
                <a:lnTo>
                  <a:pt x="6470" y="2483"/>
                </a:lnTo>
                <a:lnTo>
                  <a:pt x="6498" y="2490"/>
                </a:lnTo>
                <a:lnTo>
                  <a:pt x="6525" y="2498"/>
                </a:lnTo>
                <a:lnTo>
                  <a:pt x="6551" y="2507"/>
                </a:lnTo>
                <a:lnTo>
                  <a:pt x="6578" y="2518"/>
                </a:lnTo>
                <a:lnTo>
                  <a:pt x="6602" y="2529"/>
                </a:lnTo>
                <a:lnTo>
                  <a:pt x="6627" y="2542"/>
                </a:lnTo>
                <a:lnTo>
                  <a:pt x="6651" y="2557"/>
                </a:lnTo>
                <a:lnTo>
                  <a:pt x="6673" y="2572"/>
                </a:lnTo>
                <a:lnTo>
                  <a:pt x="6695" y="2589"/>
                </a:lnTo>
                <a:lnTo>
                  <a:pt x="6717" y="2606"/>
                </a:lnTo>
                <a:lnTo>
                  <a:pt x="6737" y="2625"/>
                </a:lnTo>
                <a:lnTo>
                  <a:pt x="6757" y="2644"/>
                </a:lnTo>
                <a:lnTo>
                  <a:pt x="6776" y="2664"/>
                </a:lnTo>
                <a:lnTo>
                  <a:pt x="6793" y="2685"/>
                </a:lnTo>
                <a:lnTo>
                  <a:pt x="6810" y="2708"/>
                </a:lnTo>
                <a:lnTo>
                  <a:pt x="6825" y="2730"/>
                </a:lnTo>
                <a:lnTo>
                  <a:pt x="6840" y="2754"/>
                </a:lnTo>
                <a:lnTo>
                  <a:pt x="6854" y="2779"/>
                </a:lnTo>
                <a:lnTo>
                  <a:pt x="6866" y="2804"/>
                </a:lnTo>
                <a:lnTo>
                  <a:pt x="6877" y="2829"/>
                </a:lnTo>
                <a:lnTo>
                  <a:pt x="6887" y="2855"/>
                </a:lnTo>
                <a:lnTo>
                  <a:pt x="6895" y="2883"/>
                </a:lnTo>
                <a:lnTo>
                  <a:pt x="6903" y="2910"/>
                </a:lnTo>
                <a:lnTo>
                  <a:pt x="6909" y="2939"/>
                </a:lnTo>
                <a:lnTo>
                  <a:pt x="6915" y="2967"/>
                </a:lnTo>
                <a:lnTo>
                  <a:pt x="6918" y="2996"/>
                </a:lnTo>
                <a:lnTo>
                  <a:pt x="6920" y="3026"/>
                </a:lnTo>
                <a:lnTo>
                  <a:pt x="6921" y="3056"/>
                </a:lnTo>
                <a:lnTo>
                  <a:pt x="6921" y="4142"/>
                </a:lnTo>
                <a:lnTo>
                  <a:pt x="7908" y="4142"/>
                </a:lnTo>
                <a:close/>
                <a:moveTo>
                  <a:pt x="6658" y="1574"/>
                </a:moveTo>
                <a:lnTo>
                  <a:pt x="5240" y="1574"/>
                </a:lnTo>
                <a:lnTo>
                  <a:pt x="5240" y="912"/>
                </a:lnTo>
                <a:lnTo>
                  <a:pt x="6659" y="912"/>
                </a:lnTo>
                <a:lnTo>
                  <a:pt x="6674" y="912"/>
                </a:lnTo>
                <a:lnTo>
                  <a:pt x="6690" y="913"/>
                </a:lnTo>
                <a:lnTo>
                  <a:pt x="6706" y="915"/>
                </a:lnTo>
                <a:lnTo>
                  <a:pt x="6721" y="917"/>
                </a:lnTo>
                <a:lnTo>
                  <a:pt x="6735" y="921"/>
                </a:lnTo>
                <a:lnTo>
                  <a:pt x="6750" y="924"/>
                </a:lnTo>
                <a:lnTo>
                  <a:pt x="6764" y="929"/>
                </a:lnTo>
                <a:lnTo>
                  <a:pt x="6778" y="934"/>
                </a:lnTo>
                <a:lnTo>
                  <a:pt x="6792" y="939"/>
                </a:lnTo>
                <a:lnTo>
                  <a:pt x="6805" y="945"/>
                </a:lnTo>
                <a:lnTo>
                  <a:pt x="6817" y="952"/>
                </a:lnTo>
                <a:lnTo>
                  <a:pt x="6830" y="959"/>
                </a:lnTo>
                <a:lnTo>
                  <a:pt x="6843" y="967"/>
                </a:lnTo>
                <a:lnTo>
                  <a:pt x="6854" y="975"/>
                </a:lnTo>
                <a:lnTo>
                  <a:pt x="6865" y="985"/>
                </a:lnTo>
                <a:lnTo>
                  <a:pt x="6876" y="995"/>
                </a:lnTo>
                <a:lnTo>
                  <a:pt x="6887" y="1004"/>
                </a:lnTo>
                <a:lnTo>
                  <a:pt x="6896" y="1015"/>
                </a:lnTo>
                <a:lnTo>
                  <a:pt x="6906" y="1025"/>
                </a:lnTo>
                <a:lnTo>
                  <a:pt x="6916" y="1036"/>
                </a:lnTo>
                <a:lnTo>
                  <a:pt x="6924" y="1048"/>
                </a:lnTo>
                <a:lnTo>
                  <a:pt x="6932" y="1061"/>
                </a:lnTo>
                <a:lnTo>
                  <a:pt x="6940" y="1073"/>
                </a:lnTo>
                <a:lnTo>
                  <a:pt x="6947" y="1086"/>
                </a:lnTo>
                <a:lnTo>
                  <a:pt x="6953" y="1099"/>
                </a:lnTo>
                <a:lnTo>
                  <a:pt x="6959" y="1112"/>
                </a:lnTo>
                <a:lnTo>
                  <a:pt x="6964" y="1126"/>
                </a:lnTo>
                <a:lnTo>
                  <a:pt x="6969" y="1141"/>
                </a:lnTo>
                <a:lnTo>
                  <a:pt x="6973" y="1155"/>
                </a:lnTo>
                <a:lnTo>
                  <a:pt x="6977" y="1169"/>
                </a:lnTo>
                <a:lnTo>
                  <a:pt x="6980" y="1184"/>
                </a:lnTo>
                <a:lnTo>
                  <a:pt x="6983" y="1199"/>
                </a:lnTo>
                <a:lnTo>
                  <a:pt x="6983" y="1290"/>
                </a:lnTo>
                <a:lnTo>
                  <a:pt x="6980" y="1303"/>
                </a:lnTo>
                <a:lnTo>
                  <a:pt x="6977" y="1316"/>
                </a:lnTo>
                <a:lnTo>
                  <a:pt x="6974" y="1328"/>
                </a:lnTo>
                <a:lnTo>
                  <a:pt x="6970" y="1341"/>
                </a:lnTo>
                <a:lnTo>
                  <a:pt x="6960" y="1366"/>
                </a:lnTo>
                <a:lnTo>
                  <a:pt x="6948" y="1392"/>
                </a:lnTo>
                <a:lnTo>
                  <a:pt x="6934" y="1416"/>
                </a:lnTo>
                <a:lnTo>
                  <a:pt x="6917" y="1439"/>
                </a:lnTo>
                <a:lnTo>
                  <a:pt x="6898" y="1462"/>
                </a:lnTo>
                <a:lnTo>
                  <a:pt x="6877" y="1483"/>
                </a:lnTo>
                <a:lnTo>
                  <a:pt x="6867" y="1493"/>
                </a:lnTo>
                <a:lnTo>
                  <a:pt x="6855" y="1502"/>
                </a:lnTo>
                <a:lnTo>
                  <a:pt x="6844" y="1511"/>
                </a:lnTo>
                <a:lnTo>
                  <a:pt x="6831" y="1519"/>
                </a:lnTo>
                <a:lnTo>
                  <a:pt x="6818" y="1528"/>
                </a:lnTo>
                <a:lnTo>
                  <a:pt x="6805" y="1536"/>
                </a:lnTo>
                <a:lnTo>
                  <a:pt x="6792" y="1543"/>
                </a:lnTo>
                <a:lnTo>
                  <a:pt x="6779" y="1549"/>
                </a:lnTo>
                <a:lnTo>
                  <a:pt x="6764" y="1554"/>
                </a:lnTo>
                <a:lnTo>
                  <a:pt x="6750" y="1559"/>
                </a:lnTo>
                <a:lnTo>
                  <a:pt x="6735" y="1564"/>
                </a:lnTo>
                <a:lnTo>
                  <a:pt x="6720" y="1567"/>
                </a:lnTo>
                <a:lnTo>
                  <a:pt x="6706" y="1570"/>
                </a:lnTo>
                <a:lnTo>
                  <a:pt x="6689" y="1572"/>
                </a:lnTo>
                <a:lnTo>
                  <a:pt x="6674" y="1573"/>
                </a:lnTo>
                <a:lnTo>
                  <a:pt x="6658" y="1574"/>
                </a:lnTo>
                <a:close/>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p>
            <a:endParaRPr lang="cs-CZ"/>
          </a:p>
        </xdr:txBody>
      </xdr:sp>
      <xdr:sp macro="" textlink="">
        <xdr:nvSpPr>
          <xdr:cNvPr id="8" name="Freeform 73">
            <a:extLst>
              <a:ext uri="{FF2B5EF4-FFF2-40B4-BE49-F238E27FC236}">
                <a16:creationId xmlns:a16="http://schemas.microsoft.com/office/drawing/2014/main" id="{7A4AAFFB-C8E8-1D83-589A-D830DEA6AA40}"/>
              </a:ext>
            </a:extLst>
          </xdr:cNvPr>
          <xdr:cNvSpPr>
            <a:spLocks noChangeAspect="1"/>
          </xdr:cNvSpPr>
        </xdr:nvSpPr>
        <xdr:spPr bwMode="auto">
          <a:xfrm>
            <a:off x="0" y="0"/>
            <a:ext cx="214313" cy="227012"/>
          </a:xfrm>
          <a:custGeom>
            <a:avLst/>
            <a:gdLst>
              <a:gd name="T0" fmla="*/ 2147483647 w 3903"/>
              <a:gd name="T1" fmla="*/ 2147483647 h 4141"/>
              <a:gd name="T2" fmla="*/ 2147483647 w 3903"/>
              <a:gd name="T3" fmla="*/ 2147483647 h 4141"/>
              <a:gd name="T4" fmla="*/ 2147483647 w 3903"/>
              <a:gd name="T5" fmla="*/ 2147483647 h 4141"/>
              <a:gd name="T6" fmla="*/ 2147483647 w 3903"/>
              <a:gd name="T7" fmla="*/ 2147483647 h 4141"/>
              <a:gd name="T8" fmla="*/ 2147483647 w 3903"/>
              <a:gd name="T9" fmla="*/ 2147483647 h 4141"/>
              <a:gd name="T10" fmla="*/ 2147483647 w 3903"/>
              <a:gd name="T11" fmla="*/ 2147483647 h 4141"/>
              <a:gd name="T12" fmla="*/ 2147483647 w 3903"/>
              <a:gd name="T13" fmla="*/ 2147483647 h 4141"/>
              <a:gd name="T14" fmla="*/ 2147483647 w 3903"/>
              <a:gd name="T15" fmla="*/ 2147483647 h 4141"/>
              <a:gd name="T16" fmla="*/ 2147483647 w 3903"/>
              <a:gd name="T17" fmla="*/ 2147483647 h 4141"/>
              <a:gd name="T18" fmla="*/ 2147483647 w 3903"/>
              <a:gd name="T19" fmla="*/ 2147483647 h 4141"/>
              <a:gd name="T20" fmla="*/ 2147483647 w 3903"/>
              <a:gd name="T21" fmla="*/ 2147483647 h 4141"/>
              <a:gd name="T22" fmla="*/ 2147483647 w 3903"/>
              <a:gd name="T23" fmla="*/ 2147483647 h 4141"/>
              <a:gd name="T24" fmla="*/ 2147483647 w 3903"/>
              <a:gd name="T25" fmla="*/ 2147483647 h 4141"/>
              <a:gd name="T26" fmla="*/ 2147483647 w 3903"/>
              <a:gd name="T27" fmla="*/ 2147483647 h 4141"/>
              <a:gd name="T28" fmla="*/ 2147483647 w 3903"/>
              <a:gd name="T29" fmla="*/ 2147483647 h 4141"/>
              <a:gd name="T30" fmla="*/ 2147483647 w 3903"/>
              <a:gd name="T31" fmla="*/ 2147483647 h 4141"/>
              <a:gd name="T32" fmla="*/ 2147483647 w 3903"/>
              <a:gd name="T33" fmla="*/ 2147483647 h 4141"/>
              <a:gd name="T34" fmla="*/ 2147483647 w 3903"/>
              <a:gd name="T35" fmla="*/ 2147483647 h 4141"/>
              <a:gd name="T36" fmla="*/ 2147483647 w 3903"/>
              <a:gd name="T37" fmla="*/ 2147483647 h 4141"/>
              <a:gd name="T38" fmla="*/ 2147483647 w 3903"/>
              <a:gd name="T39" fmla="*/ 2147483647 h 4141"/>
              <a:gd name="T40" fmla="*/ 2147483647 w 3903"/>
              <a:gd name="T41" fmla="*/ 2147483647 h 4141"/>
              <a:gd name="T42" fmla="*/ 2147483647 w 3903"/>
              <a:gd name="T43" fmla="*/ 2147483647 h 4141"/>
              <a:gd name="T44" fmla="*/ 2147483647 w 3903"/>
              <a:gd name="T45" fmla="*/ 2147483647 h 4141"/>
              <a:gd name="T46" fmla="*/ 2147483647 w 3903"/>
              <a:gd name="T47" fmla="*/ 2147483647 h 4141"/>
              <a:gd name="T48" fmla="*/ 2147483647 w 3903"/>
              <a:gd name="T49" fmla="*/ 2147483647 h 4141"/>
              <a:gd name="T50" fmla="*/ 2147483647 w 3903"/>
              <a:gd name="T51" fmla="*/ 2147483647 h 4141"/>
              <a:gd name="T52" fmla="*/ 2147483647 w 3903"/>
              <a:gd name="T53" fmla="*/ 2147483647 h 4141"/>
              <a:gd name="T54" fmla="*/ 2147483647 w 3903"/>
              <a:gd name="T55" fmla="*/ 0 h 4141"/>
              <a:gd name="T56" fmla="*/ 2147483647 w 3903"/>
              <a:gd name="T57" fmla="*/ 2147483647 h 4141"/>
              <a:gd name="T58" fmla="*/ 2147483647 w 3903"/>
              <a:gd name="T59" fmla="*/ 2147483647 h 4141"/>
              <a:gd name="T60" fmla="*/ 2147483647 w 3903"/>
              <a:gd name="T61" fmla="*/ 2147483647 h 4141"/>
              <a:gd name="T62" fmla="*/ 2147483647 w 3903"/>
              <a:gd name="T63" fmla="*/ 2147483647 h 4141"/>
              <a:gd name="T64" fmla="*/ 2147483647 w 3903"/>
              <a:gd name="T65" fmla="*/ 2147483647 h 4141"/>
              <a:gd name="T66" fmla="*/ 2147483647 w 3903"/>
              <a:gd name="T67" fmla="*/ 2147483647 h 4141"/>
              <a:gd name="T68" fmla="*/ 2147483647 w 3903"/>
              <a:gd name="T69" fmla="*/ 2147483647 h 4141"/>
              <a:gd name="T70" fmla="*/ 2147483647 w 3903"/>
              <a:gd name="T71" fmla="*/ 2147483647 h 4141"/>
              <a:gd name="T72" fmla="*/ 2147483647 w 3903"/>
              <a:gd name="T73" fmla="*/ 2147483647 h 4141"/>
              <a:gd name="T74" fmla="*/ 2147483647 w 3903"/>
              <a:gd name="T75" fmla="*/ 2147483647 h 4141"/>
              <a:gd name="T76" fmla="*/ 2147483647 w 3903"/>
              <a:gd name="T77" fmla="*/ 2147483647 h 4141"/>
              <a:gd name="T78" fmla="*/ 2147483647 w 3903"/>
              <a:gd name="T79" fmla="*/ 2147483647 h 4141"/>
              <a:gd name="T80" fmla="*/ 2147483647 w 3903"/>
              <a:gd name="T81" fmla="*/ 2147483647 h 4141"/>
              <a:gd name="T82" fmla="*/ 2147483647 w 3903"/>
              <a:gd name="T83" fmla="*/ 2147483647 h 4141"/>
              <a:gd name="T84" fmla="*/ 2147483647 w 3903"/>
              <a:gd name="T85" fmla="*/ 2147483647 h 4141"/>
              <a:gd name="T86" fmla="*/ 999968864 w 3903"/>
              <a:gd name="T87" fmla="*/ 2147483647 h 4141"/>
              <a:gd name="T88" fmla="*/ 499985914 w 3903"/>
              <a:gd name="T89" fmla="*/ 2147483647 h 4141"/>
              <a:gd name="T90" fmla="*/ 2147483647 w 3903"/>
              <a:gd name="T91" fmla="*/ 2147483647 h 4141"/>
              <a:gd name="T92" fmla="*/ 2147483647 w 3903"/>
              <a:gd name="T93" fmla="*/ 2147483647 h 4141"/>
              <a:gd name="T94" fmla="*/ 2147483647 w 3903"/>
              <a:gd name="T95" fmla="*/ 2147483647 h 4141"/>
              <a:gd name="T96" fmla="*/ 2147483647 w 3903"/>
              <a:gd name="T97" fmla="*/ 2147483647 h 4141"/>
              <a:gd name="T98" fmla="*/ 2147483647 w 3903"/>
              <a:gd name="T99" fmla="*/ 2147483647 h 4141"/>
              <a:gd name="T100" fmla="*/ 2147483647 w 3903"/>
              <a:gd name="T101" fmla="*/ 2147483647 h 4141"/>
              <a:gd name="T102" fmla="*/ 2147483647 w 3903"/>
              <a:gd name="T103" fmla="*/ 2147483647 h 4141"/>
              <a:gd name="T104" fmla="*/ 2147483647 w 3903"/>
              <a:gd name="T105" fmla="*/ 2147483647 h 4141"/>
              <a:gd name="T106" fmla="*/ 2147483647 w 3903"/>
              <a:gd name="T107" fmla="*/ 2147483647 h 4141"/>
              <a:gd name="T108" fmla="*/ 2147483647 w 3903"/>
              <a:gd name="T109" fmla="*/ 2147483647 h 4141"/>
              <a:gd name="T110" fmla="*/ 2147483647 w 3903"/>
              <a:gd name="T111" fmla="*/ 2147483647 h 4141"/>
              <a:gd name="T112" fmla="*/ 2147483647 w 3903"/>
              <a:gd name="T113" fmla="*/ 2147483647 h 4141"/>
              <a:gd name="T114" fmla="*/ 2147483647 w 3903"/>
              <a:gd name="T115" fmla="*/ 2147483647 h 4141"/>
              <a:gd name="T116" fmla="*/ 2147483647 w 3903"/>
              <a:gd name="T117" fmla="*/ 2147483647 h 4141"/>
              <a:gd name="T118" fmla="*/ 2147483647 w 3903"/>
              <a:gd name="T119" fmla="*/ 2147483647 h 4141"/>
              <a:gd name="T120" fmla="*/ 2147483647 w 3903"/>
              <a:gd name="T121" fmla="*/ 2147483647 h 4141"/>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60000 65536"/>
              <a:gd name="T181" fmla="*/ 0 60000 65536"/>
              <a:gd name="T182" fmla="*/ 0 60000 65536"/>
              <a:gd name="T183" fmla="*/ 0 w 3903"/>
              <a:gd name="T184" fmla="*/ 0 h 4141"/>
              <a:gd name="T185" fmla="*/ 3903 w 3903"/>
              <a:gd name="T186" fmla="*/ 4141 h 4141"/>
            </a:gdLst>
            <a:ahLst/>
            <a:cxnLst>
              <a:cxn ang="T122">
                <a:pos x="T0" y="T1"/>
              </a:cxn>
              <a:cxn ang="T123">
                <a:pos x="T2" y="T3"/>
              </a:cxn>
              <a:cxn ang="T124">
                <a:pos x="T4" y="T5"/>
              </a:cxn>
              <a:cxn ang="T125">
                <a:pos x="T6" y="T7"/>
              </a:cxn>
              <a:cxn ang="T126">
                <a:pos x="T8" y="T9"/>
              </a:cxn>
              <a:cxn ang="T127">
                <a:pos x="T10" y="T11"/>
              </a:cxn>
              <a:cxn ang="T128">
                <a:pos x="T12" y="T13"/>
              </a:cxn>
              <a:cxn ang="T129">
                <a:pos x="T14" y="T15"/>
              </a:cxn>
              <a:cxn ang="T130">
                <a:pos x="T16" y="T17"/>
              </a:cxn>
              <a:cxn ang="T131">
                <a:pos x="T18" y="T19"/>
              </a:cxn>
              <a:cxn ang="T132">
                <a:pos x="T20" y="T21"/>
              </a:cxn>
              <a:cxn ang="T133">
                <a:pos x="T22" y="T23"/>
              </a:cxn>
              <a:cxn ang="T134">
                <a:pos x="T24" y="T25"/>
              </a:cxn>
              <a:cxn ang="T135">
                <a:pos x="T26" y="T27"/>
              </a:cxn>
              <a:cxn ang="T136">
                <a:pos x="T28" y="T29"/>
              </a:cxn>
              <a:cxn ang="T137">
                <a:pos x="T30" y="T31"/>
              </a:cxn>
              <a:cxn ang="T138">
                <a:pos x="T32" y="T33"/>
              </a:cxn>
              <a:cxn ang="T139">
                <a:pos x="T34" y="T35"/>
              </a:cxn>
              <a:cxn ang="T140">
                <a:pos x="T36" y="T37"/>
              </a:cxn>
              <a:cxn ang="T141">
                <a:pos x="T38" y="T39"/>
              </a:cxn>
              <a:cxn ang="T142">
                <a:pos x="T40" y="T41"/>
              </a:cxn>
              <a:cxn ang="T143">
                <a:pos x="T42" y="T43"/>
              </a:cxn>
              <a:cxn ang="T144">
                <a:pos x="T44" y="T45"/>
              </a:cxn>
              <a:cxn ang="T145">
                <a:pos x="T46" y="T47"/>
              </a:cxn>
              <a:cxn ang="T146">
                <a:pos x="T48" y="T49"/>
              </a:cxn>
              <a:cxn ang="T147">
                <a:pos x="T50" y="T51"/>
              </a:cxn>
              <a:cxn ang="T148">
                <a:pos x="T52" y="T53"/>
              </a:cxn>
              <a:cxn ang="T149">
                <a:pos x="T54" y="T55"/>
              </a:cxn>
              <a:cxn ang="T150">
                <a:pos x="T56" y="T57"/>
              </a:cxn>
              <a:cxn ang="T151">
                <a:pos x="T58" y="T59"/>
              </a:cxn>
              <a:cxn ang="T152">
                <a:pos x="T60" y="T61"/>
              </a:cxn>
              <a:cxn ang="T153">
                <a:pos x="T62" y="T63"/>
              </a:cxn>
              <a:cxn ang="T154">
                <a:pos x="T64" y="T65"/>
              </a:cxn>
              <a:cxn ang="T155">
                <a:pos x="T66" y="T67"/>
              </a:cxn>
              <a:cxn ang="T156">
                <a:pos x="T68" y="T69"/>
              </a:cxn>
              <a:cxn ang="T157">
                <a:pos x="T70" y="T71"/>
              </a:cxn>
              <a:cxn ang="T158">
                <a:pos x="T72" y="T73"/>
              </a:cxn>
              <a:cxn ang="T159">
                <a:pos x="T74" y="T75"/>
              </a:cxn>
              <a:cxn ang="T160">
                <a:pos x="T76" y="T77"/>
              </a:cxn>
              <a:cxn ang="T161">
                <a:pos x="T78" y="T79"/>
              </a:cxn>
              <a:cxn ang="T162">
                <a:pos x="T80" y="T81"/>
              </a:cxn>
              <a:cxn ang="T163">
                <a:pos x="T82" y="T83"/>
              </a:cxn>
              <a:cxn ang="T164">
                <a:pos x="T84" y="T85"/>
              </a:cxn>
              <a:cxn ang="T165">
                <a:pos x="T86" y="T87"/>
              </a:cxn>
              <a:cxn ang="T166">
                <a:pos x="T88" y="T89"/>
              </a:cxn>
              <a:cxn ang="T167">
                <a:pos x="T90" y="T91"/>
              </a:cxn>
              <a:cxn ang="T168">
                <a:pos x="T92" y="T93"/>
              </a:cxn>
              <a:cxn ang="T169">
                <a:pos x="T94" y="T95"/>
              </a:cxn>
              <a:cxn ang="T170">
                <a:pos x="T96" y="T97"/>
              </a:cxn>
              <a:cxn ang="T171">
                <a:pos x="T98" y="T99"/>
              </a:cxn>
              <a:cxn ang="T172">
                <a:pos x="T100" y="T101"/>
              </a:cxn>
              <a:cxn ang="T173">
                <a:pos x="T102" y="T103"/>
              </a:cxn>
              <a:cxn ang="T174">
                <a:pos x="T104" y="T105"/>
              </a:cxn>
              <a:cxn ang="T175">
                <a:pos x="T106" y="T107"/>
              </a:cxn>
              <a:cxn ang="T176">
                <a:pos x="T108" y="T109"/>
              </a:cxn>
              <a:cxn ang="T177">
                <a:pos x="T110" y="T111"/>
              </a:cxn>
              <a:cxn ang="T178">
                <a:pos x="T112" y="T113"/>
              </a:cxn>
              <a:cxn ang="T179">
                <a:pos x="T114" y="T115"/>
              </a:cxn>
              <a:cxn ang="T180">
                <a:pos x="T116" y="T117"/>
              </a:cxn>
              <a:cxn ang="T181">
                <a:pos x="T118" y="T119"/>
              </a:cxn>
              <a:cxn ang="T182">
                <a:pos x="T120" y="T121"/>
              </a:cxn>
            </a:cxnLst>
            <a:rect l="T183" t="T184" r="T185" b="T186"/>
            <a:pathLst>
              <a:path w="3903" h="4141">
                <a:moveTo>
                  <a:pt x="3870" y="3145"/>
                </a:moveTo>
                <a:lnTo>
                  <a:pt x="3870" y="3145"/>
                </a:lnTo>
                <a:lnTo>
                  <a:pt x="3641" y="3149"/>
                </a:lnTo>
                <a:lnTo>
                  <a:pt x="3402" y="3151"/>
                </a:lnTo>
                <a:lnTo>
                  <a:pt x="3115" y="3153"/>
                </a:lnTo>
                <a:lnTo>
                  <a:pt x="2963" y="3153"/>
                </a:lnTo>
                <a:lnTo>
                  <a:pt x="2808" y="3152"/>
                </a:lnTo>
                <a:lnTo>
                  <a:pt x="2654" y="3151"/>
                </a:lnTo>
                <a:lnTo>
                  <a:pt x="2505" y="3148"/>
                </a:lnTo>
                <a:lnTo>
                  <a:pt x="2364" y="3145"/>
                </a:lnTo>
                <a:lnTo>
                  <a:pt x="2233" y="3140"/>
                </a:lnTo>
                <a:lnTo>
                  <a:pt x="2118" y="3134"/>
                </a:lnTo>
                <a:lnTo>
                  <a:pt x="2066" y="3130"/>
                </a:lnTo>
                <a:lnTo>
                  <a:pt x="2019" y="3126"/>
                </a:lnTo>
                <a:lnTo>
                  <a:pt x="1984" y="3122"/>
                </a:lnTo>
                <a:lnTo>
                  <a:pt x="1949" y="3118"/>
                </a:lnTo>
                <a:lnTo>
                  <a:pt x="1916" y="3113"/>
                </a:lnTo>
                <a:lnTo>
                  <a:pt x="1882" y="3107"/>
                </a:lnTo>
                <a:lnTo>
                  <a:pt x="1850" y="3100"/>
                </a:lnTo>
                <a:lnTo>
                  <a:pt x="1818" y="3093"/>
                </a:lnTo>
                <a:lnTo>
                  <a:pt x="1788" y="3084"/>
                </a:lnTo>
                <a:lnTo>
                  <a:pt x="1758" y="3076"/>
                </a:lnTo>
                <a:lnTo>
                  <a:pt x="1727" y="3067"/>
                </a:lnTo>
                <a:lnTo>
                  <a:pt x="1699" y="3058"/>
                </a:lnTo>
                <a:lnTo>
                  <a:pt x="1670" y="3048"/>
                </a:lnTo>
                <a:lnTo>
                  <a:pt x="1643" y="3037"/>
                </a:lnTo>
                <a:lnTo>
                  <a:pt x="1616" y="3026"/>
                </a:lnTo>
                <a:lnTo>
                  <a:pt x="1589" y="3014"/>
                </a:lnTo>
                <a:lnTo>
                  <a:pt x="1564" y="3001"/>
                </a:lnTo>
                <a:lnTo>
                  <a:pt x="1538" y="2988"/>
                </a:lnTo>
                <a:lnTo>
                  <a:pt x="1514" y="2975"/>
                </a:lnTo>
                <a:lnTo>
                  <a:pt x="1491" y="2961"/>
                </a:lnTo>
                <a:lnTo>
                  <a:pt x="1467" y="2947"/>
                </a:lnTo>
                <a:lnTo>
                  <a:pt x="1444" y="2931"/>
                </a:lnTo>
                <a:lnTo>
                  <a:pt x="1423" y="2916"/>
                </a:lnTo>
                <a:lnTo>
                  <a:pt x="1402" y="2901"/>
                </a:lnTo>
                <a:lnTo>
                  <a:pt x="1380" y="2885"/>
                </a:lnTo>
                <a:lnTo>
                  <a:pt x="1361" y="2868"/>
                </a:lnTo>
                <a:lnTo>
                  <a:pt x="1341" y="2851"/>
                </a:lnTo>
                <a:lnTo>
                  <a:pt x="1322" y="2834"/>
                </a:lnTo>
                <a:lnTo>
                  <a:pt x="1304" y="2816"/>
                </a:lnTo>
                <a:lnTo>
                  <a:pt x="1286" y="2798"/>
                </a:lnTo>
                <a:lnTo>
                  <a:pt x="1269" y="2780"/>
                </a:lnTo>
                <a:lnTo>
                  <a:pt x="1252" y="2761"/>
                </a:lnTo>
                <a:lnTo>
                  <a:pt x="1236" y="2742"/>
                </a:lnTo>
                <a:lnTo>
                  <a:pt x="1221" y="2723"/>
                </a:lnTo>
                <a:lnTo>
                  <a:pt x="1192" y="2683"/>
                </a:lnTo>
                <a:lnTo>
                  <a:pt x="1164" y="2643"/>
                </a:lnTo>
                <a:lnTo>
                  <a:pt x="1140" y="2602"/>
                </a:lnTo>
                <a:lnTo>
                  <a:pt x="1117" y="2560"/>
                </a:lnTo>
                <a:lnTo>
                  <a:pt x="1095" y="2517"/>
                </a:lnTo>
                <a:lnTo>
                  <a:pt x="1077" y="2474"/>
                </a:lnTo>
                <a:lnTo>
                  <a:pt x="1060" y="2430"/>
                </a:lnTo>
                <a:lnTo>
                  <a:pt x="1046" y="2385"/>
                </a:lnTo>
                <a:lnTo>
                  <a:pt x="1032" y="2341"/>
                </a:lnTo>
                <a:lnTo>
                  <a:pt x="1021" y="2296"/>
                </a:lnTo>
                <a:lnTo>
                  <a:pt x="1012" y="2252"/>
                </a:lnTo>
                <a:lnTo>
                  <a:pt x="1004" y="2207"/>
                </a:lnTo>
                <a:lnTo>
                  <a:pt x="999" y="2163"/>
                </a:lnTo>
                <a:lnTo>
                  <a:pt x="995" y="2119"/>
                </a:lnTo>
                <a:lnTo>
                  <a:pt x="992" y="2076"/>
                </a:lnTo>
                <a:lnTo>
                  <a:pt x="992" y="2032"/>
                </a:lnTo>
                <a:lnTo>
                  <a:pt x="993" y="1979"/>
                </a:lnTo>
                <a:lnTo>
                  <a:pt x="996" y="1927"/>
                </a:lnTo>
                <a:lnTo>
                  <a:pt x="1002" y="1875"/>
                </a:lnTo>
                <a:lnTo>
                  <a:pt x="1009" y="1825"/>
                </a:lnTo>
                <a:lnTo>
                  <a:pt x="1019" y="1776"/>
                </a:lnTo>
                <a:lnTo>
                  <a:pt x="1031" y="1728"/>
                </a:lnTo>
                <a:lnTo>
                  <a:pt x="1046" y="1680"/>
                </a:lnTo>
                <a:lnTo>
                  <a:pt x="1062" y="1635"/>
                </a:lnTo>
                <a:lnTo>
                  <a:pt x="1080" y="1589"/>
                </a:lnTo>
                <a:lnTo>
                  <a:pt x="1100" y="1546"/>
                </a:lnTo>
                <a:lnTo>
                  <a:pt x="1123" y="1504"/>
                </a:lnTo>
                <a:lnTo>
                  <a:pt x="1147" y="1463"/>
                </a:lnTo>
                <a:lnTo>
                  <a:pt x="1172" y="1423"/>
                </a:lnTo>
                <a:lnTo>
                  <a:pt x="1201" y="1385"/>
                </a:lnTo>
                <a:lnTo>
                  <a:pt x="1230" y="1347"/>
                </a:lnTo>
                <a:lnTo>
                  <a:pt x="1262" y="1312"/>
                </a:lnTo>
                <a:lnTo>
                  <a:pt x="1295" y="1277"/>
                </a:lnTo>
                <a:lnTo>
                  <a:pt x="1331" y="1245"/>
                </a:lnTo>
                <a:lnTo>
                  <a:pt x="1367" y="1214"/>
                </a:lnTo>
                <a:lnTo>
                  <a:pt x="1406" y="1184"/>
                </a:lnTo>
                <a:lnTo>
                  <a:pt x="1445" y="1156"/>
                </a:lnTo>
                <a:lnTo>
                  <a:pt x="1488" y="1129"/>
                </a:lnTo>
                <a:lnTo>
                  <a:pt x="1530" y="1104"/>
                </a:lnTo>
                <a:lnTo>
                  <a:pt x="1575" y="1081"/>
                </a:lnTo>
                <a:lnTo>
                  <a:pt x="1622" y="1060"/>
                </a:lnTo>
                <a:lnTo>
                  <a:pt x="1669" y="1040"/>
                </a:lnTo>
                <a:lnTo>
                  <a:pt x="1719" y="1022"/>
                </a:lnTo>
                <a:lnTo>
                  <a:pt x="1770" y="1006"/>
                </a:lnTo>
                <a:lnTo>
                  <a:pt x="1821" y="992"/>
                </a:lnTo>
                <a:lnTo>
                  <a:pt x="1875" y="980"/>
                </a:lnTo>
                <a:lnTo>
                  <a:pt x="1930" y="969"/>
                </a:lnTo>
                <a:lnTo>
                  <a:pt x="1986" y="961"/>
                </a:lnTo>
                <a:lnTo>
                  <a:pt x="2016" y="957"/>
                </a:lnTo>
                <a:lnTo>
                  <a:pt x="2054" y="954"/>
                </a:lnTo>
                <a:lnTo>
                  <a:pt x="2098" y="952"/>
                </a:lnTo>
                <a:lnTo>
                  <a:pt x="2148" y="949"/>
                </a:lnTo>
                <a:lnTo>
                  <a:pt x="2264" y="945"/>
                </a:lnTo>
                <a:lnTo>
                  <a:pt x="2397" y="942"/>
                </a:lnTo>
                <a:lnTo>
                  <a:pt x="2544" y="940"/>
                </a:lnTo>
                <a:lnTo>
                  <a:pt x="2701" y="938"/>
                </a:lnTo>
                <a:lnTo>
                  <a:pt x="3025" y="937"/>
                </a:lnTo>
                <a:lnTo>
                  <a:pt x="3337" y="938"/>
                </a:lnTo>
                <a:lnTo>
                  <a:pt x="3602" y="939"/>
                </a:lnTo>
                <a:lnTo>
                  <a:pt x="3862" y="941"/>
                </a:lnTo>
                <a:lnTo>
                  <a:pt x="3894" y="942"/>
                </a:lnTo>
                <a:lnTo>
                  <a:pt x="3897" y="0"/>
                </a:lnTo>
                <a:lnTo>
                  <a:pt x="3865" y="0"/>
                </a:lnTo>
                <a:lnTo>
                  <a:pt x="2086" y="4"/>
                </a:lnTo>
                <a:lnTo>
                  <a:pt x="2006" y="9"/>
                </a:lnTo>
                <a:lnTo>
                  <a:pt x="1915" y="16"/>
                </a:lnTo>
                <a:lnTo>
                  <a:pt x="1865" y="20"/>
                </a:lnTo>
                <a:lnTo>
                  <a:pt x="1814" y="26"/>
                </a:lnTo>
                <a:lnTo>
                  <a:pt x="1762" y="33"/>
                </a:lnTo>
                <a:lnTo>
                  <a:pt x="1706" y="42"/>
                </a:lnTo>
                <a:lnTo>
                  <a:pt x="1649" y="51"/>
                </a:lnTo>
                <a:lnTo>
                  <a:pt x="1591" y="62"/>
                </a:lnTo>
                <a:lnTo>
                  <a:pt x="1532" y="75"/>
                </a:lnTo>
                <a:lnTo>
                  <a:pt x="1472" y="90"/>
                </a:lnTo>
                <a:lnTo>
                  <a:pt x="1411" y="107"/>
                </a:lnTo>
                <a:lnTo>
                  <a:pt x="1349" y="127"/>
                </a:lnTo>
                <a:lnTo>
                  <a:pt x="1286" y="149"/>
                </a:lnTo>
                <a:lnTo>
                  <a:pt x="1223" y="173"/>
                </a:lnTo>
                <a:lnTo>
                  <a:pt x="1163" y="202"/>
                </a:lnTo>
                <a:lnTo>
                  <a:pt x="1103" y="232"/>
                </a:lnTo>
                <a:lnTo>
                  <a:pt x="1046" y="264"/>
                </a:lnTo>
                <a:lnTo>
                  <a:pt x="989" y="298"/>
                </a:lnTo>
                <a:lnTo>
                  <a:pt x="933" y="334"/>
                </a:lnTo>
                <a:lnTo>
                  <a:pt x="879" y="372"/>
                </a:lnTo>
                <a:lnTo>
                  <a:pt x="826" y="410"/>
                </a:lnTo>
                <a:lnTo>
                  <a:pt x="774" y="451"/>
                </a:lnTo>
                <a:lnTo>
                  <a:pt x="723" y="493"/>
                </a:lnTo>
                <a:lnTo>
                  <a:pt x="673" y="537"/>
                </a:lnTo>
                <a:lnTo>
                  <a:pt x="626" y="582"/>
                </a:lnTo>
                <a:lnTo>
                  <a:pt x="579" y="629"/>
                </a:lnTo>
                <a:lnTo>
                  <a:pt x="534" y="678"/>
                </a:lnTo>
                <a:lnTo>
                  <a:pt x="491" y="727"/>
                </a:lnTo>
                <a:lnTo>
                  <a:pt x="449" y="778"/>
                </a:lnTo>
                <a:lnTo>
                  <a:pt x="409" y="831"/>
                </a:lnTo>
                <a:lnTo>
                  <a:pt x="384" y="864"/>
                </a:lnTo>
                <a:lnTo>
                  <a:pt x="360" y="898"/>
                </a:lnTo>
                <a:lnTo>
                  <a:pt x="337" y="933"/>
                </a:lnTo>
                <a:lnTo>
                  <a:pt x="314" y="968"/>
                </a:lnTo>
                <a:lnTo>
                  <a:pt x="293" y="1004"/>
                </a:lnTo>
                <a:lnTo>
                  <a:pt x="272" y="1039"/>
                </a:lnTo>
                <a:lnTo>
                  <a:pt x="252" y="1076"/>
                </a:lnTo>
                <a:lnTo>
                  <a:pt x="232" y="1112"/>
                </a:lnTo>
                <a:lnTo>
                  <a:pt x="214" y="1149"/>
                </a:lnTo>
                <a:lnTo>
                  <a:pt x="196" y="1185"/>
                </a:lnTo>
                <a:lnTo>
                  <a:pt x="178" y="1223"/>
                </a:lnTo>
                <a:lnTo>
                  <a:pt x="162" y="1261"/>
                </a:lnTo>
                <a:lnTo>
                  <a:pt x="147" y="1299"/>
                </a:lnTo>
                <a:lnTo>
                  <a:pt x="132" y="1337"/>
                </a:lnTo>
                <a:lnTo>
                  <a:pt x="118" y="1376"/>
                </a:lnTo>
                <a:lnTo>
                  <a:pt x="104" y="1414"/>
                </a:lnTo>
                <a:lnTo>
                  <a:pt x="92" y="1454"/>
                </a:lnTo>
                <a:lnTo>
                  <a:pt x="80" y="1492"/>
                </a:lnTo>
                <a:lnTo>
                  <a:pt x="69" y="1533"/>
                </a:lnTo>
                <a:lnTo>
                  <a:pt x="59" y="1572"/>
                </a:lnTo>
                <a:lnTo>
                  <a:pt x="50" y="1612"/>
                </a:lnTo>
                <a:lnTo>
                  <a:pt x="42" y="1652"/>
                </a:lnTo>
                <a:lnTo>
                  <a:pt x="33" y="1693"/>
                </a:lnTo>
                <a:lnTo>
                  <a:pt x="26" y="1733"/>
                </a:lnTo>
                <a:lnTo>
                  <a:pt x="20" y="1774"/>
                </a:lnTo>
                <a:lnTo>
                  <a:pt x="15" y="1815"/>
                </a:lnTo>
                <a:lnTo>
                  <a:pt x="11" y="1856"/>
                </a:lnTo>
                <a:lnTo>
                  <a:pt x="7" y="1897"/>
                </a:lnTo>
                <a:lnTo>
                  <a:pt x="4" y="1939"/>
                </a:lnTo>
                <a:lnTo>
                  <a:pt x="2" y="1980"/>
                </a:lnTo>
                <a:lnTo>
                  <a:pt x="1" y="2022"/>
                </a:lnTo>
                <a:lnTo>
                  <a:pt x="0" y="2064"/>
                </a:lnTo>
                <a:lnTo>
                  <a:pt x="1" y="2117"/>
                </a:lnTo>
                <a:lnTo>
                  <a:pt x="2" y="2170"/>
                </a:lnTo>
                <a:lnTo>
                  <a:pt x="5" y="2222"/>
                </a:lnTo>
                <a:lnTo>
                  <a:pt x="9" y="2274"/>
                </a:lnTo>
                <a:lnTo>
                  <a:pt x="13" y="2326"/>
                </a:lnTo>
                <a:lnTo>
                  <a:pt x="19" y="2377"/>
                </a:lnTo>
                <a:lnTo>
                  <a:pt x="26" y="2428"/>
                </a:lnTo>
                <a:lnTo>
                  <a:pt x="34" y="2479"/>
                </a:lnTo>
                <a:lnTo>
                  <a:pt x="47" y="2537"/>
                </a:lnTo>
                <a:lnTo>
                  <a:pt x="62" y="2595"/>
                </a:lnTo>
                <a:lnTo>
                  <a:pt x="78" y="2653"/>
                </a:lnTo>
                <a:lnTo>
                  <a:pt x="95" y="2709"/>
                </a:lnTo>
                <a:lnTo>
                  <a:pt x="115" y="2764"/>
                </a:lnTo>
                <a:lnTo>
                  <a:pt x="136" y="2820"/>
                </a:lnTo>
                <a:lnTo>
                  <a:pt x="158" y="2874"/>
                </a:lnTo>
                <a:lnTo>
                  <a:pt x="182" y="2927"/>
                </a:lnTo>
                <a:lnTo>
                  <a:pt x="207" y="2980"/>
                </a:lnTo>
                <a:lnTo>
                  <a:pt x="234" y="3032"/>
                </a:lnTo>
                <a:lnTo>
                  <a:pt x="263" y="3082"/>
                </a:lnTo>
                <a:lnTo>
                  <a:pt x="292" y="3132"/>
                </a:lnTo>
                <a:lnTo>
                  <a:pt x="324" y="3182"/>
                </a:lnTo>
                <a:lnTo>
                  <a:pt x="357" y="3229"/>
                </a:lnTo>
                <a:lnTo>
                  <a:pt x="390" y="3277"/>
                </a:lnTo>
                <a:lnTo>
                  <a:pt x="426" y="3322"/>
                </a:lnTo>
                <a:lnTo>
                  <a:pt x="462" y="3368"/>
                </a:lnTo>
                <a:lnTo>
                  <a:pt x="501" y="3412"/>
                </a:lnTo>
                <a:lnTo>
                  <a:pt x="541" y="3455"/>
                </a:lnTo>
                <a:lnTo>
                  <a:pt x="581" y="3497"/>
                </a:lnTo>
                <a:lnTo>
                  <a:pt x="624" y="3537"/>
                </a:lnTo>
                <a:lnTo>
                  <a:pt x="666" y="3577"/>
                </a:lnTo>
                <a:lnTo>
                  <a:pt x="711" y="3615"/>
                </a:lnTo>
                <a:lnTo>
                  <a:pt x="758" y="3653"/>
                </a:lnTo>
                <a:lnTo>
                  <a:pt x="804" y="3689"/>
                </a:lnTo>
                <a:lnTo>
                  <a:pt x="852" y="3724"/>
                </a:lnTo>
                <a:lnTo>
                  <a:pt x="902" y="3757"/>
                </a:lnTo>
                <a:lnTo>
                  <a:pt x="952" y="3789"/>
                </a:lnTo>
                <a:lnTo>
                  <a:pt x="1004" y="3821"/>
                </a:lnTo>
                <a:lnTo>
                  <a:pt x="1057" y="3850"/>
                </a:lnTo>
                <a:lnTo>
                  <a:pt x="1110" y="3879"/>
                </a:lnTo>
                <a:lnTo>
                  <a:pt x="1165" y="3905"/>
                </a:lnTo>
                <a:lnTo>
                  <a:pt x="1204" y="3922"/>
                </a:lnTo>
                <a:lnTo>
                  <a:pt x="1245" y="3939"/>
                </a:lnTo>
                <a:lnTo>
                  <a:pt x="1290" y="3956"/>
                </a:lnTo>
                <a:lnTo>
                  <a:pt x="1338" y="3973"/>
                </a:lnTo>
                <a:lnTo>
                  <a:pt x="1389" y="3990"/>
                </a:lnTo>
                <a:lnTo>
                  <a:pt x="1446" y="4007"/>
                </a:lnTo>
                <a:lnTo>
                  <a:pt x="1506" y="4023"/>
                </a:lnTo>
                <a:lnTo>
                  <a:pt x="1571" y="4039"/>
                </a:lnTo>
                <a:lnTo>
                  <a:pt x="1641" y="4054"/>
                </a:lnTo>
                <a:lnTo>
                  <a:pt x="1716" y="4069"/>
                </a:lnTo>
                <a:lnTo>
                  <a:pt x="1796" y="4082"/>
                </a:lnTo>
                <a:lnTo>
                  <a:pt x="1882" y="4095"/>
                </a:lnTo>
                <a:lnTo>
                  <a:pt x="1975" y="4106"/>
                </a:lnTo>
                <a:lnTo>
                  <a:pt x="2074" y="4117"/>
                </a:lnTo>
                <a:lnTo>
                  <a:pt x="2179" y="4126"/>
                </a:lnTo>
                <a:lnTo>
                  <a:pt x="2292" y="4133"/>
                </a:lnTo>
                <a:lnTo>
                  <a:pt x="2627" y="4140"/>
                </a:lnTo>
                <a:lnTo>
                  <a:pt x="3867" y="4141"/>
                </a:lnTo>
                <a:lnTo>
                  <a:pt x="3899" y="4141"/>
                </a:lnTo>
                <a:lnTo>
                  <a:pt x="3903" y="3145"/>
                </a:lnTo>
                <a:lnTo>
                  <a:pt x="3870" y="3145"/>
                </a:lnTo>
                <a:close/>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p>
            <a:endParaRPr lang="cs-CZ"/>
          </a:p>
        </xdr:txBody>
      </xdr:sp>
    </xdr:grpSp>
    <xdr:clientData/>
  </xdr:twoCellAnchor>
  <xdr:oneCellAnchor>
    <xdr:from>
      <xdr:col>9</xdr:col>
      <xdr:colOff>165746</xdr:colOff>
      <xdr:row>35</xdr:row>
      <xdr:rowOff>124828</xdr:rowOff>
    </xdr:from>
    <xdr:ext cx="375225" cy="626765"/>
    <xdr:pic>
      <xdr:nvPicPr>
        <xdr:cNvPr id="9" name="Picture 8">
          <a:extLst>
            <a:ext uri="{FF2B5EF4-FFF2-40B4-BE49-F238E27FC236}">
              <a16:creationId xmlns:a16="http://schemas.microsoft.com/office/drawing/2014/main" id="{83FAF9C9-55CF-4E20-81B2-83046E2304D2}"/>
            </a:ext>
          </a:extLst>
        </xdr:cNvPr>
        <xdr:cNvPicPr>
          <a:picLocks noChangeAspect="1"/>
        </xdr:cNvPicPr>
      </xdr:nvPicPr>
      <xdr:blipFill>
        <a:blip xmlns:r="http://schemas.openxmlformats.org/officeDocument/2006/relationships" r:embed="rId1"/>
        <a:stretch>
          <a:fillRect/>
        </a:stretch>
      </xdr:blipFill>
      <xdr:spPr>
        <a:xfrm>
          <a:off x="9602823" y="7012136"/>
          <a:ext cx="375225" cy="62676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edub61ns3vf1.emea.mrshmc.com\ldna-bhome$\U1105656\My%20Documents\All%20in\00.Projects\UK\Worcester\03.Economics\01.Budg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Mercer"/>
      <sheetName val="Detail Guy Carpenter"/>
      <sheetName val="Detail OWG"/>
      <sheetName val="Detail MMC"/>
      <sheetName val="Detail Vendor"/>
      <sheetName val="Job Levels - SAMPLE"/>
      <sheetName val="Definitions"/>
      <sheetName val="Project Budget"/>
      <sheetName val="Final Account"/>
      <sheetName val="Approved CAPEX"/>
      <sheetName val="Summay Analysis"/>
      <sheetName val="TSK TSA"/>
      <sheetName val="Paramount TSA"/>
      <sheetName val="Overbury TSA"/>
      <sheetName val="Overbury Furniture"/>
    </sheetNames>
    <sheetDataSet>
      <sheetData sheetId="0"/>
      <sheetData sheetId="1"/>
      <sheetData sheetId="2"/>
      <sheetData sheetId="3"/>
      <sheetData sheetId="4"/>
      <sheetData sheetId="5"/>
      <sheetData sheetId="6"/>
      <sheetData sheetId="7"/>
      <sheetData sheetId="8">
        <row r="9">
          <cell r="I9">
            <v>45360.5</v>
          </cell>
        </row>
        <row r="10">
          <cell r="I10">
            <v>398819.33999999997</v>
          </cell>
        </row>
        <row r="11">
          <cell r="I11">
            <v>193768.66999999998</v>
          </cell>
        </row>
        <row r="12">
          <cell r="I12">
            <v>70503</v>
          </cell>
        </row>
        <row r="15">
          <cell r="I15">
            <v>20343.650000000001</v>
          </cell>
        </row>
      </sheetData>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95"/>
  <sheetViews>
    <sheetView tabSelected="1" view="pageBreakPreview" topLeftCell="F12" zoomScale="115" zoomScaleNormal="115" zoomScaleSheetLayoutView="115" workbookViewId="0">
      <pane xSplit="1" topLeftCell="AJ1" activePane="topRight" state="frozen"/>
      <selection activeCell="F1" sqref="F1"/>
      <selection pane="topRight" activeCell="AZ23" sqref="AZ23"/>
    </sheetView>
  </sheetViews>
  <sheetFormatPr defaultRowHeight="14.5" outlineLevelCol="1"/>
  <cols>
    <col min="3" max="3" width="10.453125" customWidth="1"/>
    <col min="5" max="5" width="11.81640625" customWidth="1"/>
    <col min="6" max="6" width="27.54296875" customWidth="1"/>
    <col min="7" max="7" width="24.81640625" hidden="1" customWidth="1"/>
    <col min="8" max="8" width="25.453125" hidden="1" customWidth="1"/>
    <col min="9" max="9" width="25.54296875" hidden="1" customWidth="1"/>
    <col min="10" max="10" width="24" hidden="1" customWidth="1"/>
    <col min="11" max="11" width="22.1796875" hidden="1" customWidth="1"/>
    <col min="12" max="12" width="22.453125" hidden="1" customWidth="1"/>
    <col min="13" max="13" width="23.81640625" hidden="1" customWidth="1"/>
    <col min="14" max="14" width="23.453125" hidden="1" customWidth="1"/>
    <col min="15" max="15" width="23.1796875" hidden="1" customWidth="1"/>
    <col min="16" max="16" width="25.54296875" hidden="1" customWidth="1"/>
    <col min="17" max="17" width="21.453125" hidden="1" customWidth="1"/>
    <col min="18" max="18" width="21.81640625" hidden="1" customWidth="1"/>
    <col min="19" max="19" width="23.54296875" hidden="1" customWidth="1"/>
    <col min="20" max="20" width="23.453125" hidden="1" customWidth="1"/>
    <col min="21" max="21" width="24.1796875" hidden="1" customWidth="1"/>
    <col min="22" max="22" width="22.453125" hidden="1" customWidth="1"/>
    <col min="23" max="23" width="26.81640625" hidden="1" customWidth="1"/>
    <col min="24" max="24" width="30.54296875" hidden="1" customWidth="1"/>
    <col min="25" max="25" width="29.81640625" hidden="1" customWidth="1"/>
    <col min="26" max="26" width="31.81640625" hidden="1" customWidth="1"/>
    <col min="27" max="27" width="26.453125" hidden="1" customWidth="1"/>
    <col min="28" max="28" width="24.81640625" hidden="1" customWidth="1"/>
    <col min="29" max="29" width="3.453125" hidden="1" customWidth="1"/>
    <col min="30" max="30" width="22.453125" hidden="1" customWidth="1"/>
    <col min="31" max="31" width="29.81640625" hidden="1" customWidth="1"/>
    <col min="32" max="32" width="28.81640625" hidden="1" customWidth="1"/>
    <col min="33" max="33" width="27" hidden="1" customWidth="1"/>
    <col min="34" max="34" width="26" hidden="1" customWidth="1"/>
    <col min="35" max="35" width="27" hidden="1" customWidth="1"/>
    <col min="36" max="36" width="15.54296875" customWidth="1"/>
    <col min="37" max="37" width="21.81640625" customWidth="1"/>
    <col min="38" max="38" width="22.453125" customWidth="1"/>
    <col min="39" max="39" width="0.453125" style="1" customWidth="1"/>
    <col min="40" max="45" width="10.1796875" hidden="1" customWidth="1" outlineLevel="1"/>
    <col min="46" max="46" width="10.1796875" hidden="1" customWidth="1" outlineLevel="1" collapsed="1"/>
    <col min="47" max="51" width="10.1796875" hidden="1" customWidth="1" outlineLevel="1"/>
    <col min="52" max="52" width="16" customWidth="1" collapsed="1"/>
    <col min="57" max="57" width="14.1796875" bestFit="1" customWidth="1"/>
  </cols>
  <sheetData>
    <row r="1" spans="1:67">
      <c r="A1" s="1"/>
      <c r="B1" s="1"/>
      <c r="C1" s="1"/>
      <c r="D1" s="1"/>
      <c r="E1" s="1"/>
      <c r="F1" s="1"/>
      <c r="G1" s="1"/>
      <c r="H1" s="1"/>
      <c r="I1" s="1"/>
      <c r="J1" s="1"/>
      <c r="K1" s="1"/>
      <c r="L1" s="1"/>
      <c r="M1" s="1"/>
      <c r="N1" s="1"/>
      <c r="O1" s="1"/>
      <c r="P1" s="1"/>
      <c r="Q1" s="1"/>
      <c r="R1" s="1"/>
      <c r="S1" s="1"/>
      <c r="T1" s="1"/>
      <c r="U1" s="1"/>
      <c r="V1" s="1"/>
      <c r="W1" s="1"/>
      <c r="X1" s="1"/>
      <c r="Y1" s="1"/>
      <c r="Z1" s="1"/>
      <c r="AA1" s="1"/>
      <c r="AB1" s="1"/>
      <c r="AC1" s="112"/>
      <c r="AD1" s="1"/>
      <c r="AE1" s="1"/>
      <c r="AF1" s="1"/>
      <c r="AG1" s="1"/>
      <c r="AH1" s="1"/>
      <c r="AI1" s="1"/>
      <c r="AJ1" s="1"/>
      <c r="AK1" s="1"/>
      <c r="AL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ht="15" customHeight="1">
      <c r="A2" s="1"/>
      <c r="B2" s="1"/>
      <c r="C2" s="1"/>
      <c r="D2" s="1"/>
      <c r="E2" s="1"/>
      <c r="F2" s="1"/>
      <c r="G2" s="1"/>
      <c r="H2" s="1"/>
      <c r="I2" s="1"/>
      <c r="J2" s="1"/>
      <c r="K2" s="1"/>
      <c r="L2" s="1"/>
      <c r="M2" s="1"/>
      <c r="N2" s="1"/>
      <c r="O2" s="1"/>
      <c r="P2" s="1"/>
      <c r="Q2" s="1"/>
      <c r="R2" s="1"/>
      <c r="S2" s="1"/>
      <c r="T2" s="1"/>
      <c r="U2" s="1"/>
      <c r="V2" s="1"/>
      <c r="W2" s="1"/>
      <c r="X2" s="1"/>
      <c r="Y2" s="130"/>
      <c r="Z2" s="1"/>
      <c r="AA2" s="1"/>
      <c r="AB2" s="1"/>
      <c r="AC2" s="112"/>
      <c r="AD2" s="1"/>
      <c r="AE2" s="1"/>
      <c r="AF2" s="1"/>
      <c r="AG2" s="1"/>
      <c r="AH2" s="1"/>
      <c r="AI2" s="1"/>
      <c r="AJ2" s="1"/>
      <c r="AK2" s="1"/>
      <c r="AL2" s="1"/>
      <c r="AN2" s="1"/>
      <c r="AO2" s="1"/>
      <c r="AP2" s="1"/>
      <c r="AQ2" s="1"/>
      <c r="AR2" s="1"/>
      <c r="AS2" s="1"/>
      <c r="AT2" s="1"/>
      <c r="AU2" s="1"/>
      <c r="AV2" s="1"/>
      <c r="AW2" s="1"/>
      <c r="AX2" s="1"/>
      <c r="AY2" s="1"/>
      <c r="AZ2" s="1"/>
      <c r="BA2" s="1"/>
      <c r="BB2" s="1"/>
      <c r="BC2" s="1"/>
      <c r="BD2" s="1"/>
      <c r="BE2" s="1"/>
      <c r="BF2" s="1"/>
      <c r="BG2" s="1"/>
      <c r="BH2" s="1"/>
      <c r="BI2" s="1"/>
      <c r="BJ2" s="178">
        <f>304*Benchmarks!B72</f>
        <v>3272.2255999999998</v>
      </c>
      <c r="BK2" s="1"/>
      <c r="BL2" s="1"/>
      <c r="BM2" s="1"/>
      <c r="BN2" s="1"/>
      <c r="BO2" s="1"/>
    </row>
    <row r="3" spans="1:67" ht="15" customHeight="1">
      <c r="A3" s="1"/>
      <c r="B3" s="1"/>
      <c r="C3" s="1"/>
      <c r="D3" s="1"/>
      <c r="E3" s="1"/>
      <c r="F3" s="1"/>
      <c r="G3" s="1"/>
      <c r="H3" s="1"/>
      <c r="I3" s="1"/>
      <c r="J3" s="1"/>
      <c r="K3" s="1"/>
      <c r="L3" s="1"/>
      <c r="M3" s="1"/>
      <c r="N3" s="1"/>
      <c r="O3" s="1"/>
      <c r="P3" s="1"/>
      <c r="Q3" s="1"/>
      <c r="R3" s="1"/>
      <c r="S3" s="1"/>
      <c r="T3" s="1"/>
      <c r="U3" s="1"/>
      <c r="V3" s="1"/>
      <c r="W3" s="1"/>
      <c r="X3" s="1"/>
      <c r="Y3" s="526" t="s">
        <v>0</v>
      </c>
      <c r="Z3" s="1"/>
      <c r="AA3" s="1"/>
      <c r="AB3" s="1"/>
      <c r="AC3" s="112"/>
      <c r="AD3" s="1"/>
      <c r="AE3" s="1"/>
      <c r="AF3" s="526" t="s">
        <v>1</v>
      </c>
      <c r="AG3" s="1"/>
      <c r="AH3" s="1"/>
      <c r="AI3" s="1"/>
      <c r="AJ3" s="1"/>
      <c r="AK3" s="1"/>
      <c r="AL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c r="A4" s="1"/>
      <c r="B4" s="1"/>
      <c r="C4" s="1"/>
      <c r="D4" s="1"/>
      <c r="E4" s="1"/>
      <c r="F4" s="1"/>
      <c r="G4" s="1"/>
      <c r="H4" s="1"/>
      <c r="I4" s="1"/>
      <c r="J4" s="1"/>
      <c r="K4" s="1"/>
      <c r="L4" s="1"/>
      <c r="M4" s="1"/>
      <c r="N4" s="1"/>
      <c r="O4" s="1"/>
      <c r="P4" s="1"/>
      <c r="Q4" s="1"/>
      <c r="R4" s="1"/>
      <c r="S4" s="1"/>
      <c r="T4" s="1"/>
      <c r="U4" s="1"/>
      <c r="V4" s="1"/>
      <c r="W4" s="1"/>
      <c r="X4" s="1"/>
      <c r="Y4" s="526"/>
      <c r="Z4" s="1"/>
      <c r="AA4" s="1"/>
      <c r="AB4" s="1"/>
      <c r="AC4" s="112"/>
      <c r="AD4" s="1"/>
      <c r="AE4" s="1"/>
      <c r="AF4" s="526"/>
      <c r="AG4" s="1"/>
      <c r="AH4" s="1"/>
      <c r="AI4" s="1"/>
      <c r="AJ4" s="1"/>
      <c r="AK4" s="1"/>
      <c r="AL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3.5">
      <c r="A5" s="1"/>
      <c r="B5" s="1"/>
      <c r="C5" s="1"/>
      <c r="D5" s="1"/>
      <c r="E5" s="1"/>
      <c r="F5" s="1"/>
      <c r="G5" s="1"/>
      <c r="H5" s="1"/>
      <c r="I5" s="1"/>
      <c r="J5" s="1"/>
      <c r="K5" s="1"/>
      <c r="L5" s="1"/>
      <c r="M5" s="1"/>
      <c r="N5" s="1"/>
      <c r="O5" s="1"/>
      <c r="P5" s="1"/>
      <c r="Q5" s="1"/>
      <c r="R5" s="1"/>
      <c r="S5" s="1"/>
      <c r="T5" s="1"/>
      <c r="U5" s="1"/>
      <c r="V5" s="1"/>
      <c r="W5" s="1"/>
      <c r="X5" s="1"/>
      <c r="Y5" s="1"/>
      <c r="Z5" s="1"/>
      <c r="AA5" s="1"/>
      <c r="AB5" s="1"/>
      <c r="AC5" s="112"/>
      <c r="AD5" s="1"/>
      <c r="AE5" s="1"/>
      <c r="AF5" s="1"/>
      <c r="AG5" s="1"/>
      <c r="AH5" s="1"/>
      <c r="AI5" s="1"/>
      <c r="AJ5" s="1"/>
      <c r="AK5" s="1"/>
      <c r="AL5" s="1"/>
      <c r="AN5" s="1"/>
      <c r="AO5" s="1"/>
      <c r="AP5" s="1"/>
      <c r="AQ5" s="1"/>
      <c r="AR5" s="1"/>
      <c r="AS5" s="526"/>
      <c r="AT5" s="239"/>
      <c r="AU5" s="1"/>
      <c r="AV5" s="1"/>
      <c r="AW5" s="1"/>
      <c r="AX5" s="1"/>
      <c r="AY5" s="1"/>
      <c r="AZ5" s="1"/>
      <c r="BA5" s="1"/>
      <c r="BB5" s="1"/>
      <c r="BC5" s="1"/>
      <c r="BD5" s="1"/>
      <c r="BE5" s="1"/>
      <c r="BF5" s="1"/>
      <c r="BG5" s="1"/>
      <c r="BH5" s="1"/>
      <c r="BI5" s="1"/>
      <c r="BJ5" s="1"/>
      <c r="BK5" s="1"/>
      <c r="BL5" s="1"/>
      <c r="BM5" s="1"/>
      <c r="BN5" s="1"/>
      <c r="BO5" s="1"/>
    </row>
    <row r="6" spans="1:67" ht="23.5">
      <c r="A6" s="1"/>
      <c r="B6" s="1"/>
      <c r="C6" s="1"/>
      <c r="D6" s="1"/>
      <c r="E6" s="1"/>
      <c r="F6" s="6" t="s">
        <v>778</v>
      </c>
      <c r="G6" s="5"/>
      <c r="H6" s="2"/>
      <c r="I6" s="1"/>
      <c r="J6" s="1"/>
      <c r="K6" s="1"/>
      <c r="L6" s="1"/>
      <c r="M6" s="1"/>
      <c r="N6" s="1"/>
      <c r="O6" s="1"/>
      <c r="P6" s="1"/>
      <c r="Q6" s="1"/>
      <c r="R6" s="1"/>
      <c r="S6" s="1"/>
      <c r="T6" s="1"/>
      <c r="U6" s="1"/>
      <c r="V6" s="1"/>
      <c r="W6" s="1"/>
      <c r="X6" s="116" t="s">
        <v>2</v>
      </c>
      <c r="Y6" s="117" t="e">
        <f>W43*Y10</f>
        <v>#REF!</v>
      </c>
      <c r="Z6" s="117" t="e">
        <f>Y6</f>
        <v>#REF!</v>
      </c>
      <c r="AA6" s="1"/>
      <c r="AB6" s="1"/>
      <c r="AC6" s="112"/>
      <c r="AD6" s="1"/>
      <c r="AE6" s="116" t="s">
        <v>2</v>
      </c>
      <c r="AF6" s="117" t="e">
        <f>AD43*AF10</f>
        <v>#REF!</v>
      </c>
      <c r="AG6" s="117" t="e">
        <f>AF6</f>
        <v>#REF!</v>
      </c>
      <c r="AH6" s="1"/>
      <c r="AI6" s="1"/>
      <c r="AJ6" s="447">
        <f>'2025 FX Rates'!F41</f>
        <v>4.1694290000000002E-2</v>
      </c>
      <c r="AK6" s="1"/>
      <c r="AO6" s="1"/>
      <c r="AP6" s="1"/>
      <c r="AQ6" s="1"/>
      <c r="AR6" s="1"/>
      <c r="AS6" s="526"/>
      <c r="AT6" s="239"/>
      <c r="AU6" s="1"/>
      <c r="AV6" s="1"/>
      <c r="AW6" s="1"/>
      <c r="AX6" s="1"/>
      <c r="AY6" s="1"/>
      <c r="AZ6" s="1"/>
      <c r="BA6" s="1"/>
      <c r="BB6" s="1"/>
      <c r="BC6" s="1"/>
      <c r="BD6" s="1"/>
      <c r="BE6" s="1"/>
      <c r="BF6" s="1"/>
      <c r="BG6" s="1"/>
      <c r="BH6" s="1"/>
      <c r="BI6" s="1"/>
      <c r="BJ6" s="1"/>
      <c r="BK6" s="1"/>
      <c r="BL6" s="1"/>
      <c r="BM6" s="1"/>
      <c r="BN6" s="1"/>
      <c r="BO6" s="1"/>
    </row>
    <row r="7" spans="1:67">
      <c r="A7" s="1"/>
      <c r="B7" s="1"/>
      <c r="C7" s="1"/>
      <c r="D7" s="1"/>
      <c r="E7" s="1"/>
      <c r="F7" s="197" t="s">
        <v>3</v>
      </c>
      <c r="G7" s="6"/>
      <c r="H7" s="6"/>
      <c r="I7" s="7"/>
      <c r="J7" s="7"/>
      <c r="K7" s="1"/>
      <c r="L7" s="1"/>
      <c r="M7" s="1"/>
      <c r="N7" s="1"/>
      <c r="O7" s="1"/>
      <c r="P7" s="1"/>
      <c r="Q7" s="1"/>
      <c r="R7" s="1"/>
      <c r="S7" s="1"/>
      <c r="T7" s="1"/>
      <c r="U7" s="1"/>
      <c r="V7" s="1"/>
      <c r="W7" s="1"/>
      <c r="X7" s="1"/>
      <c r="Y7" s="1"/>
      <c r="Z7" s="1"/>
      <c r="AA7" s="1"/>
      <c r="AB7" s="1"/>
      <c r="AC7" s="112"/>
      <c r="AD7" s="1"/>
      <c r="AE7" s="1"/>
      <c r="AF7" s="1"/>
      <c r="AG7" s="1"/>
      <c r="AH7" s="1"/>
      <c r="AI7" s="1"/>
      <c r="AJ7" s="1"/>
      <c r="AK7" s="1"/>
      <c r="AL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row>
    <row r="8" spans="1:67">
      <c r="A8" s="1"/>
      <c r="B8" s="1"/>
      <c r="C8" s="1"/>
      <c r="D8" s="1"/>
      <c r="E8" s="1"/>
      <c r="F8" s="6"/>
      <c r="G8" s="8">
        <v>79</v>
      </c>
      <c r="H8" s="7">
        <v>165</v>
      </c>
      <c r="I8" s="7">
        <v>34</v>
      </c>
      <c r="J8" s="7">
        <v>159</v>
      </c>
      <c r="K8" s="1">
        <v>4550</v>
      </c>
      <c r="L8" s="1"/>
      <c r="M8" s="1"/>
      <c r="N8" s="1"/>
      <c r="O8" s="1"/>
      <c r="P8" s="1"/>
      <c r="Q8" s="1"/>
      <c r="R8" s="1"/>
      <c r="S8" s="1"/>
      <c r="T8" s="1"/>
      <c r="U8" s="1"/>
      <c r="V8" s="1"/>
      <c r="W8" s="1"/>
      <c r="X8" s="1"/>
      <c r="Y8" s="1"/>
      <c r="Z8" s="1"/>
      <c r="AA8" s="1"/>
      <c r="AB8" s="1"/>
      <c r="AC8" s="112"/>
      <c r="AD8" s="1"/>
      <c r="AE8" s="1"/>
      <c r="AF8" s="1"/>
      <c r="AG8" s="1"/>
      <c r="AH8" s="1"/>
      <c r="AI8" s="1"/>
      <c r="AJ8" s="1"/>
      <c r="AK8" s="1"/>
      <c r="AO8" s="1"/>
      <c r="AP8" s="1"/>
      <c r="AQ8" s="1"/>
      <c r="AR8" s="1"/>
      <c r="AS8" s="1"/>
      <c r="AT8" s="1"/>
      <c r="AU8" s="1"/>
      <c r="AV8" s="1"/>
      <c r="AW8" s="1"/>
      <c r="AX8" s="1"/>
      <c r="AY8" s="1"/>
      <c r="AZ8" s="1"/>
      <c r="BA8" s="1"/>
      <c r="BB8" s="1"/>
      <c r="BC8" s="1"/>
      <c r="BD8" s="1"/>
      <c r="BE8" s="1"/>
      <c r="BF8" s="1"/>
      <c r="BG8" s="1"/>
      <c r="BH8" s="1"/>
      <c r="BI8" s="1"/>
      <c r="BJ8" s="1"/>
      <c r="BK8" s="1"/>
      <c r="BL8" s="1"/>
      <c r="BM8" s="1"/>
      <c r="BN8" s="1"/>
      <c r="BO8" s="1"/>
    </row>
    <row r="9" spans="1:67">
      <c r="A9" s="1"/>
      <c r="B9" s="1"/>
      <c r="C9" s="1"/>
      <c r="D9" s="1"/>
      <c r="E9" s="1"/>
      <c r="F9" s="190" t="s">
        <v>4</v>
      </c>
      <c r="G9" s="191"/>
      <c r="H9" s="192">
        <v>116</v>
      </c>
      <c r="I9" s="193">
        <v>25</v>
      </c>
      <c r="J9" s="193"/>
      <c r="K9" s="194"/>
      <c r="L9" s="194"/>
      <c r="M9" s="194">
        <v>78</v>
      </c>
      <c r="N9" s="194">
        <v>78</v>
      </c>
      <c r="O9" s="194">
        <f>72+36+36+72+36+24</f>
        <v>276</v>
      </c>
      <c r="P9" s="194">
        <f>O9</f>
        <v>276</v>
      </c>
      <c r="Q9" s="194">
        <v>270</v>
      </c>
      <c r="R9" s="194">
        <v>270</v>
      </c>
      <c r="S9" s="194">
        <v>600</v>
      </c>
      <c r="T9" s="194">
        <v>600</v>
      </c>
      <c r="U9" s="194">
        <f>S9</f>
        <v>600</v>
      </c>
      <c r="V9" s="194">
        <v>600</v>
      </c>
      <c r="W9" s="193">
        <v>1050</v>
      </c>
      <c r="X9" s="193">
        <v>1050</v>
      </c>
      <c r="Y9" s="193">
        <v>1050</v>
      </c>
      <c r="Z9" s="193">
        <f>Y9</f>
        <v>1050</v>
      </c>
      <c r="AA9" s="193">
        <v>1050</v>
      </c>
      <c r="AB9" s="193">
        <f>AA9</f>
        <v>1050</v>
      </c>
      <c r="AC9" s="195"/>
      <c r="AD9" s="193">
        <v>1050</v>
      </c>
      <c r="AE9" s="193">
        <v>1050</v>
      </c>
      <c r="AF9" s="193">
        <v>1050</v>
      </c>
      <c r="AG9" s="193">
        <f>AF9</f>
        <v>1050</v>
      </c>
      <c r="AH9" s="193">
        <v>1050</v>
      </c>
      <c r="AI9" s="193">
        <f>AH9</f>
        <v>1050</v>
      </c>
      <c r="AJ9" s="193"/>
      <c r="AK9" s="194">
        <v>220</v>
      </c>
      <c r="AL9" s="274"/>
      <c r="AN9" s="276"/>
      <c r="AO9" s="194"/>
      <c r="AP9" s="194"/>
      <c r="AQ9" s="194"/>
      <c r="AR9" s="194"/>
      <c r="AS9" s="194"/>
      <c r="AT9" s="194"/>
      <c r="AU9" s="194"/>
      <c r="AV9" s="194"/>
      <c r="AW9" s="194"/>
      <c r="AX9" s="194"/>
      <c r="AY9" s="194"/>
      <c r="AZ9" s="1"/>
      <c r="BA9" s="1"/>
      <c r="BB9" s="1"/>
      <c r="BC9" s="1"/>
      <c r="BD9" s="1"/>
      <c r="BE9" s="1"/>
      <c r="BF9" s="1"/>
      <c r="BG9" s="1"/>
      <c r="BH9" s="1"/>
      <c r="BI9" s="1"/>
      <c r="BJ9" s="1"/>
      <c r="BK9" s="1"/>
      <c r="BL9" s="1"/>
      <c r="BM9" s="1"/>
      <c r="BN9" s="1"/>
      <c r="BO9" s="1"/>
    </row>
    <row r="10" spans="1:67">
      <c r="A10" s="1"/>
      <c r="B10" s="1"/>
      <c r="C10" s="1"/>
      <c r="D10" s="1"/>
      <c r="E10" s="1"/>
      <c r="F10" s="190" t="s">
        <v>5</v>
      </c>
      <c r="G10" s="191">
        <v>6405</v>
      </c>
      <c r="H10" s="193">
        <v>8143</v>
      </c>
      <c r="I10" s="193">
        <v>3280</v>
      </c>
      <c r="J10" s="193">
        <v>8477</v>
      </c>
      <c r="K10" s="194">
        <v>350000</v>
      </c>
      <c r="L10" s="194"/>
      <c r="M10" s="194">
        <f>3114+3916</f>
        <v>7030</v>
      </c>
      <c r="N10" s="194">
        <f>M10</f>
        <v>7030</v>
      </c>
      <c r="O10" s="194">
        <v>25953</v>
      </c>
      <c r="P10" s="194">
        <f>O10</f>
        <v>25953</v>
      </c>
      <c r="Q10" s="194">
        <v>26000</v>
      </c>
      <c r="R10" s="194">
        <v>26000</v>
      </c>
      <c r="S10" s="194">
        <v>67382</v>
      </c>
      <c r="T10" s="194">
        <f>S10/2</f>
        <v>33691</v>
      </c>
      <c r="U10" s="194">
        <f>S10</f>
        <v>67382</v>
      </c>
      <c r="V10" s="194">
        <v>42000</v>
      </c>
      <c r="W10" s="194">
        <v>61718</v>
      </c>
      <c r="X10" s="194">
        <v>61718</v>
      </c>
      <c r="Y10" s="194">
        <v>66978</v>
      </c>
      <c r="Z10" s="194">
        <f>Y10</f>
        <v>66978</v>
      </c>
      <c r="AA10" s="194">
        <f>Y10</f>
        <v>66978</v>
      </c>
      <c r="AB10" s="194">
        <f>AA10</f>
        <v>66978</v>
      </c>
      <c r="AC10" s="195"/>
      <c r="AD10" s="194">
        <v>61718</v>
      </c>
      <c r="AE10" s="194">
        <v>61718</v>
      </c>
      <c r="AF10" s="194">
        <v>66978</v>
      </c>
      <c r="AG10" s="194">
        <f>AF10</f>
        <v>66978</v>
      </c>
      <c r="AH10" s="194">
        <f>AF10</f>
        <v>66978</v>
      </c>
      <c r="AI10" s="194">
        <f>AH10</f>
        <v>66978</v>
      </c>
      <c r="AJ10" s="194"/>
      <c r="AK10" s="268">
        <v>1148</v>
      </c>
      <c r="AL10" s="275"/>
      <c r="AM10" s="278"/>
      <c r="AN10" s="277"/>
      <c r="AO10" s="268"/>
      <c r="AP10" s="268"/>
      <c r="AQ10" s="268"/>
      <c r="AR10" s="268"/>
      <c r="AS10" s="268"/>
      <c r="AT10" s="268"/>
      <c r="AU10" s="196"/>
      <c r="AV10" s="194"/>
      <c r="AW10" s="194"/>
      <c r="AX10" s="196"/>
      <c r="AY10" s="194"/>
      <c r="AZ10" s="1"/>
      <c r="BA10" s="1"/>
      <c r="BB10" s="1"/>
      <c r="BC10" s="1"/>
      <c r="BD10" s="1"/>
      <c r="BE10" s="1"/>
      <c r="BF10" s="1"/>
      <c r="BG10" s="1"/>
      <c r="BH10" s="1"/>
      <c r="BI10" s="1"/>
      <c r="BJ10" s="1"/>
      <c r="BK10" s="1"/>
      <c r="BL10" s="1"/>
      <c r="BM10" s="1"/>
      <c r="BN10" s="1"/>
      <c r="BO10" s="1"/>
    </row>
    <row r="11" spans="1:67">
      <c r="A11" s="1"/>
      <c r="B11" s="1"/>
      <c r="C11" s="1"/>
      <c r="D11" s="1"/>
      <c r="E11" s="1"/>
      <c r="F11" s="190" t="s">
        <v>6</v>
      </c>
      <c r="G11" s="191"/>
      <c r="H11" s="193"/>
      <c r="I11" s="193"/>
      <c r="J11" s="193"/>
      <c r="K11" s="194"/>
      <c r="L11" s="194"/>
      <c r="M11" s="194"/>
      <c r="N11" s="194"/>
      <c r="O11" s="194"/>
      <c r="P11" s="194"/>
      <c r="Q11" s="194"/>
      <c r="R11" s="194"/>
      <c r="S11" s="194"/>
      <c r="T11" s="194"/>
      <c r="U11" s="194"/>
      <c r="V11" s="194"/>
      <c r="W11" s="194"/>
      <c r="X11" s="194"/>
      <c r="Y11" s="194"/>
      <c r="Z11" s="194"/>
      <c r="AA11" s="194"/>
      <c r="AB11" s="194"/>
      <c r="AC11" s="195"/>
      <c r="AD11" s="194"/>
      <c r="AE11" s="194"/>
      <c r="AF11" s="194"/>
      <c r="AG11" s="194"/>
      <c r="AH11" s="194"/>
      <c r="AI11" s="194"/>
      <c r="AJ11" s="194"/>
      <c r="AK11" s="196">
        <f>AK10*Benchmarks!B72</f>
        <v>12356.957199999999</v>
      </c>
      <c r="AL11" s="275"/>
      <c r="AM11" s="278"/>
      <c r="AN11" s="277"/>
      <c r="AO11" s="268"/>
      <c r="AP11" s="268"/>
      <c r="AQ11" s="268"/>
      <c r="AR11" s="268"/>
      <c r="AS11" s="268"/>
      <c r="AT11" s="268"/>
      <c r="AU11" s="196"/>
      <c r="AV11" s="194"/>
      <c r="AW11" s="194"/>
      <c r="AX11" s="196"/>
      <c r="AY11" s="194"/>
      <c r="BA11" s="1"/>
      <c r="BB11" s="1"/>
      <c r="BC11" s="1"/>
      <c r="BD11" s="1"/>
      <c r="BE11" s="1"/>
      <c r="BF11" s="1"/>
      <c r="BG11" s="1"/>
      <c r="BH11" s="1"/>
      <c r="BI11" s="1"/>
      <c r="BJ11" s="1"/>
      <c r="BK11" s="1"/>
      <c r="BL11" s="1"/>
      <c r="BM11" s="1"/>
      <c r="BN11" s="1"/>
      <c r="BO11" s="1"/>
    </row>
    <row r="12" spans="1:67">
      <c r="A12" s="1"/>
      <c r="B12" s="1"/>
      <c r="C12" s="1"/>
      <c r="D12" s="1"/>
      <c r="E12" s="1"/>
      <c r="F12" s="7"/>
      <c r="G12" s="7"/>
      <c r="H12" s="7"/>
      <c r="I12" s="7"/>
      <c r="J12" s="7"/>
      <c r="K12" s="1"/>
      <c r="L12" s="1"/>
      <c r="M12" s="1"/>
      <c r="N12" s="1"/>
      <c r="O12" s="1"/>
      <c r="P12" s="1"/>
      <c r="Q12" s="1"/>
      <c r="R12" s="1"/>
      <c r="S12" s="1"/>
      <c r="T12" s="1"/>
      <c r="U12" s="1"/>
      <c r="V12" s="1"/>
      <c r="W12" s="1"/>
      <c r="X12" s="1"/>
      <c r="Y12" s="1"/>
      <c r="Z12" s="1"/>
      <c r="AA12" s="1"/>
      <c r="AB12" s="1"/>
      <c r="AC12" s="112"/>
      <c r="AD12" s="1"/>
      <c r="AE12" s="1"/>
      <c r="AF12" s="1"/>
      <c r="AG12" s="1"/>
      <c r="AH12" s="1"/>
      <c r="AI12" s="1"/>
      <c r="AJ12" s="1"/>
      <c r="AK12" s="1"/>
      <c r="AL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row>
    <row r="13" spans="1:67">
      <c r="A13" s="1"/>
      <c r="B13" s="1"/>
      <c r="C13" s="1"/>
      <c r="D13" s="1"/>
      <c r="E13" s="1"/>
      <c r="F13" s="524"/>
      <c r="G13" s="524"/>
      <c r="H13" s="524"/>
      <c r="I13" s="7"/>
      <c r="J13" s="7"/>
      <c r="K13" s="1"/>
      <c r="L13" s="1"/>
      <c r="M13" s="1"/>
      <c r="N13" s="1"/>
      <c r="O13" s="1"/>
      <c r="P13" s="1"/>
      <c r="Q13" s="1"/>
      <c r="R13" s="1"/>
      <c r="S13" s="525" t="s">
        <v>7</v>
      </c>
      <c r="T13" s="525"/>
      <c r="U13" s="525"/>
      <c r="V13" s="525"/>
      <c r="X13" s="1"/>
      <c r="Y13" s="1"/>
      <c r="Z13" s="1"/>
      <c r="AA13" s="1"/>
      <c r="AB13" s="1"/>
      <c r="AC13" s="112"/>
      <c r="AE13" s="1"/>
      <c r="AF13" s="1"/>
      <c r="AG13" s="1"/>
      <c r="AH13" s="1"/>
      <c r="AI13" s="1"/>
      <c r="AJ13" s="1"/>
      <c r="AK13" s="1"/>
      <c r="AL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row>
    <row r="14" spans="1:67" ht="53.25" customHeight="1">
      <c r="A14" s="1"/>
      <c r="B14" s="1"/>
      <c r="C14" s="1"/>
      <c r="D14" s="1"/>
      <c r="E14" s="1"/>
      <c r="F14" s="240" t="s">
        <v>8</v>
      </c>
      <c r="G14" s="105" t="s">
        <v>9</v>
      </c>
      <c r="H14" s="105" t="s">
        <v>10</v>
      </c>
      <c r="I14" s="105" t="s">
        <v>11</v>
      </c>
      <c r="J14" s="105" t="s">
        <v>12</v>
      </c>
      <c r="K14" s="105" t="s">
        <v>13</v>
      </c>
      <c r="L14" s="109" t="s">
        <v>14</v>
      </c>
      <c r="M14" s="106" t="s">
        <v>15</v>
      </c>
      <c r="N14" s="106" t="s">
        <v>16</v>
      </c>
      <c r="O14" s="106" t="s">
        <v>17</v>
      </c>
      <c r="P14" s="106" t="s">
        <v>18</v>
      </c>
      <c r="Q14" s="106" t="s">
        <v>19</v>
      </c>
      <c r="R14" s="106" t="s">
        <v>20</v>
      </c>
      <c r="S14" s="106" t="s">
        <v>21</v>
      </c>
      <c r="T14" s="106" t="s">
        <v>22</v>
      </c>
      <c r="U14" s="106" t="s">
        <v>23</v>
      </c>
      <c r="V14" s="106" t="s">
        <v>24</v>
      </c>
      <c r="W14" s="106" t="s">
        <v>25</v>
      </c>
      <c r="X14" s="106" t="s">
        <v>26</v>
      </c>
      <c r="Y14" s="106" t="s">
        <v>27</v>
      </c>
      <c r="Z14" s="106" t="s">
        <v>28</v>
      </c>
      <c r="AA14" s="106" t="s">
        <v>29</v>
      </c>
      <c r="AB14" s="106" t="s">
        <v>30</v>
      </c>
      <c r="AC14" s="112"/>
      <c r="AD14" s="106" t="s">
        <v>25</v>
      </c>
      <c r="AE14" s="106" t="s">
        <v>26</v>
      </c>
      <c r="AF14" s="106" t="s">
        <v>27</v>
      </c>
      <c r="AG14" s="106" t="s">
        <v>28</v>
      </c>
      <c r="AH14" s="106" t="s">
        <v>29</v>
      </c>
      <c r="AI14" s="106" t="s">
        <v>30</v>
      </c>
      <c r="AJ14" s="106"/>
      <c r="AK14" s="522" t="s">
        <v>31</v>
      </c>
      <c r="AL14" s="523"/>
      <c r="AM14" s="201"/>
      <c r="AN14" s="201"/>
      <c r="AO14" s="201"/>
      <c r="AP14" s="201"/>
      <c r="AQ14" s="201"/>
      <c r="AR14" s="201"/>
      <c r="AS14" s="201"/>
      <c r="AT14" s="201"/>
      <c r="AU14" s="201"/>
      <c r="AV14" s="201"/>
      <c r="AW14" s="201"/>
      <c r="AX14" s="201"/>
      <c r="AY14" s="271"/>
      <c r="AZ14" s="1"/>
      <c r="BA14" s="1"/>
      <c r="BB14" s="1"/>
      <c r="BC14" s="1"/>
      <c r="BD14" s="1"/>
      <c r="BE14" s="1"/>
      <c r="BF14" s="1"/>
      <c r="BG14" s="1"/>
      <c r="BH14" s="1"/>
      <c r="BI14" s="1"/>
      <c r="BJ14" s="1"/>
      <c r="BK14" s="1"/>
      <c r="BL14" s="1"/>
      <c r="BM14" s="1"/>
      <c r="BN14" s="1"/>
      <c r="BO14" s="1"/>
    </row>
    <row r="15" spans="1:67" ht="23.25" customHeight="1">
      <c r="A15" s="1"/>
      <c r="B15" s="1"/>
      <c r="C15" s="1"/>
      <c r="D15" s="1"/>
      <c r="E15" s="1"/>
      <c r="F15" s="105"/>
      <c r="G15" s="105"/>
      <c r="H15" s="105"/>
      <c r="I15" s="105"/>
      <c r="J15" s="105"/>
      <c r="K15" s="105"/>
      <c r="L15" s="109"/>
      <c r="M15" s="106"/>
      <c r="N15" s="106"/>
      <c r="O15" s="106"/>
      <c r="P15" s="106"/>
      <c r="Q15" s="106"/>
      <c r="R15" s="106"/>
      <c r="S15" s="106"/>
      <c r="T15" s="106"/>
      <c r="U15" s="106"/>
      <c r="V15" s="106"/>
      <c r="W15" s="106"/>
      <c r="X15" s="106"/>
      <c r="Y15" s="106"/>
      <c r="Z15" s="106"/>
      <c r="AA15" s="106"/>
      <c r="AB15" s="106"/>
      <c r="AC15" s="112"/>
      <c r="AD15" s="106"/>
      <c r="AE15" s="106"/>
      <c r="AF15" s="106"/>
      <c r="AG15" s="106"/>
      <c r="AH15" s="106"/>
      <c r="AI15" s="106"/>
      <c r="AJ15" s="106"/>
      <c r="AK15" s="522" t="s">
        <v>32</v>
      </c>
      <c r="AL15" s="523"/>
      <c r="AM15" s="279"/>
      <c r="AN15" s="533" t="s">
        <v>33</v>
      </c>
      <c r="AO15" s="534"/>
      <c r="AP15" s="535"/>
      <c r="AQ15" s="522" t="s">
        <v>34</v>
      </c>
      <c r="AR15" s="529"/>
      <c r="AS15" s="523"/>
      <c r="AT15" s="530" t="s">
        <v>35</v>
      </c>
      <c r="AU15" s="531"/>
      <c r="AV15" s="531"/>
      <c r="AW15" s="531" t="s">
        <v>36</v>
      </c>
      <c r="AX15" s="531"/>
      <c r="AY15" s="532"/>
      <c r="AZ15" s="1"/>
      <c r="BA15" s="1"/>
      <c r="BB15" s="1"/>
      <c r="BC15" s="1"/>
      <c r="BD15" s="1"/>
      <c r="BE15" s="1"/>
      <c r="BF15" s="1"/>
      <c r="BG15" s="1"/>
      <c r="BH15" s="1"/>
      <c r="BI15" s="1"/>
      <c r="BJ15" s="1"/>
      <c r="BK15" s="1"/>
      <c r="BL15" s="1"/>
      <c r="BM15" s="1"/>
      <c r="BN15" s="1"/>
      <c r="BO15" s="1"/>
    </row>
    <row r="16" spans="1:67">
      <c r="A16" s="1"/>
      <c r="B16" s="1"/>
      <c r="C16" s="1"/>
      <c r="D16" s="1"/>
      <c r="E16" s="1"/>
      <c r="F16" s="16" t="s">
        <v>37</v>
      </c>
      <c r="G16" s="17"/>
      <c r="H16" s="18"/>
      <c r="I16" s="18"/>
      <c r="J16" s="18" t="s">
        <v>38</v>
      </c>
      <c r="K16" s="18" t="s">
        <v>39</v>
      </c>
      <c r="L16" s="18"/>
      <c r="M16" s="98"/>
      <c r="N16" s="98"/>
      <c r="O16" s="98"/>
      <c r="P16" s="92"/>
      <c r="Q16" s="92"/>
      <c r="R16" s="92"/>
      <c r="S16" s="92"/>
      <c r="T16" s="18"/>
      <c r="U16" s="18"/>
      <c r="V16" s="18"/>
      <c r="W16" s="18"/>
      <c r="X16" s="18"/>
      <c r="Y16" s="18"/>
      <c r="Z16" s="18"/>
      <c r="AA16" s="18"/>
      <c r="AB16" s="18"/>
      <c r="AC16" s="112"/>
      <c r="AD16" s="18"/>
      <c r="AE16" s="18"/>
      <c r="AF16" s="18"/>
      <c r="AG16" s="18"/>
      <c r="AH16" s="18"/>
      <c r="AI16" s="18"/>
      <c r="AJ16" s="18" t="s">
        <v>40</v>
      </c>
      <c r="AK16" s="175" t="s">
        <v>41</v>
      </c>
      <c r="AL16" s="175" t="s">
        <v>42</v>
      </c>
      <c r="AM16" s="279"/>
      <c r="AN16" s="238"/>
      <c r="AO16" s="175" t="s">
        <v>43</v>
      </c>
      <c r="AP16" s="175" t="s">
        <v>42</v>
      </c>
      <c r="AQ16" s="176"/>
      <c r="AR16" s="175" t="s">
        <v>43</v>
      </c>
      <c r="AS16" s="176" t="s">
        <v>42</v>
      </c>
      <c r="AT16" s="176"/>
      <c r="AU16" s="216" t="s">
        <v>43</v>
      </c>
      <c r="AV16" s="175" t="s">
        <v>42</v>
      </c>
      <c r="AW16" s="176"/>
      <c r="AX16" s="175" t="s">
        <v>43</v>
      </c>
      <c r="AY16" s="175" t="s">
        <v>42</v>
      </c>
      <c r="AZ16" s="1"/>
      <c r="BA16" s="1"/>
      <c r="BB16" s="1"/>
      <c r="BC16" s="1"/>
      <c r="BD16" s="1"/>
      <c r="BE16" s="1"/>
      <c r="BF16" s="1"/>
      <c r="BG16" s="1"/>
      <c r="BH16" s="1"/>
      <c r="BI16" s="1"/>
      <c r="BJ16" s="1"/>
      <c r="BK16" s="1"/>
      <c r="BL16" s="1"/>
      <c r="BM16" s="1"/>
      <c r="BN16" s="1"/>
      <c r="BO16" s="1"/>
    </row>
    <row r="17" spans="1:67">
      <c r="A17" s="1"/>
      <c r="B17" s="1"/>
      <c r="C17" s="1"/>
      <c r="D17" s="1"/>
      <c r="E17" s="1"/>
      <c r="F17" s="19" t="s">
        <v>44</v>
      </c>
      <c r="G17" s="20">
        <v>47582</v>
      </c>
      <c r="H17" s="20">
        <f>'[1]Final Account'!I9</f>
        <v>45360.5</v>
      </c>
      <c r="I17" s="20">
        <v>20991.5</v>
      </c>
      <c r="J17" s="21">
        <v>23550</v>
      </c>
      <c r="K17" s="21">
        <f>4164229</f>
        <v>4164229</v>
      </c>
      <c r="L17" s="1"/>
      <c r="M17" s="99">
        <f>M39*$M$10</f>
        <v>39160.544639567728</v>
      </c>
      <c r="N17" s="99">
        <f>$N$10*N39</f>
        <v>39160.544639567728</v>
      </c>
      <c r="O17" s="100">
        <f>O10*$H$39</f>
        <v>144570.92674689917</v>
      </c>
      <c r="P17" s="93">
        <f>P10*$H$39</f>
        <v>144570.92674689917</v>
      </c>
      <c r="Q17" s="94">
        <v>45000</v>
      </c>
      <c r="R17" s="93">
        <f>R39*R10</f>
        <v>117000</v>
      </c>
      <c r="S17" s="94">
        <v>750000</v>
      </c>
      <c r="T17" s="21">
        <f>T39*T10</f>
        <v>375000</v>
      </c>
      <c r="U17" s="21">
        <f>U39*U10</f>
        <v>336910</v>
      </c>
      <c r="V17" s="21">
        <f>V39*$V$10</f>
        <v>467483.89777685434</v>
      </c>
      <c r="W17" s="21" t="e">
        <f>#REF!</f>
        <v>#REF!</v>
      </c>
      <c r="X17" s="21">
        <f>X39*$X$10</f>
        <v>370308</v>
      </c>
      <c r="Y17" s="21" t="e">
        <f>#REF!</f>
        <v>#REF!</v>
      </c>
      <c r="Z17" s="128" t="e">
        <f>#REF!</f>
        <v>#REF!</v>
      </c>
      <c r="AA17" s="128" t="e">
        <f>AA39*AA10</f>
        <v>#REF!</v>
      </c>
      <c r="AB17" s="128" t="e">
        <f>AB39*AB10</f>
        <v>#REF!</v>
      </c>
      <c r="AC17" s="112"/>
      <c r="AD17" s="122" t="e">
        <f t="shared" ref="AD17:AI18" si="0">W17*$W$86</f>
        <v>#REF!</v>
      </c>
      <c r="AE17" s="122">
        <f t="shared" si="0"/>
        <v>499915.80000000005</v>
      </c>
      <c r="AF17" s="122" t="e">
        <f t="shared" si="0"/>
        <v>#REF!</v>
      </c>
      <c r="AG17" s="122" t="e">
        <f t="shared" si="0"/>
        <v>#REF!</v>
      </c>
      <c r="AH17" s="122" t="e">
        <f t="shared" si="0"/>
        <v>#REF!</v>
      </c>
      <c r="AI17" s="122" t="e">
        <f t="shared" si="0"/>
        <v>#REF!</v>
      </c>
      <c r="AJ17" s="269"/>
      <c r="AK17" s="297">
        <f>AK39*AK11</f>
        <v>2118777.8855033345</v>
      </c>
      <c r="AL17" s="187">
        <f>AL39*AK11</f>
        <v>88340.939603762818</v>
      </c>
      <c r="AM17" s="4"/>
      <c r="AN17" s="4"/>
      <c r="AO17" s="206">
        <f t="shared" ref="AO17:AP21" si="1">AO39*$AO$10</f>
        <v>0</v>
      </c>
      <c r="AP17" s="242">
        <f t="shared" si="1"/>
        <v>0</v>
      </c>
      <c r="AQ17" s="254"/>
      <c r="AR17" s="214">
        <f>AR39*$AR$10</f>
        <v>0</v>
      </c>
      <c r="AS17" s="242">
        <f>AS39*$AO$10</f>
        <v>0</v>
      </c>
      <c r="AT17" s="122"/>
      <c r="AU17" s="206">
        <f>SUM(AU18:AU21)*Benchmarks!A92</f>
        <v>0</v>
      </c>
      <c r="AV17" s="242">
        <f>SUM(AV18:AV21)*Benchmarks!A92</f>
        <v>0</v>
      </c>
      <c r="AW17" s="122"/>
      <c r="AX17" s="206">
        <f>SUM(AX18:AX21)*Benchmarks!A92</f>
        <v>0</v>
      </c>
      <c r="AY17" s="179">
        <f>SUM(AY18:AY21)*Benchmarks!A92</f>
        <v>0</v>
      </c>
      <c r="AZ17" s="1"/>
      <c r="BA17" s="1"/>
      <c r="BB17" s="1"/>
      <c r="BC17" s="1"/>
      <c r="BD17" s="1"/>
      <c r="BE17" s="1"/>
      <c r="BF17" s="1"/>
      <c r="BG17" s="1"/>
      <c r="BH17" s="1"/>
      <c r="BI17" s="1"/>
      <c r="BJ17" s="1"/>
      <c r="BK17" s="1"/>
      <c r="BL17" s="1"/>
      <c r="BM17" s="1"/>
      <c r="BN17" s="1"/>
      <c r="BO17" s="1"/>
    </row>
    <row r="18" spans="1:67">
      <c r="A18" s="1"/>
      <c r="B18" s="1"/>
      <c r="C18" s="1"/>
      <c r="D18" s="1"/>
      <c r="E18" s="1"/>
      <c r="F18" s="22" t="s">
        <v>45</v>
      </c>
      <c r="G18" s="20">
        <v>336979</v>
      </c>
      <c r="H18" s="20">
        <f>'[1]Final Account'!I10</f>
        <v>398819.33999999997</v>
      </c>
      <c r="I18" s="20">
        <v>224045.83</v>
      </c>
      <c r="J18" s="21">
        <v>541514</v>
      </c>
      <c r="K18" s="21">
        <f>48062290+2694850+2508770</f>
        <v>53265910</v>
      </c>
      <c r="L18" s="1"/>
      <c r="M18" s="99">
        <f>M40*$M$10</f>
        <v>1069883.8494285715</v>
      </c>
      <c r="N18" s="99">
        <f>$N$10*N40</f>
        <v>492100</v>
      </c>
      <c r="O18" s="100">
        <f>K40*O10</f>
        <v>3949743.3206571429</v>
      </c>
      <c r="P18" s="94">
        <f>L40*P10</f>
        <v>1816710</v>
      </c>
      <c r="Q18" s="94">
        <f>Q40*Q10</f>
        <v>260000</v>
      </c>
      <c r="R18" s="94">
        <f>R40*R10</f>
        <v>1560000</v>
      </c>
      <c r="S18" s="94">
        <f>S40*S10+(S10*S40)*10%</f>
        <v>11280228.29252</v>
      </c>
      <c r="T18" s="21">
        <f>T40*T10+(T40+T10)*10%</f>
        <v>5130760.8154314291</v>
      </c>
      <c r="U18" s="21">
        <f>U40*U10+(U10*U40)*10%</f>
        <v>5188414</v>
      </c>
      <c r="V18" s="21">
        <f>V40*$V$10</f>
        <v>6391909.2000000002</v>
      </c>
      <c r="W18" s="21" t="e">
        <f>#REF!+#REF!</f>
        <v>#REF!</v>
      </c>
      <c r="X18" s="21">
        <f>X40*$X$10</f>
        <v>3703080</v>
      </c>
      <c r="Y18" s="21" t="e">
        <f>#REF!+#REF!+#REF!+#REF!-Y6</f>
        <v>#REF!</v>
      </c>
      <c r="Z18" s="128" t="e">
        <f>#REF!+#REF!+#REF!+#REF!-Z6</f>
        <v>#REF!</v>
      </c>
      <c r="AA18" s="128" t="e">
        <f>AA40*AA10</f>
        <v>#REF!</v>
      </c>
      <c r="AB18" s="128" t="e">
        <f>AB40*AB10</f>
        <v>#REF!</v>
      </c>
      <c r="AC18" s="112"/>
      <c r="AD18" s="122" t="e">
        <f t="shared" si="0"/>
        <v>#REF!</v>
      </c>
      <c r="AE18" s="122">
        <f t="shared" si="0"/>
        <v>4999158</v>
      </c>
      <c r="AF18" s="122" t="e">
        <f t="shared" si="0"/>
        <v>#REF!</v>
      </c>
      <c r="AG18" s="122" t="e">
        <f t="shared" si="0"/>
        <v>#REF!</v>
      </c>
      <c r="AH18" s="122" t="e">
        <f t="shared" si="0"/>
        <v>#REF!</v>
      </c>
      <c r="AI18" s="122" t="e">
        <f t="shared" si="0"/>
        <v>#REF!</v>
      </c>
      <c r="AJ18" s="269">
        <f>AJ40</f>
        <v>0.6</v>
      </c>
      <c r="AK18" s="297">
        <f>AK40*AK11</f>
        <v>8719846.7843349352</v>
      </c>
      <c r="AL18" s="187">
        <f>AL40*AK11</f>
        <v>363567.82058162824</v>
      </c>
      <c r="AM18" s="4"/>
      <c r="AN18" s="269">
        <f>AN40</f>
        <v>1</v>
      </c>
      <c r="AO18" s="206">
        <f t="shared" si="1"/>
        <v>0</v>
      </c>
      <c r="AP18" s="179">
        <f t="shared" si="1"/>
        <v>0</v>
      </c>
      <c r="AQ18" s="269">
        <f>AQ40</f>
        <v>1</v>
      </c>
      <c r="AR18" s="214">
        <f>AR40*$AR$10</f>
        <v>0</v>
      </c>
      <c r="AS18" s="179">
        <f>AS40*$AR$10</f>
        <v>0</v>
      </c>
      <c r="AT18" s="122"/>
      <c r="AU18" s="206">
        <f t="shared" ref="AU18:AV21" si="2">AU40*$AU$10</f>
        <v>0</v>
      </c>
      <c r="AV18" s="179">
        <f t="shared" si="2"/>
        <v>0</v>
      </c>
      <c r="AW18" s="122"/>
      <c r="AX18" s="206">
        <f>AX40*$AU$10</f>
        <v>0</v>
      </c>
      <c r="AY18" s="179">
        <f>AY40*$AU$10</f>
        <v>0</v>
      </c>
      <c r="AZ18" s="4"/>
      <c r="BA18" s="1"/>
      <c r="BB18" s="1"/>
      <c r="BC18" s="1"/>
      <c r="BD18" s="1"/>
      <c r="BE18" s="520"/>
      <c r="BF18" s="1"/>
      <c r="BG18" s="1"/>
      <c r="BH18" s="1"/>
      <c r="BI18" s="1"/>
      <c r="BJ18" s="1"/>
      <c r="BK18" s="1"/>
      <c r="BL18" s="1"/>
      <c r="BM18" s="1"/>
      <c r="BN18" s="1"/>
      <c r="BO18" s="1"/>
    </row>
    <row r="19" spans="1:67">
      <c r="A19" s="1"/>
      <c r="B19" s="1"/>
      <c r="C19" s="1"/>
      <c r="D19" s="1"/>
      <c r="E19" s="1"/>
      <c r="F19" s="22" t="s">
        <v>46</v>
      </c>
      <c r="G19" s="20"/>
      <c r="H19" s="20"/>
      <c r="I19" s="20"/>
      <c r="J19" s="21"/>
      <c r="K19" s="21"/>
      <c r="L19" s="1"/>
      <c r="M19" s="99"/>
      <c r="N19" s="99"/>
      <c r="O19" s="100"/>
      <c r="P19" s="94"/>
      <c r="Q19" s="94"/>
      <c r="R19" s="94"/>
      <c r="S19" s="94"/>
      <c r="T19" s="21"/>
      <c r="U19" s="21"/>
      <c r="V19" s="21"/>
      <c r="W19" s="21">
        <v>0</v>
      </c>
      <c r="X19" s="21">
        <v>0</v>
      </c>
      <c r="Y19" s="21" t="e">
        <f>SUM(#REF!)</f>
        <v>#REF!</v>
      </c>
      <c r="Z19" s="128" t="e">
        <f>SUM(#REF!)</f>
        <v>#REF!</v>
      </c>
      <c r="AA19" s="128" t="e">
        <f>SUM(#REF!)</f>
        <v>#REF!</v>
      </c>
      <c r="AB19" s="128" t="e">
        <f>SUM(#REF!)</f>
        <v>#REF!</v>
      </c>
      <c r="AC19" s="112"/>
      <c r="AD19" s="122">
        <v>0</v>
      </c>
      <c r="AE19" s="122">
        <v>0</v>
      </c>
      <c r="AF19" s="122" t="e">
        <f t="shared" ref="AF19:AI21" si="3">Y19*$W$86</f>
        <v>#REF!</v>
      </c>
      <c r="AG19" s="122" t="e">
        <f t="shared" si="3"/>
        <v>#REF!</v>
      </c>
      <c r="AH19" s="122" t="e">
        <f t="shared" si="3"/>
        <v>#REF!</v>
      </c>
      <c r="AI19" s="122" t="e">
        <f t="shared" si="3"/>
        <v>#REF!</v>
      </c>
      <c r="AJ19" s="269">
        <f>AJ41</f>
        <v>0</v>
      </c>
      <c r="AK19" s="297">
        <v>0</v>
      </c>
      <c r="AL19" s="187">
        <v>0</v>
      </c>
      <c r="AM19" s="4"/>
      <c r="AN19" s="269">
        <f>AN41</f>
        <v>1</v>
      </c>
      <c r="AO19" s="206">
        <f t="shared" si="1"/>
        <v>0</v>
      </c>
      <c r="AP19" s="179">
        <f t="shared" si="1"/>
        <v>0</v>
      </c>
      <c r="AQ19" s="269">
        <f>AQ41</f>
        <v>1</v>
      </c>
      <c r="AR19" s="214">
        <f t="shared" ref="AR19" si="4">AR41*$AR$10</f>
        <v>0</v>
      </c>
      <c r="AS19" s="179">
        <f>AS41*$AR$10</f>
        <v>0</v>
      </c>
      <c r="AT19" s="122"/>
      <c r="AU19" s="206">
        <f t="shared" si="2"/>
        <v>0</v>
      </c>
      <c r="AV19" s="179">
        <f t="shared" si="2"/>
        <v>0</v>
      </c>
      <c r="AW19" s="122"/>
      <c r="AX19" s="206">
        <f t="shared" ref="AX19:AY19" si="5">AX41*$AU$10</f>
        <v>0</v>
      </c>
      <c r="AY19" s="179">
        <f t="shared" si="5"/>
        <v>0</v>
      </c>
      <c r="AZ19" s="1"/>
      <c r="BA19" s="1"/>
      <c r="BB19" s="1"/>
      <c r="BC19" s="1"/>
      <c r="BD19" s="1"/>
      <c r="BE19" s="1"/>
      <c r="BF19" s="1"/>
      <c r="BG19" s="1"/>
      <c r="BH19" s="1"/>
      <c r="BI19" s="1"/>
      <c r="BJ19" s="1"/>
      <c r="BK19" s="1"/>
      <c r="BL19" s="1"/>
      <c r="BM19" s="1"/>
      <c r="BN19" s="1"/>
      <c r="BO19" s="1"/>
    </row>
    <row r="20" spans="1:67">
      <c r="A20" s="1"/>
      <c r="B20" s="1"/>
      <c r="C20" s="1"/>
      <c r="D20" s="1"/>
      <c r="E20" s="1"/>
      <c r="F20" s="22" t="s">
        <v>47</v>
      </c>
      <c r="G20" s="20">
        <v>144402</v>
      </c>
      <c r="H20" s="20">
        <f>'[1]Final Account'!I11</f>
        <v>193768.66999999998</v>
      </c>
      <c r="I20" s="20">
        <v>0</v>
      </c>
      <c r="J20" s="21">
        <v>150288</v>
      </c>
      <c r="K20" s="21">
        <f>7975676</f>
        <v>7975676</v>
      </c>
      <c r="L20" s="1"/>
      <c r="M20" s="99">
        <f>M42*$M$10</f>
        <v>160197.14937142856</v>
      </c>
      <c r="N20" s="99">
        <f>$N$10*N42</f>
        <v>160197.14937142856</v>
      </c>
      <c r="O20" s="100">
        <f>K42*O10</f>
        <v>591407.76922285708</v>
      </c>
      <c r="P20" s="94">
        <f>L42*P10</f>
        <v>591407.76922285708</v>
      </c>
      <c r="Q20" s="94">
        <v>0</v>
      </c>
      <c r="R20" s="94">
        <v>0</v>
      </c>
      <c r="S20" s="94">
        <f>S42*S10</f>
        <v>1535477.1435199999</v>
      </c>
      <c r="T20" s="21">
        <f>T10*T42</f>
        <v>767738.57175999996</v>
      </c>
      <c r="U20" s="21">
        <f>U42*U10</f>
        <v>1347640</v>
      </c>
      <c r="V20" s="21">
        <f>V42*$V$10</f>
        <v>957081.11999999988</v>
      </c>
      <c r="W20" s="21" t="e">
        <f>#REF!</f>
        <v>#REF!</v>
      </c>
      <c r="X20" s="21">
        <f t="shared" ref="X20" si="6">X42*$X$10</f>
        <v>1419514</v>
      </c>
      <c r="Y20" s="21" t="e">
        <f>#REF!</f>
        <v>#REF!</v>
      </c>
      <c r="Z20" s="128" t="e">
        <f>#REF!</f>
        <v>#REF!</v>
      </c>
      <c r="AA20" s="21">
        <f>AA42*AA10</f>
        <v>1540494</v>
      </c>
      <c r="AB20" s="128">
        <f>AB42*AB10</f>
        <v>1540494</v>
      </c>
      <c r="AC20" s="112"/>
      <c r="AD20" s="122" t="e">
        <f>W20*$W$86</f>
        <v>#REF!</v>
      </c>
      <c r="AE20" s="122">
        <f>X20*$W$86</f>
        <v>1916343.9000000001</v>
      </c>
      <c r="AF20" s="122" t="e">
        <f t="shared" si="3"/>
        <v>#REF!</v>
      </c>
      <c r="AG20" s="122" t="e">
        <f t="shared" si="3"/>
        <v>#REF!</v>
      </c>
      <c r="AH20" s="122">
        <f t="shared" si="3"/>
        <v>2079666.9000000001</v>
      </c>
      <c r="AI20" s="122">
        <f t="shared" si="3"/>
        <v>2079666.9000000001</v>
      </c>
      <c r="AJ20" s="269">
        <f>AJ42</f>
        <v>0.2</v>
      </c>
      <c r="AK20" s="297">
        <f>AK42*AK11</f>
        <v>1806674.5132534935</v>
      </c>
      <c r="AL20" s="187">
        <f>AL42*AK11</f>
        <v>75328.011091199995</v>
      </c>
      <c r="AM20" s="4"/>
      <c r="AN20" s="269">
        <f>AN42</f>
        <v>1</v>
      </c>
      <c r="AO20" s="206">
        <f t="shared" si="1"/>
        <v>0</v>
      </c>
      <c r="AP20" s="179">
        <f t="shared" si="1"/>
        <v>0</v>
      </c>
      <c r="AQ20" s="269">
        <f>AQ42</f>
        <v>1</v>
      </c>
      <c r="AR20" s="214">
        <f>AR42*$AR$10</f>
        <v>0</v>
      </c>
      <c r="AS20" s="179">
        <f>AS42*$AR$10</f>
        <v>0</v>
      </c>
      <c r="AT20" s="122"/>
      <c r="AU20" s="206">
        <f t="shared" si="2"/>
        <v>0</v>
      </c>
      <c r="AV20" s="179">
        <f t="shared" si="2"/>
        <v>0</v>
      </c>
      <c r="AW20" s="122"/>
      <c r="AX20" s="206">
        <f t="shared" ref="AX20:AY20" si="7">AX42*$AU$10</f>
        <v>0</v>
      </c>
      <c r="AY20" s="179">
        <f t="shared" si="7"/>
        <v>0</v>
      </c>
      <c r="AZ20" s="447"/>
      <c r="BA20" s="1"/>
      <c r="BB20" s="1"/>
      <c r="BC20" s="1"/>
      <c r="BD20" s="1"/>
      <c r="BE20" s="1"/>
      <c r="BF20" s="1"/>
      <c r="BG20" s="1"/>
      <c r="BH20" s="1"/>
      <c r="BI20" s="1"/>
      <c r="BJ20" s="1"/>
      <c r="BK20" s="1"/>
      <c r="BL20" s="1"/>
      <c r="BM20" s="1"/>
      <c r="BN20" s="1"/>
      <c r="BO20" s="1"/>
    </row>
    <row r="21" spans="1:67" ht="15" thickBot="1">
      <c r="A21" s="1"/>
      <c r="B21" s="1"/>
      <c r="C21" s="1"/>
      <c r="D21" s="1"/>
      <c r="E21" s="1"/>
      <c r="F21" s="108" t="s">
        <v>48</v>
      </c>
      <c r="G21" s="104">
        <v>108580.29</v>
      </c>
      <c r="H21" s="23">
        <f>'[1]Final Account'!I12</f>
        <v>70503</v>
      </c>
      <c r="I21" s="23">
        <v>30111</v>
      </c>
      <c r="J21" s="37">
        <v>130681</v>
      </c>
      <c r="K21" s="37">
        <f>4578826</f>
        <v>4578826</v>
      </c>
      <c r="L21" s="24"/>
      <c r="M21" s="107">
        <f>M43*$M$10</f>
        <v>105450</v>
      </c>
      <c r="N21" s="107">
        <f>N43*$N$10</f>
        <v>91968.9908</v>
      </c>
      <c r="O21" s="101">
        <f>L43*O10</f>
        <v>389295</v>
      </c>
      <c r="P21" s="95">
        <f>P10*K43</f>
        <v>339526.48907999997</v>
      </c>
      <c r="Q21" s="95">
        <v>50000</v>
      </c>
      <c r="R21" s="95">
        <f>R43*R10</f>
        <v>340600</v>
      </c>
      <c r="S21" s="95">
        <f>S43*S10</f>
        <v>1010730</v>
      </c>
      <c r="T21" s="37">
        <f>T43*T10</f>
        <v>505365</v>
      </c>
      <c r="U21" s="37">
        <f>U43*U10</f>
        <v>881515.58152000001</v>
      </c>
      <c r="V21" s="37">
        <f>V43*$V$10</f>
        <v>630000</v>
      </c>
      <c r="W21" s="37" t="e">
        <f>#REF!</f>
        <v>#REF!</v>
      </c>
      <c r="X21" s="37">
        <f>X43*X10</f>
        <v>925770</v>
      </c>
      <c r="Y21" s="37" t="e">
        <f>Y6</f>
        <v>#REF!</v>
      </c>
      <c r="Z21" s="37" t="e">
        <f>Z6</f>
        <v>#REF!</v>
      </c>
      <c r="AA21" s="37">
        <f>AA43*AA10</f>
        <v>1004670</v>
      </c>
      <c r="AB21" s="37">
        <f>AB43*AB10</f>
        <v>1004670</v>
      </c>
      <c r="AC21" s="133"/>
      <c r="AD21" s="123" t="e">
        <f>W21*$W$86</f>
        <v>#REF!</v>
      </c>
      <c r="AE21" s="123">
        <f>X21*$W$86</f>
        <v>1249789.5</v>
      </c>
      <c r="AF21" s="123" t="e">
        <f t="shared" si="3"/>
        <v>#REF!</v>
      </c>
      <c r="AG21" s="123" t="e">
        <f t="shared" si="3"/>
        <v>#REF!</v>
      </c>
      <c r="AH21" s="123">
        <f t="shared" si="3"/>
        <v>1356304.5</v>
      </c>
      <c r="AI21" s="123">
        <f t="shared" si="3"/>
        <v>1356304.5</v>
      </c>
      <c r="AJ21" s="266">
        <f>AJ43</f>
        <v>0.25</v>
      </c>
      <c r="AK21" s="298">
        <f>AK43*AK11</f>
        <v>1505562.094377911</v>
      </c>
      <c r="AL21" s="217">
        <f>AL43*AK11</f>
        <v>62773.342575999995</v>
      </c>
      <c r="AM21" s="4"/>
      <c r="AN21" s="266">
        <f>AN43</f>
        <v>1</v>
      </c>
      <c r="AO21" s="207">
        <f t="shared" si="1"/>
        <v>0</v>
      </c>
      <c r="AP21" s="243">
        <f t="shared" si="1"/>
        <v>0</v>
      </c>
      <c r="AQ21" s="266">
        <f>AQ43</f>
        <v>1</v>
      </c>
      <c r="AR21" s="248">
        <f>AR43*$AR$10</f>
        <v>0</v>
      </c>
      <c r="AS21" s="243">
        <f>AS43*$AR$10</f>
        <v>0</v>
      </c>
      <c r="AT21" s="123"/>
      <c r="AU21" s="207">
        <f t="shared" si="2"/>
        <v>0</v>
      </c>
      <c r="AV21" s="243">
        <f t="shared" si="2"/>
        <v>0</v>
      </c>
      <c r="AW21" s="123"/>
      <c r="AX21" s="207">
        <f t="shared" ref="AX21:AY21" si="8">AX43*$AU$10</f>
        <v>0</v>
      </c>
      <c r="AY21" s="243">
        <f t="shared" si="8"/>
        <v>0</v>
      </c>
      <c r="AZ21" s="447"/>
      <c r="BA21" s="1"/>
      <c r="BB21" s="1"/>
      <c r="BC21" s="1"/>
      <c r="BD21" s="1"/>
      <c r="BE21" s="1"/>
      <c r="BF21" s="1"/>
      <c r="BG21" s="1"/>
      <c r="BH21" s="1"/>
      <c r="BI21" s="1"/>
      <c r="BJ21" s="1"/>
      <c r="BK21" s="1"/>
      <c r="BL21" s="1"/>
      <c r="BM21" s="1"/>
      <c r="BN21" s="1"/>
      <c r="BO21" s="1"/>
    </row>
    <row r="22" spans="1:67" ht="15" thickTop="1">
      <c r="A22" s="1"/>
      <c r="B22" s="1"/>
      <c r="C22" s="1"/>
      <c r="D22" s="1"/>
      <c r="E22" s="1"/>
      <c r="F22" s="22" t="s">
        <v>49</v>
      </c>
      <c r="G22" s="25">
        <f>SUM(G17:G21)</f>
        <v>637543.29</v>
      </c>
      <c r="H22" s="26">
        <f>SUM(H17:H21)</f>
        <v>708451.51</v>
      </c>
      <c r="I22" s="26">
        <f>SUM(I17:I21)</f>
        <v>275148.32999999996</v>
      </c>
      <c r="J22" s="9">
        <f>SUM(J17:J21)</f>
        <v>846033</v>
      </c>
      <c r="K22" s="9">
        <f>SUM(K17:K21)</f>
        <v>69984641</v>
      </c>
      <c r="L22" s="35"/>
      <c r="M22" s="102">
        <f t="shared" ref="M22:X22" si="9">SUM(M17:M21)</f>
        <v>1374691.5434395678</v>
      </c>
      <c r="N22" s="102">
        <f t="shared" si="9"/>
        <v>783426.68481099629</v>
      </c>
      <c r="O22" s="102">
        <f t="shared" si="9"/>
        <v>5075017.0166268991</v>
      </c>
      <c r="P22" s="96">
        <f t="shared" si="9"/>
        <v>2892215.1850497564</v>
      </c>
      <c r="Q22" s="96">
        <f t="shared" si="9"/>
        <v>355000</v>
      </c>
      <c r="R22" s="96">
        <f t="shared" si="9"/>
        <v>2017600</v>
      </c>
      <c r="S22" s="96">
        <f t="shared" si="9"/>
        <v>14576435.436039999</v>
      </c>
      <c r="T22" s="9">
        <f t="shared" si="9"/>
        <v>6778864.3871914288</v>
      </c>
      <c r="U22" s="9">
        <f t="shared" si="9"/>
        <v>7754479.5815200005</v>
      </c>
      <c r="V22" s="9">
        <f t="shared" si="9"/>
        <v>8446474.2177768536</v>
      </c>
      <c r="W22" s="9" t="e">
        <f t="shared" si="9"/>
        <v>#REF!</v>
      </c>
      <c r="X22" s="9">
        <f t="shared" si="9"/>
        <v>6418672</v>
      </c>
      <c r="Y22" s="9" t="e">
        <f>Y21+Y20+Y19+Y18+Y17</f>
        <v>#REF!</v>
      </c>
      <c r="Z22" s="9" t="e">
        <f>Z21+Z20+Z19+Z18+Z17</f>
        <v>#REF!</v>
      </c>
      <c r="AA22" s="9" t="e">
        <f>AA21+AA20+AA19+AA18+AA17</f>
        <v>#REF!</v>
      </c>
      <c r="AB22" s="9" t="e">
        <f>AB21+AB20+AB19+AB18+AB17</f>
        <v>#REF!</v>
      </c>
      <c r="AC22" s="112"/>
      <c r="AD22" s="124" t="e">
        <f>SUM(AD17:AD21)</f>
        <v>#REF!</v>
      </c>
      <c r="AE22" s="124">
        <f>SUM(AE17:AE21)</f>
        <v>8665207.1999999993</v>
      </c>
      <c r="AF22" s="124" t="e">
        <f>AF21+AF20+AF19+AF18+AF17</f>
        <v>#REF!</v>
      </c>
      <c r="AG22" s="124" t="e">
        <f>AG21+AG20+AG19+AG18+AG17</f>
        <v>#REF!</v>
      </c>
      <c r="AH22" s="124" t="e">
        <f>AH21+AH20+AH19+AH18+AH17</f>
        <v>#REF!</v>
      </c>
      <c r="AI22" s="124" t="e">
        <f>AI21+AI20+AI19+AI18+AI17</f>
        <v>#REF!</v>
      </c>
      <c r="AJ22" s="124"/>
      <c r="AK22" s="299">
        <f t="shared" ref="AK22:AV22" si="10">SUM(AK17:AK21)</f>
        <v>14150861.277469674</v>
      </c>
      <c r="AL22" s="218">
        <f t="shared" si="10"/>
        <v>590010.11385259114</v>
      </c>
      <c r="AM22" s="226"/>
      <c r="AN22" s="226"/>
      <c r="AO22" s="208">
        <f t="shared" si="10"/>
        <v>0</v>
      </c>
      <c r="AP22" s="244">
        <f t="shared" si="10"/>
        <v>0</v>
      </c>
      <c r="AQ22" s="257"/>
      <c r="AR22" s="249">
        <f t="shared" si="10"/>
        <v>0</v>
      </c>
      <c r="AS22" s="244">
        <f t="shared" si="10"/>
        <v>0</v>
      </c>
      <c r="AT22" s="124"/>
      <c r="AU22" s="208">
        <f t="shared" si="10"/>
        <v>0</v>
      </c>
      <c r="AV22" s="244">
        <f t="shared" si="10"/>
        <v>0</v>
      </c>
      <c r="AW22" s="124"/>
      <c r="AX22" s="208">
        <f t="shared" ref="AX22:AY22" si="11">SUM(AX17:AX21)</f>
        <v>0</v>
      </c>
      <c r="AY22" s="244">
        <f t="shared" si="11"/>
        <v>0</v>
      </c>
      <c r="AZ22" s="1"/>
      <c r="BA22" s="1"/>
      <c r="BB22" s="1"/>
      <c r="BC22" s="1"/>
      <c r="BD22" s="1"/>
      <c r="BE22" s="1"/>
      <c r="BF22" s="1"/>
      <c r="BG22" s="1"/>
      <c r="BH22" s="1"/>
      <c r="BI22" s="1"/>
      <c r="BJ22" s="1"/>
      <c r="BK22" s="1"/>
      <c r="BL22" s="1"/>
      <c r="BM22" s="1"/>
      <c r="BN22" s="1"/>
      <c r="BO22" s="1"/>
    </row>
    <row r="23" spans="1:67">
      <c r="A23" s="1"/>
      <c r="B23" s="1"/>
      <c r="C23" s="1"/>
      <c r="D23" s="1"/>
      <c r="E23" s="1"/>
      <c r="F23" s="280" t="s">
        <v>50</v>
      </c>
      <c r="G23" s="10"/>
      <c r="H23" s="10"/>
      <c r="I23" s="11"/>
      <c r="J23" s="12"/>
      <c r="K23" s="1"/>
      <c r="L23" s="1"/>
      <c r="M23" s="103"/>
      <c r="N23" s="103"/>
      <c r="O23" s="103"/>
      <c r="P23" s="97"/>
      <c r="Q23" s="97"/>
      <c r="R23" s="97"/>
      <c r="S23" s="97"/>
      <c r="T23" s="1"/>
      <c r="U23" s="1"/>
      <c r="V23" s="1"/>
      <c r="W23" s="35"/>
      <c r="X23" s="1"/>
      <c r="Y23" s="1"/>
      <c r="Z23" s="1"/>
      <c r="AA23" s="1"/>
      <c r="AB23" s="1"/>
      <c r="AC23" s="112"/>
      <c r="AD23" s="122"/>
      <c r="AE23" s="122"/>
      <c r="AF23" s="122"/>
      <c r="AG23" s="122"/>
      <c r="AH23" s="122"/>
      <c r="AI23" s="122"/>
      <c r="AJ23" s="122"/>
      <c r="AK23" s="300">
        <f>AK22/AK10</f>
        <v>12326.534213823757</v>
      </c>
      <c r="AL23" s="281">
        <f>AL22/AK10</f>
        <v>513.94609220608982</v>
      </c>
      <c r="AM23" s="4"/>
      <c r="AN23" s="4"/>
      <c r="AO23" s="205" t="e">
        <f>AO22/AO10</f>
        <v>#DIV/0!</v>
      </c>
      <c r="AP23" s="179"/>
      <c r="AQ23" s="255"/>
      <c r="AR23" s="214" t="e">
        <f>AR22/AR10</f>
        <v>#DIV/0!</v>
      </c>
      <c r="AS23" s="179"/>
      <c r="AT23" s="122"/>
      <c r="AU23" s="206"/>
      <c r="AV23" s="29"/>
      <c r="AW23" s="1"/>
      <c r="AX23" s="206"/>
      <c r="AY23" s="29"/>
      <c r="AZ23" s="1"/>
      <c r="BA23" s="1"/>
      <c r="BB23" s="1"/>
      <c r="BC23" s="1"/>
      <c r="BD23" s="1"/>
      <c r="BE23" s="1"/>
      <c r="BF23" s="1"/>
      <c r="BG23" s="1"/>
      <c r="BH23" s="1"/>
      <c r="BI23" s="1"/>
      <c r="BJ23" s="1"/>
      <c r="BK23" s="1"/>
      <c r="BL23" s="1"/>
      <c r="BM23" s="1"/>
      <c r="BN23" s="1"/>
      <c r="BO23" s="1"/>
    </row>
    <row r="24" spans="1:67">
      <c r="A24" s="1"/>
      <c r="B24" s="1"/>
      <c r="C24" s="1"/>
      <c r="D24" s="1"/>
      <c r="E24" s="1"/>
      <c r="F24" s="280" t="s">
        <v>51</v>
      </c>
      <c r="G24" s="28"/>
      <c r="H24" s="10"/>
      <c r="I24" s="12"/>
      <c r="J24" s="12"/>
      <c r="K24" s="1"/>
      <c r="L24" s="1"/>
      <c r="M24" s="103"/>
      <c r="N24" s="103"/>
      <c r="O24" s="103"/>
      <c r="P24" s="97"/>
      <c r="Q24" s="97"/>
      <c r="R24" s="97"/>
      <c r="S24" s="97"/>
      <c r="T24" s="1"/>
      <c r="U24" s="1"/>
      <c r="V24" s="1"/>
      <c r="W24" s="35"/>
      <c r="X24" s="1"/>
      <c r="Y24" s="1"/>
      <c r="Z24" s="1"/>
      <c r="AA24" s="1"/>
      <c r="AB24" s="1"/>
      <c r="AC24" s="112"/>
      <c r="AD24" s="122"/>
      <c r="AE24" s="122"/>
      <c r="AF24" s="122"/>
      <c r="AG24" s="122"/>
      <c r="AH24" s="122"/>
      <c r="AI24" s="122"/>
      <c r="AJ24" s="122"/>
      <c r="AK24" s="300">
        <f>AK22/AK11</f>
        <v>1145.1736093631266</v>
      </c>
      <c r="AL24" s="281">
        <f>AL22/AK11</f>
        <v>47.747200569132922</v>
      </c>
      <c r="AM24" s="4"/>
      <c r="AN24" s="4"/>
      <c r="AO24" s="206"/>
      <c r="AP24" s="179"/>
      <c r="AQ24" s="255"/>
      <c r="AR24" s="214"/>
      <c r="AS24" s="179"/>
      <c r="AT24" s="122"/>
      <c r="AU24" s="206"/>
      <c r="AV24" s="29"/>
      <c r="AW24" s="1"/>
      <c r="AX24" s="206"/>
      <c r="AY24" s="29"/>
      <c r="AZ24" s="1"/>
      <c r="BA24" s="1"/>
      <c r="BB24" s="1"/>
      <c r="BC24" s="1"/>
      <c r="BD24" s="1"/>
      <c r="BE24" s="1"/>
      <c r="BF24" s="1"/>
      <c r="BG24" s="1"/>
      <c r="BH24" s="1"/>
      <c r="BI24" s="1"/>
      <c r="BJ24" s="1"/>
      <c r="BK24" s="1"/>
      <c r="BL24" s="1"/>
      <c r="BM24" s="1"/>
      <c r="BN24" s="1"/>
      <c r="BO24" s="1"/>
    </row>
    <row r="25" spans="1:67">
      <c r="A25" s="1"/>
      <c r="B25" s="1"/>
      <c r="C25" s="1"/>
      <c r="D25" s="1"/>
      <c r="E25" s="1"/>
      <c r="F25" s="467"/>
      <c r="G25" s="468"/>
      <c r="H25" s="469"/>
      <c r="I25" s="110"/>
      <c r="J25" s="110"/>
      <c r="M25" s="470"/>
      <c r="N25" s="470"/>
      <c r="O25" s="470"/>
      <c r="P25" s="183"/>
      <c r="Q25" s="183"/>
      <c r="R25" s="183"/>
      <c r="S25" s="183"/>
      <c r="W25" s="90"/>
      <c r="AD25" s="89"/>
      <c r="AE25" s="89"/>
      <c r="AF25" s="89"/>
      <c r="AG25" s="89"/>
      <c r="AH25" s="89"/>
      <c r="AI25" s="89"/>
      <c r="AJ25" s="89"/>
      <c r="AK25" s="471"/>
      <c r="AL25" s="472"/>
      <c r="AM25" s="4"/>
      <c r="AN25" s="4"/>
      <c r="AO25" s="206"/>
      <c r="AP25" s="179"/>
      <c r="AQ25" s="255"/>
      <c r="AR25" s="214"/>
      <c r="AS25" s="179"/>
      <c r="AT25" s="122"/>
      <c r="AU25" s="206"/>
      <c r="AV25" s="29"/>
      <c r="AW25" s="1"/>
      <c r="AX25" s="206"/>
      <c r="AY25" s="29"/>
      <c r="AZ25" s="1"/>
      <c r="BA25" s="1"/>
      <c r="BB25" s="1"/>
      <c r="BC25" s="1"/>
      <c r="BD25" s="1"/>
      <c r="BE25" s="1"/>
      <c r="BF25" s="1"/>
      <c r="BG25" s="1"/>
      <c r="BH25" s="1"/>
      <c r="BI25" s="1"/>
      <c r="BJ25" s="1"/>
      <c r="BK25" s="1"/>
      <c r="BL25" s="1"/>
      <c r="BM25" s="1"/>
      <c r="BN25" s="1"/>
      <c r="BO25" s="1"/>
    </row>
    <row r="26" spans="1:67">
      <c r="A26" s="1"/>
      <c r="B26" s="1"/>
      <c r="C26" s="1"/>
      <c r="D26" s="1"/>
      <c r="E26" s="1"/>
      <c r="F26" s="280" t="s">
        <v>52</v>
      </c>
      <c r="G26" s="28"/>
      <c r="H26" s="10"/>
      <c r="I26" s="12"/>
      <c r="J26" s="12"/>
      <c r="K26" s="1"/>
      <c r="L26" s="1"/>
      <c r="M26" s="103"/>
      <c r="N26" s="103"/>
      <c r="O26" s="103"/>
      <c r="P26" s="97"/>
      <c r="Q26" s="97"/>
      <c r="R26" s="97"/>
      <c r="S26" s="97"/>
      <c r="T26" s="1"/>
      <c r="U26" s="1"/>
      <c r="V26" s="1"/>
      <c r="W26" s="35"/>
      <c r="X26" s="1"/>
      <c r="Y26" s="1"/>
      <c r="Z26" s="1"/>
      <c r="AA26" s="1"/>
      <c r="AB26" s="1"/>
      <c r="AC26" s="112"/>
      <c r="AD26" s="122"/>
      <c r="AE26" s="122"/>
      <c r="AF26" s="122"/>
      <c r="AG26" s="122"/>
      <c r="AH26" s="122"/>
      <c r="AI26" s="122"/>
      <c r="AJ26" s="122"/>
      <c r="AK26" s="300">
        <f>AK49*AK11</f>
        <v>5782086.7077961992</v>
      </c>
      <c r="AL26" s="281">
        <f>AL49*AK11</f>
        <v>241080.00000000003</v>
      </c>
      <c r="AM26" s="4"/>
      <c r="AN26" s="4"/>
      <c r="AO26" s="206"/>
      <c r="AP26" s="179"/>
      <c r="AQ26" s="255"/>
      <c r="AR26" s="214"/>
      <c r="AS26" s="179"/>
      <c r="AT26" s="122"/>
      <c r="AU26" s="206"/>
      <c r="AV26" s="29"/>
      <c r="AW26" s="1"/>
      <c r="AX26" s="206"/>
      <c r="AY26" s="29"/>
      <c r="AZ26" s="1"/>
      <c r="BA26" s="1"/>
      <c r="BB26" s="1"/>
      <c r="BC26" s="1"/>
      <c r="BD26" s="1"/>
      <c r="BE26" s="1"/>
      <c r="BF26" s="1"/>
      <c r="BG26" s="1"/>
      <c r="BH26" s="1"/>
      <c r="BI26" s="1"/>
      <c r="BJ26" s="1"/>
      <c r="BK26" s="1"/>
      <c r="BL26" s="1"/>
      <c r="BM26" s="1"/>
      <c r="BN26" s="1"/>
      <c r="BO26" s="1"/>
    </row>
    <row r="27" spans="1:67">
      <c r="A27" s="1"/>
      <c r="B27" s="1"/>
      <c r="C27" s="1"/>
      <c r="D27" s="1"/>
      <c r="E27" s="1"/>
      <c r="F27" s="27"/>
      <c r="G27" s="28"/>
      <c r="H27" s="10"/>
      <c r="I27" s="12"/>
      <c r="J27" s="12"/>
      <c r="K27" s="1"/>
      <c r="L27" s="1"/>
      <c r="M27" s="103"/>
      <c r="N27" s="103"/>
      <c r="O27" s="103"/>
      <c r="P27" s="97"/>
      <c r="Q27" s="97"/>
      <c r="R27" s="97"/>
      <c r="S27" s="97"/>
      <c r="T27" s="1"/>
      <c r="U27" s="1"/>
      <c r="V27" s="1"/>
      <c r="W27" s="35"/>
      <c r="X27" s="1"/>
      <c r="Y27" s="1"/>
      <c r="Z27" s="1"/>
      <c r="AA27" s="1"/>
      <c r="AB27" s="1"/>
      <c r="AC27" s="112"/>
      <c r="AD27" s="122"/>
      <c r="AE27" s="122"/>
      <c r="AF27" s="122"/>
      <c r="AG27" s="122"/>
      <c r="AH27" s="122"/>
      <c r="AI27" s="122"/>
      <c r="AJ27" s="122"/>
      <c r="AK27" s="297"/>
      <c r="AL27" s="187"/>
      <c r="AM27" s="4"/>
      <c r="AN27" s="4"/>
      <c r="AO27" s="206"/>
      <c r="AP27" s="179"/>
      <c r="AQ27" s="255"/>
      <c r="AR27" s="214"/>
      <c r="AS27" s="179"/>
      <c r="AT27" s="122"/>
      <c r="AU27" s="206"/>
      <c r="AV27" s="29"/>
      <c r="AW27" s="1"/>
      <c r="AX27" s="206"/>
      <c r="AY27" s="29"/>
      <c r="AZ27" s="1"/>
      <c r="BA27" s="1"/>
      <c r="BB27" s="1"/>
      <c r="BC27" s="1"/>
      <c r="BD27" s="1"/>
      <c r="BE27" s="1"/>
      <c r="BF27" s="1"/>
      <c r="BG27" s="1"/>
      <c r="BH27" s="1"/>
      <c r="BI27" s="1"/>
      <c r="BJ27" s="1"/>
      <c r="BK27" s="1"/>
      <c r="BL27" s="1"/>
      <c r="BM27" s="1"/>
      <c r="BN27" s="1"/>
      <c r="BO27" s="1"/>
    </row>
    <row r="28" spans="1:67">
      <c r="A28" s="1"/>
      <c r="B28" s="1"/>
      <c r="C28" s="1"/>
      <c r="D28" s="1"/>
      <c r="E28" s="1"/>
      <c r="F28" s="141" t="s">
        <v>53</v>
      </c>
      <c r="G28" s="142"/>
      <c r="H28" s="143"/>
      <c r="I28" s="144"/>
      <c r="J28" s="144"/>
      <c r="K28" s="144"/>
      <c r="L28" s="144"/>
      <c r="M28" s="145"/>
      <c r="N28" s="145"/>
      <c r="O28" s="145"/>
      <c r="P28" s="146"/>
      <c r="Q28" s="146"/>
      <c r="R28" s="146"/>
      <c r="S28" s="146"/>
      <c r="T28" s="144"/>
      <c r="U28" s="144"/>
      <c r="V28" s="144"/>
      <c r="W28" s="147"/>
      <c r="X28" s="147"/>
      <c r="Y28" s="147"/>
      <c r="Z28" s="147"/>
      <c r="AA28" s="147"/>
      <c r="AB28" s="147"/>
      <c r="AC28" s="140"/>
      <c r="AD28" s="148"/>
      <c r="AE28" s="148"/>
      <c r="AF28" s="148"/>
      <c r="AG28" s="148"/>
      <c r="AH28" s="148"/>
      <c r="AI28" s="148"/>
      <c r="AJ28" s="148"/>
      <c r="AK28" s="301"/>
      <c r="AL28" s="219"/>
      <c r="AM28" s="4"/>
      <c r="AN28" s="227"/>
      <c r="AO28" s="209"/>
      <c r="AP28" s="245"/>
      <c r="AQ28" s="258"/>
      <c r="AR28" s="250"/>
      <c r="AS28" s="245"/>
      <c r="AT28" s="149"/>
      <c r="AU28" s="209"/>
      <c r="AV28" s="245"/>
      <c r="AW28" s="149"/>
      <c r="AX28" s="209"/>
      <c r="AY28" s="245"/>
      <c r="AZ28" s="1"/>
      <c r="BA28" s="1"/>
      <c r="BB28" s="1"/>
      <c r="BC28" s="1"/>
      <c r="BD28" s="1"/>
      <c r="BE28" s="1"/>
      <c r="BF28" s="1"/>
      <c r="BG28" s="1"/>
      <c r="BH28" s="1"/>
      <c r="BI28" s="1"/>
      <c r="BJ28" s="1"/>
      <c r="BK28" s="1"/>
      <c r="BL28" s="1"/>
      <c r="BM28" s="1"/>
      <c r="BN28" s="1"/>
      <c r="BO28" s="1"/>
    </row>
    <row r="29" spans="1:67">
      <c r="A29" s="1"/>
      <c r="B29" s="1"/>
      <c r="C29" s="1"/>
      <c r="D29" s="1"/>
      <c r="E29" s="1"/>
      <c r="F29" s="27" t="s">
        <v>54</v>
      </c>
      <c r="G29" s="13">
        <v>31699</v>
      </c>
      <c r="H29" s="13">
        <f>'[1]Final Account'!I15</f>
        <v>20343.650000000001</v>
      </c>
      <c r="I29" s="14">
        <v>49200</v>
      </c>
      <c r="J29" s="14"/>
      <c r="K29" s="9">
        <v>1000000</v>
      </c>
      <c r="L29" s="1"/>
      <c r="M29" s="102" t="e">
        <f>N29</f>
        <v>#VALUE!</v>
      </c>
      <c r="N29" s="102" t="e">
        <f>N9*Benchmarks!C91</f>
        <v>#VALUE!</v>
      </c>
      <c r="O29" s="102" t="e">
        <f>Benchmarks!C91*Budget!O9</f>
        <v>#VALUE!</v>
      </c>
      <c r="P29" s="96" t="e">
        <f>O29</f>
        <v>#VALUE!</v>
      </c>
      <c r="Q29" s="96" t="e">
        <f>Benchmarks!C91*270</f>
        <v>#VALUE!</v>
      </c>
      <c r="R29" s="96" t="e">
        <f>Q29</f>
        <v>#VALUE!</v>
      </c>
      <c r="S29" s="96" t="e">
        <f>S47*S9*2</f>
        <v>#VALUE!</v>
      </c>
      <c r="T29" s="9" t="e">
        <f>T47*T9*2</f>
        <v>#VALUE!</v>
      </c>
      <c r="U29" s="11" t="e">
        <f>U9*U47*2</f>
        <v>#VALUE!</v>
      </c>
      <c r="V29" s="9" t="e">
        <f>V9*V47</f>
        <v>#VALUE!</v>
      </c>
      <c r="W29" s="21" t="e">
        <f>#REF!</f>
        <v>#REF!</v>
      </c>
      <c r="X29" s="21">
        <f>X47*750</f>
        <v>83250</v>
      </c>
      <c r="Y29" s="113" t="e">
        <f>#REF!</f>
        <v>#REF!</v>
      </c>
      <c r="Z29" s="113" t="e">
        <f>#REF!</f>
        <v>#REF!</v>
      </c>
      <c r="AA29" s="113" t="e">
        <f>AA47*750</f>
        <v>#REF!</v>
      </c>
      <c r="AB29" s="113" t="e">
        <f>AB47*750</f>
        <v>#REF!</v>
      </c>
      <c r="AC29" s="112"/>
      <c r="AD29" s="122" t="e">
        <f>W29*$W$86</f>
        <v>#REF!</v>
      </c>
      <c r="AE29" s="122">
        <f t="shared" ref="AE29:AI29" si="12">X29*$W$86</f>
        <v>112387.50000000001</v>
      </c>
      <c r="AF29" s="122" t="e">
        <f t="shared" si="12"/>
        <v>#REF!</v>
      </c>
      <c r="AG29" s="122" t="e">
        <f t="shared" si="12"/>
        <v>#REF!</v>
      </c>
      <c r="AH29" s="122" t="e">
        <f t="shared" si="12"/>
        <v>#REF!</v>
      </c>
      <c r="AI29" s="122" t="e">
        <f t="shared" si="12"/>
        <v>#REF!</v>
      </c>
      <c r="AJ29" s="122"/>
      <c r="AK29" s="297">
        <f>AK47*AK9</f>
        <v>237442.58506380609</v>
      </c>
      <c r="AL29" s="187">
        <f>AL47*AK9</f>
        <v>9900</v>
      </c>
      <c r="AM29" s="4"/>
      <c r="AN29" s="4"/>
      <c r="AO29" s="206">
        <f>AO47*AO9</f>
        <v>0</v>
      </c>
      <c r="AP29" s="179">
        <f>AP47*AO9</f>
        <v>0</v>
      </c>
      <c r="AQ29" s="255"/>
      <c r="AR29" s="214">
        <f>AR47*AR9</f>
        <v>0</v>
      </c>
      <c r="AS29" s="179">
        <f>AS47*AR9</f>
        <v>0</v>
      </c>
      <c r="AT29" s="122"/>
      <c r="AU29" s="206">
        <f>AU47*AU9</f>
        <v>0</v>
      </c>
      <c r="AV29" s="179">
        <f>AV47*AU9</f>
        <v>0</v>
      </c>
      <c r="AW29" s="122"/>
      <c r="AX29" s="206">
        <f>AX47*AX9</f>
        <v>0</v>
      </c>
      <c r="AY29" s="179">
        <f>AY47*AX9</f>
        <v>0</v>
      </c>
      <c r="AZ29" s="1"/>
      <c r="BA29" s="1"/>
      <c r="BB29" s="1"/>
      <c r="BC29" s="1"/>
      <c r="BD29" s="1"/>
      <c r="BE29" s="1"/>
      <c r="BF29" s="1"/>
      <c r="BG29" s="1"/>
      <c r="BH29" s="1"/>
      <c r="BI29" s="1"/>
      <c r="BJ29" s="1"/>
      <c r="BK29" s="1"/>
      <c r="BL29" s="1"/>
      <c r="BM29" s="1"/>
      <c r="BN29" s="1"/>
      <c r="BO29" s="1"/>
    </row>
    <row r="30" spans="1:67">
      <c r="A30" s="1"/>
      <c r="B30" s="1"/>
      <c r="C30" s="1"/>
      <c r="D30" s="1"/>
      <c r="E30" s="1"/>
      <c r="F30" s="158" t="s">
        <v>55</v>
      </c>
      <c r="G30" s="154"/>
      <c r="H30" s="155"/>
      <c r="I30" s="154"/>
      <c r="J30" s="154"/>
      <c r="K30" s="154"/>
      <c r="L30" s="154"/>
      <c r="M30" s="154"/>
      <c r="N30" s="154"/>
      <c r="O30" s="154"/>
      <c r="P30" s="154"/>
      <c r="Q30" s="154"/>
      <c r="R30" s="154"/>
      <c r="S30" s="156"/>
      <c r="T30" s="154"/>
      <c r="U30" s="154"/>
      <c r="V30" s="154"/>
      <c r="W30" s="157"/>
      <c r="X30" s="154"/>
      <c r="Y30" s="154"/>
      <c r="Z30" s="154"/>
      <c r="AA30" s="154"/>
      <c r="AB30" s="154"/>
      <c r="AC30" s="154"/>
      <c r="AD30" s="149"/>
      <c r="AE30" s="149"/>
      <c r="AF30" s="149"/>
      <c r="AG30" s="149"/>
      <c r="AH30" s="149"/>
      <c r="AI30" s="149"/>
      <c r="AJ30" s="149"/>
      <c r="AK30" s="301"/>
      <c r="AL30" s="219"/>
      <c r="AM30" s="4"/>
      <c r="AN30" s="227"/>
      <c r="AO30" s="209"/>
      <c r="AP30" s="245"/>
      <c r="AQ30" s="258"/>
      <c r="AR30" s="250"/>
      <c r="AS30" s="245"/>
      <c r="AT30" s="149"/>
      <c r="AU30" s="209"/>
      <c r="AV30" s="245"/>
      <c r="AW30" s="149"/>
      <c r="AX30" s="209"/>
      <c r="AY30" s="245"/>
      <c r="AZ30" s="1"/>
      <c r="BA30" s="1"/>
      <c r="BB30" s="1"/>
      <c r="BC30" s="1"/>
      <c r="BD30" s="1"/>
      <c r="BE30" s="1"/>
      <c r="BF30" s="1"/>
      <c r="BG30" s="1"/>
      <c r="BH30" s="1"/>
      <c r="BI30" s="1"/>
      <c r="BJ30" s="1"/>
      <c r="BK30" s="1"/>
      <c r="BL30" s="1"/>
      <c r="BM30" s="1"/>
      <c r="BN30" s="1"/>
      <c r="BO30" s="1"/>
    </row>
    <row r="31" spans="1:67">
      <c r="A31" s="1"/>
      <c r="B31" s="1"/>
      <c r="C31" s="1"/>
      <c r="D31" s="1"/>
      <c r="E31" s="1"/>
      <c r="F31" s="15" t="s">
        <v>55</v>
      </c>
      <c r="G31" s="1"/>
      <c r="H31" s="3"/>
      <c r="I31" s="1"/>
      <c r="J31" s="1"/>
      <c r="K31" s="1"/>
      <c r="L31" s="1"/>
      <c r="M31" s="1"/>
      <c r="N31" s="1"/>
      <c r="O31" s="1"/>
      <c r="P31" s="1"/>
      <c r="Q31" s="1"/>
      <c r="R31" s="1"/>
      <c r="S31" s="96">
        <f>S48*S10</f>
        <v>1010730</v>
      </c>
      <c r="T31" s="9">
        <f>T48*T10</f>
        <v>505365</v>
      </c>
      <c r="U31" s="9">
        <f>U48*U10</f>
        <v>1010730</v>
      </c>
      <c r="V31" s="9">
        <f>V48*V10</f>
        <v>630000</v>
      </c>
      <c r="W31" s="21" t="e">
        <f>#REF!</f>
        <v>#REF!</v>
      </c>
      <c r="X31" s="21">
        <f>X48*X10</f>
        <v>925770</v>
      </c>
      <c r="Y31" s="113" t="e">
        <f>#REF!</f>
        <v>#REF!</v>
      </c>
      <c r="Z31" s="113" t="e">
        <f>#REF!</f>
        <v>#REF!</v>
      </c>
      <c r="AA31" s="113" t="e">
        <f>AA48*AA10</f>
        <v>#REF!</v>
      </c>
      <c r="AB31" s="113" t="e">
        <f>AB48*AB10</f>
        <v>#REF!</v>
      </c>
      <c r="AC31" s="112"/>
      <c r="AD31" s="122" t="e">
        <f>W31*$W$86</f>
        <v>#REF!</v>
      </c>
      <c r="AE31" s="122">
        <f t="shared" ref="AE31:AI31" si="13">X31*$W$86</f>
        <v>1249789.5</v>
      </c>
      <c r="AF31" s="122" t="e">
        <f t="shared" si="13"/>
        <v>#REF!</v>
      </c>
      <c r="AG31" s="122" t="e">
        <f t="shared" si="13"/>
        <v>#REF!</v>
      </c>
      <c r="AH31" s="122" t="e">
        <f t="shared" si="13"/>
        <v>#REF!</v>
      </c>
      <c r="AI31" s="122" t="e">
        <f t="shared" si="13"/>
        <v>#REF!</v>
      </c>
      <c r="AJ31" s="122"/>
      <c r="AK31" s="297">
        <f>AK48*AK10</f>
        <v>206503.09670700709</v>
      </c>
      <c r="AL31" s="187">
        <f>AL48*AK10</f>
        <v>8610</v>
      </c>
      <c r="AM31" s="4"/>
      <c r="AN31" s="4"/>
      <c r="AO31" s="206">
        <f>AO48*AO10</f>
        <v>0</v>
      </c>
      <c r="AP31" s="179">
        <f>AP48*AO10</f>
        <v>0</v>
      </c>
      <c r="AQ31" s="255"/>
      <c r="AR31" s="214">
        <f>AR48*AR10</f>
        <v>0</v>
      </c>
      <c r="AS31" s="179">
        <f>AS48*AR10</f>
        <v>0</v>
      </c>
      <c r="AT31" s="122"/>
      <c r="AU31" s="206">
        <f>AU10*AU48</f>
        <v>0</v>
      </c>
      <c r="AV31" s="179">
        <f>AV48*AU10</f>
        <v>0</v>
      </c>
      <c r="AW31" s="122"/>
      <c r="AX31" s="206">
        <f>AX10*AX48</f>
        <v>0</v>
      </c>
      <c r="AY31" s="179">
        <f>AY48*AX10</f>
        <v>0</v>
      </c>
      <c r="AZ31" s="1"/>
      <c r="BA31" s="1"/>
      <c r="BB31" s="1"/>
      <c r="BC31" s="1"/>
      <c r="BD31" s="1"/>
      <c r="BE31" s="1"/>
      <c r="BF31" s="1"/>
      <c r="BG31" s="1"/>
      <c r="BH31" s="1"/>
      <c r="BI31" s="1"/>
      <c r="BJ31" s="1"/>
      <c r="BK31" s="1"/>
      <c r="BL31" s="1"/>
      <c r="BM31" s="1"/>
      <c r="BN31" s="1"/>
      <c r="BO31" s="1"/>
    </row>
    <row r="32" spans="1:67">
      <c r="A32" s="1"/>
      <c r="B32" s="1"/>
      <c r="C32" s="1"/>
      <c r="D32" s="1"/>
      <c r="E32" s="1"/>
      <c r="F32" s="29"/>
      <c r="G32" s="1"/>
      <c r="H32" s="3"/>
      <c r="I32" s="1"/>
      <c r="J32" s="1"/>
      <c r="K32" s="1"/>
      <c r="L32" s="1"/>
      <c r="M32" s="1"/>
      <c r="N32" s="1"/>
      <c r="O32" s="1"/>
      <c r="P32" s="1"/>
      <c r="Q32" s="1"/>
      <c r="R32" s="1"/>
      <c r="S32" s="1"/>
      <c r="T32" s="1"/>
      <c r="U32" s="1"/>
      <c r="V32" s="1"/>
      <c r="W32" s="35"/>
      <c r="X32" s="1"/>
      <c r="Y32" s="1"/>
      <c r="Z32" s="1"/>
      <c r="AA32" s="1"/>
      <c r="AB32" s="1"/>
      <c r="AC32" s="112"/>
      <c r="AD32" s="122"/>
      <c r="AE32" s="122"/>
      <c r="AF32" s="122"/>
      <c r="AG32" s="122"/>
      <c r="AH32" s="122"/>
      <c r="AI32" s="122"/>
      <c r="AJ32" s="122"/>
      <c r="AK32" s="297"/>
      <c r="AL32" s="187"/>
      <c r="AM32" s="4"/>
      <c r="AN32" s="4"/>
      <c r="AO32" s="206"/>
      <c r="AP32" s="179"/>
      <c r="AQ32" s="255"/>
      <c r="AR32" s="214"/>
      <c r="AS32" s="179"/>
      <c r="AT32" s="122"/>
      <c r="AU32" s="206"/>
      <c r="AV32" s="29"/>
      <c r="AW32" s="1"/>
      <c r="AX32" s="206"/>
      <c r="AY32" s="29"/>
      <c r="AZ32" s="1"/>
      <c r="BA32" s="1"/>
      <c r="BB32" s="1"/>
      <c r="BC32" s="1"/>
      <c r="BD32" s="1"/>
      <c r="BE32" s="1"/>
      <c r="BF32" s="1"/>
      <c r="BG32" s="1"/>
      <c r="BH32" s="1"/>
      <c r="BI32" s="1"/>
      <c r="BJ32" s="1"/>
      <c r="BK32" s="1"/>
      <c r="BL32" s="1"/>
      <c r="BM32" s="1"/>
      <c r="BN32" s="1"/>
      <c r="BO32" s="1"/>
    </row>
    <row r="33" spans="1:67" ht="15" thickBot="1">
      <c r="A33" s="1"/>
      <c r="B33" s="1"/>
      <c r="C33" s="1"/>
      <c r="D33" s="1"/>
      <c r="E33" s="1"/>
      <c r="F33" s="150"/>
      <c r="G33" s="24"/>
      <c r="H33" s="151"/>
      <c r="I33" s="24"/>
      <c r="J33" s="24"/>
      <c r="K33" s="24"/>
      <c r="L33" s="24"/>
      <c r="M33" s="24"/>
      <c r="N33" s="24"/>
      <c r="O33" s="24"/>
      <c r="P33" s="24"/>
      <c r="Q33" s="24"/>
      <c r="R33" s="24"/>
      <c r="S33" s="24"/>
      <c r="T33" s="24"/>
      <c r="U33" s="24"/>
      <c r="V33" s="24"/>
      <c r="W33" s="137"/>
      <c r="X33" s="24"/>
      <c r="Y33" s="152"/>
      <c r="Z33" s="152"/>
      <c r="AA33" s="152"/>
      <c r="AB33" s="152"/>
      <c r="AC33" s="133"/>
      <c r="AD33" s="123"/>
      <c r="AE33" s="123"/>
      <c r="AF33" s="153"/>
      <c r="AG33" s="153"/>
      <c r="AH33" s="153"/>
      <c r="AI33" s="153"/>
      <c r="AJ33" s="153"/>
      <c r="AK33" s="298"/>
      <c r="AL33" s="217"/>
      <c r="AM33" s="4"/>
      <c r="AN33" s="225"/>
      <c r="AO33" s="207"/>
      <c r="AP33" s="243"/>
      <c r="AQ33" s="256"/>
      <c r="AR33" s="248"/>
      <c r="AS33" s="243"/>
      <c r="AT33" s="123"/>
      <c r="AU33" s="207"/>
      <c r="AV33" s="150"/>
      <c r="AW33" s="24"/>
      <c r="AX33" s="207"/>
      <c r="AY33" s="150"/>
      <c r="AZ33" s="1"/>
      <c r="BA33" s="1"/>
      <c r="BB33" s="1"/>
      <c r="BC33" s="1"/>
      <c r="BD33" s="1"/>
      <c r="BE33" s="1"/>
      <c r="BF33" s="1"/>
      <c r="BG33" s="1"/>
      <c r="BH33" s="1"/>
      <c r="BI33" s="1"/>
      <c r="BJ33" s="1"/>
      <c r="BK33" s="1"/>
      <c r="BL33" s="1"/>
      <c r="BM33" s="1"/>
      <c r="BN33" s="1"/>
      <c r="BO33" s="1"/>
    </row>
    <row r="34" spans="1:67" ht="15" thickTop="1">
      <c r="A34" s="1"/>
      <c r="B34" s="1"/>
      <c r="C34" s="1"/>
      <c r="D34" s="1"/>
      <c r="E34" s="1"/>
      <c r="F34" s="118" t="s">
        <v>56</v>
      </c>
      <c r="G34" s="119" t="s">
        <v>57</v>
      </c>
      <c r="H34" s="119" t="s">
        <v>58</v>
      </c>
      <c r="I34" s="119" t="s">
        <v>59</v>
      </c>
      <c r="J34" s="119" t="s">
        <v>60</v>
      </c>
      <c r="K34" s="120"/>
      <c r="L34" s="121"/>
      <c r="M34" s="120"/>
      <c r="N34" s="120"/>
      <c r="O34" s="120"/>
      <c r="P34" s="120"/>
      <c r="Q34" s="120"/>
      <c r="R34" s="120"/>
      <c r="S34" s="120"/>
      <c r="T34" s="120"/>
      <c r="U34" s="120"/>
      <c r="V34" s="120"/>
      <c r="W34" s="129" t="e">
        <f>W31+W29+W22</f>
        <v>#REF!</v>
      </c>
      <c r="X34" s="129">
        <f t="shared" ref="X34:AB34" si="14">X31+X29+X22</f>
        <v>7427692</v>
      </c>
      <c r="Y34" s="129" t="e">
        <f t="shared" si="14"/>
        <v>#REF!</v>
      </c>
      <c r="Z34" s="129" t="e">
        <f t="shared" si="14"/>
        <v>#REF!</v>
      </c>
      <c r="AA34" s="129" t="e">
        <f t="shared" si="14"/>
        <v>#REF!</v>
      </c>
      <c r="AB34" s="129" t="e">
        <f t="shared" si="14"/>
        <v>#REF!</v>
      </c>
      <c r="AC34" s="112"/>
      <c r="AD34" s="125" t="e">
        <f>AD31+AD29+AD22</f>
        <v>#REF!</v>
      </c>
      <c r="AE34" s="125">
        <f t="shared" ref="AE34:AI34" si="15">AE31+AE29+AE22</f>
        <v>10027384.199999999</v>
      </c>
      <c r="AF34" s="125" t="e">
        <f t="shared" si="15"/>
        <v>#REF!</v>
      </c>
      <c r="AG34" s="125" t="e">
        <f t="shared" si="15"/>
        <v>#REF!</v>
      </c>
      <c r="AH34" s="125" t="e">
        <f t="shared" si="15"/>
        <v>#REF!</v>
      </c>
      <c r="AI34" s="125" t="e">
        <f t="shared" si="15"/>
        <v>#REF!</v>
      </c>
      <c r="AJ34" s="125"/>
      <c r="AK34" s="302">
        <f>AK31+AK29+AK22-AK26</f>
        <v>8812720.2514442876</v>
      </c>
      <c r="AL34" s="220">
        <f>AL31+AL29+AL22-AL26</f>
        <v>367440.11385259114</v>
      </c>
      <c r="AM34" s="226"/>
      <c r="AN34" s="121"/>
      <c r="AO34" s="210">
        <f t="shared" ref="AO34:AS34" si="16">AO31+AO29+AO22</f>
        <v>0</v>
      </c>
      <c r="AP34" s="246">
        <f t="shared" si="16"/>
        <v>0</v>
      </c>
      <c r="AQ34" s="259"/>
      <c r="AR34" s="251">
        <f t="shared" si="16"/>
        <v>0</v>
      </c>
      <c r="AS34" s="246">
        <f t="shared" si="16"/>
        <v>0</v>
      </c>
      <c r="AT34" s="125"/>
      <c r="AU34" s="210">
        <f t="shared" ref="AU34:AV34" si="17">AU31+AU29+AU22</f>
        <v>0</v>
      </c>
      <c r="AV34" s="246">
        <f t="shared" si="17"/>
        <v>0</v>
      </c>
      <c r="AW34" s="125"/>
      <c r="AX34" s="210">
        <f t="shared" ref="AX34:AY34" si="18">AX31+AX29+AX22</f>
        <v>0</v>
      </c>
      <c r="AY34" s="246">
        <f t="shared" si="18"/>
        <v>0</v>
      </c>
      <c r="AZ34" s="1"/>
      <c r="BA34" s="1"/>
      <c r="BB34" s="1"/>
      <c r="BC34" s="1"/>
      <c r="BD34" s="1"/>
      <c r="BE34" s="1"/>
      <c r="BF34" s="1"/>
      <c r="BG34" s="1"/>
      <c r="BH34" s="1"/>
      <c r="BI34" s="1"/>
      <c r="BJ34" s="1"/>
      <c r="BK34" s="1"/>
      <c r="BL34" s="1"/>
      <c r="BM34" s="1"/>
      <c r="BN34" s="1"/>
      <c r="BO34" s="1"/>
    </row>
    <row r="35" spans="1:67" ht="29">
      <c r="A35" s="1"/>
      <c r="B35" s="1"/>
      <c r="C35" s="1"/>
      <c r="D35" s="1"/>
      <c r="E35" s="1"/>
      <c r="F35" s="29"/>
      <c r="G35" s="31" t="s">
        <v>61</v>
      </c>
      <c r="H35" s="32" t="s">
        <v>62</v>
      </c>
      <c r="I35" s="30" t="s">
        <v>63</v>
      </c>
      <c r="J35" s="30" t="s">
        <v>64</v>
      </c>
      <c r="K35" s="1"/>
      <c r="L35" s="4"/>
      <c r="M35" s="1"/>
      <c r="N35" s="1"/>
      <c r="O35" s="1"/>
      <c r="P35" s="1"/>
      <c r="Q35" s="1"/>
      <c r="R35" s="1"/>
      <c r="S35" s="1"/>
      <c r="T35" s="1"/>
      <c r="U35" s="1"/>
      <c r="V35" s="1"/>
      <c r="W35" s="35"/>
      <c r="X35" s="1"/>
      <c r="Y35" s="1"/>
      <c r="Z35" s="1"/>
      <c r="AA35" s="35"/>
      <c r="AB35" s="35"/>
      <c r="AC35" s="112"/>
      <c r="AD35" s="122"/>
      <c r="AE35" s="122"/>
      <c r="AF35" s="122"/>
      <c r="AG35" s="122"/>
      <c r="AH35" s="122"/>
      <c r="AI35" s="122"/>
      <c r="AJ35" s="122"/>
      <c r="AK35" s="297"/>
      <c r="AL35" s="187"/>
      <c r="AM35" s="4"/>
      <c r="AN35" s="4"/>
      <c r="AO35" s="206"/>
      <c r="AP35" s="179"/>
      <c r="AQ35" s="255"/>
      <c r="AR35" s="214"/>
      <c r="AS35" s="29"/>
      <c r="AT35" s="1"/>
      <c r="AU35" s="206"/>
      <c r="AV35" s="29"/>
      <c r="AW35" s="1"/>
      <c r="AX35" s="206"/>
      <c r="AY35" s="29"/>
      <c r="AZ35" s="1"/>
      <c r="BA35" s="1"/>
      <c r="BB35" s="1"/>
      <c r="BC35" s="1"/>
      <c r="BD35" s="1"/>
      <c r="BE35" s="1"/>
      <c r="BF35" s="1"/>
      <c r="BG35" s="1"/>
      <c r="BH35" s="1"/>
      <c r="BI35" s="1"/>
      <c r="BJ35" s="1"/>
      <c r="BK35" s="1"/>
      <c r="BL35" s="1"/>
      <c r="BM35" s="1"/>
      <c r="BN35" s="1"/>
      <c r="BO35" s="1"/>
    </row>
    <row r="36" spans="1:67">
      <c r="A36" s="1"/>
      <c r="B36" s="1"/>
      <c r="C36" s="1"/>
      <c r="D36" s="1"/>
      <c r="E36" s="1"/>
      <c r="F36" s="29"/>
      <c r="G36" s="30" t="s">
        <v>65</v>
      </c>
      <c r="H36" s="33" t="s">
        <v>66</v>
      </c>
      <c r="I36" s="30" t="s">
        <v>67</v>
      </c>
      <c r="J36" s="30" t="s">
        <v>67</v>
      </c>
      <c r="K36" s="1"/>
      <c r="L36" s="1"/>
      <c r="M36" s="1"/>
      <c r="N36" s="1"/>
      <c r="O36" s="1"/>
      <c r="P36" s="1"/>
      <c r="Q36" s="1"/>
      <c r="R36" s="1"/>
      <c r="S36" s="1"/>
      <c r="T36" s="1"/>
      <c r="U36" s="1"/>
      <c r="V36" s="1"/>
      <c r="W36" s="35"/>
      <c r="X36" s="21"/>
      <c r="Y36" s="1"/>
      <c r="Z36" s="35"/>
      <c r="AA36" s="21"/>
      <c r="AB36" s="21"/>
      <c r="AC36" s="112"/>
      <c r="AD36" s="122"/>
      <c r="AE36" s="122"/>
      <c r="AF36" s="122"/>
      <c r="AG36" s="122"/>
      <c r="AH36" s="122"/>
      <c r="AI36" s="122"/>
      <c r="AJ36" s="122"/>
      <c r="AK36" s="297"/>
      <c r="AL36" s="187"/>
      <c r="AM36" s="4"/>
      <c r="AN36" s="4"/>
      <c r="AO36" s="206"/>
      <c r="AP36" s="179"/>
      <c r="AQ36" s="255"/>
      <c r="AR36" s="214"/>
      <c r="AS36" s="29"/>
      <c r="AT36" s="1"/>
      <c r="AU36" s="206"/>
      <c r="AV36" s="29"/>
      <c r="AW36" s="1"/>
      <c r="AX36" s="206"/>
      <c r="AY36" s="29"/>
      <c r="AZ36" s="1"/>
      <c r="BA36" s="1"/>
      <c r="BB36" s="1"/>
      <c r="BC36" s="1"/>
      <c r="BD36" s="1"/>
      <c r="BE36" s="1"/>
      <c r="BF36" s="1"/>
      <c r="BG36" s="1"/>
      <c r="BH36" s="1"/>
      <c r="BI36" s="1"/>
      <c r="BJ36" s="1"/>
      <c r="BK36" s="1"/>
      <c r="BL36" s="1"/>
      <c r="BM36" s="1"/>
      <c r="BN36" s="1"/>
      <c r="BO36" s="1"/>
    </row>
    <row r="37" spans="1:67" ht="29">
      <c r="A37" s="1"/>
      <c r="B37" s="1"/>
      <c r="C37" s="1"/>
      <c r="D37" s="1"/>
      <c r="E37" s="1"/>
      <c r="F37" s="29"/>
      <c r="G37" s="30"/>
      <c r="H37" s="30"/>
      <c r="I37" s="30"/>
      <c r="J37" s="31" t="s">
        <v>68</v>
      </c>
      <c r="K37" s="1"/>
      <c r="L37" s="1"/>
      <c r="M37" s="1"/>
      <c r="N37" s="1"/>
      <c r="O37" s="1"/>
      <c r="P37" s="1"/>
      <c r="Q37" s="1"/>
      <c r="R37" s="1"/>
      <c r="S37" s="1"/>
      <c r="T37" s="1"/>
      <c r="U37" s="1"/>
      <c r="V37" s="1"/>
      <c r="W37" s="35"/>
      <c r="X37" s="1"/>
      <c r="Y37" s="1"/>
      <c r="Z37" s="1"/>
      <c r="AA37" s="1"/>
      <c r="AB37" s="1"/>
      <c r="AC37" s="112"/>
      <c r="AD37" s="122"/>
      <c r="AE37" s="122"/>
      <c r="AF37" s="122"/>
      <c r="AG37" s="122"/>
      <c r="AH37" s="122"/>
      <c r="AI37" s="122"/>
      <c r="AJ37" s="122"/>
      <c r="AK37" s="297"/>
      <c r="AL37" s="187"/>
      <c r="AM37" s="4"/>
      <c r="AN37" s="4"/>
      <c r="AO37" s="206"/>
      <c r="AP37" s="179"/>
      <c r="AQ37" s="255"/>
      <c r="AR37" s="214"/>
      <c r="AS37" s="29"/>
      <c r="AT37" s="1"/>
      <c r="AU37" s="206"/>
      <c r="AV37" s="29"/>
      <c r="AW37" s="1"/>
      <c r="AX37" s="206"/>
      <c r="AY37" s="29"/>
      <c r="AZ37" s="1"/>
      <c r="BA37" s="1"/>
      <c r="BB37" s="1"/>
      <c r="BC37" s="1"/>
      <c r="BD37" s="1"/>
      <c r="BE37" s="1"/>
      <c r="BF37" s="1"/>
      <c r="BG37" s="1"/>
      <c r="BH37" s="1"/>
      <c r="BI37" s="1"/>
      <c r="BJ37" s="1"/>
      <c r="BK37" s="1"/>
      <c r="BL37" s="1"/>
      <c r="BM37" s="1"/>
      <c r="BN37" s="1"/>
      <c r="BO37" s="1"/>
    </row>
    <row r="38" spans="1:67">
      <c r="A38" s="1"/>
      <c r="B38" s="1"/>
      <c r="C38" s="1"/>
      <c r="D38" s="1"/>
      <c r="E38" s="1"/>
      <c r="F38" s="16" t="s">
        <v>69</v>
      </c>
      <c r="G38" s="17"/>
      <c r="H38" s="18"/>
      <c r="I38" s="18"/>
      <c r="J38" s="18"/>
      <c r="K38" s="18"/>
      <c r="L38" s="18"/>
      <c r="M38" s="18"/>
      <c r="N38" s="18"/>
      <c r="O38" s="18"/>
      <c r="P38" s="18"/>
      <c r="Q38" s="18"/>
      <c r="R38" s="18"/>
      <c r="S38" s="18"/>
      <c r="T38" s="18"/>
      <c r="U38" s="18"/>
      <c r="V38" s="18"/>
      <c r="W38" s="111"/>
      <c r="X38" s="111"/>
      <c r="Y38" s="111"/>
      <c r="Z38" s="111"/>
      <c r="AA38" s="111"/>
      <c r="AB38" s="111"/>
      <c r="AC38" s="112"/>
      <c r="AD38" s="16" t="s">
        <v>70</v>
      </c>
      <c r="AE38" s="126"/>
      <c r="AF38" s="126"/>
      <c r="AG38" s="126"/>
      <c r="AH38" s="126"/>
      <c r="AI38" s="126"/>
      <c r="AJ38" s="18" t="s">
        <v>40</v>
      </c>
      <c r="AK38" s="303"/>
      <c r="AL38" s="221"/>
      <c r="AM38" s="4"/>
      <c r="AN38" s="261" t="s">
        <v>40</v>
      </c>
      <c r="AO38" s="211"/>
      <c r="AP38" s="247"/>
      <c r="AQ38" s="262" t="s">
        <v>40</v>
      </c>
      <c r="AR38" s="252"/>
      <c r="AS38" s="247"/>
      <c r="AT38" s="262" t="s">
        <v>40</v>
      </c>
      <c r="AU38" s="211"/>
      <c r="AV38" s="247"/>
      <c r="AW38" s="262" t="s">
        <v>40</v>
      </c>
      <c r="AX38" s="211"/>
      <c r="AY38" s="247"/>
      <c r="AZ38" s="1"/>
      <c r="BA38" s="1"/>
      <c r="BB38" s="1"/>
      <c r="BC38" s="1"/>
      <c r="BD38" s="1"/>
      <c r="BE38" s="1"/>
      <c r="BF38" s="1"/>
      <c r="BG38" s="1"/>
      <c r="BH38" s="1"/>
      <c r="BI38" s="1"/>
      <c r="BJ38" s="1"/>
      <c r="BK38" s="1"/>
      <c r="BL38" s="1"/>
      <c r="BM38" s="1"/>
      <c r="BN38" s="1"/>
      <c r="BO38" s="1"/>
    </row>
    <row r="39" spans="1:67">
      <c r="A39" s="1"/>
      <c r="B39" s="1"/>
      <c r="C39" s="1"/>
      <c r="D39" s="1"/>
      <c r="E39" s="1"/>
      <c r="F39" s="19" t="s">
        <v>44</v>
      </c>
      <c r="G39" s="91">
        <f>G17/$G$10</f>
        <v>7.4288836846213897</v>
      </c>
      <c r="H39" s="21">
        <f>H17/$H$10</f>
        <v>5.5704899914036599</v>
      </c>
      <c r="I39" s="21">
        <f>I17/$I$10</f>
        <v>6.3998475609756094</v>
      </c>
      <c r="J39" s="21">
        <f>J17/$J$10</f>
        <v>2.7781054618379142</v>
      </c>
      <c r="K39" s="21">
        <f>K17/$K$10</f>
        <v>11.897797142857144</v>
      </c>
      <c r="L39" s="21"/>
      <c r="M39" s="34">
        <f>O39</f>
        <v>5.5704899914036599</v>
      </c>
      <c r="N39" s="34">
        <f>O39</f>
        <v>5.5704899914036599</v>
      </c>
      <c r="O39" s="34">
        <f>O17/$O$10</f>
        <v>5.5704899914036599</v>
      </c>
      <c r="P39" s="34">
        <f>P17/$P$10</f>
        <v>5.5704899914036599</v>
      </c>
      <c r="Q39" s="21">
        <f>Q17/Q10</f>
        <v>1.7307692307692308</v>
      </c>
      <c r="R39" s="34">
        <v>4.5</v>
      </c>
      <c r="S39" s="34">
        <f>S17/S10</f>
        <v>11.130568994687009</v>
      </c>
      <c r="T39" s="34">
        <f>S39</f>
        <v>11.130568994687009</v>
      </c>
      <c r="U39" s="21">
        <v>5</v>
      </c>
      <c r="V39" s="34">
        <f>S39</f>
        <v>11.130568994687009</v>
      </c>
      <c r="W39" s="114" t="e">
        <f>W17/$W$10</f>
        <v>#REF!</v>
      </c>
      <c r="X39" s="114">
        <v>6</v>
      </c>
      <c r="Y39" s="35" t="e">
        <f>Y17/Y10</f>
        <v>#REF!</v>
      </c>
      <c r="Z39" s="113" t="e">
        <f>Z17/Z10</f>
        <v>#REF!</v>
      </c>
      <c r="AA39" s="34" t="e">
        <f>Z39</f>
        <v>#REF!</v>
      </c>
      <c r="AB39" s="34" t="e">
        <f>AA39</f>
        <v>#REF!</v>
      </c>
      <c r="AC39" s="112"/>
      <c r="AD39" s="127" t="e">
        <f t="shared" ref="AD39:AI40" si="19">W39*$W$86</f>
        <v>#REF!</v>
      </c>
      <c r="AE39" s="127">
        <f t="shared" si="19"/>
        <v>8.1000000000000014</v>
      </c>
      <c r="AF39" s="127" t="e">
        <f t="shared" si="19"/>
        <v>#REF!</v>
      </c>
      <c r="AG39" s="127" t="e">
        <f t="shared" si="19"/>
        <v>#REF!</v>
      </c>
      <c r="AH39" s="127" t="e">
        <f t="shared" si="19"/>
        <v>#REF!</v>
      </c>
      <c r="AI39" s="127" t="e">
        <f t="shared" si="19"/>
        <v>#REF!</v>
      </c>
      <c r="AJ39" s="269">
        <v>0.5</v>
      </c>
      <c r="AK39" s="304">
        <f>Benchmarks!$C$92*AJ39</f>
        <v>171.46437033085576</v>
      </c>
      <c r="AL39" s="222">
        <f>Benchmarks!$G$92*AJ39</f>
        <v>7.1490851812420964</v>
      </c>
      <c r="AM39" s="228"/>
      <c r="AN39" s="265"/>
      <c r="AO39" s="212">
        <f>Benchmarks!E92</f>
        <v>0</v>
      </c>
      <c r="AP39" s="180">
        <f>Benchmarks!I92</f>
        <v>0</v>
      </c>
      <c r="AQ39" s="260"/>
      <c r="AR39" s="253">
        <f>10%*SUM(AR40:AR43)</f>
        <v>211.10092</v>
      </c>
      <c r="AS39" s="180">
        <f>AR39*$AJ$6</f>
        <v>8.8017029777467997</v>
      </c>
      <c r="AT39" s="260"/>
      <c r="AU39" s="212">
        <f>(AU40+AU42+AU43)*Benchmarks!$A$92</f>
        <v>84.679553160562236</v>
      </c>
      <c r="AV39" s="180">
        <f>Benchmarks!$G$92</f>
        <v>14.298170362484193</v>
      </c>
      <c r="AW39" s="260"/>
      <c r="AX39" s="212">
        <f>(AX40+AX42+AX43)*Benchmarks!$A$92</f>
        <v>267.79314060093702</v>
      </c>
      <c r="AY39" s="180">
        <f>Benchmarks!$G$92</f>
        <v>14.298170362484193</v>
      </c>
      <c r="AZ39" s="1"/>
      <c r="BA39" s="1"/>
      <c r="BB39" s="1"/>
      <c r="BC39" s="1"/>
      <c r="BD39" s="1"/>
      <c r="BE39" s="1"/>
      <c r="BF39" s="1"/>
      <c r="BG39" s="1"/>
      <c r="BH39" s="1"/>
      <c r="BI39" s="1"/>
      <c r="BJ39" s="1"/>
      <c r="BK39" s="1"/>
      <c r="BL39" s="1"/>
      <c r="BM39" s="1"/>
      <c r="BN39" s="1"/>
      <c r="BO39" s="1"/>
    </row>
    <row r="40" spans="1:67">
      <c r="A40" s="1"/>
      <c r="B40" s="1"/>
      <c r="C40" s="1"/>
      <c r="D40" s="1"/>
      <c r="E40" s="1"/>
      <c r="F40" s="22" t="s">
        <v>71</v>
      </c>
      <c r="G40" s="91">
        <f>G18/$G$10</f>
        <v>52.611865729898518</v>
      </c>
      <c r="H40" s="21">
        <f>H18/$H$10</f>
        <v>48.976954439395797</v>
      </c>
      <c r="I40" s="21">
        <f>I18/$I$10</f>
        <v>68.306655487804875</v>
      </c>
      <c r="J40" s="21">
        <f>J18/$J$10</f>
        <v>63.880382210687742</v>
      </c>
      <c r="K40" s="21">
        <f>K18/$K$10</f>
        <v>152.18831428571428</v>
      </c>
      <c r="L40" s="21">
        <v>70</v>
      </c>
      <c r="M40" s="34">
        <f>O40</f>
        <v>152.18831428571428</v>
      </c>
      <c r="N40" s="21">
        <f>P40</f>
        <v>70</v>
      </c>
      <c r="O40" s="34">
        <f>O18/$O$10</f>
        <v>152.18831428571428</v>
      </c>
      <c r="P40" s="21">
        <f>P18/$P$10</f>
        <v>70</v>
      </c>
      <c r="Q40" s="21">
        <v>10</v>
      </c>
      <c r="R40" s="21">
        <v>60</v>
      </c>
      <c r="S40" s="21">
        <f>O40</f>
        <v>152.18831428571428</v>
      </c>
      <c r="T40" s="34">
        <f t="shared" ref="T40:T48" si="20">S40</f>
        <v>152.18831428571428</v>
      </c>
      <c r="U40" s="21">
        <f>P40</f>
        <v>70</v>
      </c>
      <c r="V40" s="21">
        <f>S40</f>
        <v>152.18831428571428</v>
      </c>
      <c r="W40" s="115" t="e">
        <f>W18/$W$10</f>
        <v>#REF!</v>
      </c>
      <c r="X40" s="115">
        <v>60</v>
      </c>
      <c r="Y40" s="35" t="e">
        <f>Y18/Y10</f>
        <v>#REF!</v>
      </c>
      <c r="Z40" s="113" t="e">
        <f>Z18/Z10</f>
        <v>#REF!</v>
      </c>
      <c r="AA40" s="34" t="e">
        <f>Y40</f>
        <v>#REF!</v>
      </c>
      <c r="AB40" s="34" t="e">
        <f>Z40</f>
        <v>#REF!</v>
      </c>
      <c r="AC40" s="112"/>
      <c r="AD40" s="127" t="e">
        <f t="shared" si="19"/>
        <v>#REF!</v>
      </c>
      <c r="AE40" s="127">
        <f t="shared" si="19"/>
        <v>81</v>
      </c>
      <c r="AF40" s="127" t="e">
        <f t="shared" si="19"/>
        <v>#REF!</v>
      </c>
      <c r="AG40" s="127" t="e">
        <f t="shared" si="19"/>
        <v>#REF!</v>
      </c>
      <c r="AH40" s="127" t="e">
        <f t="shared" si="19"/>
        <v>#REF!</v>
      </c>
      <c r="AI40" s="127" t="e">
        <f t="shared" si="19"/>
        <v>#REF!</v>
      </c>
      <c r="AJ40" s="263">
        <v>0.6</v>
      </c>
      <c r="AK40" s="304">
        <f>Benchmarks!$E$93*AJ40</f>
        <v>705.6629430046853</v>
      </c>
      <c r="AL40" s="222">
        <f>Benchmarks!$G$93*AJ40</f>
        <v>29.42211538789082</v>
      </c>
      <c r="AM40" s="228"/>
      <c r="AN40" s="265">
        <v>1</v>
      </c>
      <c r="AO40" s="212">
        <f>Benchmarks!E93*AN40</f>
        <v>1176.1049050078088</v>
      </c>
      <c r="AP40" s="180">
        <f>Benchmarks!I93</f>
        <v>49.036858979818035</v>
      </c>
      <c r="AQ40" s="270">
        <v>1</v>
      </c>
      <c r="AR40" s="253">
        <f>527.7523*AQ40</f>
        <v>527.75229999999999</v>
      </c>
      <c r="AS40" s="180">
        <f>AR40*$AJ$6</f>
        <v>22.004257444366999</v>
      </c>
      <c r="AT40" s="270">
        <v>1</v>
      </c>
      <c r="AU40" s="206">
        <f>AK40</f>
        <v>705.6629430046853</v>
      </c>
      <c r="AV40" s="187">
        <f>AL40</f>
        <v>29.42211538789082</v>
      </c>
      <c r="AW40" s="270">
        <v>1</v>
      </c>
      <c r="AX40" s="206">
        <f>AO40</f>
        <v>1176.1049050078088</v>
      </c>
      <c r="AY40" s="187">
        <f>AP40*80%</f>
        <v>39.229487183854431</v>
      </c>
      <c r="AZ40" s="1"/>
      <c r="BA40" s="1"/>
      <c r="BB40" s="1"/>
      <c r="BC40" s="1"/>
      <c r="BD40" s="1"/>
      <c r="BE40" s="1"/>
      <c r="BF40" s="1"/>
      <c r="BG40" s="1"/>
      <c r="BH40" s="1"/>
      <c r="BI40" s="1"/>
      <c r="BJ40" s="1"/>
      <c r="BK40" s="1"/>
      <c r="BL40" s="1"/>
      <c r="BM40" s="1"/>
      <c r="BN40" s="1"/>
      <c r="BO40" s="1"/>
    </row>
    <row r="41" spans="1:67">
      <c r="A41" s="1"/>
      <c r="B41" s="1"/>
      <c r="C41" s="1"/>
      <c r="D41" s="1"/>
      <c r="E41" s="1"/>
      <c r="F41" s="22" t="s">
        <v>46</v>
      </c>
      <c r="G41" s="91"/>
      <c r="H41" s="21"/>
      <c r="I41" s="21"/>
      <c r="J41" s="21"/>
      <c r="K41" s="21"/>
      <c r="L41" s="21"/>
      <c r="M41" s="34"/>
      <c r="N41" s="21"/>
      <c r="O41" s="34"/>
      <c r="P41" s="21"/>
      <c r="Q41" s="21"/>
      <c r="R41" s="21"/>
      <c r="S41" s="21"/>
      <c r="T41" s="34"/>
      <c r="U41" s="21"/>
      <c r="V41" s="21"/>
      <c r="W41" s="115"/>
      <c r="X41" s="115"/>
      <c r="Y41" s="35"/>
      <c r="Z41" s="113"/>
      <c r="AA41" s="34"/>
      <c r="AB41" s="34"/>
      <c r="AC41" s="112"/>
      <c r="AD41" s="127"/>
      <c r="AE41" s="127"/>
      <c r="AF41" s="127"/>
      <c r="AG41" s="127"/>
      <c r="AH41" s="127"/>
      <c r="AI41" s="127"/>
      <c r="AJ41" s="263">
        <v>0</v>
      </c>
      <c r="AK41" s="304">
        <f>0*AJ41</f>
        <v>0</v>
      </c>
      <c r="AL41" s="222">
        <f>0*AJ41</f>
        <v>0</v>
      </c>
      <c r="AM41" s="228"/>
      <c r="AN41" s="265">
        <v>1</v>
      </c>
      <c r="AO41" s="212">
        <f>Benchmarks!E94*AN41</f>
        <v>0</v>
      </c>
      <c r="AP41" s="179"/>
      <c r="AQ41" s="270">
        <v>1</v>
      </c>
      <c r="AR41" s="253">
        <f t="shared" ref="AR41:AR43" si="21">527.7523*AQ41</f>
        <v>527.75229999999999</v>
      </c>
      <c r="AS41" s="180">
        <f>AR41*$AJ$6</f>
        <v>22.004257444366999</v>
      </c>
      <c r="AT41" s="270">
        <v>1</v>
      </c>
      <c r="AU41" s="206"/>
      <c r="AV41" s="187"/>
      <c r="AW41" s="270">
        <v>1</v>
      </c>
      <c r="AX41" s="206"/>
      <c r="AY41" s="187"/>
      <c r="AZ41" s="1"/>
      <c r="BA41" s="1"/>
      <c r="BB41" s="1"/>
      <c r="BC41" s="1"/>
      <c r="BD41" s="1"/>
      <c r="BE41" s="1"/>
      <c r="BF41" s="1"/>
      <c r="BG41" s="1"/>
      <c r="BH41" s="1"/>
      <c r="BI41" s="1"/>
      <c r="BJ41" s="1"/>
      <c r="BK41" s="1"/>
      <c r="BL41" s="1"/>
      <c r="BM41" s="1"/>
      <c r="BN41" s="1"/>
      <c r="BO41" s="1"/>
    </row>
    <row r="42" spans="1:67">
      <c r="A42" s="1"/>
      <c r="B42" s="1"/>
      <c r="C42" s="1"/>
      <c r="D42" s="1"/>
      <c r="E42" s="1"/>
      <c r="F42" s="22" t="s">
        <v>47</v>
      </c>
      <c r="G42" s="91">
        <f>G20/$G$10</f>
        <v>22.545199063231848</v>
      </c>
      <c r="H42" s="21">
        <f>H20/$H$10</f>
        <v>23.795734987105487</v>
      </c>
      <c r="I42" s="21">
        <f>I20/$I$10</f>
        <v>0</v>
      </c>
      <c r="J42" s="21">
        <f>J20/$J$10</f>
        <v>17.72891353073021</v>
      </c>
      <c r="K42" s="21">
        <f>K20/$K$10</f>
        <v>22.787645714285713</v>
      </c>
      <c r="L42" s="21">
        <f>K42</f>
        <v>22.787645714285713</v>
      </c>
      <c r="M42" s="34">
        <f>O42</f>
        <v>22.787645714285713</v>
      </c>
      <c r="N42" s="34">
        <f>P42</f>
        <v>22.787645714285713</v>
      </c>
      <c r="O42" s="34">
        <f>O20/$O$10</f>
        <v>22.787645714285713</v>
      </c>
      <c r="P42" s="21">
        <f>P20/$P$10</f>
        <v>22.787645714285713</v>
      </c>
      <c r="Q42" s="21">
        <v>0</v>
      </c>
      <c r="R42" s="21">
        <v>0</v>
      </c>
      <c r="S42" s="34">
        <f>O42</f>
        <v>22.787645714285713</v>
      </c>
      <c r="T42" s="34">
        <f t="shared" si="20"/>
        <v>22.787645714285713</v>
      </c>
      <c r="U42" s="21">
        <v>20</v>
      </c>
      <c r="V42" s="21">
        <f>P42</f>
        <v>22.787645714285713</v>
      </c>
      <c r="W42" s="115" t="e">
        <f>W20/$W$10</f>
        <v>#REF!</v>
      </c>
      <c r="X42" s="115">
        <v>23</v>
      </c>
      <c r="Y42" s="35" t="e">
        <f>Y20/$Y$10</f>
        <v>#REF!</v>
      </c>
      <c r="Z42" s="113" t="e">
        <f>Z20/$Z$10</f>
        <v>#REF!</v>
      </c>
      <c r="AA42" s="21">
        <f>X42</f>
        <v>23</v>
      </c>
      <c r="AB42" s="21">
        <f>X42</f>
        <v>23</v>
      </c>
      <c r="AC42" s="112"/>
      <c r="AD42" s="127" t="e">
        <f t="shared" ref="AD42:AI43" si="22">W42*$W$86</f>
        <v>#REF!</v>
      </c>
      <c r="AE42" s="127">
        <f t="shared" si="22"/>
        <v>31.05</v>
      </c>
      <c r="AF42" s="127" t="e">
        <f t="shared" si="22"/>
        <v>#REF!</v>
      </c>
      <c r="AG42" s="127" t="e">
        <f t="shared" si="22"/>
        <v>#REF!</v>
      </c>
      <c r="AH42" s="127">
        <f t="shared" si="22"/>
        <v>31.05</v>
      </c>
      <c r="AI42" s="127">
        <f t="shared" si="22"/>
        <v>31.05</v>
      </c>
      <c r="AJ42" s="263">
        <v>0.2</v>
      </c>
      <c r="AK42" s="304">
        <f>Benchmarks!$C$95*AJ42</f>
        <v>146.20707056050122</v>
      </c>
      <c r="AL42" s="222">
        <f>Benchmarks!$G$95*AJ42</f>
        <v>6.0960000000000001</v>
      </c>
      <c r="AM42" s="228"/>
      <c r="AN42" s="265">
        <v>1</v>
      </c>
      <c r="AO42" s="212">
        <f>Benchmarks!E95*AN42</f>
        <v>0</v>
      </c>
      <c r="AP42" s="180">
        <f>Benchmarks!I95</f>
        <v>0</v>
      </c>
      <c r="AQ42" s="265">
        <v>1</v>
      </c>
      <c r="AR42" s="253">
        <f t="shared" si="21"/>
        <v>527.75229999999999</v>
      </c>
      <c r="AS42" s="180">
        <f>AR42*$AJ$6</f>
        <v>22.004257444366999</v>
      </c>
      <c r="AT42" s="265">
        <v>1</v>
      </c>
      <c r="AU42" s="206">
        <f>AO42</f>
        <v>0</v>
      </c>
      <c r="AV42" s="187">
        <f>AP42</f>
        <v>0</v>
      </c>
      <c r="AW42" s="265">
        <v>1</v>
      </c>
      <c r="AX42" s="206">
        <f>AR42</f>
        <v>527.75229999999999</v>
      </c>
      <c r="AY42" s="187">
        <f>AS42</f>
        <v>22.004257444366999</v>
      </c>
      <c r="AZ42" s="1"/>
      <c r="BA42" s="1"/>
      <c r="BB42" s="1"/>
      <c r="BC42" s="1"/>
      <c r="BD42" s="1"/>
      <c r="BE42" s="1"/>
      <c r="BF42" s="1"/>
      <c r="BG42" s="1"/>
      <c r="BH42" s="1"/>
      <c r="BI42" s="1"/>
      <c r="BJ42" s="1"/>
      <c r="BK42" s="1"/>
      <c r="BL42" s="1"/>
      <c r="BM42" s="1"/>
      <c r="BN42" s="1"/>
      <c r="BO42" s="1"/>
    </row>
    <row r="43" spans="1:67" ht="15" thickBot="1">
      <c r="A43" s="1"/>
      <c r="B43" s="1"/>
      <c r="C43" s="1"/>
      <c r="D43" s="1"/>
      <c r="E43" s="1"/>
      <c r="F43" s="108" t="s">
        <v>48</v>
      </c>
      <c r="G43" s="134">
        <f>G21/$G$10</f>
        <v>16.952426229508195</v>
      </c>
      <c r="H43" s="37">
        <f>H21/$H$10</f>
        <v>8.6581112612059439</v>
      </c>
      <c r="I43" s="37">
        <f>I21/$I$10</f>
        <v>9.1801829268292678</v>
      </c>
      <c r="J43" s="37">
        <f>J21/$J$10</f>
        <v>15.415949038574967</v>
      </c>
      <c r="K43" s="37">
        <f>K21/$K$10</f>
        <v>13.08236</v>
      </c>
      <c r="L43" s="37">
        <v>15</v>
      </c>
      <c r="M43" s="135">
        <f>O43</f>
        <v>15</v>
      </c>
      <c r="N43" s="135">
        <f>P43</f>
        <v>13.08236</v>
      </c>
      <c r="O43" s="135">
        <f>O21/$O$10</f>
        <v>15</v>
      </c>
      <c r="P43" s="37">
        <f>P21/$P$10</f>
        <v>13.08236</v>
      </c>
      <c r="Q43" s="37">
        <f>Q21/Q10</f>
        <v>1.9230769230769231</v>
      </c>
      <c r="R43" s="37">
        <v>13.1</v>
      </c>
      <c r="S43" s="37">
        <f>O43</f>
        <v>15</v>
      </c>
      <c r="T43" s="135">
        <f t="shared" si="20"/>
        <v>15</v>
      </c>
      <c r="U43" s="37">
        <f>P43</f>
        <v>13.08236</v>
      </c>
      <c r="V43" s="37">
        <f>S43</f>
        <v>15</v>
      </c>
      <c r="W43" s="136" t="e">
        <f>W21/$W$10</f>
        <v>#REF!</v>
      </c>
      <c r="X43" s="136">
        <v>15</v>
      </c>
      <c r="Y43" s="137" t="e">
        <f>Y21/$Y$10</f>
        <v>#REF!</v>
      </c>
      <c r="Z43" s="138" t="e">
        <f>Z21/$Z$10</f>
        <v>#REF!</v>
      </c>
      <c r="AA43" s="37">
        <v>15</v>
      </c>
      <c r="AB43" s="37">
        <v>15</v>
      </c>
      <c r="AC43" s="133"/>
      <c r="AD43" s="139" t="e">
        <f t="shared" si="22"/>
        <v>#REF!</v>
      </c>
      <c r="AE43" s="139">
        <f t="shared" si="22"/>
        <v>20.25</v>
      </c>
      <c r="AF43" s="139" t="e">
        <f t="shared" si="22"/>
        <v>#REF!</v>
      </c>
      <c r="AG43" s="139" t="e">
        <f t="shared" si="22"/>
        <v>#REF!</v>
      </c>
      <c r="AH43" s="139">
        <f t="shared" si="22"/>
        <v>20.25</v>
      </c>
      <c r="AI43" s="139">
        <f t="shared" si="22"/>
        <v>20.25</v>
      </c>
      <c r="AJ43" s="264">
        <v>0.25</v>
      </c>
      <c r="AK43" s="305">
        <f>Benchmarks!$C$96*AJ43</f>
        <v>121.83922546708433</v>
      </c>
      <c r="AL43" s="223">
        <f>Benchmarks!$G$96*AJ43</f>
        <v>5.08</v>
      </c>
      <c r="AM43" s="228"/>
      <c r="AN43" s="266">
        <v>1</v>
      </c>
      <c r="AO43" s="267">
        <f>Benchmarks!E96*AN43</f>
        <v>0</v>
      </c>
      <c r="AP43" s="181">
        <f>Benchmarks!I96</f>
        <v>0</v>
      </c>
      <c r="AQ43" s="266">
        <v>1</v>
      </c>
      <c r="AR43" s="267">
        <f t="shared" si="21"/>
        <v>527.75229999999999</v>
      </c>
      <c r="AS43" s="181">
        <f>AR43*AJ6</f>
        <v>22.004257444366999</v>
      </c>
      <c r="AT43" s="266">
        <v>1</v>
      </c>
      <c r="AU43" s="207">
        <f>AO43</f>
        <v>0</v>
      </c>
      <c r="AV43" s="243">
        <f>AP43</f>
        <v>0</v>
      </c>
      <c r="AW43" s="266">
        <v>1</v>
      </c>
      <c r="AX43" s="207">
        <f>AR43</f>
        <v>527.75229999999999</v>
      </c>
      <c r="AY43" s="243">
        <f>AS43</f>
        <v>22.004257444366999</v>
      </c>
      <c r="AZ43" s="1"/>
      <c r="BA43" s="1"/>
      <c r="BB43" s="1"/>
      <c r="BC43" s="1"/>
      <c r="BD43" s="1"/>
      <c r="BE43" s="1"/>
      <c r="BF43" s="1"/>
      <c r="BG43" s="1"/>
      <c r="BH43" s="1"/>
      <c r="BI43" s="1"/>
      <c r="BJ43" s="1"/>
      <c r="BK43" s="1"/>
      <c r="BL43" s="1"/>
      <c r="BM43" s="1"/>
      <c r="BN43" s="1"/>
      <c r="BO43" s="1"/>
    </row>
    <row r="44" spans="1:67" ht="15" thickTop="1">
      <c r="A44" s="1"/>
      <c r="B44" s="1"/>
      <c r="C44" s="1"/>
      <c r="D44" s="1"/>
      <c r="E44" s="1"/>
      <c r="F44" s="131" t="s">
        <v>72</v>
      </c>
      <c r="G44" s="91"/>
      <c r="H44" s="21"/>
      <c r="I44" s="21"/>
      <c r="J44" s="21"/>
      <c r="K44" s="21"/>
      <c r="L44" s="21"/>
      <c r="M44" s="34"/>
      <c r="N44" s="34"/>
      <c r="O44" s="34"/>
      <c r="P44" s="21"/>
      <c r="Q44" s="21"/>
      <c r="R44" s="21"/>
      <c r="S44" s="21"/>
      <c r="T44" s="34"/>
      <c r="U44" s="21"/>
      <c r="V44" s="21"/>
      <c r="W44" s="115"/>
      <c r="X44" s="115"/>
      <c r="Y44" s="35"/>
      <c r="Z44" s="113"/>
      <c r="AA44" s="21"/>
      <c r="AB44" s="21"/>
      <c r="AC44" s="112"/>
      <c r="AD44" s="127"/>
      <c r="AE44" s="127"/>
      <c r="AF44" s="127"/>
      <c r="AG44" s="127"/>
      <c r="AH44" s="127"/>
      <c r="AI44" s="127"/>
      <c r="AJ44" s="127"/>
      <c r="AK44" s="304">
        <f>SUM(AK39:AK43)</f>
        <v>1145.1736093631266</v>
      </c>
      <c r="AL44" s="222">
        <f t="shared" ref="AL44:AP44" si="23">SUM(AL39:AL43)</f>
        <v>47.747200569132914</v>
      </c>
      <c r="AM44" s="228"/>
      <c r="AN44" s="228"/>
      <c r="AO44" s="212">
        <f t="shared" si="23"/>
        <v>1176.1049050078088</v>
      </c>
      <c r="AP44" s="180">
        <f t="shared" si="23"/>
        <v>49.036858979818035</v>
      </c>
      <c r="AQ44" s="229"/>
      <c r="AR44" s="214">
        <f t="shared" ref="AR44:AY44" si="24">SUM(AR39:AR43)</f>
        <v>2322.1101200000003</v>
      </c>
      <c r="AS44" s="179">
        <f t="shared" si="24"/>
        <v>96.818732755214796</v>
      </c>
      <c r="AT44" s="122"/>
      <c r="AU44" s="206">
        <f t="shared" si="24"/>
        <v>790.34249616524755</v>
      </c>
      <c r="AV44" s="179">
        <f t="shared" si="24"/>
        <v>43.720285750375012</v>
      </c>
      <c r="AW44" s="122"/>
      <c r="AX44" s="206">
        <f t="shared" si="24"/>
        <v>2499.4026456087458</v>
      </c>
      <c r="AY44" s="179">
        <f t="shared" si="24"/>
        <v>97.536172435072615</v>
      </c>
      <c r="AZ44" s="1"/>
      <c r="BA44" s="1"/>
      <c r="BB44" s="1"/>
      <c r="BC44" s="1"/>
      <c r="BD44" s="1"/>
      <c r="BE44" s="1"/>
      <c r="BF44" s="1"/>
      <c r="BG44" s="1"/>
      <c r="BH44" s="1"/>
      <c r="BI44" s="1"/>
      <c r="BJ44" s="1"/>
      <c r="BK44" s="1"/>
      <c r="BL44" s="1"/>
      <c r="BM44" s="1"/>
      <c r="BN44" s="1"/>
      <c r="BO44" s="1"/>
    </row>
    <row r="45" spans="1:67">
      <c r="A45" s="1"/>
      <c r="B45" s="1"/>
      <c r="C45" s="1"/>
      <c r="D45" s="1"/>
      <c r="E45" s="1"/>
      <c r="F45" s="131"/>
      <c r="G45" s="91"/>
      <c r="H45" s="21"/>
      <c r="I45" s="21"/>
      <c r="J45" s="21"/>
      <c r="K45" s="21"/>
      <c r="L45" s="21"/>
      <c r="M45" s="34"/>
      <c r="N45" s="34"/>
      <c r="O45" s="34"/>
      <c r="P45" s="21"/>
      <c r="Q45" s="21"/>
      <c r="R45" s="21"/>
      <c r="S45" s="21"/>
      <c r="T45" s="34"/>
      <c r="U45" s="21"/>
      <c r="V45" s="21"/>
      <c r="W45" s="115"/>
      <c r="X45" s="115"/>
      <c r="Y45" s="35"/>
      <c r="Z45" s="113"/>
      <c r="AA45" s="21"/>
      <c r="AB45" s="21"/>
      <c r="AC45" s="112"/>
      <c r="AD45" s="127"/>
      <c r="AE45" s="127"/>
      <c r="AF45" s="127"/>
      <c r="AG45" s="127"/>
      <c r="AH45" s="127"/>
      <c r="AI45" s="127"/>
      <c r="AJ45" s="127"/>
      <c r="AK45" s="306"/>
      <c r="AL45" s="222"/>
      <c r="AM45" s="228"/>
      <c r="AN45" s="228"/>
      <c r="AO45" s="206"/>
      <c r="AP45" s="179"/>
      <c r="AQ45" s="122"/>
      <c r="AR45" s="214"/>
      <c r="AS45" s="29"/>
      <c r="AT45" s="1"/>
      <c r="AU45" s="206"/>
      <c r="AV45" s="29"/>
      <c r="AW45" s="1"/>
      <c r="AX45" s="206"/>
      <c r="AY45" s="29"/>
      <c r="AZ45" s="1"/>
      <c r="BA45" s="1"/>
      <c r="BB45" s="1"/>
      <c r="BC45" s="1"/>
      <c r="BD45" s="1"/>
      <c r="BE45" s="1"/>
      <c r="BF45" s="1"/>
      <c r="BG45" s="1"/>
      <c r="BH45" s="1"/>
      <c r="BI45" s="1"/>
      <c r="BJ45" s="1"/>
      <c r="BK45" s="1"/>
      <c r="BL45" s="1"/>
      <c r="BM45" s="1"/>
      <c r="BN45" s="1"/>
      <c r="BO45" s="1"/>
    </row>
    <row r="46" spans="1:67">
      <c r="A46" s="1"/>
      <c r="B46" s="1"/>
      <c r="C46" s="1"/>
      <c r="D46" s="1"/>
      <c r="E46" s="1"/>
      <c r="F46" s="36"/>
      <c r="G46" s="36"/>
      <c r="H46" s="1"/>
      <c r="I46" s="1"/>
      <c r="J46" s="1"/>
      <c r="K46" s="1"/>
      <c r="L46" s="1"/>
      <c r="M46" s="1"/>
      <c r="N46" s="1"/>
      <c r="O46" s="1"/>
      <c r="P46" s="1"/>
      <c r="Q46" s="1"/>
      <c r="R46" s="1"/>
      <c r="S46" s="1"/>
      <c r="T46" s="34"/>
      <c r="U46" s="1"/>
      <c r="V46" s="1"/>
      <c r="W46" s="115"/>
      <c r="X46" s="115"/>
      <c r="Y46" s="1"/>
      <c r="Z46" s="1"/>
      <c r="AA46" s="1"/>
      <c r="AB46" s="1"/>
      <c r="AC46" s="112"/>
      <c r="AD46" s="127"/>
      <c r="AE46" s="127"/>
      <c r="AF46" s="127"/>
      <c r="AG46" s="127"/>
      <c r="AH46" s="127"/>
      <c r="AI46" s="127"/>
      <c r="AJ46" s="127"/>
      <c r="AK46" s="297"/>
      <c r="AL46" s="187"/>
      <c r="AM46" s="4"/>
      <c r="AN46" s="4"/>
      <c r="AO46" s="206"/>
      <c r="AP46" s="179"/>
      <c r="AQ46" s="122"/>
      <c r="AR46" s="214"/>
      <c r="AS46" s="29"/>
      <c r="AT46" s="1"/>
      <c r="AU46" s="206"/>
      <c r="AV46" s="29"/>
      <c r="AW46" s="1"/>
      <c r="AX46" s="206"/>
      <c r="AY46" s="29"/>
      <c r="AZ46" s="1"/>
      <c r="BA46" s="1"/>
      <c r="BB46" s="1"/>
      <c r="BC46" s="1"/>
      <c r="BD46" s="1"/>
      <c r="BE46" s="1"/>
      <c r="BF46" s="1"/>
      <c r="BG46" s="1"/>
      <c r="BH46" s="1"/>
      <c r="BI46" s="1"/>
      <c r="BJ46" s="1"/>
      <c r="BK46" s="1"/>
      <c r="BL46" s="1"/>
      <c r="BM46" s="1"/>
      <c r="BN46" s="1"/>
      <c r="BO46" s="1"/>
    </row>
    <row r="47" spans="1:67">
      <c r="A47" s="1"/>
      <c r="B47" s="1"/>
      <c r="C47" s="1"/>
      <c r="D47" s="1"/>
      <c r="E47" s="1"/>
      <c r="F47" s="15" t="s">
        <v>73</v>
      </c>
      <c r="G47" s="91" t="str">
        <f>Benchmarks!C91</f>
        <v>Global Benchmark</v>
      </c>
      <c r="H47" s="91" t="str">
        <f>G47</f>
        <v>Global Benchmark</v>
      </c>
      <c r="I47" s="91" t="str">
        <f t="shared" ref="I47:S47" si="25">H47</f>
        <v>Global Benchmark</v>
      </c>
      <c r="J47" s="91" t="str">
        <f t="shared" si="25"/>
        <v>Global Benchmark</v>
      </c>
      <c r="K47" s="91" t="str">
        <f t="shared" si="25"/>
        <v>Global Benchmark</v>
      </c>
      <c r="L47" s="91" t="str">
        <f t="shared" si="25"/>
        <v>Global Benchmark</v>
      </c>
      <c r="M47" s="91" t="str">
        <f t="shared" si="25"/>
        <v>Global Benchmark</v>
      </c>
      <c r="N47" s="91" t="str">
        <f t="shared" si="25"/>
        <v>Global Benchmark</v>
      </c>
      <c r="O47" s="91" t="str">
        <f t="shared" si="25"/>
        <v>Global Benchmark</v>
      </c>
      <c r="P47" s="91" t="str">
        <f t="shared" si="25"/>
        <v>Global Benchmark</v>
      </c>
      <c r="Q47" s="91" t="str">
        <f t="shared" si="25"/>
        <v>Global Benchmark</v>
      </c>
      <c r="R47" s="91" t="str">
        <f t="shared" si="25"/>
        <v>Global Benchmark</v>
      </c>
      <c r="S47" s="91" t="str">
        <f t="shared" si="25"/>
        <v>Global Benchmark</v>
      </c>
      <c r="T47" s="34" t="str">
        <f t="shared" si="20"/>
        <v>Global Benchmark</v>
      </c>
      <c r="U47" s="91" t="str">
        <f>S47</f>
        <v>Global Benchmark</v>
      </c>
      <c r="V47" s="91" t="str">
        <f t="shared" ref="V47" si="26">S47</f>
        <v>Global Benchmark</v>
      </c>
      <c r="W47" s="115" t="e">
        <f>W29/750</f>
        <v>#REF!</v>
      </c>
      <c r="X47" s="115">
        <v>111</v>
      </c>
      <c r="Y47" s="113" t="e">
        <f>Y29/750</f>
        <v>#REF!</v>
      </c>
      <c r="Z47" s="113" t="e">
        <f>Z29/750</f>
        <v>#REF!</v>
      </c>
      <c r="AA47" s="113" t="e">
        <f>Y47</f>
        <v>#REF!</v>
      </c>
      <c r="AB47" s="113" t="e">
        <f>Z47</f>
        <v>#REF!</v>
      </c>
      <c r="AC47" s="112"/>
      <c r="AD47" s="127" t="e">
        <f>W47*$W$86</f>
        <v>#REF!</v>
      </c>
      <c r="AE47" s="127">
        <f t="shared" ref="AE47:AE48" si="27">X47*$W$86</f>
        <v>149.85000000000002</v>
      </c>
      <c r="AF47" s="127" t="e">
        <f t="shared" ref="AF47:AF48" si="28">Y47*$W$86</f>
        <v>#REF!</v>
      </c>
      <c r="AG47" s="127" t="e">
        <f t="shared" ref="AG47:AG48" si="29">Z47*$W$86</f>
        <v>#REF!</v>
      </c>
      <c r="AH47" s="127" t="e">
        <f t="shared" ref="AH47:AH48" si="30">AA47*$W$86</f>
        <v>#REF!</v>
      </c>
      <c r="AI47" s="127" t="e">
        <f t="shared" ref="AI47:AI48" si="31">AB47*$W$86</f>
        <v>#REF!</v>
      </c>
      <c r="AJ47" s="263">
        <v>0.3</v>
      </c>
      <c r="AK47" s="307">
        <f>AL47/Benchmarks!B68</f>
        <v>1079.284477562755</v>
      </c>
      <c r="AL47" s="224">
        <f>Benchmarks!B85*AJ47</f>
        <v>45</v>
      </c>
      <c r="AM47" s="4"/>
      <c r="AN47" s="168"/>
      <c r="AO47" s="213">
        <f>AP47/Benchmarks!B68</f>
        <v>1079.284477562755</v>
      </c>
      <c r="AP47" s="199">
        <f>AL47</f>
        <v>45</v>
      </c>
      <c r="AQ47" s="230"/>
      <c r="AR47" s="215">
        <f>AO47</f>
        <v>1079.284477562755</v>
      </c>
      <c r="AS47" s="199">
        <f>AP47</f>
        <v>45</v>
      </c>
      <c r="AT47" s="230"/>
      <c r="AU47" s="213">
        <f>AR47</f>
        <v>1079.284477562755</v>
      </c>
      <c r="AV47" s="199">
        <f>AS47</f>
        <v>45</v>
      </c>
      <c r="AW47" s="230"/>
      <c r="AX47" s="213">
        <f>AU47</f>
        <v>1079.284477562755</v>
      </c>
      <c r="AY47" s="199">
        <f t="shared" ref="AY47:AY48" si="32">AV47</f>
        <v>45</v>
      </c>
      <c r="AZ47" s="1"/>
      <c r="BA47" s="1"/>
      <c r="BB47" s="1"/>
      <c r="BC47" s="1"/>
      <c r="BD47" s="1"/>
      <c r="BE47" s="1"/>
      <c r="BF47" s="1"/>
      <c r="BG47" s="1"/>
      <c r="BH47" s="1"/>
      <c r="BI47" s="1"/>
      <c r="BJ47" s="1"/>
      <c r="BK47" s="1"/>
      <c r="BL47" s="1"/>
      <c r="BM47" s="1"/>
      <c r="BN47" s="1"/>
      <c r="BO47" s="1"/>
    </row>
    <row r="48" spans="1:67" ht="15" thickBot="1">
      <c r="A48" s="1"/>
      <c r="B48" s="1"/>
      <c r="C48" s="1"/>
      <c r="D48" s="1"/>
      <c r="E48" s="1"/>
      <c r="F48" s="15" t="s">
        <v>55</v>
      </c>
      <c r="G48" s="91">
        <v>15</v>
      </c>
      <c r="H48" s="21">
        <f>G48</f>
        <v>15</v>
      </c>
      <c r="I48" s="21">
        <f t="shared" ref="I48:S48" si="33">H48</f>
        <v>15</v>
      </c>
      <c r="J48" s="21">
        <f t="shared" si="33"/>
        <v>15</v>
      </c>
      <c r="K48" s="21">
        <f t="shared" si="33"/>
        <v>15</v>
      </c>
      <c r="L48" s="21">
        <f t="shared" si="33"/>
        <v>15</v>
      </c>
      <c r="M48" s="21">
        <f t="shared" si="33"/>
        <v>15</v>
      </c>
      <c r="N48" s="21">
        <f t="shared" si="33"/>
        <v>15</v>
      </c>
      <c r="O48" s="21">
        <f t="shared" si="33"/>
        <v>15</v>
      </c>
      <c r="P48" s="21">
        <f t="shared" si="33"/>
        <v>15</v>
      </c>
      <c r="Q48" s="21">
        <f t="shared" si="33"/>
        <v>15</v>
      </c>
      <c r="R48" s="21">
        <f t="shared" si="33"/>
        <v>15</v>
      </c>
      <c r="S48" s="21">
        <f t="shared" si="33"/>
        <v>15</v>
      </c>
      <c r="T48" s="21">
        <f t="shared" si="20"/>
        <v>15</v>
      </c>
      <c r="U48" s="21">
        <f>S48</f>
        <v>15</v>
      </c>
      <c r="V48" s="21">
        <f t="shared" ref="V48" si="34">S48</f>
        <v>15</v>
      </c>
      <c r="W48" s="115" t="e">
        <f>W31/W10</f>
        <v>#REF!</v>
      </c>
      <c r="X48" s="115">
        <v>15</v>
      </c>
      <c r="Y48" s="113" t="e">
        <f>Y31/Y10</f>
        <v>#REF!</v>
      </c>
      <c r="Z48" s="113" t="e">
        <f>Z31/Z10</f>
        <v>#REF!</v>
      </c>
      <c r="AA48" s="113" t="e">
        <f>Y48</f>
        <v>#REF!</v>
      </c>
      <c r="AB48" s="113" t="e">
        <f>Z48</f>
        <v>#REF!</v>
      </c>
      <c r="AC48" s="112"/>
      <c r="AD48" s="127" t="e">
        <f>W48*$W$86</f>
        <v>#REF!</v>
      </c>
      <c r="AE48" s="127">
        <f t="shared" si="27"/>
        <v>20.25</v>
      </c>
      <c r="AF48" s="127" t="e">
        <f t="shared" si="28"/>
        <v>#REF!</v>
      </c>
      <c r="AG48" s="127" t="e">
        <f t="shared" si="29"/>
        <v>#REF!</v>
      </c>
      <c r="AH48" s="127" t="e">
        <f t="shared" si="30"/>
        <v>#REF!</v>
      </c>
      <c r="AI48" s="127" t="e">
        <f t="shared" si="31"/>
        <v>#REF!</v>
      </c>
      <c r="AJ48" s="264">
        <v>0.5</v>
      </c>
      <c r="AK48" s="307">
        <f>AL48/Benchmarks!B68</f>
        <v>179.88074626045915</v>
      </c>
      <c r="AL48" s="224">
        <f>Benchmarks!B84*Budget!AJ48</f>
        <v>7.5</v>
      </c>
      <c r="AM48" s="4"/>
      <c r="AN48" s="168"/>
      <c r="AO48" s="213">
        <f>AP48/Benchmarks!B68</f>
        <v>179.88074626045915</v>
      </c>
      <c r="AP48" s="199">
        <f>AL48</f>
        <v>7.5</v>
      </c>
      <c r="AQ48" s="230"/>
      <c r="AR48" s="215">
        <f>AO48</f>
        <v>179.88074626045915</v>
      </c>
      <c r="AS48" s="199">
        <f>AL48</f>
        <v>7.5</v>
      </c>
      <c r="AT48" s="230"/>
      <c r="AU48" s="213">
        <f>AR48</f>
        <v>179.88074626045915</v>
      </c>
      <c r="AV48" s="199">
        <f>AS48</f>
        <v>7.5</v>
      </c>
      <c r="AW48" s="230"/>
      <c r="AX48" s="213">
        <f>AU48</f>
        <v>179.88074626045915</v>
      </c>
      <c r="AY48" s="199">
        <f t="shared" si="32"/>
        <v>7.5</v>
      </c>
      <c r="AZ48" s="1"/>
      <c r="BA48" s="1"/>
      <c r="BB48" s="1"/>
      <c r="BC48" s="1"/>
      <c r="BD48" s="1"/>
      <c r="BE48" s="1"/>
      <c r="BF48" s="1"/>
      <c r="BG48" s="1"/>
      <c r="BH48" s="1"/>
      <c r="BI48" s="1"/>
      <c r="BJ48" s="1"/>
      <c r="BK48" s="1"/>
      <c r="BL48" s="1"/>
      <c r="BM48" s="1"/>
      <c r="BN48" s="1"/>
      <c r="BO48" s="1"/>
    </row>
    <row r="49" spans="1:67" ht="15" thickTop="1">
      <c r="A49" s="1"/>
      <c r="B49" s="1"/>
      <c r="C49" s="1"/>
      <c r="D49" s="1"/>
      <c r="E49" s="1"/>
      <c r="F49" s="473" t="s">
        <v>52</v>
      </c>
      <c r="G49" s="474"/>
      <c r="H49" s="475"/>
      <c r="I49" s="475"/>
      <c r="J49" s="475"/>
      <c r="K49" s="475"/>
      <c r="L49" s="475"/>
      <c r="M49" s="475"/>
      <c r="N49" s="475"/>
      <c r="O49" s="475"/>
      <c r="P49" s="475"/>
      <c r="Q49" s="475"/>
      <c r="R49" s="475"/>
      <c r="S49" s="475"/>
      <c r="T49" s="475"/>
      <c r="U49" s="475"/>
      <c r="V49" s="475"/>
      <c r="W49" s="476"/>
      <c r="X49" s="476"/>
      <c r="Y49" s="477"/>
      <c r="Z49" s="477"/>
      <c r="AA49" s="477"/>
      <c r="AB49" s="477"/>
      <c r="AC49" s="448"/>
      <c r="AD49" s="478"/>
      <c r="AE49" s="478"/>
      <c r="AF49" s="478"/>
      <c r="AG49" s="478"/>
      <c r="AH49" s="478"/>
      <c r="AI49" s="478"/>
      <c r="AJ49" s="479"/>
      <c r="AK49" s="480">
        <f>Benchmarks!C108</f>
        <v>467.92156145011165</v>
      </c>
      <c r="AL49" s="481">
        <f>AK49*AJ6</f>
        <v>19.509657280353778</v>
      </c>
      <c r="AM49" s="4"/>
      <c r="AN49" s="168"/>
      <c r="AO49" s="213"/>
      <c r="AP49" s="199"/>
      <c r="AQ49" s="230"/>
      <c r="AR49" s="215"/>
      <c r="AS49" s="199"/>
      <c r="AT49" s="230"/>
      <c r="AU49" s="213"/>
      <c r="AV49" s="199"/>
      <c r="AW49" s="230"/>
      <c r="AX49" s="213"/>
      <c r="AY49" s="199"/>
      <c r="AZ49" s="1"/>
      <c r="BA49" s="1"/>
      <c r="BB49" s="1"/>
      <c r="BC49" s="1"/>
      <c r="BD49" s="1"/>
      <c r="BE49" s="1"/>
      <c r="BF49" s="1"/>
      <c r="BG49" s="1"/>
      <c r="BH49" s="1"/>
      <c r="BI49" s="1"/>
      <c r="BJ49" s="1"/>
      <c r="BK49" s="1"/>
      <c r="BL49" s="1"/>
      <c r="BM49" s="1"/>
      <c r="BN49" s="1"/>
      <c r="BO49" s="1"/>
    </row>
    <row r="50" spans="1:67">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12"/>
      <c r="AD50" s="1"/>
      <c r="AE50" s="1"/>
      <c r="AF50" s="1"/>
      <c r="AG50" s="1"/>
      <c r="AH50" s="1"/>
      <c r="AI50" s="1"/>
      <c r="AJ50" s="1"/>
      <c r="AK50" s="297"/>
      <c r="AN50" s="1"/>
      <c r="AO50" s="132"/>
      <c r="AP50" s="187"/>
      <c r="AQ50" s="4"/>
      <c r="AR50" s="1"/>
      <c r="AS50" s="29"/>
      <c r="AT50" s="1"/>
      <c r="AU50" s="1"/>
      <c r="AV50" s="29"/>
      <c r="AW50" s="1"/>
      <c r="AX50" s="1"/>
      <c r="AY50" s="29"/>
      <c r="AZ50" s="1"/>
      <c r="BA50" s="1"/>
      <c r="BB50" s="1"/>
      <c r="BC50" s="1"/>
      <c r="BD50" s="1"/>
      <c r="BE50" s="1"/>
      <c r="BF50" s="1"/>
      <c r="BG50" s="1"/>
      <c r="BH50" s="1"/>
      <c r="BI50" s="1"/>
      <c r="BJ50" s="1"/>
      <c r="BK50" s="1"/>
      <c r="BL50" s="1"/>
      <c r="BM50" s="1"/>
      <c r="BN50" s="1"/>
      <c r="BO50" s="1"/>
    </row>
    <row r="51" spans="1:67">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12"/>
      <c r="AD51" s="1"/>
      <c r="AE51" s="1"/>
      <c r="AF51" s="1"/>
      <c r="AG51" s="1"/>
      <c r="AH51" s="1"/>
      <c r="AI51" s="1"/>
      <c r="AJ51" s="1"/>
      <c r="AK51" s="97"/>
      <c r="AL51" s="29"/>
      <c r="AN51" s="1"/>
      <c r="AO51" s="1"/>
      <c r="AP51" s="29"/>
      <c r="AQ51" s="1"/>
      <c r="AR51" s="1"/>
      <c r="AS51" s="29"/>
      <c r="AT51" s="1"/>
      <c r="AU51" s="1"/>
      <c r="AV51" s="29"/>
      <c r="AW51" s="1"/>
      <c r="AX51" s="1"/>
      <c r="AY51" s="29"/>
      <c r="AZ51" s="1"/>
      <c r="BA51" s="1"/>
      <c r="BB51" s="1"/>
      <c r="BC51" s="1"/>
      <c r="BD51" s="1"/>
      <c r="BE51" s="1"/>
      <c r="BF51" s="1"/>
      <c r="BG51" s="1"/>
      <c r="BH51" s="1"/>
      <c r="BI51" s="1"/>
      <c r="BJ51" s="1"/>
      <c r="BK51" s="1"/>
      <c r="BL51" s="1"/>
      <c r="BM51" s="1"/>
      <c r="BN51" s="1"/>
      <c r="BO51" s="1"/>
    </row>
    <row r="52" spans="1:67">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12"/>
      <c r="AD52" s="1"/>
      <c r="AE52" s="1"/>
      <c r="AF52" s="1"/>
      <c r="AG52" s="1"/>
      <c r="AH52" s="1"/>
      <c r="AI52" s="1"/>
      <c r="AJ52" s="1"/>
      <c r="AK52" s="97"/>
      <c r="AL52" s="29"/>
      <c r="AN52" s="1"/>
      <c r="AO52" s="1"/>
      <c r="AP52" s="29"/>
      <c r="AQ52" s="1"/>
      <c r="AR52" s="1"/>
      <c r="AS52" s="29"/>
      <c r="AT52" s="1"/>
      <c r="AU52" s="1"/>
      <c r="AV52" s="29"/>
      <c r="AW52" s="1"/>
      <c r="AX52" s="1"/>
      <c r="AY52" s="29"/>
      <c r="AZ52" s="1"/>
      <c r="BA52" s="1"/>
      <c r="BB52" s="1"/>
      <c r="BC52" s="1"/>
      <c r="BD52" s="1"/>
      <c r="BE52" s="1"/>
      <c r="BF52" s="1"/>
      <c r="BG52" s="1"/>
      <c r="BH52" s="1"/>
      <c r="BI52" s="1"/>
      <c r="BJ52" s="1"/>
      <c r="BK52" s="1"/>
      <c r="BL52" s="1"/>
      <c r="BM52" s="1"/>
      <c r="BN52" s="1"/>
      <c r="BO52" s="1"/>
    </row>
    <row r="53" spans="1:67">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12"/>
      <c r="AD53" s="1"/>
      <c r="AE53" s="1"/>
      <c r="AF53" s="1"/>
      <c r="AG53" s="1"/>
      <c r="AH53" s="1"/>
      <c r="AI53" s="1"/>
      <c r="AJ53" s="1"/>
      <c r="AK53" s="97"/>
      <c r="AL53" s="29"/>
      <c r="AN53" s="1"/>
      <c r="AO53" s="1"/>
      <c r="AP53" s="29"/>
      <c r="AQ53" s="1"/>
      <c r="AR53" s="1"/>
      <c r="AS53" s="29"/>
      <c r="AT53" s="1"/>
      <c r="AU53" s="1"/>
      <c r="AV53" s="29"/>
      <c r="AW53" s="1"/>
      <c r="AX53" s="1"/>
      <c r="AY53" s="29"/>
      <c r="AZ53" s="1"/>
      <c r="BA53" s="1"/>
      <c r="BB53" s="1"/>
      <c r="BC53" s="1"/>
      <c r="BD53" s="1"/>
      <c r="BE53" s="1"/>
      <c r="BF53" s="1"/>
      <c r="BG53" s="1"/>
      <c r="BH53" s="1"/>
      <c r="BI53" s="1"/>
      <c r="BJ53" s="1"/>
      <c r="BK53" s="1"/>
      <c r="BL53" s="1"/>
      <c r="BM53" s="1"/>
      <c r="BN53" s="1"/>
      <c r="BO53" s="1"/>
    </row>
    <row r="54" spans="1:67">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12"/>
      <c r="AD54" s="1"/>
      <c r="AE54" s="1"/>
      <c r="AF54" s="1"/>
      <c r="AG54" s="1"/>
      <c r="AH54" s="1"/>
      <c r="AI54" s="1"/>
      <c r="AJ54" s="1"/>
      <c r="AK54" s="182" t="s">
        <v>74</v>
      </c>
      <c r="AL54" s="15"/>
      <c r="AM54" s="12"/>
      <c r="AN54" s="12"/>
      <c r="AO54" s="12" t="s">
        <v>74</v>
      </c>
      <c r="AP54" s="29"/>
      <c r="AQ54" s="1"/>
      <c r="AR54" s="12" t="s">
        <v>74</v>
      </c>
      <c r="AS54" s="29"/>
      <c r="AT54" s="1"/>
      <c r="AU54" s="12" t="s">
        <v>74</v>
      </c>
      <c r="AV54" s="29"/>
      <c r="AW54" s="1"/>
      <c r="AX54" s="12" t="s">
        <v>74</v>
      </c>
      <c r="AY54" s="29"/>
      <c r="AZ54" s="1"/>
      <c r="BA54" s="1"/>
      <c r="BB54" s="1"/>
      <c r="BC54" s="1"/>
      <c r="BD54" s="1"/>
      <c r="BE54" s="1"/>
      <c r="BF54" s="1"/>
      <c r="BG54" s="1"/>
      <c r="BH54" s="1"/>
      <c r="BI54" s="1"/>
      <c r="BJ54" s="1"/>
      <c r="BK54" s="1"/>
      <c r="BL54" s="1"/>
      <c r="BM54" s="1"/>
      <c r="BN54" s="1"/>
      <c r="BO54" s="1"/>
    </row>
    <row r="55" spans="1:67">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12"/>
      <c r="AD55" s="1"/>
      <c r="AE55" s="1"/>
      <c r="AF55" s="1"/>
      <c r="AG55" s="1"/>
      <c r="AH55" s="1"/>
      <c r="AI55" s="1"/>
      <c r="AJ55" s="1"/>
      <c r="AK55" s="97"/>
      <c r="AL55" s="29"/>
      <c r="AN55" s="1"/>
      <c r="AO55" s="1"/>
      <c r="AP55" s="29"/>
      <c r="AQ55" s="1"/>
      <c r="AR55" s="1"/>
      <c r="AS55" s="29"/>
      <c r="AT55" s="1"/>
      <c r="AU55" s="1"/>
      <c r="AV55" s="29"/>
      <c r="AW55" s="1"/>
      <c r="AX55" s="1"/>
      <c r="AY55" s="29"/>
      <c r="AZ55" s="1"/>
      <c r="BA55" s="1"/>
      <c r="BB55" s="1"/>
      <c r="BC55" s="1"/>
      <c r="BD55" s="1"/>
      <c r="BE55" s="1"/>
      <c r="BF55" s="1"/>
      <c r="BG55" s="1"/>
      <c r="BH55" s="1"/>
      <c r="BI55" s="1"/>
      <c r="BJ55" s="1"/>
      <c r="BK55" s="1"/>
      <c r="BL55" s="1"/>
      <c r="BM55" s="1"/>
      <c r="BN55" s="1"/>
      <c r="BO55" s="1"/>
    </row>
    <row r="56" spans="1:67" ht="43.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12"/>
      <c r="AD56" s="1"/>
      <c r="AE56" s="1"/>
      <c r="AF56" s="1"/>
      <c r="AG56" s="1"/>
      <c r="AH56" s="1"/>
      <c r="AI56" s="1"/>
      <c r="AJ56" s="1"/>
      <c r="AK56" s="527" t="s">
        <v>75</v>
      </c>
      <c r="AL56" s="528"/>
      <c r="AN56" s="1"/>
      <c r="AO56" s="1"/>
      <c r="AP56" s="29"/>
      <c r="AQ56" s="1"/>
      <c r="AR56" s="1"/>
      <c r="AS56" s="29"/>
      <c r="AT56" s="1"/>
      <c r="AU56" s="1"/>
      <c r="AV56" s="29"/>
      <c r="AW56" s="1"/>
      <c r="AX56" s="1"/>
      <c r="AY56" s="29"/>
      <c r="AZ56" s="1"/>
      <c r="BA56" s="1"/>
      <c r="BB56" s="1"/>
      <c r="BC56" s="1"/>
      <c r="BD56" s="1"/>
      <c r="BE56" s="1"/>
      <c r="BF56" s="1"/>
      <c r="BG56" s="1"/>
      <c r="BH56" s="1"/>
      <c r="BI56" s="1"/>
      <c r="BJ56" s="1"/>
      <c r="BK56" s="1"/>
      <c r="BL56" s="1"/>
      <c r="BM56" s="1"/>
      <c r="BN56" s="1"/>
      <c r="BO56" s="1"/>
    </row>
    <row r="57" spans="1:67" ht="31.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12"/>
      <c r="AD57" s="1"/>
      <c r="AE57" s="1"/>
      <c r="AF57" s="1"/>
      <c r="AG57" s="1"/>
      <c r="AH57" s="1"/>
      <c r="AI57" s="1"/>
      <c r="AJ57" s="1"/>
      <c r="AK57" s="527" t="s">
        <v>76</v>
      </c>
      <c r="AL57" s="528"/>
      <c r="AN57" s="1"/>
      <c r="AO57" s="1"/>
      <c r="AP57" s="29"/>
      <c r="AQ57" s="1"/>
      <c r="AR57" s="1"/>
      <c r="AS57" s="29"/>
      <c r="AT57" s="1"/>
      <c r="AU57" s="1"/>
      <c r="AV57" s="29"/>
      <c r="AW57" s="1"/>
      <c r="AX57" s="1"/>
      <c r="AY57" s="29"/>
      <c r="AZ57" s="1"/>
      <c r="BA57" s="1"/>
      <c r="BB57" s="1"/>
      <c r="BC57" s="1"/>
      <c r="BD57" s="1"/>
      <c r="BE57" s="1"/>
      <c r="BF57" s="1"/>
      <c r="BG57" s="1"/>
      <c r="BH57" s="1"/>
      <c r="BI57" s="1"/>
      <c r="BJ57" s="1"/>
      <c r="BK57" s="1"/>
      <c r="BL57" s="1"/>
      <c r="BM57" s="1"/>
      <c r="BN57" s="1"/>
      <c r="BO57" s="1"/>
    </row>
    <row r="58" spans="1:6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12"/>
      <c r="AD58" s="1"/>
      <c r="AE58" s="1"/>
      <c r="AF58" s="1"/>
      <c r="AG58" s="1"/>
      <c r="AH58" s="1"/>
      <c r="AI58" s="1"/>
      <c r="AJ58" s="1"/>
      <c r="AK58" s="97" t="s">
        <v>77</v>
      </c>
      <c r="AL58" s="29"/>
      <c r="AN58" s="1"/>
      <c r="AO58" s="1"/>
      <c r="AP58" s="29"/>
      <c r="AQ58" s="1"/>
      <c r="AR58" s="1"/>
      <c r="AS58" s="29"/>
      <c r="AT58" s="1"/>
      <c r="AU58" s="1"/>
      <c r="AV58" s="29"/>
      <c r="AW58" s="1"/>
      <c r="AX58" s="1"/>
      <c r="AY58" s="29"/>
      <c r="AZ58" s="1"/>
      <c r="BA58" s="1"/>
      <c r="BB58" s="1"/>
      <c r="BC58" s="1"/>
      <c r="BD58" s="1"/>
      <c r="BE58" s="1"/>
      <c r="BF58" s="1"/>
      <c r="BG58" s="1"/>
      <c r="BH58" s="1"/>
      <c r="BI58" s="1"/>
      <c r="BJ58" s="1"/>
      <c r="BK58" s="1"/>
      <c r="BL58" s="1"/>
      <c r="BM58" s="1"/>
      <c r="BN58" s="1"/>
      <c r="BO58" s="1"/>
    </row>
    <row r="59" spans="1:6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12"/>
      <c r="AD59" s="1"/>
      <c r="AE59" s="1"/>
      <c r="AF59" s="1"/>
      <c r="AG59" s="1"/>
      <c r="AH59" s="1"/>
      <c r="AI59" s="1"/>
      <c r="AJ59" s="1"/>
      <c r="AK59" s="97" t="s">
        <v>78</v>
      </c>
      <c r="AL59" s="29"/>
      <c r="AN59" s="1"/>
      <c r="AO59" s="1"/>
      <c r="AP59" s="29"/>
      <c r="AQ59" s="1"/>
      <c r="AR59" s="1"/>
      <c r="AS59" s="29"/>
      <c r="AT59" s="1"/>
      <c r="AU59" s="1"/>
      <c r="AV59" s="29"/>
      <c r="AW59" s="1"/>
      <c r="AX59" s="1"/>
      <c r="AY59" s="29"/>
      <c r="AZ59" s="1"/>
      <c r="BA59" s="1"/>
      <c r="BB59" s="1"/>
      <c r="BC59" s="1"/>
      <c r="BD59" s="1"/>
      <c r="BE59" s="1"/>
      <c r="BF59" s="1"/>
      <c r="BG59" s="1"/>
      <c r="BH59" s="1"/>
      <c r="BI59" s="1"/>
      <c r="BJ59" s="1"/>
      <c r="BK59" s="1"/>
      <c r="BL59" s="1"/>
      <c r="BM59" s="1"/>
      <c r="BN59" s="1"/>
      <c r="BO59" s="1"/>
    </row>
    <row r="60" spans="1:6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12"/>
      <c r="AD60" s="1"/>
      <c r="AE60" s="1"/>
      <c r="AF60" s="1"/>
      <c r="AG60" s="1"/>
      <c r="AH60" s="1"/>
      <c r="AI60" s="1"/>
      <c r="AJ60" s="1"/>
      <c r="AK60" s="97" t="s">
        <v>79</v>
      </c>
      <c r="AL60" s="29"/>
      <c r="AN60" s="1"/>
      <c r="AO60" s="1"/>
      <c r="AP60" s="29"/>
      <c r="AQ60" s="1"/>
      <c r="AR60" s="1"/>
      <c r="AS60" s="29"/>
      <c r="AT60" s="1"/>
      <c r="AU60" s="1"/>
      <c r="AV60" s="29"/>
      <c r="AW60" s="1"/>
      <c r="AX60" s="1"/>
      <c r="AY60" s="29"/>
      <c r="AZ60" s="1"/>
      <c r="BA60" s="1"/>
      <c r="BB60" s="1"/>
      <c r="BC60" s="1"/>
      <c r="BD60" s="1"/>
      <c r="BE60" s="1"/>
      <c r="BF60" s="1"/>
      <c r="BG60" s="1"/>
      <c r="BH60" s="1"/>
      <c r="BI60" s="1"/>
      <c r="BJ60" s="1"/>
      <c r="BK60" s="1"/>
      <c r="BL60" s="1"/>
      <c r="BM60" s="1"/>
      <c r="BN60" s="1"/>
      <c r="BO60" s="1"/>
    </row>
    <row r="61" spans="1:6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12"/>
      <c r="AD61" s="1"/>
      <c r="AE61" s="1"/>
      <c r="AF61" s="1"/>
      <c r="AG61" s="1"/>
      <c r="AH61" s="1"/>
      <c r="AI61" s="1"/>
      <c r="AJ61" s="1"/>
      <c r="AK61" s="97" t="s">
        <v>80</v>
      </c>
      <c r="AL61" s="29"/>
      <c r="AN61" s="1"/>
      <c r="AO61" s="1"/>
      <c r="AP61" s="29"/>
      <c r="AQ61" s="1"/>
      <c r="AR61" s="1"/>
      <c r="AS61" s="29"/>
      <c r="AT61" s="1"/>
      <c r="AU61" s="1"/>
      <c r="AV61" s="29"/>
      <c r="AW61" s="1"/>
      <c r="AX61" s="1"/>
      <c r="AY61" s="29"/>
      <c r="AZ61" s="1"/>
      <c r="BA61" s="1"/>
      <c r="BB61" s="1"/>
      <c r="BC61" s="1"/>
      <c r="BD61" s="1"/>
      <c r="BE61" s="1"/>
      <c r="BF61" s="1"/>
      <c r="BG61" s="1"/>
      <c r="BH61" s="1"/>
      <c r="BI61" s="1"/>
      <c r="BJ61" s="1"/>
      <c r="BK61" s="1"/>
      <c r="BL61" s="1"/>
      <c r="BM61" s="1"/>
      <c r="BN61" s="1"/>
      <c r="BO61" s="1"/>
    </row>
    <row r="62" spans="1:6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12"/>
      <c r="AD62" s="1"/>
      <c r="AE62" s="1"/>
      <c r="AF62" s="1"/>
      <c r="AG62" s="1"/>
      <c r="AH62" s="1"/>
      <c r="AI62" s="1"/>
      <c r="AJ62" s="1"/>
      <c r="AK62" s="97"/>
      <c r="AL62" s="29"/>
      <c r="AN62" s="1"/>
      <c r="AO62" s="1"/>
      <c r="AP62" s="29"/>
      <c r="AQ62" s="1"/>
      <c r="AR62" s="1"/>
      <c r="AS62" s="29"/>
      <c r="AT62" s="1"/>
      <c r="AU62" s="1"/>
      <c r="AV62" s="29"/>
      <c r="AW62" s="1"/>
      <c r="AX62" s="1"/>
      <c r="AY62" s="29"/>
      <c r="AZ62" s="1"/>
      <c r="BA62" s="1"/>
      <c r="BB62" s="1"/>
      <c r="BC62" s="1"/>
      <c r="BD62" s="1"/>
      <c r="BE62" s="1"/>
      <c r="BF62" s="1"/>
      <c r="BG62" s="1"/>
      <c r="BH62" s="1"/>
      <c r="BI62" s="1"/>
      <c r="BJ62" s="1"/>
      <c r="BK62" s="1"/>
      <c r="BL62" s="1"/>
      <c r="BM62" s="1"/>
      <c r="BN62" s="1"/>
      <c r="BO62" s="1"/>
    </row>
    <row r="63" spans="1:6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12"/>
      <c r="AD63" s="1"/>
      <c r="AE63" s="1"/>
      <c r="AF63" s="1"/>
      <c r="AG63" s="1"/>
      <c r="AH63" s="1"/>
      <c r="AI63" s="1"/>
      <c r="AJ63" s="1"/>
      <c r="AK63" s="97"/>
      <c r="AL63" s="29"/>
      <c r="AN63" s="1"/>
      <c r="AO63" s="1"/>
      <c r="AP63" s="29"/>
      <c r="AQ63" s="1"/>
      <c r="AR63" s="1"/>
      <c r="AS63" s="29"/>
      <c r="AT63" s="1"/>
      <c r="AU63" s="1"/>
      <c r="AV63" s="29"/>
      <c r="AW63" s="1"/>
      <c r="AX63" s="1"/>
      <c r="AY63" s="29"/>
      <c r="AZ63" s="1"/>
      <c r="BA63" s="1"/>
      <c r="BB63" s="1"/>
      <c r="BC63" s="1"/>
      <c r="BD63" s="1"/>
      <c r="BE63" s="1"/>
      <c r="BF63" s="1"/>
      <c r="BG63" s="1"/>
      <c r="BH63" s="1"/>
      <c r="BI63" s="1"/>
      <c r="BJ63" s="1"/>
      <c r="BK63" s="1"/>
      <c r="BL63" s="1"/>
      <c r="BM63" s="1"/>
      <c r="BN63" s="1"/>
      <c r="BO63" s="1"/>
    </row>
    <row r="64" spans="1:6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12"/>
      <c r="AD64" s="1"/>
      <c r="AE64" s="1"/>
      <c r="AF64" s="1"/>
      <c r="AG64" s="1"/>
      <c r="AH64" s="1"/>
      <c r="AI64" s="1"/>
      <c r="AJ64" s="1"/>
      <c r="AK64" s="97"/>
      <c r="AL64" s="29"/>
      <c r="AN64" s="1"/>
      <c r="AO64" s="1"/>
      <c r="AP64" s="29"/>
      <c r="AQ64" s="1"/>
      <c r="AR64" s="1"/>
      <c r="AS64" s="29"/>
      <c r="AT64" s="1"/>
      <c r="AU64" s="1"/>
      <c r="AV64" s="29"/>
      <c r="AW64" s="1"/>
      <c r="AX64" s="1"/>
      <c r="AY64" s="29"/>
      <c r="AZ64" s="1"/>
      <c r="BA64" s="1"/>
      <c r="BB64" s="1"/>
      <c r="BC64" s="1"/>
      <c r="BD64" s="1"/>
      <c r="BE64" s="1"/>
      <c r="BF64" s="1"/>
      <c r="BG64" s="1"/>
      <c r="BH64" s="1"/>
      <c r="BI64" s="1"/>
      <c r="BJ64" s="1"/>
      <c r="BK64" s="1"/>
      <c r="BL64" s="1"/>
      <c r="BM64" s="1"/>
      <c r="BN64" s="1"/>
      <c r="BO64" s="1"/>
    </row>
    <row r="65" spans="1:6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12"/>
      <c r="AD65" s="1"/>
      <c r="AE65" s="1"/>
      <c r="AF65" s="1"/>
      <c r="AG65" s="1"/>
      <c r="AH65" s="1"/>
      <c r="AI65" s="1"/>
      <c r="AJ65" s="1"/>
      <c r="AK65" s="97"/>
      <c r="AL65" s="29"/>
      <c r="AN65" s="1"/>
      <c r="AO65" s="1"/>
      <c r="AP65" s="29"/>
      <c r="AQ65" s="1"/>
      <c r="AR65" s="1"/>
      <c r="AS65" s="29"/>
      <c r="AT65" s="1"/>
      <c r="AU65" s="1"/>
      <c r="AV65" s="29"/>
      <c r="AW65" s="1"/>
      <c r="AX65" s="1"/>
      <c r="AY65" s="29"/>
      <c r="AZ65" s="1"/>
      <c r="BA65" s="1"/>
      <c r="BB65" s="1"/>
      <c r="BC65" s="1"/>
      <c r="BD65" s="1"/>
      <c r="BE65" s="1"/>
      <c r="BF65" s="1"/>
      <c r="BG65" s="1"/>
      <c r="BH65" s="1"/>
      <c r="BI65" s="1"/>
      <c r="BJ65" s="1"/>
      <c r="BK65" s="1"/>
      <c r="BL65" s="1"/>
      <c r="BM65" s="1"/>
      <c r="BN65" s="1"/>
      <c r="BO65" s="1"/>
    </row>
    <row r="66" spans="1:6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12"/>
      <c r="AD66" s="1"/>
      <c r="AE66" s="1"/>
      <c r="AF66" s="1"/>
      <c r="AG66" s="1"/>
      <c r="AH66" s="1"/>
      <c r="AI66" s="1"/>
      <c r="AJ66" s="1"/>
      <c r="AK66" s="97"/>
      <c r="AL66" s="29"/>
      <c r="AN66" s="1"/>
      <c r="AO66" s="1"/>
      <c r="AP66" s="29"/>
      <c r="AQ66" s="1"/>
      <c r="AR66" s="1"/>
      <c r="AS66" s="29"/>
      <c r="AT66" s="1"/>
      <c r="AU66" s="1"/>
      <c r="AV66" s="29"/>
      <c r="AW66" s="1"/>
      <c r="AX66" s="1"/>
      <c r="AY66" s="29"/>
      <c r="AZ66" s="1"/>
      <c r="BA66" s="1"/>
      <c r="BB66" s="1"/>
      <c r="BC66" s="1"/>
      <c r="BD66" s="1"/>
      <c r="BE66" s="1"/>
      <c r="BF66" s="1"/>
      <c r="BG66" s="1"/>
      <c r="BH66" s="1"/>
      <c r="BI66" s="1"/>
      <c r="BJ66" s="1"/>
      <c r="BK66" s="1"/>
      <c r="BL66" s="1"/>
      <c r="BM66" s="1"/>
      <c r="BN66" s="1"/>
      <c r="BO66" s="1"/>
    </row>
    <row r="67" spans="1:67">
      <c r="F67" s="1"/>
      <c r="G67" s="1"/>
      <c r="H67" s="1"/>
      <c r="I67" s="1"/>
      <c r="J67" s="1"/>
      <c r="K67" s="1"/>
      <c r="L67" s="1"/>
      <c r="M67" s="1"/>
      <c r="N67" s="1"/>
      <c r="O67" s="1"/>
      <c r="P67" s="1"/>
      <c r="Q67" s="1"/>
      <c r="R67" s="1"/>
      <c r="S67" s="1"/>
      <c r="T67" s="1"/>
      <c r="U67" s="1"/>
      <c r="V67" s="1"/>
      <c r="W67" s="1"/>
      <c r="X67" s="1"/>
      <c r="Y67" s="1"/>
      <c r="Z67" s="1"/>
      <c r="AA67" s="1"/>
      <c r="AB67" s="1"/>
      <c r="AC67" s="112"/>
      <c r="AD67" s="1"/>
      <c r="AE67" s="1"/>
      <c r="AF67" s="1"/>
      <c r="AG67" s="1"/>
      <c r="AH67" s="1"/>
      <c r="AI67" s="1"/>
      <c r="AJ67" s="1"/>
      <c r="AK67" s="97"/>
      <c r="AL67" s="29"/>
      <c r="AN67" s="1"/>
      <c r="AO67" s="1"/>
      <c r="AP67" s="29"/>
      <c r="AQ67" s="1"/>
      <c r="AR67" s="1"/>
      <c r="AS67" s="29"/>
      <c r="AT67" s="1"/>
      <c r="AU67" s="1"/>
      <c r="AV67" s="29"/>
      <c r="AW67" s="1"/>
      <c r="AX67" s="1"/>
      <c r="AY67" s="29"/>
      <c r="AZ67" s="1"/>
      <c r="BA67" s="1"/>
      <c r="BB67" s="1"/>
      <c r="BC67" s="1"/>
      <c r="BD67" s="1"/>
      <c r="BE67" s="1"/>
      <c r="BF67" s="1"/>
      <c r="BG67" s="1"/>
      <c r="BH67" s="1"/>
      <c r="BI67" s="1"/>
      <c r="BJ67" s="1"/>
      <c r="BK67" s="1"/>
      <c r="BL67" s="1"/>
      <c r="BM67" s="1"/>
      <c r="BN67" s="1"/>
      <c r="BO67" s="1"/>
    </row>
    <row r="68" spans="1:67">
      <c r="F68" s="1"/>
      <c r="G68" s="1"/>
      <c r="H68" s="1"/>
      <c r="I68" s="1"/>
      <c r="J68" s="1"/>
      <c r="K68" s="1"/>
      <c r="L68" s="1"/>
      <c r="M68" s="1"/>
      <c r="N68" s="1"/>
      <c r="O68" s="1"/>
      <c r="P68" s="1"/>
      <c r="Q68" s="1"/>
      <c r="R68" s="1"/>
      <c r="S68" s="1"/>
      <c r="T68" s="1"/>
      <c r="U68" s="1"/>
      <c r="V68" s="1"/>
      <c r="W68" s="1"/>
      <c r="X68" s="1"/>
      <c r="Y68" s="1"/>
      <c r="Z68" s="1"/>
      <c r="AA68" s="1"/>
      <c r="AB68" s="1"/>
      <c r="AC68" s="112"/>
      <c r="AD68" s="1"/>
      <c r="AE68" s="1"/>
      <c r="AF68" s="1"/>
      <c r="AG68" s="1"/>
      <c r="AH68" s="1"/>
      <c r="AI68" s="1"/>
      <c r="AJ68" s="1"/>
      <c r="AK68" s="97"/>
      <c r="AL68" s="29"/>
      <c r="AN68" s="1"/>
      <c r="AO68" s="1"/>
      <c r="AP68" s="29"/>
      <c r="AQ68" s="1"/>
      <c r="AR68" s="1"/>
      <c r="AS68" s="29"/>
      <c r="AT68" s="1"/>
      <c r="AU68" s="1"/>
      <c r="AV68" s="29"/>
      <c r="AW68" s="1"/>
      <c r="AX68" s="1"/>
      <c r="AY68" s="29"/>
      <c r="AZ68" s="1"/>
      <c r="BA68" s="1"/>
      <c r="BB68" s="1"/>
      <c r="BC68" s="1"/>
      <c r="BD68" s="1"/>
      <c r="BE68" s="1"/>
      <c r="BF68" s="1"/>
      <c r="BG68" s="1"/>
      <c r="BH68" s="1"/>
      <c r="BI68" s="1"/>
      <c r="BJ68" s="1"/>
      <c r="BK68" s="1"/>
      <c r="BL68" s="1"/>
      <c r="BM68" s="1"/>
      <c r="BN68" s="1"/>
      <c r="BO68" s="1"/>
    </row>
    <row r="69" spans="1:67">
      <c r="F69" s="12"/>
      <c r="G69" s="1"/>
      <c r="H69" s="1"/>
      <c r="I69" s="1"/>
      <c r="J69" s="1"/>
      <c r="K69" s="1"/>
      <c r="L69" s="1"/>
      <c r="M69" s="1" t="s">
        <v>81</v>
      </c>
      <c r="N69" s="1" t="s">
        <v>81</v>
      </c>
      <c r="O69" s="1" t="s">
        <v>81</v>
      </c>
      <c r="P69" s="1" t="s">
        <v>81</v>
      </c>
      <c r="Q69" s="1"/>
      <c r="R69" s="1"/>
      <c r="S69" s="1" t="s">
        <v>81</v>
      </c>
      <c r="T69" s="1" t="s">
        <v>81</v>
      </c>
      <c r="U69" s="1" t="s">
        <v>81</v>
      </c>
      <c r="V69" s="1" t="s">
        <v>81</v>
      </c>
      <c r="W69" s="1"/>
      <c r="X69" s="1"/>
      <c r="Y69" s="1"/>
      <c r="Z69" s="1"/>
      <c r="AA69" s="1"/>
      <c r="AB69" s="1"/>
      <c r="AC69" s="112"/>
      <c r="AD69" s="1"/>
      <c r="AE69" s="1"/>
      <c r="AF69" s="1"/>
      <c r="AG69" s="1"/>
      <c r="AH69" s="1"/>
      <c r="AI69" s="1"/>
      <c r="AJ69" s="1"/>
      <c r="AK69" s="97"/>
      <c r="AL69" s="29"/>
      <c r="AN69" s="1"/>
      <c r="AO69" s="1"/>
      <c r="AP69" s="29"/>
      <c r="AQ69" s="1"/>
      <c r="AR69" s="1"/>
      <c r="AS69" s="29"/>
      <c r="AT69" s="1"/>
      <c r="AU69" s="1"/>
      <c r="AV69" s="29"/>
      <c r="AW69" s="1"/>
      <c r="AX69" s="1"/>
      <c r="AY69" s="29"/>
      <c r="AZ69" s="1"/>
      <c r="BA69" s="1"/>
      <c r="BB69" s="1"/>
      <c r="BC69" s="1"/>
      <c r="BD69" s="1"/>
      <c r="BE69" s="1"/>
      <c r="BF69" s="1"/>
      <c r="BG69" s="1"/>
      <c r="BH69" s="1"/>
      <c r="BI69" s="1"/>
      <c r="BJ69" s="1"/>
      <c r="BK69" s="1"/>
      <c r="BL69" s="1"/>
      <c r="BM69" s="1"/>
      <c r="BN69" s="1"/>
      <c r="BO69" s="1"/>
    </row>
    <row r="70" spans="1:67">
      <c r="F70" s="1"/>
      <c r="G70" s="1"/>
      <c r="H70" s="1"/>
      <c r="I70" s="1"/>
      <c r="J70" s="1"/>
      <c r="K70" s="1"/>
      <c r="L70" s="1"/>
      <c r="M70" s="1" t="s">
        <v>82</v>
      </c>
      <c r="N70" s="1" t="s">
        <v>82</v>
      </c>
      <c r="O70" s="1" t="s">
        <v>82</v>
      </c>
      <c r="P70" s="1" t="s">
        <v>82</v>
      </c>
      <c r="Q70" s="1"/>
      <c r="R70" s="1"/>
      <c r="S70" s="1" t="s">
        <v>82</v>
      </c>
      <c r="T70" s="1" t="s">
        <v>82</v>
      </c>
      <c r="U70" s="1" t="s">
        <v>82</v>
      </c>
      <c r="V70" s="1" t="s">
        <v>82</v>
      </c>
      <c r="W70" s="1"/>
      <c r="X70" s="1"/>
      <c r="Y70" s="1"/>
      <c r="Z70" s="1"/>
      <c r="AA70" s="1"/>
      <c r="AB70" s="1"/>
      <c r="AC70" s="112"/>
      <c r="AD70" s="1"/>
      <c r="AE70" s="1"/>
      <c r="AF70" s="1"/>
      <c r="AG70" s="1"/>
      <c r="AH70" s="1"/>
      <c r="AI70" s="1"/>
      <c r="AJ70" s="1"/>
      <c r="AK70" s="97"/>
      <c r="AL70" s="29"/>
      <c r="AN70" s="1"/>
      <c r="AO70" s="1"/>
      <c r="AP70" s="29"/>
      <c r="AQ70" s="1"/>
      <c r="AR70" s="1"/>
      <c r="AS70" s="29"/>
      <c r="AT70" s="1"/>
      <c r="AU70" s="1"/>
      <c r="AV70" s="29"/>
      <c r="AW70" s="1"/>
      <c r="AX70" s="1"/>
      <c r="AY70" s="29"/>
      <c r="AZ70" s="1"/>
      <c r="BA70" s="1"/>
      <c r="BB70" s="1"/>
      <c r="BC70" s="1"/>
      <c r="BD70" s="1"/>
      <c r="BE70" s="1"/>
      <c r="BF70" s="1"/>
      <c r="BG70" s="1"/>
      <c r="BH70" s="1"/>
      <c r="BI70" s="1"/>
      <c r="BJ70" s="1"/>
      <c r="BK70" s="1"/>
      <c r="BL70" s="1"/>
      <c r="BM70" s="1"/>
      <c r="BN70" s="1"/>
      <c r="BO70" s="1"/>
    </row>
    <row r="71" spans="1:67">
      <c r="F71" s="1"/>
      <c r="G71" s="1"/>
      <c r="H71" s="1"/>
      <c r="I71" s="1"/>
      <c r="J71" s="1"/>
      <c r="K71" s="1"/>
      <c r="L71" s="1"/>
      <c r="M71" s="1" t="s">
        <v>67</v>
      </c>
      <c r="N71" s="1" t="s">
        <v>67</v>
      </c>
      <c r="O71" s="1" t="s">
        <v>67</v>
      </c>
      <c r="P71" s="1" t="s">
        <v>67</v>
      </c>
      <c r="Q71" s="1"/>
      <c r="R71" s="1"/>
      <c r="S71" s="1" t="s">
        <v>67</v>
      </c>
      <c r="T71" s="1" t="s">
        <v>67</v>
      </c>
      <c r="U71" s="1" t="s">
        <v>83</v>
      </c>
      <c r="V71" s="1" t="s">
        <v>67</v>
      </c>
      <c r="W71" s="1"/>
      <c r="X71" s="1"/>
      <c r="Y71" s="1"/>
      <c r="Z71" s="1"/>
      <c r="AA71" s="1"/>
      <c r="AB71" s="1"/>
      <c r="AC71" s="112"/>
      <c r="AD71" s="1"/>
      <c r="AE71" s="1"/>
      <c r="AF71" s="1"/>
      <c r="AG71" s="1"/>
      <c r="AH71" s="1"/>
      <c r="AI71" s="1"/>
      <c r="AJ71" s="1"/>
      <c r="AK71" s="1"/>
      <c r="AL71" s="1"/>
      <c r="AN71" s="1"/>
      <c r="AO71" s="1"/>
      <c r="AP71" s="29"/>
      <c r="AQ71" s="1"/>
      <c r="AR71" s="1"/>
      <c r="AS71" s="29"/>
      <c r="AT71" s="1"/>
      <c r="AU71" s="1"/>
      <c r="AV71" s="29"/>
      <c r="AW71" s="1"/>
      <c r="AX71" s="1"/>
      <c r="AY71" s="29"/>
      <c r="AZ71" s="1"/>
      <c r="BA71" s="1"/>
      <c r="BB71" s="1"/>
      <c r="BC71" s="1"/>
      <c r="BD71" s="1"/>
      <c r="BE71" s="1"/>
      <c r="BF71" s="1"/>
      <c r="BG71" s="1"/>
      <c r="BH71" s="1"/>
      <c r="BI71" s="1"/>
      <c r="BJ71" s="1"/>
      <c r="BK71" s="1"/>
      <c r="BL71" s="1"/>
      <c r="BM71" s="1"/>
      <c r="BN71" s="1"/>
      <c r="BO71" s="1"/>
    </row>
    <row r="72" spans="1:67">
      <c r="F72" s="1"/>
      <c r="G72" s="1"/>
      <c r="H72" s="1"/>
      <c r="I72" s="1"/>
      <c r="J72" s="1"/>
      <c r="K72" s="1"/>
      <c r="L72" s="1"/>
      <c r="M72" s="1" t="s">
        <v>84</v>
      </c>
      <c r="N72" s="1" t="s">
        <v>84</v>
      </c>
      <c r="O72" s="1" t="s">
        <v>84</v>
      </c>
      <c r="P72" s="1" t="s">
        <v>84</v>
      </c>
      <c r="Q72" s="1"/>
      <c r="R72" s="1"/>
      <c r="S72" s="1" t="s">
        <v>85</v>
      </c>
      <c r="T72" s="1" t="s">
        <v>85</v>
      </c>
      <c r="U72" s="1" t="s">
        <v>85</v>
      </c>
      <c r="V72" s="1" t="s">
        <v>86</v>
      </c>
      <c r="W72" s="1"/>
      <c r="X72" s="1"/>
      <c r="Y72" s="1"/>
      <c r="Z72" s="1"/>
      <c r="AA72" s="1"/>
      <c r="AB72" s="1"/>
      <c r="AC72" s="112"/>
      <c r="AD72" s="1"/>
      <c r="AE72" s="1"/>
      <c r="AF72" s="1"/>
      <c r="AG72" s="1"/>
      <c r="AH72" s="1"/>
      <c r="AI72" s="1"/>
      <c r="AJ72" s="1"/>
      <c r="AK72" s="1"/>
      <c r="AL72" s="1"/>
      <c r="AN72" s="1"/>
      <c r="AO72" s="1"/>
      <c r="AP72" s="29"/>
      <c r="AQ72" s="1"/>
      <c r="AR72" s="1"/>
      <c r="AS72" s="29"/>
      <c r="AT72" s="1"/>
      <c r="AU72" s="1"/>
      <c r="AV72" s="29"/>
      <c r="AW72" s="1"/>
      <c r="AX72" s="1"/>
      <c r="AY72" s="29"/>
      <c r="AZ72" s="1"/>
      <c r="BA72" s="1"/>
      <c r="BB72" s="1"/>
      <c r="BC72" s="1"/>
      <c r="BD72" s="1"/>
      <c r="BE72" s="1"/>
      <c r="BF72" s="1"/>
      <c r="BG72" s="1"/>
      <c r="BH72" s="1"/>
      <c r="BI72" s="1"/>
      <c r="BJ72" s="1"/>
      <c r="BK72" s="1"/>
      <c r="BL72" s="1"/>
      <c r="BM72" s="1"/>
      <c r="BN72" s="1"/>
      <c r="BO72" s="1"/>
    </row>
    <row r="73" spans="1:67">
      <c r="F73" s="1"/>
      <c r="G73" s="1"/>
      <c r="H73" s="1"/>
      <c r="I73" s="1"/>
      <c r="J73" s="1"/>
      <c r="K73" s="1"/>
      <c r="L73" s="1"/>
      <c r="M73" s="1" t="s">
        <v>87</v>
      </c>
      <c r="N73" s="1" t="s">
        <v>87</v>
      </c>
      <c r="O73" s="1" t="s">
        <v>87</v>
      </c>
      <c r="P73" s="1" t="s">
        <v>87</v>
      </c>
      <c r="Q73" s="1"/>
      <c r="R73" s="1"/>
      <c r="S73" s="1" t="s">
        <v>87</v>
      </c>
      <c r="T73" s="1" t="s">
        <v>87</v>
      </c>
      <c r="U73" s="1" t="s">
        <v>87</v>
      </c>
      <c r="V73" s="1" t="s">
        <v>87</v>
      </c>
      <c r="W73" s="1"/>
      <c r="X73" s="1"/>
      <c r="Y73" s="1"/>
      <c r="Z73" s="1"/>
      <c r="AA73" s="1"/>
      <c r="AB73" s="1"/>
      <c r="AC73" s="112"/>
      <c r="AD73" s="1"/>
      <c r="AE73" s="1"/>
      <c r="AF73" s="1"/>
      <c r="AG73" s="1"/>
      <c r="AH73" s="1"/>
      <c r="AI73" s="1"/>
      <c r="AJ73" s="1"/>
      <c r="AK73" s="1"/>
      <c r="AL73" s="1"/>
      <c r="AN73" s="1"/>
      <c r="AO73" s="1"/>
      <c r="AP73" s="29"/>
      <c r="AQ73" s="1"/>
      <c r="AR73" s="1"/>
      <c r="AS73" s="29"/>
      <c r="AT73" s="1"/>
      <c r="AU73" s="1"/>
      <c r="AV73" s="29"/>
      <c r="AW73" s="1"/>
      <c r="AX73" s="1"/>
      <c r="AY73" s="29"/>
      <c r="AZ73" s="1"/>
      <c r="BA73" s="1"/>
      <c r="BB73" s="1"/>
      <c r="BC73" s="1"/>
      <c r="BD73" s="1"/>
      <c r="BE73" s="1"/>
      <c r="BF73" s="1"/>
      <c r="BG73" s="1"/>
      <c r="BH73" s="1"/>
      <c r="BI73" s="1"/>
      <c r="BJ73" s="1"/>
      <c r="BK73" s="1"/>
      <c r="BL73" s="1"/>
      <c r="BM73" s="1"/>
      <c r="BN73" s="1"/>
      <c r="BO73" s="1"/>
    </row>
    <row r="74" spans="1:67">
      <c r="F74" s="1"/>
      <c r="G74" s="1"/>
      <c r="H74" s="1"/>
      <c r="I74" s="1"/>
      <c r="J74" s="1"/>
      <c r="K74" s="1"/>
      <c r="L74" s="1"/>
      <c r="M74" s="1"/>
      <c r="N74" s="1" t="s">
        <v>88</v>
      </c>
      <c r="O74" s="1"/>
      <c r="P74" s="1" t="s">
        <v>88</v>
      </c>
      <c r="Q74" s="1"/>
      <c r="R74" s="1"/>
      <c r="S74" s="1"/>
      <c r="T74" s="1" t="s">
        <v>89</v>
      </c>
      <c r="U74" s="1" t="s">
        <v>90</v>
      </c>
      <c r="V74" s="1"/>
      <c r="W74" s="1"/>
      <c r="X74" s="1"/>
      <c r="Y74" s="1"/>
      <c r="Z74" s="1"/>
      <c r="AA74" s="1"/>
      <c r="AB74" s="1"/>
      <c r="AC74" s="112"/>
      <c r="AD74" s="1"/>
      <c r="AE74" s="1"/>
      <c r="AF74" s="1"/>
      <c r="AG74" s="1"/>
      <c r="AH74" s="1"/>
      <c r="AI74" s="1"/>
      <c r="AJ74" s="1"/>
      <c r="AK74" s="1"/>
      <c r="AL74" s="1"/>
      <c r="AN74" s="1"/>
      <c r="AO74" s="1"/>
      <c r="AP74" s="29"/>
      <c r="AQ74" s="1"/>
      <c r="AR74" s="1"/>
      <c r="AS74" s="29"/>
      <c r="AT74" s="1"/>
      <c r="AU74" s="1"/>
      <c r="AV74" s="29"/>
      <c r="AW74" s="1"/>
      <c r="AX74" s="1"/>
      <c r="AY74" s="29"/>
      <c r="AZ74" s="1"/>
      <c r="BA74" s="1"/>
      <c r="BB74" s="1"/>
      <c r="BC74" s="1"/>
      <c r="BD74" s="1"/>
      <c r="BE74" s="1"/>
      <c r="BF74" s="1"/>
      <c r="BG74" s="1"/>
      <c r="BH74" s="1"/>
      <c r="BI74" s="1"/>
      <c r="BJ74" s="1"/>
      <c r="BK74" s="1"/>
      <c r="BL74" s="1"/>
      <c r="BM74" s="1"/>
      <c r="BN74" s="1"/>
      <c r="BO74" s="1"/>
    </row>
    <row r="75" spans="1:67">
      <c r="F75" s="1"/>
      <c r="G75" s="1"/>
      <c r="H75" s="1"/>
      <c r="I75" s="1"/>
      <c r="J75" s="1"/>
      <c r="K75" s="1"/>
      <c r="L75" s="1"/>
      <c r="M75" s="1"/>
      <c r="N75" s="1"/>
      <c r="O75" s="1"/>
      <c r="P75" s="1"/>
      <c r="Q75" s="1"/>
      <c r="R75" s="1"/>
      <c r="S75" s="1"/>
      <c r="T75" s="1"/>
      <c r="U75" s="1"/>
      <c r="V75" s="1"/>
      <c r="W75" s="1"/>
      <c r="X75" s="1"/>
      <c r="Y75" s="1"/>
      <c r="Z75" s="1"/>
      <c r="AA75" s="1"/>
      <c r="AB75" s="1"/>
      <c r="AC75" s="112"/>
      <c r="AD75" s="1"/>
      <c r="AE75" s="1"/>
      <c r="AF75" s="1"/>
      <c r="AG75" s="1"/>
      <c r="AH75" s="1"/>
      <c r="AI75" s="1"/>
      <c r="AJ75" s="1"/>
      <c r="AK75" s="1"/>
      <c r="AL75" s="1"/>
      <c r="AN75" s="1"/>
      <c r="AO75" s="1"/>
      <c r="AP75" s="29"/>
      <c r="AQ75" s="1"/>
      <c r="AR75" s="1"/>
      <c r="AS75" s="29"/>
      <c r="AT75" s="1"/>
      <c r="AU75" s="1"/>
      <c r="AV75" s="29"/>
      <c r="AW75" s="1"/>
      <c r="AX75" s="1"/>
      <c r="AY75" s="29"/>
      <c r="AZ75" s="1"/>
      <c r="BA75" s="1"/>
      <c r="BB75" s="1"/>
      <c r="BC75" s="1"/>
      <c r="BD75" s="1"/>
      <c r="BE75" s="1"/>
      <c r="BF75" s="1"/>
      <c r="BG75" s="1"/>
      <c r="BH75" s="1"/>
      <c r="BI75" s="1"/>
      <c r="BJ75" s="1"/>
      <c r="BK75" s="1"/>
      <c r="BL75" s="1"/>
      <c r="BM75" s="1"/>
      <c r="BN75" s="1"/>
      <c r="BO75" s="1"/>
    </row>
    <row r="76" spans="1:67">
      <c r="F76" s="1"/>
      <c r="G76" s="1"/>
      <c r="H76" s="1"/>
      <c r="I76" s="1"/>
      <c r="J76" s="1"/>
      <c r="K76" s="1"/>
      <c r="L76" s="1"/>
      <c r="M76" s="1"/>
      <c r="N76" s="1"/>
      <c r="O76" s="1"/>
      <c r="P76" s="1"/>
      <c r="Q76" s="1"/>
      <c r="R76" s="1"/>
      <c r="S76" s="1"/>
      <c r="T76" s="1"/>
      <c r="U76" s="1"/>
      <c r="V76" s="1"/>
      <c r="W76" s="1"/>
      <c r="X76" s="1"/>
      <c r="Y76" s="1"/>
      <c r="Z76" s="1"/>
      <c r="AA76" s="1"/>
      <c r="AB76" s="1"/>
      <c r="AC76" s="112"/>
      <c r="AD76" s="1"/>
      <c r="AE76" s="1"/>
      <c r="AF76" s="1"/>
      <c r="AG76" s="1"/>
      <c r="AH76" s="1"/>
      <c r="AI76" s="1"/>
      <c r="AJ76" s="1"/>
      <c r="AK76" s="1"/>
      <c r="AL76" s="1"/>
      <c r="AN76" s="1"/>
      <c r="AO76" s="1"/>
      <c r="AP76" s="29"/>
      <c r="AQ76" s="1"/>
      <c r="AR76" s="1"/>
      <c r="AS76" s="29"/>
      <c r="AT76" s="1"/>
      <c r="AU76" s="1"/>
      <c r="AV76" s="29"/>
      <c r="AW76" s="1"/>
      <c r="AX76" s="1"/>
      <c r="AY76" s="29"/>
      <c r="AZ76" s="1"/>
      <c r="BA76" s="1"/>
      <c r="BB76" s="1"/>
      <c r="BC76" s="1"/>
      <c r="BD76" s="1"/>
      <c r="BE76" s="1"/>
      <c r="BF76" s="1"/>
      <c r="BG76" s="1"/>
      <c r="BH76" s="1"/>
      <c r="BI76" s="1"/>
      <c r="BJ76" s="1"/>
      <c r="BK76" s="1"/>
      <c r="BL76" s="1"/>
      <c r="BM76" s="1"/>
      <c r="BN76" s="1"/>
      <c r="BO76" s="1"/>
    </row>
    <row r="77" spans="1:67">
      <c r="F77" s="1"/>
      <c r="G77" s="1"/>
      <c r="H77" s="1"/>
      <c r="I77" s="1"/>
      <c r="J77" s="1"/>
      <c r="K77" s="1"/>
      <c r="L77" s="1"/>
      <c r="M77" s="1"/>
      <c r="N77" s="1"/>
      <c r="O77" s="1"/>
      <c r="P77" s="1"/>
      <c r="Q77" s="1"/>
      <c r="R77" s="1"/>
      <c r="S77" s="1"/>
      <c r="T77" s="1"/>
      <c r="U77" s="1"/>
      <c r="V77" s="1"/>
      <c r="W77" s="1"/>
      <c r="X77" s="1"/>
      <c r="Y77" s="1"/>
      <c r="Z77" s="1"/>
      <c r="AA77" s="1"/>
      <c r="AB77" s="1"/>
      <c r="AC77" s="112"/>
      <c r="AD77" s="1"/>
      <c r="AE77" s="1"/>
      <c r="AF77" s="1"/>
      <c r="AG77" s="1"/>
      <c r="AH77" s="1"/>
      <c r="AI77" s="1"/>
      <c r="AJ77" s="1"/>
      <c r="AK77" s="1"/>
      <c r="AL77" s="1"/>
      <c r="AN77" s="1"/>
      <c r="AO77" s="1"/>
      <c r="AP77" s="29"/>
      <c r="AQ77" s="1"/>
      <c r="AR77" s="1"/>
      <c r="AS77" s="29"/>
      <c r="AT77" s="1"/>
      <c r="AU77" s="1"/>
      <c r="AV77" s="29"/>
      <c r="AW77" s="1"/>
      <c r="AX77" s="1"/>
      <c r="AY77" s="29"/>
      <c r="AZ77" s="1"/>
      <c r="BA77" s="1"/>
      <c r="BB77" s="1"/>
      <c r="BC77" s="1"/>
      <c r="BD77" s="1"/>
      <c r="BE77" s="1"/>
      <c r="BF77" s="1"/>
      <c r="BG77" s="1"/>
      <c r="BH77" s="1"/>
      <c r="BI77" s="1"/>
      <c r="BJ77" s="1"/>
      <c r="BK77" s="1"/>
      <c r="BL77" s="1"/>
      <c r="BM77" s="1"/>
      <c r="BN77" s="1"/>
      <c r="BO77" s="1"/>
    </row>
    <row r="78" spans="1:67">
      <c r="F78" s="12"/>
      <c r="G78" s="1"/>
      <c r="H78" s="1"/>
      <c r="I78" s="1"/>
      <c r="J78" s="1"/>
      <c r="K78" s="1"/>
      <c r="L78" s="1"/>
      <c r="M78" s="1"/>
      <c r="N78" s="1"/>
      <c r="O78" s="1"/>
      <c r="P78" s="1"/>
      <c r="Q78" s="1"/>
      <c r="R78" s="1"/>
      <c r="S78" s="1"/>
      <c r="T78" s="1"/>
      <c r="U78" s="1"/>
      <c r="V78" s="1"/>
      <c r="W78" s="1"/>
      <c r="X78" s="1"/>
      <c r="Y78" s="1"/>
      <c r="Z78" s="1"/>
      <c r="AA78" s="1"/>
      <c r="AB78" s="1"/>
      <c r="AC78" s="112"/>
      <c r="AD78" s="1"/>
      <c r="AE78" s="1"/>
      <c r="AF78" s="1"/>
      <c r="AG78" s="1"/>
      <c r="AH78" s="1"/>
      <c r="AI78" s="1"/>
      <c r="AJ78" s="1"/>
      <c r="AK78" s="1"/>
      <c r="AL78" s="1"/>
      <c r="AN78" s="1"/>
      <c r="AO78" s="1"/>
      <c r="AP78" s="29"/>
      <c r="AQ78" s="1"/>
      <c r="AR78" s="1"/>
      <c r="AS78" s="29"/>
      <c r="AT78" s="1"/>
      <c r="AU78" s="1"/>
      <c r="AV78" s="29"/>
      <c r="AW78" s="1"/>
      <c r="AX78" s="1"/>
      <c r="AY78" s="29"/>
      <c r="AZ78" s="1"/>
      <c r="BA78" s="1"/>
      <c r="BB78" s="1"/>
      <c r="BC78" s="1"/>
      <c r="BD78" s="1"/>
      <c r="BE78" s="1"/>
      <c r="BF78" s="1"/>
      <c r="BG78" s="1"/>
      <c r="BH78" s="1"/>
      <c r="BI78" s="1"/>
      <c r="BJ78" s="1"/>
      <c r="BK78" s="1"/>
      <c r="BL78" s="1"/>
      <c r="BM78" s="1"/>
      <c r="BN78" s="1"/>
      <c r="BO78" s="1"/>
    </row>
    <row r="79" spans="1:67">
      <c r="F79" s="1"/>
      <c r="G79" s="1"/>
      <c r="H79" s="1"/>
      <c r="I79" s="1"/>
      <c r="J79" s="1"/>
      <c r="K79" s="1"/>
      <c r="L79" s="1"/>
      <c r="M79" s="1"/>
      <c r="N79" s="1"/>
      <c r="O79" s="1"/>
      <c r="P79" s="1"/>
      <c r="Q79" s="1"/>
      <c r="R79" s="1"/>
      <c r="S79" s="1"/>
      <c r="T79" s="1"/>
      <c r="U79" s="1"/>
      <c r="V79" s="1"/>
      <c r="W79" s="1"/>
      <c r="X79" s="1"/>
      <c r="Y79" s="1"/>
      <c r="Z79" s="1"/>
      <c r="AA79" s="1"/>
      <c r="AB79" s="1"/>
      <c r="AC79" s="112"/>
      <c r="AD79" s="1"/>
      <c r="AE79" s="1"/>
      <c r="AF79" s="1"/>
      <c r="AG79" s="1"/>
      <c r="AH79" s="1"/>
      <c r="AI79" s="1"/>
      <c r="AJ79" s="1"/>
      <c r="AK79" s="1"/>
      <c r="AL79" s="1"/>
      <c r="AN79" s="1"/>
      <c r="AO79" s="1"/>
      <c r="AP79" s="29"/>
      <c r="AQ79" s="1"/>
      <c r="AR79" s="1"/>
      <c r="AS79" s="29"/>
      <c r="AT79" s="1"/>
      <c r="AU79" s="1"/>
      <c r="AV79" s="29"/>
      <c r="AW79" s="1"/>
      <c r="AX79" s="1"/>
      <c r="AY79" s="29"/>
      <c r="AZ79" s="1"/>
      <c r="BA79" s="1"/>
      <c r="BB79" s="1"/>
      <c r="BC79" s="1"/>
      <c r="BD79" s="1"/>
      <c r="BE79" s="1"/>
      <c r="BF79" s="1"/>
      <c r="BG79" s="1"/>
      <c r="BH79" s="1"/>
      <c r="BI79" s="1"/>
      <c r="BJ79" s="1"/>
      <c r="BK79" s="1"/>
      <c r="BL79" s="1"/>
      <c r="BM79" s="1"/>
      <c r="BN79" s="1"/>
      <c r="BO79" s="1"/>
    </row>
    <row r="80" spans="1:67">
      <c r="F80" s="1"/>
      <c r="G80" s="1"/>
      <c r="H80" s="1"/>
      <c r="I80" s="1"/>
      <c r="J80" s="1"/>
      <c r="K80" s="1"/>
      <c r="L80" s="1"/>
      <c r="M80" s="1"/>
      <c r="N80" s="1"/>
      <c r="O80" s="1"/>
      <c r="P80" s="1"/>
      <c r="Q80" s="1"/>
      <c r="R80" s="1"/>
      <c r="S80" s="1"/>
      <c r="T80" s="1"/>
      <c r="U80" s="1"/>
      <c r="V80" s="1"/>
      <c r="W80" s="1"/>
      <c r="X80" s="1"/>
      <c r="Y80" s="1"/>
      <c r="Z80" s="1"/>
      <c r="AA80" s="1"/>
      <c r="AB80" s="1"/>
      <c r="AC80" s="112"/>
      <c r="AD80" s="1"/>
      <c r="AE80" s="1"/>
      <c r="AF80" s="1"/>
      <c r="AG80" s="1"/>
      <c r="AH80" s="1"/>
      <c r="AI80" s="1"/>
      <c r="AJ80" s="1"/>
      <c r="AK80" s="1"/>
      <c r="AL80" s="1"/>
      <c r="AN80" s="1"/>
      <c r="AO80" s="1"/>
      <c r="AP80" s="29"/>
      <c r="AQ80" s="1"/>
      <c r="AR80" s="1"/>
      <c r="AS80" s="29"/>
      <c r="AT80" s="1"/>
      <c r="AU80" s="1"/>
      <c r="AV80" s="29"/>
      <c r="AW80" s="1"/>
      <c r="AX80" s="1"/>
      <c r="AY80" s="29"/>
      <c r="AZ80" s="1"/>
      <c r="BA80" s="1"/>
      <c r="BB80" s="1"/>
      <c r="BC80" s="1"/>
      <c r="BD80" s="1"/>
      <c r="BE80" s="1"/>
      <c r="BF80" s="1"/>
      <c r="BG80" s="1"/>
      <c r="BH80" s="1"/>
      <c r="BI80" s="1"/>
      <c r="BJ80" s="1"/>
      <c r="BK80" s="1"/>
      <c r="BL80" s="1"/>
      <c r="BM80" s="1"/>
      <c r="BN80" s="1"/>
      <c r="BO80" s="1"/>
    </row>
    <row r="81" spans="6:67">
      <c r="F81" s="1"/>
      <c r="G81" s="1"/>
      <c r="H81" s="1"/>
      <c r="I81" s="1"/>
      <c r="J81" s="1"/>
      <c r="K81" s="1"/>
      <c r="L81" s="1"/>
      <c r="M81" s="1"/>
      <c r="N81" s="1"/>
      <c r="O81" s="1"/>
      <c r="P81" s="1"/>
      <c r="Q81" s="1"/>
      <c r="R81" s="1"/>
      <c r="S81" s="1"/>
      <c r="T81" s="1"/>
      <c r="U81" s="1"/>
      <c r="V81" s="1"/>
      <c r="W81" s="1"/>
      <c r="X81" s="1"/>
      <c r="Y81" s="1"/>
      <c r="Z81" s="1"/>
      <c r="AA81" s="1"/>
      <c r="AB81" s="1"/>
      <c r="AC81" s="112"/>
      <c r="AD81" s="1"/>
      <c r="AE81" s="1"/>
      <c r="AF81" s="1"/>
      <c r="AG81" s="1"/>
      <c r="AH81" s="1"/>
      <c r="AI81" s="1"/>
      <c r="AJ81" s="1"/>
      <c r="AK81" s="1"/>
      <c r="AL81" s="1"/>
      <c r="AN81" s="1"/>
      <c r="AO81" s="1"/>
      <c r="AP81" s="29"/>
      <c r="AQ81" s="1"/>
      <c r="AR81" s="1"/>
      <c r="AS81" s="29"/>
      <c r="AT81" s="1"/>
      <c r="AU81" s="1"/>
      <c r="AV81" s="29"/>
      <c r="AW81" s="1"/>
      <c r="AX81" s="1"/>
      <c r="AY81" s="29"/>
      <c r="AZ81" s="1"/>
      <c r="BA81" s="1"/>
      <c r="BB81" s="1"/>
      <c r="BC81" s="1"/>
      <c r="BD81" s="1"/>
      <c r="BE81" s="1"/>
      <c r="BF81" s="1"/>
      <c r="BG81" s="1"/>
      <c r="BH81" s="1"/>
      <c r="BI81" s="1"/>
      <c r="BJ81" s="1"/>
      <c r="BK81" s="1"/>
      <c r="BL81" s="1"/>
      <c r="BM81" s="1"/>
      <c r="BN81" s="1"/>
      <c r="BO81" s="1"/>
    </row>
    <row r="82" spans="6:67">
      <c r="F82" s="1"/>
      <c r="G82" s="1"/>
      <c r="H82" s="1"/>
      <c r="I82" s="1"/>
      <c r="J82" s="1"/>
      <c r="K82" s="1"/>
      <c r="L82" s="1"/>
      <c r="M82" s="1"/>
      <c r="N82" s="1"/>
      <c r="O82" s="1"/>
      <c r="P82" s="1"/>
      <c r="Q82" s="1"/>
      <c r="R82" s="1"/>
      <c r="S82" s="1"/>
      <c r="T82" s="1"/>
      <c r="U82" s="1"/>
      <c r="V82" s="1"/>
      <c r="W82" s="1"/>
      <c r="X82" s="1"/>
      <c r="Y82" s="1"/>
      <c r="Z82" s="1"/>
      <c r="AA82" s="1"/>
      <c r="AB82" s="1"/>
      <c r="AC82" s="112"/>
      <c r="AD82" s="1"/>
      <c r="AE82" s="1"/>
      <c r="AF82" s="1"/>
      <c r="AG82" s="1"/>
      <c r="AH82" s="1"/>
      <c r="AI82" s="1"/>
      <c r="AJ82" s="1"/>
      <c r="AK82" s="1"/>
      <c r="AL82" s="1"/>
      <c r="AN82" s="1"/>
      <c r="AO82" s="1"/>
      <c r="AP82" s="29"/>
      <c r="AQ82" s="1"/>
      <c r="AR82" s="1"/>
      <c r="AS82" s="29"/>
      <c r="AT82" s="1"/>
      <c r="AU82" s="1"/>
      <c r="AV82" s="29"/>
      <c r="AW82" s="1"/>
      <c r="AX82" s="1"/>
      <c r="AY82" s="29"/>
      <c r="AZ82" s="1"/>
      <c r="BA82" s="1"/>
      <c r="BB82" s="1"/>
      <c r="BC82" s="1"/>
      <c r="BD82" s="1"/>
      <c r="BE82" s="1"/>
      <c r="BF82" s="1"/>
      <c r="BG82" s="1"/>
      <c r="BH82" s="1"/>
      <c r="BI82" s="1"/>
      <c r="BJ82" s="1"/>
      <c r="BK82" s="1"/>
      <c r="BL82" s="1"/>
      <c r="BM82" s="1"/>
      <c r="BN82" s="1"/>
      <c r="BO82" s="1"/>
    </row>
    <row r="83" spans="6:67">
      <c r="F83" s="1"/>
      <c r="G83" s="1"/>
      <c r="H83" s="1"/>
      <c r="I83" s="1"/>
      <c r="J83" s="1"/>
      <c r="K83" s="1"/>
      <c r="L83" s="1"/>
      <c r="M83" s="1"/>
      <c r="N83" s="1"/>
      <c r="O83" s="1"/>
      <c r="P83" s="1"/>
      <c r="Q83" s="1"/>
      <c r="R83" s="1"/>
      <c r="S83" s="1"/>
      <c r="T83" s="1"/>
      <c r="U83" s="1"/>
      <c r="V83" s="1"/>
      <c r="W83" s="1"/>
      <c r="X83" s="1"/>
      <c r="Y83" s="1"/>
      <c r="Z83" s="1"/>
      <c r="AA83" s="1"/>
      <c r="AB83" s="1"/>
      <c r="AC83" s="112"/>
      <c r="AD83" s="1"/>
      <c r="AE83" s="1"/>
      <c r="AF83" s="1"/>
      <c r="AG83" s="1"/>
      <c r="AH83" s="1"/>
      <c r="AI83" s="1"/>
      <c r="AJ83" s="1"/>
      <c r="AK83" s="1"/>
      <c r="AL83" s="1"/>
      <c r="AN83" s="1"/>
      <c r="AO83" s="1"/>
      <c r="AP83" s="29"/>
      <c r="AQ83" s="1"/>
      <c r="AR83" s="1"/>
      <c r="AS83" s="29"/>
      <c r="AT83" s="1"/>
      <c r="AU83" s="1"/>
      <c r="AV83" s="29"/>
      <c r="AW83" s="1"/>
      <c r="AX83" s="1"/>
      <c r="AY83" s="29"/>
      <c r="AZ83" s="1"/>
      <c r="BA83" s="1"/>
      <c r="BB83" s="1"/>
      <c r="BC83" s="1"/>
      <c r="BD83" s="1"/>
      <c r="BE83" s="1"/>
      <c r="BF83" s="1"/>
      <c r="BG83" s="1"/>
      <c r="BH83" s="1"/>
      <c r="BI83" s="1"/>
      <c r="BJ83" s="1"/>
      <c r="BK83" s="1"/>
      <c r="BL83" s="1"/>
      <c r="BM83" s="1"/>
      <c r="BN83" s="1"/>
      <c r="BO83" s="1"/>
    </row>
    <row r="84" spans="6:67">
      <c r="F84" s="1"/>
      <c r="G84" s="1"/>
      <c r="H84" s="1"/>
      <c r="I84" s="1"/>
      <c r="J84" s="1"/>
      <c r="K84" s="1"/>
      <c r="L84" s="1"/>
      <c r="M84" s="1"/>
      <c r="N84" s="1"/>
      <c r="O84" s="1"/>
      <c r="P84" s="1"/>
      <c r="Q84" s="1"/>
      <c r="R84" s="1"/>
      <c r="S84" s="1"/>
      <c r="T84" s="1"/>
      <c r="U84" s="1"/>
      <c r="V84" s="1"/>
      <c r="W84" s="1"/>
      <c r="X84" s="1"/>
      <c r="Y84" s="1"/>
      <c r="Z84" s="1"/>
      <c r="AA84" s="1"/>
      <c r="AB84" s="1"/>
      <c r="AC84" s="112"/>
      <c r="AD84" s="1"/>
      <c r="AE84" s="1"/>
      <c r="AF84" s="1"/>
      <c r="AG84" s="1"/>
      <c r="AH84" s="1"/>
      <c r="AI84" s="1"/>
      <c r="AJ84" s="1"/>
      <c r="AK84" s="1"/>
      <c r="AL84" s="1"/>
      <c r="AN84" s="1"/>
      <c r="AO84" s="1"/>
      <c r="AP84" s="29"/>
      <c r="AQ84" s="1"/>
      <c r="AR84" s="1"/>
      <c r="AS84" s="29"/>
      <c r="AT84" s="1"/>
      <c r="AU84" s="1"/>
      <c r="AV84" s="29"/>
      <c r="AW84" s="1"/>
      <c r="AX84" s="1"/>
      <c r="AY84" s="29"/>
      <c r="AZ84" s="1"/>
      <c r="BA84" s="1"/>
      <c r="BB84" s="1"/>
      <c r="BC84" s="1"/>
      <c r="BD84" s="1"/>
      <c r="BE84" s="1"/>
      <c r="BF84" s="1"/>
      <c r="BG84" s="1"/>
      <c r="BH84" s="1"/>
      <c r="BI84" s="1"/>
      <c r="BJ84" s="1"/>
      <c r="BK84" s="1"/>
      <c r="BL84" s="1"/>
      <c r="BM84" s="1"/>
      <c r="BN84" s="1"/>
      <c r="BO84" s="1"/>
    </row>
    <row r="85" spans="6:67">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N85" s="1"/>
      <c r="AO85" s="1"/>
      <c r="AP85" s="29"/>
      <c r="AQ85" s="1"/>
      <c r="AR85" s="1"/>
      <c r="AS85" s="29"/>
      <c r="AT85" s="1"/>
      <c r="AU85" s="1"/>
      <c r="AV85" s="29"/>
      <c r="AW85" s="1"/>
      <c r="AX85" s="1"/>
      <c r="AY85" s="29"/>
      <c r="AZ85" s="1"/>
      <c r="BA85" s="1"/>
      <c r="BB85" s="1"/>
      <c r="BC85" s="1"/>
      <c r="BD85" s="1"/>
      <c r="BE85" s="1"/>
      <c r="BF85" s="1"/>
      <c r="BG85" s="1"/>
      <c r="BH85" s="1"/>
      <c r="BI85" s="1"/>
      <c r="BJ85" s="1"/>
      <c r="BK85" s="1"/>
      <c r="BL85" s="1"/>
      <c r="BM85" s="1"/>
      <c r="BN85" s="1"/>
      <c r="BO85" s="1"/>
    </row>
    <row r="86" spans="6:67">
      <c r="F86" s="1"/>
      <c r="G86" s="1"/>
      <c r="H86" s="1"/>
      <c r="I86" s="1"/>
      <c r="J86" s="1"/>
      <c r="K86" s="1"/>
      <c r="L86" s="1"/>
      <c r="M86" s="1"/>
      <c r="N86" s="1"/>
      <c r="O86" s="1"/>
      <c r="P86" s="1"/>
      <c r="Q86" s="1"/>
      <c r="R86" s="1"/>
      <c r="S86" s="1"/>
      <c r="T86" s="1"/>
      <c r="U86" s="1"/>
      <c r="V86" s="1"/>
      <c r="W86" s="1">
        <v>1.35</v>
      </c>
      <c r="X86" s="1"/>
      <c r="Y86" s="1"/>
      <c r="Z86" s="1"/>
      <c r="AA86" s="1"/>
      <c r="AB86" s="1"/>
      <c r="AC86" s="1"/>
      <c r="AD86" s="1"/>
      <c r="AE86" s="1"/>
      <c r="AF86" s="1"/>
      <c r="AG86" s="1"/>
      <c r="AH86" s="1"/>
      <c r="AI86" s="1"/>
      <c r="AJ86" s="1"/>
      <c r="AK86" s="1"/>
      <c r="AL86" s="1"/>
      <c r="AN86" s="1"/>
      <c r="AO86" s="1"/>
      <c r="AP86" s="29"/>
      <c r="AQ86" s="1"/>
      <c r="AR86" s="1"/>
      <c r="AS86" s="29"/>
      <c r="AT86" s="1"/>
      <c r="AU86" s="1"/>
      <c r="AV86" s="29"/>
      <c r="AW86" s="1"/>
      <c r="AX86" s="1"/>
      <c r="AY86" s="29"/>
      <c r="AZ86" s="1"/>
      <c r="BA86" s="1"/>
      <c r="BB86" s="1"/>
      <c r="BC86" s="1"/>
      <c r="BD86" s="1"/>
      <c r="BE86" s="1"/>
      <c r="BF86" s="1"/>
      <c r="BG86" s="1"/>
      <c r="BH86" s="1"/>
      <c r="BI86" s="1"/>
      <c r="BJ86" s="1"/>
      <c r="BK86" s="1"/>
      <c r="BL86" s="1"/>
      <c r="BM86" s="1"/>
      <c r="BN86" s="1"/>
      <c r="BO86" s="1"/>
    </row>
    <row r="87" spans="6:67">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N87" s="1"/>
      <c r="AO87" s="1"/>
      <c r="AP87" s="29"/>
      <c r="AQ87" s="1"/>
      <c r="AR87" s="1"/>
      <c r="AS87" s="29"/>
      <c r="AT87" s="1"/>
      <c r="AU87" s="1"/>
      <c r="AV87" s="29"/>
      <c r="AW87" s="1"/>
      <c r="AX87" s="1"/>
      <c r="AY87" s="29"/>
      <c r="AZ87" s="1"/>
      <c r="BA87" s="1"/>
      <c r="BB87" s="1"/>
      <c r="BC87" s="1"/>
      <c r="BD87" s="1"/>
      <c r="BE87" s="1"/>
      <c r="BF87" s="1"/>
      <c r="BG87" s="1"/>
      <c r="BH87" s="1"/>
      <c r="BI87" s="1"/>
      <c r="BJ87" s="1"/>
      <c r="BK87" s="1"/>
      <c r="BL87" s="1"/>
      <c r="BM87" s="1"/>
      <c r="BN87" s="1"/>
      <c r="BO87" s="1"/>
    </row>
    <row r="88" spans="6:67">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N88" s="1"/>
      <c r="AO88" s="1"/>
      <c r="AP88" s="29"/>
      <c r="AQ88" s="1"/>
      <c r="AR88" s="1"/>
      <c r="AS88" s="29"/>
      <c r="AT88" s="1"/>
      <c r="AU88" s="1"/>
      <c r="AV88" s="29"/>
      <c r="AW88" s="1"/>
      <c r="AX88" s="1"/>
      <c r="AY88" s="29"/>
      <c r="AZ88" s="1"/>
      <c r="BA88" s="1"/>
      <c r="BB88" s="1"/>
      <c r="BC88" s="1"/>
      <c r="BD88" s="1"/>
      <c r="BE88" s="1"/>
      <c r="BF88" s="1"/>
      <c r="BG88" s="1"/>
      <c r="BH88" s="1"/>
      <c r="BI88" s="1"/>
      <c r="BJ88" s="1"/>
      <c r="BK88" s="1"/>
      <c r="BL88" s="1"/>
      <c r="BM88" s="1"/>
      <c r="BN88" s="1"/>
      <c r="BO88" s="1"/>
    </row>
    <row r="89" spans="6:67">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N89" s="1"/>
      <c r="AO89" s="1"/>
      <c r="AP89" s="29"/>
      <c r="AQ89" s="1"/>
      <c r="AR89" s="1"/>
      <c r="AS89" s="29"/>
      <c r="AT89" s="1"/>
      <c r="AU89" s="1"/>
      <c r="AV89" s="29"/>
      <c r="AW89" s="1"/>
      <c r="AX89" s="1"/>
      <c r="AY89" s="29"/>
      <c r="AZ89" s="1"/>
      <c r="BA89" s="1"/>
      <c r="BB89" s="1"/>
      <c r="BC89" s="1"/>
      <c r="BD89" s="1"/>
      <c r="BE89" s="1"/>
      <c r="BF89" s="1"/>
      <c r="BG89" s="1"/>
      <c r="BH89" s="1"/>
      <c r="BI89" s="1"/>
      <c r="BJ89" s="1"/>
      <c r="BK89" s="1"/>
      <c r="BL89" s="1"/>
      <c r="BM89" s="1"/>
      <c r="BN89" s="1"/>
      <c r="BO89" s="1"/>
    </row>
    <row r="90" spans="6:67">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N90" s="1"/>
      <c r="AO90" s="1"/>
      <c r="AP90" s="29"/>
      <c r="AQ90" s="1"/>
      <c r="AR90" s="1"/>
      <c r="AS90" s="29"/>
      <c r="AT90" s="1"/>
      <c r="AU90" s="1"/>
      <c r="AV90" s="29"/>
      <c r="AW90" s="1"/>
      <c r="AX90" s="1"/>
      <c r="AY90" s="29"/>
      <c r="AZ90" s="1"/>
      <c r="BA90" s="1"/>
      <c r="BB90" s="1"/>
      <c r="BC90" s="1"/>
      <c r="BD90" s="1"/>
      <c r="BE90" s="1"/>
      <c r="BF90" s="1"/>
      <c r="BG90" s="1"/>
      <c r="BH90" s="1"/>
      <c r="BI90" s="1"/>
      <c r="BJ90" s="1"/>
      <c r="BK90" s="1"/>
      <c r="BL90" s="1"/>
      <c r="BM90" s="1"/>
      <c r="BN90" s="1"/>
      <c r="BO90" s="1"/>
    </row>
    <row r="91" spans="6:67">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N91" s="1"/>
      <c r="AO91" s="1"/>
      <c r="AP91" s="29"/>
      <c r="AQ91" s="1"/>
      <c r="AR91" s="1"/>
      <c r="AS91" s="29"/>
      <c r="AT91" s="1"/>
      <c r="AU91" s="1"/>
      <c r="AV91" s="29"/>
      <c r="AW91" s="1"/>
      <c r="AX91" s="1"/>
      <c r="AY91" s="29"/>
      <c r="AZ91" s="1"/>
      <c r="BA91" s="1"/>
      <c r="BB91" s="1"/>
      <c r="BC91" s="1"/>
      <c r="BD91" s="1"/>
      <c r="BE91" s="1"/>
      <c r="BF91" s="1"/>
      <c r="BG91" s="1"/>
      <c r="BH91" s="1"/>
      <c r="BI91" s="1"/>
      <c r="BJ91" s="1"/>
      <c r="BK91" s="1"/>
      <c r="BL91" s="1"/>
      <c r="BM91" s="1"/>
      <c r="BN91" s="1"/>
      <c r="BO91" s="1"/>
    </row>
    <row r="92" spans="6:67">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N92" s="1"/>
      <c r="AO92" s="1"/>
      <c r="AP92" s="29"/>
      <c r="AQ92" s="1"/>
      <c r="AR92" s="1"/>
      <c r="AS92" s="29"/>
      <c r="AT92" s="1"/>
      <c r="AU92" s="1"/>
      <c r="AV92" s="29"/>
      <c r="AW92" s="1"/>
      <c r="AX92" s="1"/>
      <c r="AY92" s="29"/>
      <c r="AZ92" s="1"/>
      <c r="BA92" s="1"/>
      <c r="BB92" s="1"/>
      <c r="BC92" s="1"/>
      <c r="BD92" s="1"/>
      <c r="BE92" s="1"/>
      <c r="BF92" s="1"/>
      <c r="BG92" s="1"/>
      <c r="BH92" s="1"/>
      <c r="BI92" s="1"/>
      <c r="BJ92" s="1"/>
      <c r="BK92" s="1"/>
      <c r="BL92" s="1"/>
      <c r="BM92" s="1"/>
      <c r="BN92" s="1"/>
      <c r="BO92" s="1"/>
    </row>
    <row r="93" spans="6:67">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N93" s="1"/>
      <c r="AO93" s="1"/>
      <c r="AP93" s="29"/>
      <c r="AQ93" s="1"/>
      <c r="AR93" s="1"/>
      <c r="AS93" s="29"/>
      <c r="AT93" s="1"/>
      <c r="AU93" s="1"/>
      <c r="AV93" s="29"/>
      <c r="AW93" s="1"/>
      <c r="AX93" s="1"/>
      <c r="AY93" s="29"/>
      <c r="AZ93" s="1"/>
      <c r="BA93" s="1"/>
      <c r="BB93" s="1"/>
      <c r="BC93" s="1"/>
      <c r="BD93" s="1"/>
      <c r="BE93" s="1"/>
      <c r="BF93" s="1"/>
      <c r="BG93" s="1"/>
      <c r="BH93" s="1"/>
      <c r="BI93" s="1"/>
      <c r="BJ93" s="1"/>
      <c r="BK93" s="1"/>
      <c r="BL93" s="1"/>
      <c r="BM93" s="1"/>
      <c r="BN93" s="1"/>
      <c r="BO93" s="1"/>
    </row>
    <row r="94" spans="6:67">
      <c r="AA94" s="1"/>
      <c r="AB94" s="1"/>
      <c r="AC94" s="1"/>
      <c r="AD94" s="1"/>
      <c r="AP94" s="184"/>
      <c r="AS94" s="184"/>
      <c r="AV94" s="184"/>
      <c r="AY94" s="184"/>
    </row>
    <row r="95" spans="6:67">
      <c r="AN95" s="159"/>
      <c r="AO95" s="159"/>
      <c r="AP95" s="186"/>
      <c r="AQ95" s="159"/>
      <c r="AR95" s="159"/>
      <c r="AS95" s="186"/>
      <c r="AT95" s="159"/>
      <c r="AU95" s="159"/>
      <c r="AV95" s="159"/>
      <c r="AW95" s="185"/>
      <c r="AX95" s="159"/>
      <c r="AY95" s="186"/>
    </row>
  </sheetData>
  <mergeCells count="13">
    <mergeCell ref="AK57:AL57"/>
    <mergeCell ref="AK15:AL15"/>
    <mergeCell ref="AQ15:AS15"/>
    <mergeCell ref="AT15:AV15"/>
    <mergeCell ref="AW15:AY15"/>
    <mergeCell ref="AN15:AP15"/>
    <mergeCell ref="AK56:AL56"/>
    <mergeCell ref="AK14:AL14"/>
    <mergeCell ref="F13:H13"/>
    <mergeCell ref="S13:V13"/>
    <mergeCell ref="AS5:AS6"/>
    <mergeCell ref="AF3:AF4"/>
    <mergeCell ref="Y3:Y4"/>
  </mergeCells>
  <pageMargins left="0.7" right="0.7" top="0.75" bottom="0.75" header="0.3" footer="0.3"/>
  <pageSetup paperSize="9" scale="63" orientation="portrait" r:id="rId1"/>
  <colBreaks count="1" manualBreakCount="1">
    <brk id="38"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8"/>
  <sheetViews>
    <sheetView topLeftCell="A91" zoomScale="85" zoomScaleNormal="85" workbookViewId="0">
      <selection activeCell="C95" sqref="C95"/>
    </sheetView>
  </sheetViews>
  <sheetFormatPr defaultRowHeight="14.5"/>
  <cols>
    <col min="1" max="1" width="20.81640625" customWidth="1"/>
    <col min="2" max="2" width="19.1796875" customWidth="1"/>
    <col min="3" max="3" width="16.81640625" customWidth="1"/>
    <col min="4" max="4" width="18.54296875" customWidth="1"/>
    <col min="5" max="5" width="17" customWidth="1"/>
    <col min="6" max="6" width="20.81640625" customWidth="1"/>
    <col min="7" max="7" width="18.54296875" customWidth="1"/>
    <col min="8" max="8" width="15.1796875" customWidth="1"/>
    <col min="9" max="9" width="16.54296875" customWidth="1"/>
    <col min="10" max="18" width="12.54296875" bestFit="1" customWidth="1"/>
    <col min="19" max="19" width="9.1796875" bestFit="1" customWidth="1"/>
    <col min="20" max="20" width="12.54296875" bestFit="1" customWidth="1"/>
    <col min="21" max="21" width="11.1796875" bestFit="1" customWidth="1"/>
    <col min="22" max="22" width="12.54296875" bestFit="1" customWidth="1"/>
    <col min="23" max="23" width="9.1796875" bestFit="1" customWidth="1"/>
    <col min="24" max="24" width="14.1796875" customWidth="1"/>
    <col min="25" max="25" width="15.81640625" customWidth="1"/>
    <col min="26" max="27" width="14.1796875" bestFit="1" customWidth="1"/>
    <col min="28" max="28" width="1.81640625" customWidth="1"/>
    <col min="29" max="29" width="8" style="81" bestFit="1" customWidth="1"/>
    <col min="30" max="30" width="10" style="81" bestFit="1" customWidth="1"/>
    <col min="31" max="31" width="8" style="81" customWidth="1"/>
    <col min="32" max="32" width="6" style="82" customWidth="1"/>
    <col min="50" max="50" width="15" bestFit="1" customWidth="1"/>
  </cols>
  <sheetData>
    <row r="1" spans="1:32" s="39" customFormat="1" ht="29.25" customHeight="1">
      <c r="A1" s="38" t="s">
        <v>457</v>
      </c>
      <c r="B1" s="38" t="s">
        <v>91</v>
      </c>
      <c r="C1" s="543" t="s">
        <v>458</v>
      </c>
      <c r="D1" s="543"/>
      <c r="E1" s="543"/>
      <c r="F1" s="544" t="s">
        <v>459</v>
      </c>
      <c r="G1" s="544"/>
      <c r="H1" s="544"/>
      <c r="I1" s="545" t="s">
        <v>460</v>
      </c>
      <c r="J1" s="545"/>
      <c r="K1" s="545"/>
      <c r="L1" s="172" t="s">
        <v>461</v>
      </c>
      <c r="M1" s="544" t="s">
        <v>462</v>
      </c>
      <c r="N1" s="544"/>
      <c r="O1" s="544"/>
      <c r="P1" s="546" t="s">
        <v>463</v>
      </c>
      <c r="Q1" s="546"/>
      <c r="R1" s="546"/>
      <c r="S1" s="38" t="s">
        <v>464</v>
      </c>
      <c r="T1" s="540" t="s">
        <v>465</v>
      </c>
      <c r="U1" s="541"/>
      <c r="V1" s="542"/>
      <c r="W1" s="38" t="s">
        <v>466</v>
      </c>
      <c r="X1" s="544" t="s">
        <v>467</v>
      </c>
      <c r="Y1" s="544"/>
      <c r="Z1" s="547" t="s">
        <v>468</v>
      </c>
      <c r="AA1" s="547"/>
      <c r="AC1" s="544" t="s">
        <v>47</v>
      </c>
      <c r="AD1" s="544"/>
      <c r="AE1" s="544"/>
      <c r="AF1" s="544"/>
    </row>
    <row r="2" spans="1:32" s="41" customFormat="1" ht="30" customHeight="1">
      <c r="A2" s="40"/>
      <c r="B2" s="40"/>
      <c r="C2" s="40" t="s">
        <v>469</v>
      </c>
      <c r="D2" s="173" t="s">
        <v>470</v>
      </c>
      <c r="E2" s="40" t="s">
        <v>471</v>
      </c>
      <c r="F2" s="40" t="s">
        <v>469</v>
      </c>
      <c r="G2" s="40" t="s">
        <v>470</v>
      </c>
      <c r="H2" s="40" t="s">
        <v>471</v>
      </c>
      <c r="I2" s="462" t="s">
        <v>469</v>
      </c>
      <c r="J2" s="40" t="s">
        <v>470</v>
      </c>
      <c r="K2" s="40" t="s">
        <v>471</v>
      </c>
      <c r="L2" s="462" t="s">
        <v>472</v>
      </c>
      <c r="M2" s="40" t="s">
        <v>469</v>
      </c>
      <c r="N2" s="40" t="s">
        <v>470</v>
      </c>
      <c r="O2" s="40" t="s">
        <v>471</v>
      </c>
      <c r="P2" s="40" t="s">
        <v>469</v>
      </c>
      <c r="Q2" s="169" t="s">
        <v>470</v>
      </c>
      <c r="R2" s="40" t="s">
        <v>471</v>
      </c>
      <c r="S2" s="40" t="s">
        <v>104</v>
      </c>
      <c r="T2" s="40" t="s">
        <v>469</v>
      </c>
      <c r="U2" s="40" t="s">
        <v>470</v>
      </c>
      <c r="V2" s="173" t="s">
        <v>471</v>
      </c>
      <c r="W2" s="40" t="s">
        <v>104</v>
      </c>
      <c r="X2" s="40" t="s">
        <v>469</v>
      </c>
      <c r="Y2" s="40" t="s">
        <v>471</v>
      </c>
      <c r="Z2" s="40" t="s">
        <v>469</v>
      </c>
      <c r="AA2" s="40" t="s">
        <v>471</v>
      </c>
      <c r="AC2" s="42" t="s">
        <v>473</v>
      </c>
      <c r="AD2" s="42" t="s">
        <v>474</v>
      </c>
      <c r="AE2" s="43" t="s">
        <v>475</v>
      </c>
      <c r="AF2" s="38" t="s">
        <v>476</v>
      </c>
    </row>
    <row r="3" spans="1:32" hidden="1">
      <c r="A3" s="44" t="s">
        <v>477</v>
      </c>
      <c r="B3" s="44" t="s">
        <v>478</v>
      </c>
      <c r="C3" s="45">
        <v>995</v>
      </c>
      <c r="D3" s="45">
        <v>1194</v>
      </c>
      <c r="E3" s="45">
        <v>1830</v>
      </c>
      <c r="F3" s="46" t="s">
        <v>479</v>
      </c>
      <c r="G3" s="46" t="s">
        <v>480</v>
      </c>
      <c r="H3" s="46" t="s">
        <v>481</v>
      </c>
      <c r="I3" s="46" t="s">
        <v>482</v>
      </c>
      <c r="J3" s="46" t="s">
        <v>483</v>
      </c>
      <c r="K3" s="46" t="s">
        <v>484</v>
      </c>
      <c r="L3" s="46" t="s">
        <v>485</v>
      </c>
      <c r="M3" s="46" t="s">
        <v>486</v>
      </c>
      <c r="N3" s="46" t="s">
        <v>487</v>
      </c>
      <c r="O3" s="46" t="s">
        <v>488</v>
      </c>
      <c r="P3" s="46" t="s">
        <v>489</v>
      </c>
      <c r="Q3" s="46" t="s">
        <v>490</v>
      </c>
      <c r="R3" s="46" t="s">
        <v>491</v>
      </c>
      <c r="S3" s="47">
        <v>0.22</v>
      </c>
      <c r="T3" s="46" t="s">
        <v>492</v>
      </c>
      <c r="U3" s="46"/>
      <c r="V3" s="46" t="s">
        <v>493</v>
      </c>
      <c r="W3" s="47">
        <v>0.1</v>
      </c>
      <c r="X3" s="46" t="s">
        <v>494</v>
      </c>
      <c r="Y3" s="46" t="s">
        <v>495</v>
      </c>
      <c r="Z3" s="46" t="s">
        <v>496</v>
      </c>
      <c r="AA3" s="46" t="s">
        <v>497</v>
      </c>
      <c r="AC3" s="48"/>
      <c r="AD3" s="48"/>
      <c r="AE3" s="48"/>
      <c r="AF3" s="49"/>
    </row>
    <row r="4" spans="1:32" hidden="1">
      <c r="A4" s="50" t="s">
        <v>498</v>
      </c>
      <c r="B4" s="50" t="s">
        <v>499</v>
      </c>
      <c r="C4" s="50">
        <v>547</v>
      </c>
      <c r="D4" s="50">
        <v>670</v>
      </c>
      <c r="E4" s="51">
        <v>1022</v>
      </c>
      <c r="F4" s="50">
        <v>105</v>
      </c>
      <c r="G4" s="50">
        <v>132</v>
      </c>
      <c r="H4" s="50">
        <v>182</v>
      </c>
      <c r="I4" s="50">
        <v>160</v>
      </c>
      <c r="J4" s="50">
        <v>193</v>
      </c>
      <c r="K4" s="50">
        <v>242</v>
      </c>
      <c r="L4" s="50">
        <v>40</v>
      </c>
      <c r="M4" s="50">
        <v>60</v>
      </c>
      <c r="N4" s="50">
        <v>100</v>
      </c>
      <c r="O4" s="50">
        <v>180</v>
      </c>
      <c r="P4" s="50">
        <v>85</v>
      </c>
      <c r="Q4" s="50">
        <v>131</v>
      </c>
      <c r="R4" s="50">
        <v>246</v>
      </c>
      <c r="S4" s="52">
        <v>0.18</v>
      </c>
      <c r="T4" s="50">
        <v>65</v>
      </c>
      <c r="U4" s="50"/>
      <c r="V4" s="50">
        <v>125</v>
      </c>
      <c r="W4" s="52">
        <v>0.1</v>
      </c>
      <c r="X4" s="51">
        <v>1084</v>
      </c>
      <c r="Y4" s="51">
        <v>2056</v>
      </c>
      <c r="Z4" s="51">
        <v>1150</v>
      </c>
      <c r="AA4" s="51">
        <v>2150</v>
      </c>
      <c r="AC4" s="53"/>
      <c r="AD4" s="53"/>
      <c r="AE4" s="53"/>
      <c r="AF4" s="54"/>
    </row>
    <row r="5" spans="1:32" hidden="1">
      <c r="A5" s="55" t="s">
        <v>500</v>
      </c>
      <c r="B5" s="55" t="s">
        <v>501</v>
      </c>
      <c r="C5" s="55">
        <v>436</v>
      </c>
      <c r="D5" s="55">
        <v>551</v>
      </c>
      <c r="E5" s="55">
        <v>847</v>
      </c>
      <c r="F5" s="55">
        <v>105</v>
      </c>
      <c r="G5" s="55">
        <v>132</v>
      </c>
      <c r="H5" s="55">
        <v>182</v>
      </c>
      <c r="I5" s="55">
        <v>160</v>
      </c>
      <c r="J5" s="55">
        <v>193</v>
      </c>
      <c r="K5" s="55">
        <v>242</v>
      </c>
      <c r="L5" s="55">
        <v>40</v>
      </c>
      <c r="M5" s="55">
        <v>60</v>
      </c>
      <c r="N5" s="55">
        <v>100</v>
      </c>
      <c r="O5" s="55">
        <v>180</v>
      </c>
      <c r="P5" s="55">
        <v>85</v>
      </c>
      <c r="Q5" s="55">
        <v>131</v>
      </c>
      <c r="R5" s="55">
        <v>246</v>
      </c>
      <c r="S5" s="56">
        <v>0.18</v>
      </c>
      <c r="T5" s="55">
        <v>65</v>
      </c>
      <c r="U5" s="55"/>
      <c r="V5" s="55">
        <v>125</v>
      </c>
      <c r="W5" s="56">
        <v>0.1</v>
      </c>
      <c r="X5" s="55">
        <v>933</v>
      </c>
      <c r="Y5" s="57">
        <v>1816</v>
      </c>
      <c r="Z5" s="55">
        <v>1006</v>
      </c>
      <c r="AA5" s="57">
        <v>1923</v>
      </c>
      <c r="AC5" s="58"/>
      <c r="AD5" s="58"/>
      <c r="AE5" s="58"/>
      <c r="AF5" s="59"/>
    </row>
    <row r="6" spans="1:32" hidden="1">
      <c r="A6" s="44" t="s">
        <v>502</v>
      </c>
      <c r="B6" s="44" t="s">
        <v>503</v>
      </c>
      <c r="C6" s="45">
        <v>752</v>
      </c>
      <c r="D6" s="45">
        <v>896</v>
      </c>
      <c r="E6" s="45">
        <v>1368</v>
      </c>
      <c r="F6" s="46">
        <v>151</v>
      </c>
      <c r="G6" s="46">
        <v>191</v>
      </c>
      <c r="H6" s="46">
        <v>262</v>
      </c>
      <c r="I6" s="46">
        <v>231</v>
      </c>
      <c r="J6" s="46">
        <v>278</v>
      </c>
      <c r="K6" s="46">
        <v>350</v>
      </c>
      <c r="L6" s="46">
        <v>48</v>
      </c>
      <c r="M6" s="46">
        <v>72</v>
      </c>
      <c r="N6" s="46">
        <v>120</v>
      </c>
      <c r="O6" s="46">
        <v>216</v>
      </c>
      <c r="P6" s="46">
        <v>102</v>
      </c>
      <c r="Q6" s="46">
        <v>157</v>
      </c>
      <c r="R6" s="46">
        <v>296</v>
      </c>
      <c r="S6" s="47">
        <v>0.19</v>
      </c>
      <c r="T6" s="46">
        <v>78</v>
      </c>
      <c r="U6" s="46"/>
      <c r="V6" s="46">
        <v>150</v>
      </c>
      <c r="W6" s="47">
        <v>0.1</v>
      </c>
      <c r="X6" s="46">
        <v>1477</v>
      </c>
      <c r="Y6" s="46">
        <v>2738</v>
      </c>
      <c r="Z6" s="46">
        <v>1568</v>
      </c>
      <c r="AA6" s="46">
        <v>2863</v>
      </c>
      <c r="AC6" s="48"/>
      <c r="AD6" s="48"/>
      <c r="AE6" s="48"/>
      <c r="AF6" s="49"/>
    </row>
    <row r="7" spans="1:32" hidden="1">
      <c r="A7" s="50" t="s">
        <v>504</v>
      </c>
      <c r="B7" s="50" t="s">
        <v>505</v>
      </c>
      <c r="C7" s="50">
        <v>320</v>
      </c>
      <c r="D7" s="50">
        <v>498</v>
      </c>
      <c r="E7" s="51">
        <v>682</v>
      </c>
      <c r="F7" s="50">
        <v>108</v>
      </c>
      <c r="G7" s="50">
        <v>137</v>
      </c>
      <c r="H7" s="50">
        <v>188</v>
      </c>
      <c r="I7" s="50">
        <v>165</v>
      </c>
      <c r="J7" s="50">
        <v>200</v>
      </c>
      <c r="K7" s="50">
        <v>251</v>
      </c>
      <c r="L7" s="50">
        <v>40</v>
      </c>
      <c r="M7" s="50">
        <v>60</v>
      </c>
      <c r="N7" s="50">
        <v>100</v>
      </c>
      <c r="O7" s="50">
        <v>180</v>
      </c>
      <c r="P7" s="50">
        <v>85</v>
      </c>
      <c r="Q7" s="50">
        <v>131</v>
      </c>
      <c r="R7" s="50">
        <v>246</v>
      </c>
      <c r="S7" s="52">
        <v>0.17</v>
      </c>
      <c r="T7" s="50">
        <v>65</v>
      </c>
      <c r="U7" s="50"/>
      <c r="V7" s="50">
        <v>125</v>
      </c>
      <c r="W7" s="52">
        <v>0.1</v>
      </c>
      <c r="X7" s="51">
        <v>773</v>
      </c>
      <c r="Y7" s="51">
        <v>1586</v>
      </c>
      <c r="Z7" s="51">
        <v>857</v>
      </c>
      <c r="AA7" s="51">
        <v>1706</v>
      </c>
      <c r="AC7" s="53"/>
      <c r="AD7" s="53"/>
      <c r="AE7" s="53"/>
      <c r="AF7" s="54"/>
    </row>
    <row r="8" spans="1:32" hidden="1">
      <c r="A8" s="55" t="s">
        <v>506</v>
      </c>
      <c r="B8" s="55" t="s">
        <v>507</v>
      </c>
      <c r="C8" s="55">
        <v>445</v>
      </c>
      <c r="D8" s="55">
        <v>540</v>
      </c>
      <c r="E8" s="55">
        <v>782</v>
      </c>
      <c r="F8" s="55">
        <v>109</v>
      </c>
      <c r="G8" s="55">
        <v>138</v>
      </c>
      <c r="H8" s="55">
        <v>190</v>
      </c>
      <c r="I8" s="55">
        <v>167</v>
      </c>
      <c r="J8" s="55">
        <v>201</v>
      </c>
      <c r="K8" s="55">
        <v>253</v>
      </c>
      <c r="L8" s="55">
        <v>40</v>
      </c>
      <c r="M8" s="55">
        <v>60</v>
      </c>
      <c r="N8" s="55">
        <v>100</v>
      </c>
      <c r="O8" s="55">
        <v>180</v>
      </c>
      <c r="P8" s="55">
        <v>85</v>
      </c>
      <c r="Q8" s="55">
        <v>131</v>
      </c>
      <c r="R8" s="55">
        <v>246</v>
      </c>
      <c r="S8" s="56">
        <v>0.21</v>
      </c>
      <c r="T8" s="55">
        <v>65</v>
      </c>
      <c r="U8" s="55"/>
      <c r="V8" s="55">
        <v>125</v>
      </c>
      <c r="W8" s="56">
        <v>0.1</v>
      </c>
      <c r="X8" s="55">
        <v>973</v>
      </c>
      <c r="Y8" s="57">
        <v>1778</v>
      </c>
      <c r="Z8" s="55">
        <v>1052</v>
      </c>
      <c r="AA8" s="57">
        <v>1896</v>
      </c>
      <c r="AC8" s="58"/>
      <c r="AD8" s="58"/>
      <c r="AE8" s="58"/>
      <c r="AF8" s="59"/>
    </row>
    <row r="9" spans="1:32">
      <c r="A9" s="44" t="s">
        <v>508</v>
      </c>
      <c r="B9" s="44" t="s">
        <v>509</v>
      </c>
      <c r="C9" s="45">
        <v>395</v>
      </c>
      <c r="D9" s="45">
        <v>506</v>
      </c>
      <c r="E9" s="45">
        <v>759</v>
      </c>
      <c r="F9" s="46">
        <v>105</v>
      </c>
      <c r="G9" s="46">
        <v>133</v>
      </c>
      <c r="H9" s="46">
        <v>183</v>
      </c>
      <c r="I9" s="46">
        <v>161</v>
      </c>
      <c r="J9" s="46">
        <v>194</v>
      </c>
      <c r="K9" s="46">
        <v>244</v>
      </c>
      <c r="L9" s="46">
        <v>40</v>
      </c>
      <c r="M9" s="46">
        <v>60</v>
      </c>
      <c r="N9" s="46">
        <v>100</v>
      </c>
      <c r="O9" s="46">
        <v>180</v>
      </c>
      <c r="P9" s="46">
        <v>85</v>
      </c>
      <c r="Q9" s="46">
        <v>131</v>
      </c>
      <c r="R9" s="46">
        <v>246</v>
      </c>
      <c r="S9" s="47">
        <v>0.17</v>
      </c>
      <c r="T9" s="46">
        <v>65</v>
      </c>
      <c r="U9" s="46"/>
      <c r="V9" s="46">
        <v>125</v>
      </c>
      <c r="W9" s="47">
        <v>0.1</v>
      </c>
      <c r="X9" s="46">
        <v>871</v>
      </c>
      <c r="Y9" s="46">
        <v>1685</v>
      </c>
      <c r="Z9" s="46">
        <v>947</v>
      </c>
      <c r="AA9" s="46">
        <v>1797</v>
      </c>
      <c r="AC9" s="48"/>
      <c r="AD9" s="48"/>
      <c r="AE9" s="48"/>
      <c r="AF9" s="49"/>
    </row>
    <row r="10" spans="1:32" hidden="1">
      <c r="A10" s="50" t="s">
        <v>510</v>
      </c>
      <c r="B10" s="50" t="s">
        <v>511</v>
      </c>
      <c r="C10" s="50">
        <v>588</v>
      </c>
      <c r="D10" s="50">
        <v>728</v>
      </c>
      <c r="E10" s="51">
        <v>1192</v>
      </c>
      <c r="F10" s="50">
        <v>110</v>
      </c>
      <c r="G10" s="50">
        <v>139</v>
      </c>
      <c r="H10" s="50">
        <v>191</v>
      </c>
      <c r="I10" s="50">
        <v>168</v>
      </c>
      <c r="J10" s="50">
        <v>203</v>
      </c>
      <c r="K10" s="50">
        <v>255</v>
      </c>
      <c r="L10" s="50">
        <v>40</v>
      </c>
      <c r="M10" s="50">
        <v>60</v>
      </c>
      <c r="N10" s="50">
        <v>100</v>
      </c>
      <c r="O10" s="50">
        <v>180</v>
      </c>
      <c r="P10" s="50">
        <v>85</v>
      </c>
      <c r="Q10" s="50">
        <v>131</v>
      </c>
      <c r="R10" s="50">
        <v>246</v>
      </c>
      <c r="S10" s="52">
        <v>0.26</v>
      </c>
      <c r="T10" s="50">
        <v>65</v>
      </c>
      <c r="U10" s="50"/>
      <c r="V10" s="50">
        <v>125</v>
      </c>
      <c r="W10" s="52">
        <v>0.1</v>
      </c>
      <c r="X10" s="51">
        <v>1220</v>
      </c>
      <c r="Y10" s="51">
        <v>2447</v>
      </c>
      <c r="Z10" s="51">
        <v>1292</v>
      </c>
      <c r="AA10" s="51">
        <v>2541</v>
      </c>
      <c r="AC10" s="53"/>
      <c r="AD10" s="53"/>
      <c r="AE10" s="53"/>
      <c r="AF10" s="54"/>
    </row>
    <row r="11" spans="1:32" hidden="1">
      <c r="A11" s="55" t="s">
        <v>512</v>
      </c>
      <c r="B11" s="55" t="s">
        <v>513</v>
      </c>
      <c r="C11" s="55">
        <v>525</v>
      </c>
      <c r="D11" s="55">
        <v>783</v>
      </c>
      <c r="E11" s="55">
        <v>1142</v>
      </c>
      <c r="F11" s="55">
        <v>182</v>
      </c>
      <c r="G11" s="55">
        <v>230</v>
      </c>
      <c r="H11" s="55">
        <v>317</v>
      </c>
      <c r="I11" s="55">
        <v>278</v>
      </c>
      <c r="J11" s="55">
        <v>336</v>
      </c>
      <c r="K11" s="55">
        <v>422</v>
      </c>
      <c r="L11" s="55">
        <v>64</v>
      </c>
      <c r="M11" s="55">
        <v>96</v>
      </c>
      <c r="N11" s="55">
        <v>160</v>
      </c>
      <c r="O11" s="55">
        <v>288</v>
      </c>
      <c r="P11" s="55">
        <v>136</v>
      </c>
      <c r="Q11" s="55">
        <v>209</v>
      </c>
      <c r="R11" s="55">
        <v>394</v>
      </c>
      <c r="S11" s="56">
        <v>0.15</v>
      </c>
      <c r="T11" s="55">
        <v>104</v>
      </c>
      <c r="U11" s="55"/>
      <c r="V11" s="55">
        <v>200</v>
      </c>
      <c r="W11" s="56">
        <v>0.1</v>
      </c>
      <c r="X11" s="55">
        <v>1247</v>
      </c>
      <c r="Y11" s="57">
        <v>2586</v>
      </c>
      <c r="Z11" s="55">
        <v>1383</v>
      </c>
      <c r="AA11" s="57">
        <v>2778</v>
      </c>
      <c r="AC11" s="58"/>
      <c r="AD11" s="58"/>
      <c r="AE11" s="58"/>
      <c r="AF11" s="59"/>
    </row>
    <row r="12" spans="1:32" hidden="1">
      <c r="A12" s="44" t="s">
        <v>514</v>
      </c>
      <c r="B12" s="44" t="s">
        <v>515</v>
      </c>
      <c r="C12" s="45">
        <v>431</v>
      </c>
      <c r="D12" s="45">
        <v>522</v>
      </c>
      <c r="E12" s="45">
        <v>857</v>
      </c>
      <c r="F12" s="46">
        <v>109</v>
      </c>
      <c r="G12" s="46">
        <v>138</v>
      </c>
      <c r="H12" s="46">
        <v>190</v>
      </c>
      <c r="I12" s="46">
        <v>167</v>
      </c>
      <c r="J12" s="46">
        <v>201</v>
      </c>
      <c r="K12" s="46">
        <v>253</v>
      </c>
      <c r="L12" s="46">
        <v>40</v>
      </c>
      <c r="M12" s="46">
        <v>60</v>
      </c>
      <c r="N12" s="46">
        <v>100</v>
      </c>
      <c r="O12" s="46">
        <v>180</v>
      </c>
      <c r="P12" s="46">
        <v>85</v>
      </c>
      <c r="Q12" s="46">
        <v>131</v>
      </c>
      <c r="R12" s="46">
        <v>246</v>
      </c>
      <c r="S12" s="47">
        <v>0.14000000000000001</v>
      </c>
      <c r="T12" s="46">
        <v>65</v>
      </c>
      <c r="U12" s="46"/>
      <c r="V12" s="46">
        <v>125</v>
      </c>
      <c r="W12" s="47">
        <v>0.1</v>
      </c>
      <c r="X12" s="46">
        <v>903</v>
      </c>
      <c r="Y12" s="46">
        <v>1782</v>
      </c>
      <c r="Z12" s="46">
        <v>978</v>
      </c>
      <c r="AA12" s="46">
        <v>1888</v>
      </c>
      <c r="AC12" s="48"/>
      <c r="AD12" s="48"/>
      <c r="AE12" s="48"/>
      <c r="AF12" s="49"/>
    </row>
    <row r="13" spans="1:32" hidden="1">
      <c r="A13" s="50" t="s">
        <v>516</v>
      </c>
      <c r="B13" s="50" t="s">
        <v>517</v>
      </c>
      <c r="C13" s="50">
        <v>768</v>
      </c>
      <c r="D13" s="50">
        <v>917</v>
      </c>
      <c r="E13" s="51">
        <v>1409</v>
      </c>
      <c r="F13" s="50">
        <v>161</v>
      </c>
      <c r="G13" s="50">
        <v>203</v>
      </c>
      <c r="H13" s="50">
        <v>279</v>
      </c>
      <c r="I13" s="50">
        <v>245</v>
      </c>
      <c r="J13" s="50">
        <v>296</v>
      </c>
      <c r="K13" s="50">
        <v>372</v>
      </c>
      <c r="L13" s="50">
        <v>52</v>
      </c>
      <c r="M13" s="50">
        <v>78</v>
      </c>
      <c r="N13" s="50">
        <v>130</v>
      </c>
      <c r="O13" s="50">
        <v>234</v>
      </c>
      <c r="P13" s="50">
        <v>110</v>
      </c>
      <c r="Q13" s="50">
        <v>170</v>
      </c>
      <c r="R13" s="50">
        <v>320</v>
      </c>
      <c r="S13" s="52">
        <v>0.17</v>
      </c>
      <c r="T13" s="50">
        <v>85</v>
      </c>
      <c r="U13" s="50"/>
      <c r="V13" s="50">
        <v>163</v>
      </c>
      <c r="W13" s="52">
        <v>0.1</v>
      </c>
      <c r="X13" s="51">
        <v>1508</v>
      </c>
      <c r="Y13" s="51">
        <v>2815</v>
      </c>
      <c r="Z13" s="51">
        <v>1606</v>
      </c>
      <c r="AA13" s="51">
        <v>2950</v>
      </c>
      <c r="AC13" s="53"/>
      <c r="AD13" s="53"/>
      <c r="AE13" s="53"/>
      <c r="AF13" s="54"/>
    </row>
    <row r="14" spans="1:32" hidden="1">
      <c r="A14" s="55" t="s">
        <v>518</v>
      </c>
      <c r="B14" s="55" t="s">
        <v>519</v>
      </c>
      <c r="C14" s="55">
        <v>775</v>
      </c>
      <c r="D14" s="55">
        <v>928</v>
      </c>
      <c r="E14" s="55">
        <v>1382</v>
      </c>
      <c r="F14" s="55">
        <v>114</v>
      </c>
      <c r="G14" s="55">
        <v>144</v>
      </c>
      <c r="H14" s="55">
        <v>198</v>
      </c>
      <c r="I14" s="55">
        <v>174</v>
      </c>
      <c r="J14" s="55">
        <v>210</v>
      </c>
      <c r="K14" s="55">
        <v>264</v>
      </c>
      <c r="L14" s="55">
        <v>40</v>
      </c>
      <c r="M14" s="55">
        <v>60</v>
      </c>
      <c r="N14" s="55">
        <v>100</v>
      </c>
      <c r="O14" s="55">
        <v>180</v>
      </c>
      <c r="P14" s="55">
        <v>85</v>
      </c>
      <c r="Q14" s="55">
        <v>131</v>
      </c>
      <c r="R14" s="55">
        <v>246</v>
      </c>
      <c r="S14" s="56">
        <v>0.16</v>
      </c>
      <c r="T14" s="55">
        <v>65</v>
      </c>
      <c r="U14" s="55"/>
      <c r="V14" s="55">
        <v>125</v>
      </c>
      <c r="W14" s="56">
        <v>0.1</v>
      </c>
      <c r="X14" s="55">
        <v>1386</v>
      </c>
      <c r="Y14" s="57">
        <v>2530</v>
      </c>
      <c r="Z14" s="55">
        <v>1442</v>
      </c>
      <c r="AA14" s="57">
        <v>2606</v>
      </c>
      <c r="AC14" s="58"/>
      <c r="AD14" s="58"/>
      <c r="AE14" s="58"/>
      <c r="AF14" s="59"/>
    </row>
    <row r="15" spans="1:32" hidden="1">
      <c r="A15" s="44" t="s">
        <v>520</v>
      </c>
      <c r="B15" s="44" t="s">
        <v>521</v>
      </c>
      <c r="C15" s="45">
        <v>737</v>
      </c>
      <c r="D15" s="45">
        <v>890</v>
      </c>
      <c r="E15" s="45">
        <v>1384</v>
      </c>
      <c r="F15" s="46">
        <v>105</v>
      </c>
      <c r="G15" s="46">
        <v>132</v>
      </c>
      <c r="H15" s="46">
        <v>182</v>
      </c>
      <c r="I15" s="46">
        <v>160</v>
      </c>
      <c r="J15" s="46">
        <v>193</v>
      </c>
      <c r="K15" s="46">
        <v>242</v>
      </c>
      <c r="L15" s="46">
        <v>40</v>
      </c>
      <c r="M15" s="46">
        <v>60</v>
      </c>
      <c r="N15" s="46">
        <v>100</v>
      </c>
      <c r="O15" s="46">
        <v>180</v>
      </c>
      <c r="P15" s="46">
        <v>85</v>
      </c>
      <c r="Q15" s="46">
        <v>131</v>
      </c>
      <c r="R15" s="46">
        <v>246</v>
      </c>
      <c r="S15" s="47">
        <v>0.18</v>
      </c>
      <c r="T15" s="46">
        <v>65</v>
      </c>
      <c r="U15" s="46"/>
      <c r="V15" s="46">
        <v>125</v>
      </c>
      <c r="W15" s="47">
        <v>0.1</v>
      </c>
      <c r="X15" s="46">
        <v>1344</v>
      </c>
      <c r="Y15" s="46">
        <v>2550</v>
      </c>
      <c r="Z15" s="46">
        <v>1397</v>
      </c>
      <c r="AA15" s="46">
        <v>2620</v>
      </c>
      <c r="AC15" s="48"/>
      <c r="AD15" s="48"/>
      <c r="AE15" s="48"/>
      <c r="AF15" s="49"/>
    </row>
    <row r="16" spans="1:32" hidden="1">
      <c r="A16" s="50" t="s">
        <v>522</v>
      </c>
      <c r="B16" s="50" t="s">
        <v>523</v>
      </c>
      <c r="C16" s="50">
        <v>686</v>
      </c>
      <c r="D16" s="50">
        <v>884</v>
      </c>
      <c r="E16" s="51">
        <v>1369</v>
      </c>
      <c r="F16" s="50">
        <v>103</v>
      </c>
      <c r="G16" s="50">
        <v>130</v>
      </c>
      <c r="H16" s="50">
        <v>178</v>
      </c>
      <c r="I16" s="50">
        <v>157</v>
      </c>
      <c r="J16" s="50">
        <v>189</v>
      </c>
      <c r="K16" s="50">
        <v>238</v>
      </c>
      <c r="L16" s="50">
        <v>40</v>
      </c>
      <c r="M16" s="50">
        <v>60</v>
      </c>
      <c r="N16" s="50">
        <v>100</v>
      </c>
      <c r="O16" s="50">
        <v>180</v>
      </c>
      <c r="P16" s="50">
        <v>85</v>
      </c>
      <c r="Q16" s="50">
        <v>131</v>
      </c>
      <c r="R16" s="50">
        <v>246</v>
      </c>
      <c r="S16" s="52">
        <v>0.26</v>
      </c>
      <c r="T16" s="50">
        <v>65</v>
      </c>
      <c r="U16" s="50"/>
      <c r="V16" s="50">
        <v>125</v>
      </c>
      <c r="W16" s="52">
        <v>0.1</v>
      </c>
      <c r="X16" s="51">
        <v>1354</v>
      </c>
      <c r="Y16" s="51">
        <v>2687</v>
      </c>
      <c r="Z16" s="51">
        <v>1413</v>
      </c>
      <c r="AA16" s="51">
        <v>2761</v>
      </c>
      <c r="AC16" s="548"/>
      <c r="AD16" s="548"/>
      <c r="AE16" s="548"/>
      <c r="AF16" s="551"/>
    </row>
    <row r="17" spans="1:32" hidden="1">
      <c r="A17" s="50" t="s">
        <v>522</v>
      </c>
      <c r="B17" s="50" t="s">
        <v>524</v>
      </c>
      <c r="C17" s="50">
        <v>748</v>
      </c>
      <c r="D17" s="50">
        <v>899</v>
      </c>
      <c r="E17" s="50">
        <v>1391</v>
      </c>
      <c r="F17" s="50">
        <v>103</v>
      </c>
      <c r="G17" s="50">
        <v>130</v>
      </c>
      <c r="H17" s="50">
        <v>178</v>
      </c>
      <c r="I17" s="50">
        <v>157</v>
      </c>
      <c r="J17" s="50">
        <v>189</v>
      </c>
      <c r="K17" s="50">
        <v>238</v>
      </c>
      <c r="L17" s="50">
        <v>40</v>
      </c>
      <c r="M17" s="50">
        <v>60</v>
      </c>
      <c r="N17" s="50">
        <v>100</v>
      </c>
      <c r="O17" s="50">
        <v>180</v>
      </c>
      <c r="P17" s="50">
        <v>85</v>
      </c>
      <c r="Q17" s="50">
        <v>131</v>
      </c>
      <c r="R17" s="50">
        <v>246</v>
      </c>
      <c r="S17" s="52">
        <v>0.26</v>
      </c>
      <c r="T17" s="50">
        <v>65</v>
      </c>
      <c r="U17" s="50"/>
      <c r="V17" s="50">
        <v>125</v>
      </c>
      <c r="W17" s="52">
        <v>0.1</v>
      </c>
      <c r="X17" s="50">
        <v>1444</v>
      </c>
      <c r="Y17" s="51">
        <v>2718</v>
      </c>
      <c r="Z17" s="50">
        <v>1498</v>
      </c>
      <c r="AA17" s="51">
        <v>2791</v>
      </c>
      <c r="AC17" s="549"/>
      <c r="AD17" s="549"/>
      <c r="AE17" s="549"/>
      <c r="AF17" s="552"/>
    </row>
    <row r="18" spans="1:32" hidden="1">
      <c r="A18" s="50" t="s">
        <v>522</v>
      </c>
      <c r="B18" s="50" t="s">
        <v>525</v>
      </c>
      <c r="C18" s="60">
        <v>765</v>
      </c>
      <c r="D18" s="60">
        <v>920</v>
      </c>
      <c r="E18" s="60">
        <v>1423</v>
      </c>
      <c r="F18" s="61">
        <v>103</v>
      </c>
      <c r="G18" s="61">
        <v>130</v>
      </c>
      <c r="H18" s="61">
        <v>178</v>
      </c>
      <c r="I18" s="61">
        <v>157</v>
      </c>
      <c r="J18" s="61">
        <v>189</v>
      </c>
      <c r="K18" s="61">
        <v>238</v>
      </c>
      <c r="L18" s="61">
        <v>40</v>
      </c>
      <c r="M18" s="61">
        <v>60</v>
      </c>
      <c r="N18" s="61">
        <v>100</v>
      </c>
      <c r="O18" s="61">
        <v>180</v>
      </c>
      <c r="P18" s="61">
        <v>85</v>
      </c>
      <c r="Q18" s="61">
        <v>131</v>
      </c>
      <c r="R18" s="61">
        <v>246</v>
      </c>
      <c r="S18" s="62">
        <v>0.26</v>
      </c>
      <c r="T18" s="61">
        <v>65</v>
      </c>
      <c r="U18" s="61"/>
      <c r="V18" s="61">
        <v>125</v>
      </c>
      <c r="W18" s="62">
        <v>0.1</v>
      </c>
      <c r="X18" s="61">
        <v>1469</v>
      </c>
      <c r="Y18" s="61">
        <v>2766</v>
      </c>
      <c r="Z18" s="61">
        <v>1522</v>
      </c>
      <c r="AA18" s="61">
        <v>2836</v>
      </c>
      <c r="AC18" s="549"/>
      <c r="AD18" s="549"/>
      <c r="AE18" s="549"/>
      <c r="AF18" s="552"/>
    </row>
    <row r="19" spans="1:32">
      <c r="A19" s="50" t="s">
        <v>522</v>
      </c>
      <c r="B19" s="50" t="s">
        <v>526</v>
      </c>
      <c r="C19" s="50">
        <v>783</v>
      </c>
      <c r="D19" s="50">
        <v>941</v>
      </c>
      <c r="E19" s="51">
        <v>1456</v>
      </c>
      <c r="F19" s="50">
        <v>103</v>
      </c>
      <c r="G19" s="50">
        <v>130</v>
      </c>
      <c r="H19" s="50">
        <v>178</v>
      </c>
      <c r="I19" s="50">
        <v>157</v>
      </c>
      <c r="J19" s="50">
        <v>189</v>
      </c>
      <c r="K19" s="50">
        <v>238</v>
      </c>
      <c r="L19" s="50">
        <v>40</v>
      </c>
      <c r="M19" s="50">
        <v>60</v>
      </c>
      <c r="N19" s="50">
        <v>100</v>
      </c>
      <c r="O19" s="50">
        <v>180</v>
      </c>
      <c r="P19" s="50">
        <v>85</v>
      </c>
      <c r="Q19" s="50">
        <v>131</v>
      </c>
      <c r="R19" s="50">
        <v>246</v>
      </c>
      <c r="S19" s="52">
        <v>0.26</v>
      </c>
      <c r="T19" s="50">
        <v>65</v>
      </c>
      <c r="U19" s="50"/>
      <c r="V19" s="50">
        <v>125</v>
      </c>
      <c r="W19" s="52">
        <v>0.1</v>
      </c>
      <c r="X19" s="51">
        <v>1495</v>
      </c>
      <c r="Y19" s="51">
        <v>2813</v>
      </c>
      <c r="Z19" s="51">
        <v>1547</v>
      </c>
      <c r="AA19" s="51">
        <v>2881</v>
      </c>
      <c r="AC19" s="549"/>
      <c r="AD19" s="549"/>
      <c r="AE19" s="549"/>
      <c r="AF19" s="552"/>
    </row>
    <row r="20" spans="1:32" hidden="1">
      <c r="A20" s="50" t="s">
        <v>522</v>
      </c>
      <c r="B20" s="50" t="s">
        <v>527</v>
      </c>
      <c r="C20" s="50">
        <v>750</v>
      </c>
      <c r="D20" s="50">
        <v>913</v>
      </c>
      <c r="E20" s="50">
        <v>1412</v>
      </c>
      <c r="F20" s="50">
        <v>103</v>
      </c>
      <c r="G20" s="50">
        <v>130</v>
      </c>
      <c r="H20" s="50">
        <v>178</v>
      </c>
      <c r="I20" s="50">
        <v>157</v>
      </c>
      <c r="J20" s="50">
        <v>189</v>
      </c>
      <c r="K20" s="50">
        <v>238</v>
      </c>
      <c r="L20" s="50">
        <v>40</v>
      </c>
      <c r="M20" s="50">
        <v>60</v>
      </c>
      <c r="N20" s="50">
        <v>100</v>
      </c>
      <c r="O20" s="50">
        <v>180</v>
      </c>
      <c r="P20" s="50">
        <v>85</v>
      </c>
      <c r="Q20" s="50">
        <v>131</v>
      </c>
      <c r="R20" s="50">
        <v>246</v>
      </c>
      <c r="S20" s="52">
        <v>0.26</v>
      </c>
      <c r="T20" s="50">
        <v>65</v>
      </c>
      <c r="U20" s="50"/>
      <c r="V20" s="50">
        <v>125</v>
      </c>
      <c r="W20" s="52">
        <v>0.1</v>
      </c>
      <c r="X20" s="50">
        <v>1446</v>
      </c>
      <c r="Y20" s="51">
        <v>2750</v>
      </c>
      <c r="Z20" s="50">
        <v>1500</v>
      </c>
      <c r="AA20" s="51">
        <v>2821</v>
      </c>
      <c r="AC20" s="550"/>
      <c r="AD20" s="550"/>
      <c r="AE20" s="550"/>
      <c r="AF20" s="553"/>
    </row>
    <row r="21" spans="1:32" hidden="1">
      <c r="A21" s="44" t="s">
        <v>528</v>
      </c>
      <c r="B21" s="44" t="s">
        <v>529</v>
      </c>
      <c r="C21" s="45">
        <v>860</v>
      </c>
      <c r="D21" s="45">
        <v>1033</v>
      </c>
      <c r="E21" s="45">
        <v>1662</v>
      </c>
      <c r="F21" s="46">
        <v>145</v>
      </c>
      <c r="G21" s="46">
        <v>184</v>
      </c>
      <c r="H21" s="46">
        <v>252</v>
      </c>
      <c r="I21" s="46">
        <v>222</v>
      </c>
      <c r="J21" s="46">
        <v>268</v>
      </c>
      <c r="K21" s="46">
        <v>337</v>
      </c>
      <c r="L21" s="46">
        <v>48</v>
      </c>
      <c r="M21" s="46">
        <v>72</v>
      </c>
      <c r="N21" s="46">
        <v>120</v>
      </c>
      <c r="O21" s="46">
        <v>216</v>
      </c>
      <c r="P21" s="46">
        <v>102</v>
      </c>
      <c r="Q21" s="46">
        <v>157</v>
      </c>
      <c r="R21" s="46">
        <v>296</v>
      </c>
      <c r="S21" s="47">
        <v>0.2</v>
      </c>
      <c r="T21" s="46">
        <v>78</v>
      </c>
      <c r="U21" s="46"/>
      <c r="V21" s="46">
        <v>150</v>
      </c>
      <c r="W21" s="47">
        <v>0.1</v>
      </c>
      <c r="X21" s="46">
        <v>1630</v>
      </c>
      <c r="Y21" s="46">
        <v>3156</v>
      </c>
      <c r="Z21" s="46">
        <v>1711</v>
      </c>
      <c r="AA21" s="46">
        <v>3257</v>
      </c>
      <c r="AC21" s="48"/>
      <c r="AD21" s="48"/>
      <c r="AE21" s="48"/>
      <c r="AF21" s="49"/>
    </row>
    <row r="22" spans="1:32" hidden="1">
      <c r="A22" s="50" t="s">
        <v>530</v>
      </c>
      <c r="B22" s="50" t="s">
        <v>531</v>
      </c>
      <c r="C22" s="50">
        <v>327</v>
      </c>
      <c r="D22" s="50">
        <v>400</v>
      </c>
      <c r="E22" s="51">
        <v>640</v>
      </c>
      <c r="F22" s="50">
        <v>118</v>
      </c>
      <c r="G22" s="50">
        <v>149</v>
      </c>
      <c r="H22" s="50">
        <v>205</v>
      </c>
      <c r="I22" s="50">
        <v>180</v>
      </c>
      <c r="J22" s="50">
        <v>217</v>
      </c>
      <c r="K22" s="50">
        <v>273</v>
      </c>
      <c r="L22" s="50">
        <v>40</v>
      </c>
      <c r="M22" s="50">
        <v>60</v>
      </c>
      <c r="N22" s="50">
        <v>100</v>
      </c>
      <c r="O22" s="50">
        <v>180</v>
      </c>
      <c r="P22" s="50">
        <v>85</v>
      </c>
      <c r="Q22" s="50">
        <v>131</v>
      </c>
      <c r="R22" s="50">
        <v>246</v>
      </c>
      <c r="S22" s="52">
        <v>0.19</v>
      </c>
      <c r="T22" s="50">
        <v>65</v>
      </c>
      <c r="U22" s="50"/>
      <c r="V22" s="50">
        <v>125</v>
      </c>
      <c r="W22" s="52">
        <v>0.1</v>
      </c>
      <c r="X22" s="51">
        <v>807</v>
      </c>
      <c r="Y22" s="51">
        <v>1575</v>
      </c>
      <c r="Z22" s="51">
        <v>898</v>
      </c>
      <c r="AA22" s="51">
        <v>1707</v>
      </c>
      <c r="AC22" s="53"/>
      <c r="AD22" s="53"/>
      <c r="AE22" s="53"/>
      <c r="AF22" s="54"/>
    </row>
    <row r="23" spans="1:32" hidden="1">
      <c r="A23" s="55" t="s">
        <v>532</v>
      </c>
      <c r="B23" s="55" t="s">
        <v>533</v>
      </c>
      <c r="C23" s="55">
        <v>496</v>
      </c>
      <c r="D23" s="55">
        <v>647</v>
      </c>
      <c r="E23" s="55">
        <v>1007</v>
      </c>
      <c r="F23" s="55">
        <v>109</v>
      </c>
      <c r="G23" s="55">
        <v>138</v>
      </c>
      <c r="H23" s="55">
        <v>190</v>
      </c>
      <c r="I23" s="55">
        <v>167</v>
      </c>
      <c r="J23" s="55">
        <v>201</v>
      </c>
      <c r="K23" s="55">
        <v>253</v>
      </c>
      <c r="L23" s="55">
        <v>40</v>
      </c>
      <c r="M23" s="55">
        <v>60</v>
      </c>
      <c r="N23" s="55">
        <v>100</v>
      </c>
      <c r="O23" s="55">
        <v>180</v>
      </c>
      <c r="P23" s="55">
        <v>85</v>
      </c>
      <c r="Q23" s="55">
        <v>131</v>
      </c>
      <c r="R23" s="55">
        <v>246</v>
      </c>
      <c r="S23" s="56">
        <v>0.15</v>
      </c>
      <c r="T23" s="55">
        <v>65</v>
      </c>
      <c r="U23" s="55"/>
      <c r="V23" s="55">
        <v>125</v>
      </c>
      <c r="W23" s="56">
        <v>0.1</v>
      </c>
      <c r="X23" s="55">
        <v>997</v>
      </c>
      <c r="Y23" s="57">
        <v>1997</v>
      </c>
      <c r="Z23" s="55">
        <v>1068</v>
      </c>
      <c r="AA23" s="57">
        <v>2094</v>
      </c>
      <c r="AC23" s="58"/>
      <c r="AD23" s="58"/>
      <c r="AE23" s="58"/>
      <c r="AF23" s="59"/>
    </row>
    <row r="24" spans="1:32" hidden="1">
      <c r="A24" s="44" t="s">
        <v>534</v>
      </c>
      <c r="B24" s="44" t="s">
        <v>535</v>
      </c>
      <c r="C24" s="45">
        <v>550</v>
      </c>
      <c r="D24" s="45">
        <v>660</v>
      </c>
      <c r="E24" s="45">
        <v>1033</v>
      </c>
      <c r="F24" s="46">
        <v>106</v>
      </c>
      <c r="G24" s="46">
        <v>134</v>
      </c>
      <c r="H24" s="46">
        <v>185</v>
      </c>
      <c r="I24" s="46">
        <v>162</v>
      </c>
      <c r="J24" s="46">
        <v>196</v>
      </c>
      <c r="K24" s="46">
        <v>246</v>
      </c>
      <c r="L24" s="46">
        <v>40</v>
      </c>
      <c r="M24" s="46">
        <v>60</v>
      </c>
      <c r="N24" s="46">
        <v>100</v>
      </c>
      <c r="O24" s="46">
        <v>180</v>
      </c>
      <c r="P24" s="46">
        <v>85</v>
      </c>
      <c r="Q24" s="46">
        <v>131</v>
      </c>
      <c r="R24" s="46">
        <v>246</v>
      </c>
      <c r="S24" s="47">
        <v>0.14000000000000001</v>
      </c>
      <c r="T24" s="46">
        <v>65</v>
      </c>
      <c r="U24" s="46"/>
      <c r="V24" s="46">
        <v>125</v>
      </c>
      <c r="W24" s="47">
        <v>0.1</v>
      </c>
      <c r="X24" s="46">
        <v>1056</v>
      </c>
      <c r="Y24" s="46">
        <v>2009</v>
      </c>
      <c r="Z24" s="46">
        <v>1121</v>
      </c>
      <c r="AA24" s="46">
        <v>2101</v>
      </c>
      <c r="AC24" s="48"/>
      <c r="AD24" s="48"/>
      <c r="AE24" s="48"/>
      <c r="AF24" s="49"/>
    </row>
    <row r="25" spans="1:32" hidden="1">
      <c r="A25" s="50" t="s">
        <v>536</v>
      </c>
      <c r="B25" s="50" t="s">
        <v>537</v>
      </c>
      <c r="C25" s="50">
        <v>567</v>
      </c>
      <c r="D25" s="50">
        <v>794</v>
      </c>
      <c r="E25" s="51">
        <v>1152</v>
      </c>
      <c r="F25" s="50">
        <v>133</v>
      </c>
      <c r="G25" s="50">
        <v>168</v>
      </c>
      <c r="H25" s="50">
        <v>231</v>
      </c>
      <c r="I25" s="50">
        <v>203</v>
      </c>
      <c r="J25" s="50">
        <v>245</v>
      </c>
      <c r="K25" s="50">
        <v>308</v>
      </c>
      <c r="L25" s="50">
        <v>45</v>
      </c>
      <c r="M25" s="50">
        <v>67</v>
      </c>
      <c r="N25" s="50">
        <v>112</v>
      </c>
      <c r="O25" s="50">
        <v>202</v>
      </c>
      <c r="P25" s="50">
        <v>95</v>
      </c>
      <c r="Q25" s="50">
        <v>147</v>
      </c>
      <c r="R25" s="50">
        <v>276</v>
      </c>
      <c r="S25" s="52">
        <v>0.14000000000000001</v>
      </c>
      <c r="T25" s="50">
        <v>73</v>
      </c>
      <c r="U25" s="50"/>
      <c r="V25" s="50">
        <v>140</v>
      </c>
      <c r="W25" s="52">
        <v>0.1</v>
      </c>
      <c r="X25" s="51">
        <v>1135</v>
      </c>
      <c r="Y25" s="51">
        <v>2273</v>
      </c>
      <c r="Z25" s="51">
        <v>1220</v>
      </c>
      <c r="AA25" s="51">
        <v>2387</v>
      </c>
      <c r="AC25" s="53"/>
      <c r="AD25" s="53"/>
      <c r="AE25" s="53"/>
      <c r="AF25" s="54"/>
    </row>
    <row r="26" spans="1:32" hidden="1">
      <c r="A26" s="63" t="s">
        <v>538</v>
      </c>
      <c r="B26" s="63" t="s">
        <v>539</v>
      </c>
      <c r="C26" s="63">
        <v>531</v>
      </c>
      <c r="D26" s="63">
        <v>669</v>
      </c>
      <c r="E26" s="63">
        <v>1062</v>
      </c>
      <c r="F26" s="63">
        <v>108</v>
      </c>
      <c r="G26" s="63">
        <v>137</v>
      </c>
      <c r="H26" s="63">
        <v>188</v>
      </c>
      <c r="I26" s="63">
        <v>165</v>
      </c>
      <c r="J26" s="63">
        <v>200</v>
      </c>
      <c r="K26" s="63">
        <v>251</v>
      </c>
      <c r="L26" s="63">
        <v>40</v>
      </c>
      <c r="M26" s="63">
        <v>60</v>
      </c>
      <c r="N26" s="63">
        <v>100</v>
      </c>
      <c r="O26" s="63">
        <v>180</v>
      </c>
      <c r="P26" s="63">
        <v>85</v>
      </c>
      <c r="Q26" s="63">
        <v>131</v>
      </c>
      <c r="R26" s="63">
        <v>246</v>
      </c>
      <c r="S26" s="64">
        <v>0.17</v>
      </c>
      <c r="T26" s="63">
        <v>65</v>
      </c>
      <c r="U26" s="63"/>
      <c r="V26" s="63">
        <v>125</v>
      </c>
      <c r="W26" s="64">
        <v>0.1</v>
      </c>
      <c r="X26" s="63">
        <v>1058</v>
      </c>
      <c r="Y26" s="65">
        <v>2102</v>
      </c>
      <c r="Z26" s="63">
        <v>1128</v>
      </c>
      <c r="AA26" s="65">
        <v>2196</v>
      </c>
      <c r="AC26" s="554"/>
      <c r="AD26" s="554"/>
      <c r="AE26" s="554"/>
      <c r="AF26" s="556"/>
    </row>
    <row r="27" spans="1:32" hidden="1">
      <c r="A27" s="63" t="s">
        <v>538</v>
      </c>
      <c r="B27" s="63" t="s">
        <v>540</v>
      </c>
      <c r="C27" s="66">
        <v>554</v>
      </c>
      <c r="D27" s="66">
        <v>651</v>
      </c>
      <c r="E27" s="66">
        <v>1054</v>
      </c>
      <c r="F27" s="67">
        <v>108</v>
      </c>
      <c r="G27" s="67">
        <v>137</v>
      </c>
      <c r="H27" s="67">
        <v>188</v>
      </c>
      <c r="I27" s="67">
        <v>165</v>
      </c>
      <c r="J27" s="67">
        <v>200</v>
      </c>
      <c r="K27" s="67">
        <v>251</v>
      </c>
      <c r="L27" s="67">
        <v>40</v>
      </c>
      <c r="M27" s="67">
        <v>60</v>
      </c>
      <c r="N27" s="67">
        <v>100</v>
      </c>
      <c r="O27" s="67">
        <v>180</v>
      </c>
      <c r="P27" s="67">
        <v>85</v>
      </c>
      <c r="Q27" s="67">
        <v>131</v>
      </c>
      <c r="R27" s="67">
        <v>246</v>
      </c>
      <c r="S27" s="68">
        <v>0.17</v>
      </c>
      <c r="T27" s="67">
        <v>65</v>
      </c>
      <c r="U27" s="67"/>
      <c r="V27" s="67">
        <v>125</v>
      </c>
      <c r="W27" s="68">
        <v>0.1</v>
      </c>
      <c r="X27" s="67">
        <v>1090</v>
      </c>
      <c r="Y27" s="67">
        <v>2091</v>
      </c>
      <c r="Z27" s="67">
        <v>1158</v>
      </c>
      <c r="AA27" s="67">
        <v>2186</v>
      </c>
      <c r="AC27" s="555"/>
      <c r="AD27" s="555"/>
      <c r="AE27" s="555"/>
      <c r="AF27" s="557"/>
    </row>
    <row r="28" spans="1:32" hidden="1">
      <c r="A28" s="50" t="s">
        <v>541</v>
      </c>
      <c r="B28" s="50" t="s">
        <v>542</v>
      </c>
      <c r="C28" s="50">
        <v>1051</v>
      </c>
      <c r="D28" s="50">
        <v>1281</v>
      </c>
      <c r="E28" s="51">
        <v>1967</v>
      </c>
      <c r="F28" s="50">
        <v>145</v>
      </c>
      <c r="G28" s="50">
        <v>184</v>
      </c>
      <c r="H28" s="50">
        <v>252</v>
      </c>
      <c r="I28" s="50">
        <v>222</v>
      </c>
      <c r="J28" s="50">
        <v>268</v>
      </c>
      <c r="K28" s="50">
        <v>337</v>
      </c>
      <c r="L28" s="50">
        <v>48</v>
      </c>
      <c r="M28" s="50">
        <v>72</v>
      </c>
      <c r="N28" s="50">
        <v>120</v>
      </c>
      <c r="O28" s="50">
        <v>216</v>
      </c>
      <c r="P28" s="50">
        <v>102</v>
      </c>
      <c r="Q28" s="50">
        <v>157</v>
      </c>
      <c r="R28" s="50">
        <v>296</v>
      </c>
      <c r="S28" s="52">
        <v>0.21</v>
      </c>
      <c r="T28" s="50">
        <v>78</v>
      </c>
      <c r="U28" s="50"/>
      <c r="V28" s="50">
        <v>150</v>
      </c>
      <c r="W28" s="52">
        <v>0.1</v>
      </c>
      <c r="X28" s="51">
        <v>1911</v>
      </c>
      <c r="Y28" s="51">
        <v>3608</v>
      </c>
      <c r="Z28" s="51">
        <v>1979</v>
      </c>
      <c r="AA28" s="51">
        <v>3688</v>
      </c>
      <c r="AC28" s="53"/>
      <c r="AD28" s="53"/>
      <c r="AE28" s="53"/>
      <c r="AF28" s="54"/>
    </row>
    <row r="29" spans="1:32" hidden="1">
      <c r="A29" s="55" t="s">
        <v>543</v>
      </c>
      <c r="B29" s="55" t="s">
        <v>544</v>
      </c>
      <c r="C29" s="55">
        <v>469</v>
      </c>
      <c r="D29" s="55">
        <v>552</v>
      </c>
      <c r="E29" s="55">
        <v>886</v>
      </c>
      <c r="F29" s="55">
        <v>139</v>
      </c>
      <c r="G29" s="55">
        <v>175</v>
      </c>
      <c r="H29" s="55">
        <v>241</v>
      </c>
      <c r="I29" s="55">
        <v>212</v>
      </c>
      <c r="J29" s="55">
        <v>256</v>
      </c>
      <c r="K29" s="55">
        <v>321</v>
      </c>
      <c r="L29" s="55">
        <v>46</v>
      </c>
      <c r="M29" s="55">
        <v>69</v>
      </c>
      <c r="N29" s="55">
        <v>115</v>
      </c>
      <c r="O29" s="55">
        <v>207</v>
      </c>
      <c r="P29" s="55">
        <v>97</v>
      </c>
      <c r="Q29" s="55">
        <v>151</v>
      </c>
      <c r="R29" s="55">
        <v>283</v>
      </c>
      <c r="S29" s="56">
        <v>0.19</v>
      </c>
      <c r="T29" s="55">
        <v>75</v>
      </c>
      <c r="U29" s="55"/>
      <c r="V29" s="55">
        <v>144</v>
      </c>
      <c r="W29" s="56">
        <v>0.1</v>
      </c>
      <c r="X29" s="55">
        <v>1061</v>
      </c>
      <c r="Y29" s="57">
        <v>2025</v>
      </c>
      <c r="Z29" s="55">
        <v>1161</v>
      </c>
      <c r="AA29" s="57">
        <v>2169</v>
      </c>
      <c r="AC29" s="58"/>
      <c r="AD29" s="58"/>
      <c r="AE29" s="58"/>
      <c r="AF29" s="59"/>
    </row>
    <row r="30" spans="1:32" hidden="1">
      <c r="A30" s="44" t="s">
        <v>545</v>
      </c>
      <c r="B30" s="44" t="s">
        <v>546</v>
      </c>
      <c r="C30" s="45">
        <v>780</v>
      </c>
      <c r="D30" s="45">
        <v>950</v>
      </c>
      <c r="E30" s="45">
        <v>1416</v>
      </c>
      <c r="F30" s="46">
        <v>156</v>
      </c>
      <c r="G30" s="46">
        <v>197</v>
      </c>
      <c r="H30" s="46">
        <v>271</v>
      </c>
      <c r="I30" s="46">
        <v>238</v>
      </c>
      <c r="J30" s="46">
        <v>287</v>
      </c>
      <c r="K30" s="46">
        <v>361</v>
      </c>
      <c r="L30" s="46">
        <v>50</v>
      </c>
      <c r="M30" s="46">
        <v>75</v>
      </c>
      <c r="N30" s="46">
        <v>125</v>
      </c>
      <c r="O30" s="46">
        <v>225</v>
      </c>
      <c r="P30" s="46">
        <v>106</v>
      </c>
      <c r="Q30" s="46">
        <v>164</v>
      </c>
      <c r="R30" s="46">
        <v>308</v>
      </c>
      <c r="S30" s="47">
        <v>0.2</v>
      </c>
      <c r="T30" s="46">
        <v>81</v>
      </c>
      <c r="U30" s="46"/>
      <c r="V30" s="46">
        <v>156</v>
      </c>
      <c r="W30" s="47">
        <v>0.1</v>
      </c>
      <c r="X30" s="46">
        <v>1544</v>
      </c>
      <c r="Y30" s="46">
        <v>2859</v>
      </c>
      <c r="Z30" s="46">
        <v>1639</v>
      </c>
      <c r="AA30" s="46">
        <v>2989</v>
      </c>
      <c r="AC30" s="48"/>
      <c r="AD30" s="48"/>
      <c r="AE30" s="48"/>
      <c r="AF30" s="49"/>
    </row>
    <row r="31" spans="1:32" hidden="1">
      <c r="A31" s="50" t="s">
        <v>547</v>
      </c>
      <c r="B31" s="50" t="s">
        <v>548</v>
      </c>
      <c r="C31" s="50">
        <v>708</v>
      </c>
      <c r="D31" s="50">
        <v>938</v>
      </c>
      <c r="E31" s="51">
        <v>1358</v>
      </c>
      <c r="F31" s="50">
        <v>127</v>
      </c>
      <c r="G31" s="50">
        <v>161</v>
      </c>
      <c r="H31" s="50">
        <v>221</v>
      </c>
      <c r="I31" s="50">
        <v>194</v>
      </c>
      <c r="J31" s="50">
        <v>235</v>
      </c>
      <c r="K31" s="50">
        <v>295</v>
      </c>
      <c r="L31" s="50">
        <v>42</v>
      </c>
      <c r="M31" s="50">
        <v>63</v>
      </c>
      <c r="N31" s="50">
        <v>105</v>
      </c>
      <c r="O31" s="50">
        <v>189</v>
      </c>
      <c r="P31" s="50">
        <v>89</v>
      </c>
      <c r="Q31" s="50">
        <v>137</v>
      </c>
      <c r="R31" s="50">
        <v>259</v>
      </c>
      <c r="S31" s="52">
        <v>0.18</v>
      </c>
      <c r="T31" s="50">
        <v>68</v>
      </c>
      <c r="U31" s="50"/>
      <c r="V31" s="50">
        <v>131</v>
      </c>
      <c r="W31" s="52">
        <v>0.1</v>
      </c>
      <c r="X31" s="51">
        <v>1344</v>
      </c>
      <c r="Y31" s="51">
        <v>2587</v>
      </c>
      <c r="Z31" s="51">
        <v>1416</v>
      </c>
      <c r="AA31" s="51">
        <v>2680</v>
      </c>
      <c r="AC31" s="53"/>
      <c r="AD31" s="53"/>
      <c r="AE31" s="53"/>
      <c r="AF31" s="54"/>
    </row>
    <row r="32" spans="1:32" hidden="1">
      <c r="A32" s="55" t="s">
        <v>549</v>
      </c>
      <c r="B32" s="55" t="s">
        <v>550</v>
      </c>
      <c r="C32" s="55">
        <v>474</v>
      </c>
      <c r="D32" s="55">
        <v>555</v>
      </c>
      <c r="E32" s="55">
        <v>793</v>
      </c>
      <c r="F32" s="55">
        <v>109</v>
      </c>
      <c r="G32" s="55">
        <v>138</v>
      </c>
      <c r="H32" s="55">
        <v>190</v>
      </c>
      <c r="I32" s="55">
        <v>167</v>
      </c>
      <c r="J32" s="55">
        <v>201</v>
      </c>
      <c r="K32" s="55">
        <v>253</v>
      </c>
      <c r="L32" s="55">
        <v>40</v>
      </c>
      <c r="M32" s="55">
        <v>60</v>
      </c>
      <c r="N32" s="55">
        <v>100</v>
      </c>
      <c r="O32" s="55">
        <v>180</v>
      </c>
      <c r="P32" s="55">
        <v>85</v>
      </c>
      <c r="Q32" s="55">
        <v>131</v>
      </c>
      <c r="R32" s="55">
        <v>246</v>
      </c>
      <c r="S32" s="56">
        <v>0.16</v>
      </c>
      <c r="T32" s="55">
        <v>65</v>
      </c>
      <c r="U32" s="55"/>
      <c r="V32" s="55">
        <v>125</v>
      </c>
      <c r="W32" s="56">
        <v>0.1</v>
      </c>
      <c r="X32" s="55">
        <v>976</v>
      </c>
      <c r="Y32" s="57">
        <v>1725</v>
      </c>
      <c r="Z32" s="55">
        <v>1049</v>
      </c>
      <c r="AA32" s="57">
        <v>1837</v>
      </c>
      <c r="AC32" s="58"/>
      <c r="AD32" s="58"/>
      <c r="AE32" s="58"/>
      <c r="AF32" s="59"/>
    </row>
    <row r="33" spans="1:32" hidden="1">
      <c r="A33" s="44" t="s">
        <v>551</v>
      </c>
      <c r="B33" s="44" t="s">
        <v>552</v>
      </c>
      <c r="C33" s="45">
        <v>690</v>
      </c>
      <c r="D33" s="45">
        <v>840</v>
      </c>
      <c r="E33" s="45">
        <v>1303</v>
      </c>
      <c r="F33" s="46">
        <v>170</v>
      </c>
      <c r="G33" s="46">
        <v>215</v>
      </c>
      <c r="H33" s="46">
        <v>295</v>
      </c>
      <c r="I33" s="46">
        <v>260</v>
      </c>
      <c r="J33" s="46">
        <v>313</v>
      </c>
      <c r="K33" s="46">
        <v>394</v>
      </c>
      <c r="L33" s="46">
        <v>60</v>
      </c>
      <c r="M33" s="46">
        <v>90</v>
      </c>
      <c r="N33" s="46">
        <v>150</v>
      </c>
      <c r="O33" s="46">
        <v>270</v>
      </c>
      <c r="P33" s="46">
        <v>127</v>
      </c>
      <c r="Q33" s="46">
        <v>196</v>
      </c>
      <c r="R33" s="46">
        <v>370</v>
      </c>
      <c r="S33" s="47">
        <v>0.18</v>
      </c>
      <c r="T33" s="46">
        <v>98</v>
      </c>
      <c r="U33" s="46"/>
      <c r="V33" s="46">
        <v>188</v>
      </c>
      <c r="W33" s="47">
        <v>0.1</v>
      </c>
      <c r="X33" s="46">
        <v>1465</v>
      </c>
      <c r="Y33" s="46">
        <v>2799</v>
      </c>
      <c r="Z33" s="46">
        <v>1582</v>
      </c>
      <c r="AA33" s="46">
        <v>2967</v>
      </c>
      <c r="AC33" s="48"/>
      <c r="AD33" s="48"/>
      <c r="AE33" s="48"/>
      <c r="AF33" s="49"/>
    </row>
    <row r="34" spans="1:32" hidden="1">
      <c r="A34" s="50" t="s">
        <v>553</v>
      </c>
      <c r="B34" s="50" t="s">
        <v>554</v>
      </c>
      <c r="C34" s="50">
        <v>543</v>
      </c>
      <c r="D34" s="50">
        <v>632</v>
      </c>
      <c r="E34" s="51">
        <v>953</v>
      </c>
      <c r="F34" s="50">
        <v>109</v>
      </c>
      <c r="G34" s="50">
        <v>138</v>
      </c>
      <c r="H34" s="50">
        <v>190</v>
      </c>
      <c r="I34" s="50">
        <v>167</v>
      </c>
      <c r="J34" s="50">
        <v>201</v>
      </c>
      <c r="K34" s="50">
        <v>253</v>
      </c>
      <c r="L34" s="50">
        <v>40</v>
      </c>
      <c r="M34" s="50">
        <v>60</v>
      </c>
      <c r="N34" s="50">
        <v>100</v>
      </c>
      <c r="O34" s="50">
        <v>180</v>
      </c>
      <c r="P34" s="50">
        <v>85</v>
      </c>
      <c r="Q34" s="50">
        <v>131</v>
      </c>
      <c r="R34" s="50">
        <v>246</v>
      </c>
      <c r="S34" s="52">
        <v>0.1</v>
      </c>
      <c r="T34" s="50">
        <v>65</v>
      </c>
      <c r="U34" s="50"/>
      <c r="V34" s="50">
        <v>125</v>
      </c>
      <c r="W34" s="52">
        <v>0.1</v>
      </c>
      <c r="X34" s="51">
        <v>1018</v>
      </c>
      <c r="Y34" s="51">
        <v>1850</v>
      </c>
      <c r="Z34" s="51">
        <v>1083</v>
      </c>
      <c r="AA34" s="51">
        <v>1946</v>
      </c>
      <c r="AC34" s="53"/>
      <c r="AD34" s="53"/>
      <c r="AE34" s="53"/>
      <c r="AF34" s="54"/>
    </row>
    <row r="35" spans="1:32" hidden="1">
      <c r="A35" s="55" t="s">
        <v>555</v>
      </c>
      <c r="B35" s="55" t="s">
        <v>555</v>
      </c>
      <c r="C35" s="55">
        <v>606</v>
      </c>
      <c r="D35" s="55">
        <v>786</v>
      </c>
      <c r="E35" s="55">
        <v>1128</v>
      </c>
      <c r="F35" s="55">
        <v>105</v>
      </c>
      <c r="G35" s="55">
        <v>132</v>
      </c>
      <c r="H35" s="55">
        <v>182</v>
      </c>
      <c r="I35" s="55">
        <v>160</v>
      </c>
      <c r="J35" s="55">
        <v>193</v>
      </c>
      <c r="K35" s="55">
        <v>242</v>
      </c>
      <c r="L35" s="55">
        <v>40</v>
      </c>
      <c r="M35" s="55">
        <v>60</v>
      </c>
      <c r="N35" s="55">
        <v>100</v>
      </c>
      <c r="O35" s="55">
        <v>180</v>
      </c>
      <c r="P35" s="55">
        <v>85</v>
      </c>
      <c r="Q35" s="55">
        <v>131</v>
      </c>
      <c r="R35" s="55">
        <v>246</v>
      </c>
      <c r="S35" s="56">
        <v>0.18</v>
      </c>
      <c r="T35" s="55">
        <v>65</v>
      </c>
      <c r="U35" s="55"/>
      <c r="V35" s="55">
        <v>125</v>
      </c>
      <c r="W35" s="56">
        <v>0.1</v>
      </c>
      <c r="X35" s="55">
        <v>1165</v>
      </c>
      <c r="Y35" s="57">
        <v>2199</v>
      </c>
      <c r="Z35" s="55">
        <v>1227</v>
      </c>
      <c r="AA35" s="57">
        <v>2287</v>
      </c>
      <c r="AC35" s="58"/>
      <c r="AD35" s="58"/>
      <c r="AE35" s="58"/>
      <c r="AF35" s="59"/>
    </row>
    <row r="36" spans="1:32" hidden="1">
      <c r="A36" s="44" t="s">
        <v>556</v>
      </c>
      <c r="B36" s="44" t="s">
        <v>557</v>
      </c>
      <c r="C36" s="45">
        <v>402</v>
      </c>
      <c r="D36" s="45">
        <v>502</v>
      </c>
      <c r="E36" s="45">
        <v>749</v>
      </c>
      <c r="F36" s="46">
        <v>147</v>
      </c>
      <c r="G36" s="46">
        <v>186</v>
      </c>
      <c r="H36" s="46">
        <v>256</v>
      </c>
      <c r="I36" s="46">
        <v>225</v>
      </c>
      <c r="J36" s="46">
        <v>271</v>
      </c>
      <c r="K36" s="46">
        <v>341</v>
      </c>
      <c r="L36" s="46">
        <v>50</v>
      </c>
      <c r="M36" s="46">
        <v>75</v>
      </c>
      <c r="N36" s="46">
        <v>125</v>
      </c>
      <c r="O36" s="46">
        <v>225</v>
      </c>
      <c r="P36" s="46">
        <v>106</v>
      </c>
      <c r="Q36" s="46">
        <v>164</v>
      </c>
      <c r="R36" s="46">
        <v>308</v>
      </c>
      <c r="S36" s="47">
        <v>0.14000000000000001</v>
      </c>
      <c r="T36" s="46">
        <v>81</v>
      </c>
      <c r="U36" s="46"/>
      <c r="V36" s="46">
        <v>156</v>
      </c>
      <c r="W36" s="47">
        <v>0.1</v>
      </c>
      <c r="X36" s="46">
        <v>961</v>
      </c>
      <c r="Y36" s="46">
        <v>1826</v>
      </c>
      <c r="Z36" s="46">
        <v>1070</v>
      </c>
      <c r="AA36" s="46">
        <v>1987</v>
      </c>
      <c r="AC36" s="48"/>
      <c r="AD36" s="48"/>
      <c r="AE36" s="48"/>
      <c r="AF36" s="49"/>
    </row>
    <row r="37" spans="1:32" hidden="1">
      <c r="A37" s="50" t="s">
        <v>558</v>
      </c>
      <c r="B37" s="50" t="s">
        <v>559</v>
      </c>
      <c r="C37" s="50">
        <v>650</v>
      </c>
      <c r="D37" s="50">
        <v>800</v>
      </c>
      <c r="E37" s="51">
        <v>1090</v>
      </c>
      <c r="F37" s="50">
        <v>105</v>
      </c>
      <c r="G37" s="50">
        <v>132</v>
      </c>
      <c r="H37" s="50">
        <v>182</v>
      </c>
      <c r="I37" s="50">
        <v>160</v>
      </c>
      <c r="J37" s="50">
        <v>193</v>
      </c>
      <c r="K37" s="50">
        <v>242</v>
      </c>
      <c r="L37" s="50">
        <v>40</v>
      </c>
      <c r="M37" s="50">
        <v>60</v>
      </c>
      <c r="N37" s="50">
        <v>100</v>
      </c>
      <c r="O37" s="50">
        <v>180</v>
      </c>
      <c r="P37" s="50">
        <v>85</v>
      </c>
      <c r="Q37" s="50">
        <v>131</v>
      </c>
      <c r="R37" s="50">
        <v>246</v>
      </c>
      <c r="S37" s="52">
        <v>0.18</v>
      </c>
      <c r="T37" s="50">
        <v>65</v>
      </c>
      <c r="U37" s="50"/>
      <c r="V37" s="50">
        <v>125</v>
      </c>
      <c r="W37" s="52">
        <v>0.1</v>
      </c>
      <c r="X37" s="51">
        <v>1224</v>
      </c>
      <c r="Y37" s="51">
        <v>2147</v>
      </c>
      <c r="Z37" s="51">
        <v>1284</v>
      </c>
      <c r="AA37" s="51">
        <v>2238</v>
      </c>
      <c r="AC37" s="53"/>
      <c r="AD37" s="53"/>
      <c r="AE37" s="53"/>
      <c r="AF37" s="54"/>
    </row>
    <row r="38" spans="1:32" ht="15.65" hidden="1" customHeight="1">
      <c r="A38" s="55" t="s">
        <v>560</v>
      </c>
      <c r="B38" s="55" t="s">
        <v>561</v>
      </c>
      <c r="C38" s="69">
        <v>1089</v>
      </c>
      <c r="D38" s="69">
        <v>1445</v>
      </c>
      <c r="E38" s="69">
        <v>2048</v>
      </c>
      <c r="F38" s="69" t="s">
        <v>479</v>
      </c>
      <c r="G38" s="69" t="s">
        <v>480</v>
      </c>
      <c r="H38" s="69" t="s">
        <v>481</v>
      </c>
      <c r="I38" s="69" t="s">
        <v>482</v>
      </c>
      <c r="J38" s="69" t="s">
        <v>483</v>
      </c>
      <c r="K38" s="69" t="s">
        <v>484</v>
      </c>
      <c r="L38" s="69" t="s">
        <v>485</v>
      </c>
      <c r="M38" s="69" t="s">
        <v>486</v>
      </c>
      <c r="N38" s="69" t="s">
        <v>487</v>
      </c>
      <c r="O38" s="69" t="s">
        <v>488</v>
      </c>
      <c r="P38" s="69" t="s">
        <v>489</v>
      </c>
      <c r="Q38" s="69" t="s">
        <v>490</v>
      </c>
      <c r="R38" s="69" t="s">
        <v>491</v>
      </c>
      <c r="S38" s="70">
        <v>0.22</v>
      </c>
      <c r="T38" s="69" t="s">
        <v>492</v>
      </c>
      <c r="U38" s="69"/>
      <c r="V38" s="69" t="s">
        <v>493</v>
      </c>
      <c r="W38" s="70">
        <v>0.1</v>
      </c>
      <c r="X38" s="69" t="s">
        <v>562</v>
      </c>
      <c r="Y38" s="71" t="s">
        <v>563</v>
      </c>
      <c r="Z38" s="69" t="s">
        <v>564</v>
      </c>
      <c r="AA38" s="71" t="s">
        <v>565</v>
      </c>
      <c r="AB38" s="72"/>
      <c r="AC38" s="58"/>
      <c r="AD38" s="58"/>
      <c r="AE38" s="58"/>
      <c r="AF38" s="59"/>
    </row>
    <row r="39" spans="1:32" hidden="1">
      <c r="A39" s="44" t="s">
        <v>566</v>
      </c>
      <c r="B39" s="44" t="s">
        <v>567</v>
      </c>
      <c r="C39" s="45">
        <v>697</v>
      </c>
      <c r="D39" s="45">
        <v>1100</v>
      </c>
      <c r="E39" s="45">
        <v>1667</v>
      </c>
      <c r="F39" s="46">
        <v>114</v>
      </c>
      <c r="G39" s="46">
        <v>144</v>
      </c>
      <c r="H39" s="46">
        <v>198</v>
      </c>
      <c r="I39" s="46">
        <v>174</v>
      </c>
      <c r="J39" s="46">
        <v>210</v>
      </c>
      <c r="K39" s="46">
        <v>264</v>
      </c>
      <c r="L39" s="46">
        <v>40</v>
      </c>
      <c r="M39" s="46">
        <v>60</v>
      </c>
      <c r="N39" s="46">
        <v>100</v>
      </c>
      <c r="O39" s="46">
        <v>180</v>
      </c>
      <c r="P39" s="46">
        <v>85</v>
      </c>
      <c r="Q39" s="46">
        <v>131</v>
      </c>
      <c r="R39" s="46">
        <v>246</v>
      </c>
      <c r="S39" s="47">
        <v>0.19</v>
      </c>
      <c r="T39" s="46">
        <v>65</v>
      </c>
      <c r="U39" s="46"/>
      <c r="V39" s="46">
        <v>125</v>
      </c>
      <c r="W39" s="47">
        <v>0.1</v>
      </c>
      <c r="X39" s="46">
        <v>1312</v>
      </c>
      <c r="Y39" s="46">
        <v>2981</v>
      </c>
      <c r="Z39" s="46">
        <v>1374</v>
      </c>
      <c r="AA39" s="46">
        <v>3040</v>
      </c>
      <c r="AC39" s="48"/>
      <c r="AD39" s="48"/>
      <c r="AE39" s="48"/>
      <c r="AF39" s="49"/>
    </row>
    <row r="40" spans="1:32" hidden="1">
      <c r="A40" s="50" t="s">
        <v>568</v>
      </c>
      <c r="B40" s="50" t="s">
        <v>569</v>
      </c>
      <c r="C40" s="50">
        <v>672</v>
      </c>
      <c r="D40" s="50">
        <v>877</v>
      </c>
      <c r="E40" s="51">
        <v>1271</v>
      </c>
      <c r="F40" s="50">
        <v>126</v>
      </c>
      <c r="G40" s="50">
        <v>160</v>
      </c>
      <c r="H40" s="50">
        <v>219</v>
      </c>
      <c r="I40" s="50">
        <v>193</v>
      </c>
      <c r="J40" s="50">
        <v>233</v>
      </c>
      <c r="K40" s="50">
        <v>293</v>
      </c>
      <c r="L40" s="50">
        <v>42</v>
      </c>
      <c r="M40" s="50">
        <v>63</v>
      </c>
      <c r="N40" s="50">
        <v>105</v>
      </c>
      <c r="O40" s="50">
        <v>189</v>
      </c>
      <c r="P40" s="50">
        <v>89</v>
      </c>
      <c r="Q40" s="50">
        <v>137</v>
      </c>
      <c r="R40" s="50">
        <v>259</v>
      </c>
      <c r="S40" s="52">
        <v>0.18</v>
      </c>
      <c r="T40" s="50">
        <v>68</v>
      </c>
      <c r="U40" s="50"/>
      <c r="V40" s="50">
        <v>131</v>
      </c>
      <c r="W40" s="52">
        <v>0.1</v>
      </c>
      <c r="X40" s="51">
        <v>1293</v>
      </c>
      <c r="Y40" s="51">
        <v>2466</v>
      </c>
      <c r="Z40" s="51">
        <v>1368</v>
      </c>
      <c r="AA40" s="51">
        <v>2565</v>
      </c>
      <c r="AC40" s="53"/>
      <c r="AD40" s="53"/>
      <c r="AE40" s="53"/>
      <c r="AF40" s="54"/>
    </row>
    <row r="41" spans="1:32">
      <c r="A41" s="55" t="s">
        <v>570</v>
      </c>
      <c r="B41" s="55" t="s">
        <v>571</v>
      </c>
      <c r="C41" s="55">
        <v>486</v>
      </c>
      <c r="D41" s="55">
        <v>604</v>
      </c>
      <c r="E41" s="55">
        <v>863</v>
      </c>
      <c r="F41" s="55">
        <v>109</v>
      </c>
      <c r="G41" s="55">
        <v>138</v>
      </c>
      <c r="H41" s="55">
        <v>190</v>
      </c>
      <c r="I41" s="55">
        <v>167</v>
      </c>
      <c r="J41" s="55">
        <v>201</v>
      </c>
      <c r="K41" s="55">
        <v>253</v>
      </c>
      <c r="L41" s="55">
        <v>40</v>
      </c>
      <c r="M41" s="55">
        <v>60</v>
      </c>
      <c r="N41" s="55">
        <v>100</v>
      </c>
      <c r="O41" s="55">
        <v>180</v>
      </c>
      <c r="P41" s="55">
        <v>85</v>
      </c>
      <c r="Q41" s="55">
        <v>131</v>
      </c>
      <c r="R41" s="55">
        <v>246</v>
      </c>
      <c r="S41" s="56">
        <v>0.17</v>
      </c>
      <c r="T41" s="55">
        <v>65</v>
      </c>
      <c r="U41" s="55"/>
      <c r="V41" s="55">
        <v>125</v>
      </c>
      <c r="W41" s="56">
        <v>0.1</v>
      </c>
      <c r="X41" s="55">
        <v>1000</v>
      </c>
      <c r="Y41" s="57">
        <v>1834</v>
      </c>
      <c r="Z41" s="55">
        <v>1073</v>
      </c>
      <c r="AA41" s="57">
        <v>1942</v>
      </c>
      <c r="AC41" s="58"/>
      <c r="AD41" s="58"/>
      <c r="AE41" s="58"/>
      <c r="AF41" s="59"/>
    </row>
    <row r="42" spans="1:32" hidden="1">
      <c r="A42" s="44" t="s">
        <v>572</v>
      </c>
      <c r="B42" s="44" t="s">
        <v>573</v>
      </c>
      <c r="C42" s="45">
        <v>454</v>
      </c>
      <c r="D42" s="45">
        <v>608</v>
      </c>
      <c r="E42" s="45">
        <v>922</v>
      </c>
      <c r="F42" s="46">
        <v>105</v>
      </c>
      <c r="G42" s="46">
        <v>132</v>
      </c>
      <c r="H42" s="46">
        <v>182</v>
      </c>
      <c r="I42" s="46">
        <v>160</v>
      </c>
      <c r="J42" s="46">
        <v>193</v>
      </c>
      <c r="K42" s="46">
        <v>242</v>
      </c>
      <c r="L42" s="46">
        <v>40</v>
      </c>
      <c r="M42" s="46">
        <v>60</v>
      </c>
      <c r="N42" s="46">
        <v>100</v>
      </c>
      <c r="O42" s="46">
        <v>180</v>
      </c>
      <c r="P42" s="46">
        <v>85</v>
      </c>
      <c r="Q42" s="46">
        <v>131</v>
      </c>
      <c r="R42" s="46">
        <v>246</v>
      </c>
      <c r="S42" s="47">
        <v>0.15</v>
      </c>
      <c r="T42" s="46">
        <v>65</v>
      </c>
      <c r="U42" s="46"/>
      <c r="V42" s="46">
        <v>125</v>
      </c>
      <c r="W42" s="47">
        <v>0.1</v>
      </c>
      <c r="X42" s="46">
        <v>935</v>
      </c>
      <c r="Y42" s="46">
        <v>1873</v>
      </c>
      <c r="Z42" s="46">
        <v>1005</v>
      </c>
      <c r="AA42" s="46">
        <v>1973</v>
      </c>
      <c r="AC42" s="48"/>
      <c r="AD42" s="48"/>
      <c r="AE42" s="48"/>
      <c r="AF42" s="49"/>
    </row>
    <row r="43" spans="1:32" hidden="1">
      <c r="A43" s="50" t="s">
        <v>574</v>
      </c>
      <c r="B43" s="50" t="s">
        <v>575</v>
      </c>
      <c r="C43" s="50">
        <v>782</v>
      </c>
      <c r="D43" s="50">
        <v>1072</v>
      </c>
      <c r="E43" s="51">
        <v>1516</v>
      </c>
      <c r="F43" s="50">
        <v>125</v>
      </c>
      <c r="G43" s="50">
        <v>158</v>
      </c>
      <c r="H43" s="50">
        <v>218</v>
      </c>
      <c r="I43" s="50">
        <v>191</v>
      </c>
      <c r="J43" s="50">
        <v>231</v>
      </c>
      <c r="K43" s="50">
        <v>290</v>
      </c>
      <c r="L43" s="50">
        <v>42</v>
      </c>
      <c r="M43" s="50">
        <v>63</v>
      </c>
      <c r="N43" s="50">
        <v>105</v>
      </c>
      <c r="O43" s="50">
        <v>189</v>
      </c>
      <c r="P43" s="50">
        <v>89</v>
      </c>
      <c r="Q43" s="50">
        <v>137</v>
      </c>
      <c r="R43" s="50">
        <v>259</v>
      </c>
      <c r="S43" s="52">
        <v>0.18</v>
      </c>
      <c r="T43" s="50">
        <v>68</v>
      </c>
      <c r="U43" s="50"/>
      <c r="V43" s="50">
        <v>131</v>
      </c>
      <c r="W43" s="52">
        <v>0.1</v>
      </c>
      <c r="X43" s="51">
        <v>1443</v>
      </c>
      <c r="Y43" s="51">
        <v>2798</v>
      </c>
      <c r="Z43" s="51">
        <v>1509</v>
      </c>
      <c r="AA43" s="51">
        <v>2879</v>
      </c>
      <c r="AC43" s="53"/>
      <c r="AD43" s="53"/>
      <c r="AE43" s="53"/>
      <c r="AF43" s="54"/>
    </row>
    <row r="44" spans="1:32" hidden="1">
      <c r="A44" s="55" t="s">
        <v>576</v>
      </c>
      <c r="B44" s="55" t="s">
        <v>577</v>
      </c>
      <c r="C44" s="55">
        <v>346</v>
      </c>
      <c r="D44" s="55">
        <v>468</v>
      </c>
      <c r="E44" s="55">
        <v>751</v>
      </c>
      <c r="F44" s="55">
        <v>111</v>
      </c>
      <c r="G44" s="55">
        <v>140</v>
      </c>
      <c r="H44" s="55">
        <v>193</v>
      </c>
      <c r="I44" s="55">
        <v>170</v>
      </c>
      <c r="J44" s="55">
        <v>205</v>
      </c>
      <c r="K44" s="55">
        <v>257</v>
      </c>
      <c r="L44" s="55">
        <v>40</v>
      </c>
      <c r="M44" s="55">
        <v>60</v>
      </c>
      <c r="N44" s="55">
        <v>100</v>
      </c>
      <c r="O44" s="55">
        <v>180</v>
      </c>
      <c r="P44" s="55">
        <v>85</v>
      </c>
      <c r="Q44" s="55">
        <v>131</v>
      </c>
      <c r="R44" s="55">
        <v>246</v>
      </c>
      <c r="S44" s="56">
        <v>0.18</v>
      </c>
      <c r="T44" s="55">
        <v>65</v>
      </c>
      <c r="U44" s="55"/>
      <c r="V44" s="55">
        <v>125</v>
      </c>
      <c r="W44" s="56">
        <v>0.1</v>
      </c>
      <c r="X44" s="55">
        <v>819</v>
      </c>
      <c r="Y44" s="57">
        <v>1699</v>
      </c>
      <c r="Z44" s="55">
        <v>903</v>
      </c>
      <c r="AA44" s="57">
        <v>1818</v>
      </c>
      <c r="AC44" s="58"/>
      <c r="AD44" s="58"/>
      <c r="AE44" s="58"/>
      <c r="AF44" s="59"/>
    </row>
    <row r="45" spans="1:32" hidden="1">
      <c r="A45" s="44" t="s">
        <v>578</v>
      </c>
      <c r="B45" s="44" t="s">
        <v>579</v>
      </c>
      <c r="C45" s="45">
        <v>480</v>
      </c>
      <c r="D45" s="45">
        <v>625</v>
      </c>
      <c r="E45" s="45">
        <v>1000</v>
      </c>
      <c r="F45" s="46">
        <v>138</v>
      </c>
      <c r="G45" s="46">
        <v>174</v>
      </c>
      <c r="H45" s="46">
        <v>239</v>
      </c>
      <c r="I45" s="46">
        <v>210</v>
      </c>
      <c r="J45" s="46">
        <v>254</v>
      </c>
      <c r="K45" s="46">
        <v>319</v>
      </c>
      <c r="L45" s="46">
        <v>50</v>
      </c>
      <c r="M45" s="46">
        <v>75</v>
      </c>
      <c r="N45" s="46">
        <v>125</v>
      </c>
      <c r="O45" s="46">
        <v>225</v>
      </c>
      <c r="P45" s="46">
        <v>106</v>
      </c>
      <c r="Q45" s="46">
        <v>164</v>
      </c>
      <c r="R45" s="46">
        <v>308</v>
      </c>
      <c r="S45" s="47">
        <v>0.12</v>
      </c>
      <c r="T45" s="46">
        <v>81</v>
      </c>
      <c r="U45" s="46"/>
      <c r="V45" s="46">
        <v>156</v>
      </c>
      <c r="W45" s="47">
        <v>0.1</v>
      </c>
      <c r="X45" s="46">
        <v>1035</v>
      </c>
      <c r="Y45" s="46">
        <v>2102</v>
      </c>
      <c r="Z45" s="46">
        <v>1131</v>
      </c>
      <c r="AA45" s="46">
        <v>2238</v>
      </c>
      <c r="AC45" s="48"/>
      <c r="AD45" s="48"/>
      <c r="AE45" s="48"/>
      <c r="AF45" s="49"/>
    </row>
    <row r="46" spans="1:32" hidden="1">
      <c r="A46" s="50" t="s">
        <v>580</v>
      </c>
      <c r="B46" s="50" t="s">
        <v>581</v>
      </c>
      <c r="C46" s="50">
        <v>725</v>
      </c>
      <c r="D46" s="50">
        <v>930</v>
      </c>
      <c r="E46" s="171">
        <v>1336</v>
      </c>
      <c r="F46" s="50">
        <v>141</v>
      </c>
      <c r="G46" s="50">
        <v>178</v>
      </c>
      <c r="H46" s="50">
        <v>244</v>
      </c>
      <c r="I46" s="50">
        <v>215</v>
      </c>
      <c r="J46" s="50">
        <v>259</v>
      </c>
      <c r="K46" s="50">
        <v>326</v>
      </c>
      <c r="L46" s="50">
        <v>48</v>
      </c>
      <c r="M46" s="50">
        <v>72</v>
      </c>
      <c r="N46" s="50">
        <v>120</v>
      </c>
      <c r="O46" s="50">
        <v>216</v>
      </c>
      <c r="P46" s="50">
        <v>102</v>
      </c>
      <c r="Q46" s="50">
        <v>157</v>
      </c>
      <c r="R46" s="50">
        <v>296</v>
      </c>
      <c r="S46" s="170">
        <v>0.17</v>
      </c>
      <c r="T46" s="50">
        <v>78</v>
      </c>
      <c r="U46" s="50"/>
      <c r="V46" s="50">
        <v>150</v>
      </c>
      <c r="W46" s="52">
        <v>0.1</v>
      </c>
      <c r="X46" s="51">
        <v>1403</v>
      </c>
      <c r="Y46" s="51">
        <v>2630</v>
      </c>
      <c r="Z46" s="51">
        <v>1487</v>
      </c>
      <c r="AA46" s="51">
        <v>2746</v>
      </c>
      <c r="AC46" s="53"/>
      <c r="AD46" s="53"/>
      <c r="AE46" s="53"/>
      <c r="AF46" s="54"/>
    </row>
    <row r="47" spans="1:32" hidden="1">
      <c r="A47" s="55" t="s">
        <v>582</v>
      </c>
      <c r="B47" s="55" t="s">
        <v>583</v>
      </c>
      <c r="C47" s="55">
        <v>340</v>
      </c>
      <c r="D47" s="55">
        <v>418</v>
      </c>
      <c r="E47" s="55">
        <v>648</v>
      </c>
      <c r="F47" s="55">
        <v>135</v>
      </c>
      <c r="G47" s="55">
        <v>170</v>
      </c>
      <c r="H47" s="55">
        <v>234</v>
      </c>
      <c r="I47" s="55">
        <v>206</v>
      </c>
      <c r="J47" s="55">
        <v>249</v>
      </c>
      <c r="K47" s="55">
        <v>312</v>
      </c>
      <c r="L47" s="55">
        <v>48</v>
      </c>
      <c r="M47" s="55">
        <v>72</v>
      </c>
      <c r="N47" s="55">
        <v>120</v>
      </c>
      <c r="O47" s="55">
        <v>216</v>
      </c>
      <c r="P47" s="55">
        <v>102</v>
      </c>
      <c r="Q47" s="55">
        <v>157</v>
      </c>
      <c r="R47" s="55">
        <v>296</v>
      </c>
      <c r="S47" s="56">
        <v>0.17</v>
      </c>
      <c r="T47" s="55">
        <v>78</v>
      </c>
      <c r="U47" s="55"/>
      <c r="V47" s="55">
        <v>150</v>
      </c>
      <c r="W47" s="56">
        <v>0.1</v>
      </c>
      <c r="X47" s="55">
        <v>875</v>
      </c>
      <c r="Y47" s="57">
        <v>1684</v>
      </c>
      <c r="Z47" s="55">
        <v>981</v>
      </c>
      <c r="AA47" s="57">
        <v>1843</v>
      </c>
      <c r="AC47" s="58"/>
      <c r="AD47" s="58"/>
      <c r="AE47" s="58"/>
      <c r="AF47" s="59"/>
    </row>
    <row r="48" spans="1:32" hidden="1">
      <c r="A48" s="44" t="s">
        <v>584</v>
      </c>
      <c r="B48" s="44" t="s">
        <v>585</v>
      </c>
      <c r="C48" s="45">
        <v>319</v>
      </c>
      <c r="D48" s="45">
        <v>528</v>
      </c>
      <c r="E48" s="45">
        <v>690</v>
      </c>
      <c r="F48" s="46">
        <v>109</v>
      </c>
      <c r="G48" s="46">
        <v>138</v>
      </c>
      <c r="H48" s="46">
        <v>190</v>
      </c>
      <c r="I48" s="46">
        <v>167</v>
      </c>
      <c r="J48" s="46">
        <v>201</v>
      </c>
      <c r="K48" s="46">
        <v>253</v>
      </c>
      <c r="L48" s="46">
        <v>40</v>
      </c>
      <c r="M48" s="46">
        <v>60</v>
      </c>
      <c r="N48" s="46">
        <v>100</v>
      </c>
      <c r="O48" s="46">
        <v>180</v>
      </c>
      <c r="P48" s="46">
        <v>85</v>
      </c>
      <c r="Q48" s="46">
        <v>131</v>
      </c>
      <c r="R48" s="46">
        <v>246</v>
      </c>
      <c r="S48" s="47">
        <v>0.15</v>
      </c>
      <c r="T48" s="46">
        <v>65</v>
      </c>
      <c r="U48" s="46"/>
      <c r="V48" s="46">
        <v>125</v>
      </c>
      <c r="W48" s="47">
        <v>0.1</v>
      </c>
      <c r="X48" s="46">
        <v>760</v>
      </c>
      <c r="Y48" s="46">
        <v>1574</v>
      </c>
      <c r="Z48" s="46">
        <v>843</v>
      </c>
      <c r="AA48" s="46">
        <v>1692</v>
      </c>
      <c r="AC48" s="48"/>
      <c r="AD48" s="48"/>
      <c r="AE48" s="48"/>
      <c r="AF48" s="49"/>
    </row>
    <row r="49" spans="1:32" hidden="1">
      <c r="A49" s="73" t="s">
        <v>586</v>
      </c>
      <c r="B49" s="73" t="s">
        <v>587</v>
      </c>
      <c r="C49" s="73">
        <v>556</v>
      </c>
      <c r="D49" s="73">
        <v>711</v>
      </c>
      <c r="E49" s="74">
        <v>1085</v>
      </c>
      <c r="F49" s="73">
        <v>142</v>
      </c>
      <c r="G49" s="73">
        <v>179</v>
      </c>
      <c r="H49" s="73">
        <v>246</v>
      </c>
      <c r="I49" s="73">
        <v>216</v>
      </c>
      <c r="J49" s="73">
        <v>261</v>
      </c>
      <c r="K49" s="73">
        <v>328</v>
      </c>
      <c r="L49" s="73">
        <v>48</v>
      </c>
      <c r="M49" s="73">
        <v>72</v>
      </c>
      <c r="N49" s="73">
        <v>120</v>
      </c>
      <c r="O49" s="73">
        <v>216</v>
      </c>
      <c r="P49" s="73">
        <v>102</v>
      </c>
      <c r="Q49" s="73">
        <v>157</v>
      </c>
      <c r="R49" s="73">
        <v>296</v>
      </c>
      <c r="S49" s="75">
        <v>0.18</v>
      </c>
      <c r="T49" s="73">
        <v>78</v>
      </c>
      <c r="U49" s="73"/>
      <c r="V49" s="73">
        <v>150</v>
      </c>
      <c r="W49" s="75">
        <v>0.1</v>
      </c>
      <c r="X49" s="74">
        <v>1186</v>
      </c>
      <c r="Y49" s="74">
        <v>2309</v>
      </c>
      <c r="Z49" s="74">
        <v>1283</v>
      </c>
      <c r="AA49" s="74">
        <v>2445</v>
      </c>
      <c r="AB49" s="76"/>
      <c r="AC49" s="558"/>
      <c r="AD49" s="558"/>
      <c r="AE49" s="558"/>
      <c r="AF49" s="560"/>
    </row>
    <row r="50" spans="1:32" ht="13.5" hidden="1" customHeight="1">
      <c r="A50" s="73" t="s">
        <v>586</v>
      </c>
      <c r="B50" s="73" t="s">
        <v>588</v>
      </c>
      <c r="C50" s="73">
        <v>551</v>
      </c>
      <c r="D50" s="73">
        <v>704</v>
      </c>
      <c r="E50" s="73">
        <v>1075</v>
      </c>
      <c r="F50" s="73">
        <v>142</v>
      </c>
      <c r="G50" s="73">
        <v>179</v>
      </c>
      <c r="H50" s="73">
        <v>246</v>
      </c>
      <c r="I50" s="73">
        <v>216</v>
      </c>
      <c r="J50" s="73">
        <v>261</v>
      </c>
      <c r="K50" s="73">
        <v>328</v>
      </c>
      <c r="L50" s="73">
        <v>48</v>
      </c>
      <c r="M50" s="73">
        <v>72</v>
      </c>
      <c r="N50" s="73">
        <v>120</v>
      </c>
      <c r="O50" s="73">
        <v>216</v>
      </c>
      <c r="P50" s="73">
        <v>102</v>
      </c>
      <c r="Q50" s="73">
        <v>157</v>
      </c>
      <c r="R50" s="73">
        <v>296</v>
      </c>
      <c r="S50" s="75">
        <v>0.18</v>
      </c>
      <c r="T50" s="73">
        <v>78</v>
      </c>
      <c r="U50" s="73"/>
      <c r="V50" s="73">
        <v>150</v>
      </c>
      <c r="W50" s="75">
        <v>0.1</v>
      </c>
      <c r="X50" s="73">
        <v>1178</v>
      </c>
      <c r="Y50" s="74">
        <v>2295</v>
      </c>
      <c r="Z50" s="73">
        <v>1276</v>
      </c>
      <c r="AA50" s="74">
        <v>2432</v>
      </c>
      <c r="AB50" s="76"/>
      <c r="AC50" s="559"/>
      <c r="AD50" s="559"/>
      <c r="AE50" s="559"/>
      <c r="AF50" s="561"/>
    </row>
    <row r="51" spans="1:32" hidden="1">
      <c r="A51" s="44" t="s">
        <v>589</v>
      </c>
      <c r="B51" s="44" t="s">
        <v>590</v>
      </c>
      <c r="C51" s="45">
        <v>500</v>
      </c>
      <c r="D51" s="45">
        <v>578</v>
      </c>
      <c r="E51" s="45">
        <v>882</v>
      </c>
      <c r="F51" s="46">
        <v>108</v>
      </c>
      <c r="G51" s="46">
        <v>137</v>
      </c>
      <c r="H51" s="46">
        <v>188</v>
      </c>
      <c r="I51" s="46">
        <v>165</v>
      </c>
      <c r="J51" s="46">
        <v>200</v>
      </c>
      <c r="K51" s="46">
        <v>251</v>
      </c>
      <c r="L51" s="46">
        <v>40</v>
      </c>
      <c r="M51" s="46">
        <v>60</v>
      </c>
      <c r="N51" s="46">
        <v>100</v>
      </c>
      <c r="O51" s="46">
        <v>180</v>
      </c>
      <c r="P51" s="46">
        <v>85</v>
      </c>
      <c r="Q51" s="46">
        <v>131</v>
      </c>
      <c r="R51" s="46">
        <v>246</v>
      </c>
      <c r="S51" s="47">
        <v>0.18</v>
      </c>
      <c r="T51" s="46">
        <v>65</v>
      </c>
      <c r="U51" s="46"/>
      <c r="V51" s="46">
        <v>125</v>
      </c>
      <c r="W51" s="47">
        <v>0.1</v>
      </c>
      <c r="X51" s="46">
        <v>1025</v>
      </c>
      <c r="Y51" s="46">
        <v>1872</v>
      </c>
      <c r="Z51" s="46">
        <v>1097</v>
      </c>
      <c r="AA51" s="46">
        <v>1979</v>
      </c>
      <c r="AB51" s="77"/>
      <c r="AC51" s="565"/>
      <c r="AD51" s="565"/>
      <c r="AE51" s="565"/>
      <c r="AF51" s="567"/>
    </row>
    <row r="52" spans="1:32" hidden="1">
      <c r="A52" s="44" t="s">
        <v>589</v>
      </c>
      <c r="B52" s="44" t="s">
        <v>591</v>
      </c>
      <c r="C52" s="44">
        <v>506</v>
      </c>
      <c r="D52" s="44">
        <v>611</v>
      </c>
      <c r="E52" s="78">
        <v>913</v>
      </c>
      <c r="F52" s="44">
        <v>108</v>
      </c>
      <c r="G52" s="44">
        <v>137</v>
      </c>
      <c r="H52" s="44">
        <v>188</v>
      </c>
      <c r="I52" s="44">
        <v>165</v>
      </c>
      <c r="J52" s="44">
        <v>200</v>
      </c>
      <c r="K52" s="44">
        <v>251</v>
      </c>
      <c r="L52" s="44">
        <v>40</v>
      </c>
      <c r="M52" s="44">
        <v>60</v>
      </c>
      <c r="N52" s="44">
        <v>100</v>
      </c>
      <c r="O52" s="44">
        <v>180</v>
      </c>
      <c r="P52" s="44">
        <v>85</v>
      </c>
      <c r="Q52" s="44">
        <v>131</v>
      </c>
      <c r="R52" s="44">
        <v>246</v>
      </c>
      <c r="S52" s="79">
        <v>0.18</v>
      </c>
      <c r="T52" s="44">
        <v>65</v>
      </c>
      <c r="U52" s="44"/>
      <c r="V52" s="44">
        <v>125</v>
      </c>
      <c r="W52" s="79">
        <v>0.1</v>
      </c>
      <c r="X52" s="78">
        <v>1033</v>
      </c>
      <c r="Y52" s="78">
        <v>1914</v>
      </c>
      <c r="Z52" s="78">
        <v>1105</v>
      </c>
      <c r="AA52" s="78">
        <v>2019</v>
      </c>
      <c r="AB52" s="77"/>
      <c r="AC52" s="566"/>
      <c r="AD52" s="566"/>
      <c r="AE52" s="566"/>
      <c r="AF52" s="568"/>
    </row>
    <row r="53" spans="1:32" hidden="1">
      <c r="A53" s="55" t="s">
        <v>592</v>
      </c>
      <c r="B53" s="55" t="s">
        <v>593</v>
      </c>
      <c r="C53" s="55">
        <v>736</v>
      </c>
      <c r="D53" s="55">
        <v>884</v>
      </c>
      <c r="E53" s="55">
        <v>1369</v>
      </c>
      <c r="F53" s="55">
        <v>112</v>
      </c>
      <c r="G53" s="55">
        <v>142</v>
      </c>
      <c r="H53" s="55">
        <v>195</v>
      </c>
      <c r="I53" s="55">
        <v>171</v>
      </c>
      <c r="J53" s="55">
        <v>207</v>
      </c>
      <c r="K53" s="55">
        <v>260</v>
      </c>
      <c r="L53" s="55">
        <v>40</v>
      </c>
      <c r="M53" s="55">
        <v>60</v>
      </c>
      <c r="N53" s="55">
        <v>100</v>
      </c>
      <c r="O53" s="55">
        <v>180</v>
      </c>
      <c r="P53" s="55">
        <v>85</v>
      </c>
      <c r="Q53" s="55">
        <v>131</v>
      </c>
      <c r="R53" s="55">
        <v>246</v>
      </c>
      <c r="S53" s="56">
        <v>0.18</v>
      </c>
      <c r="T53" s="55">
        <v>65</v>
      </c>
      <c r="U53" s="55"/>
      <c r="V53" s="55">
        <v>125</v>
      </c>
      <c r="W53" s="56">
        <v>0.1</v>
      </c>
      <c r="X53" s="55">
        <v>1353</v>
      </c>
      <c r="Y53" s="57">
        <v>2546</v>
      </c>
      <c r="Z53" s="55">
        <v>1411</v>
      </c>
      <c r="AA53" s="57">
        <v>2623</v>
      </c>
      <c r="AC53" s="58"/>
      <c r="AD53" s="58"/>
      <c r="AE53" s="58"/>
      <c r="AF53" s="59"/>
    </row>
    <row r="54" spans="1:32" hidden="1">
      <c r="A54" s="44" t="s">
        <v>594</v>
      </c>
      <c r="B54" s="44" t="s">
        <v>595</v>
      </c>
      <c r="C54" s="45">
        <v>896</v>
      </c>
      <c r="D54" s="45">
        <v>1129</v>
      </c>
      <c r="E54" s="45">
        <v>1636</v>
      </c>
      <c r="F54" s="46">
        <v>110</v>
      </c>
      <c r="G54" s="46">
        <v>139</v>
      </c>
      <c r="H54" s="46">
        <v>191</v>
      </c>
      <c r="I54" s="46">
        <v>168</v>
      </c>
      <c r="J54" s="46">
        <v>203</v>
      </c>
      <c r="K54" s="46">
        <v>255</v>
      </c>
      <c r="L54" s="46">
        <v>40</v>
      </c>
      <c r="M54" s="46">
        <v>60</v>
      </c>
      <c r="N54" s="46">
        <v>100</v>
      </c>
      <c r="O54" s="46">
        <v>180</v>
      </c>
      <c r="P54" s="46">
        <v>85</v>
      </c>
      <c r="Q54" s="46">
        <v>131</v>
      </c>
      <c r="R54" s="46">
        <v>246</v>
      </c>
      <c r="S54" s="47">
        <v>0.25</v>
      </c>
      <c r="T54" s="46">
        <v>65</v>
      </c>
      <c r="U54" s="46"/>
      <c r="V54" s="46">
        <v>125</v>
      </c>
      <c r="W54" s="47">
        <v>0.1</v>
      </c>
      <c r="X54" s="46">
        <v>1657</v>
      </c>
      <c r="Y54" s="46">
        <v>3071</v>
      </c>
      <c r="Z54" s="46">
        <v>1706</v>
      </c>
      <c r="AA54" s="46">
        <v>3132</v>
      </c>
      <c r="AC54" s="48"/>
      <c r="AD54" s="48"/>
      <c r="AE54" s="48"/>
      <c r="AF54" s="49"/>
    </row>
    <row r="55" spans="1:32" hidden="1">
      <c r="A55" s="50" t="s">
        <v>594</v>
      </c>
      <c r="B55" s="50" t="s">
        <v>596</v>
      </c>
      <c r="C55" s="50">
        <v>894</v>
      </c>
      <c r="D55" s="73">
        <v>1129</v>
      </c>
      <c r="E55" s="51">
        <v>1636</v>
      </c>
      <c r="F55" s="50">
        <v>110</v>
      </c>
      <c r="G55" s="50">
        <v>139</v>
      </c>
      <c r="H55" s="50">
        <v>191</v>
      </c>
      <c r="I55" s="50">
        <v>168</v>
      </c>
      <c r="J55" s="50">
        <v>203</v>
      </c>
      <c r="K55" s="50">
        <v>255</v>
      </c>
      <c r="L55" s="50">
        <v>40</v>
      </c>
      <c r="M55" s="50">
        <v>60</v>
      </c>
      <c r="N55" s="50">
        <v>100</v>
      </c>
      <c r="O55" s="50">
        <v>180</v>
      </c>
      <c r="P55" s="50">
        <v>85</v>
      </c>
      <c r="Q55" s="50">
        <v>131</v>
      </c>
      <c r="R55" s="50">
        <v>246</v>
      </c>
      <c r="S55" s="52">
        <v>0.25</v>
      </c>
      <c r="T55" s="50">
        <v>65</v>
      </c>
      <c r="U55" s="50"/>
      <c r="V55" s="50">
        <v>125</v>
      </c>
      <c r="W55" s="52">
        <v>0.1</v>
      </c>
      <c r="X55" s="51">
        <v>1655</v>
      </c>
      <c r="Y55" s="51">
        <v>3070</v>
      </c>
      <c r="Z55" s="51">
        <v>1704</v>
      </c>
      <c r="AA55" s="51">
        <v>3131</v>
      </c>
      <c r="AC55" s="53"/>
      <c r="AD55" s="53"/>
      <c r="AE55" s="53"/>
      <c r="AF55" s="54"/>
    </row>
    <row r="56" spans="1:32" hidden="1">
      <c r="A56" s="55" t="s">
        <v>597</v>
      </c>
      <c r="B56" s="55" t="s">
        <v>598</v>
      </c>
      <c r="C56" s="55">
        <v>361</v>
      </c>
      <c r="D56" s="55">
        <v>472</v>
      </c>
      <c r="E56" s="55">
        <v>669</v>
      </c>
      <c r="F56" s="55">
        <v>121</v>
      </c>
      <c r="G56" s="55">
        <v>152</v>
      </c>
      <c r="H56" s="55">
        <v>210</v>
      </c>
      <c r="I56" s="55">
        <v>184</v>
      </c>
      <c r="J56" s="55">
        <v>222</v>
      </c>
      <c r="K56" s="55">
        <v>279</v>
      </c>
      <c r="L56" s="55">
        <v>43</v>
      </c>
      <c r="M56" s="55">
        <v>64</v>
      </c>
      <c r="N56" s="55">
        <v>107</v>
      </c>
      <c r="O56" s="55">
        <v>193</v>
      </c>
      <c r="P56" s="55">
        <v>91</v>
      </c>
      <c r="Q56" s="55">
        <v>140</v>
      </c>
      <c r="R56" s="55">
        <v>264</v>
      </c>
      <c r="S56" s="56">
        <v>0.17</v>
      </c>
      <c r="T56" s="55">
        <v>70</v>
      </c>
      <c r="U56" s="55"/>
      <c r="V56" s="55">
        <v>134</v>
      </c>
      <c r="W56" s="56">
        <v>0.1</v>
      </c>
      <c r="X56" s="55">
        <v>859</v>
      </c>
      <c r="Y56" s="57">
        <v>1627</v>
      </c>
      <c r="Z56" s="55">
        <v>950</v>
      </c>
      <c r="AA56" s="57">
        <v>1763</v>
      </c>
      <c r="AC56" s="58"/>
      <c r="AD56" s="58"/>
      <c r="AE56" s="58"/>
      <c r="AF56" s="59"/>
    </row>
    <row r="57" spans="1:32" hidden="1">
      <c r="A57" s="44" t="s">
        <v>599</v>
      </c>
      <c r="B57" s="44" t="s">
        <v>600</v>
      </c>
      <c r="C57" s="45">
        <v>741</v>
      </c>
      <c r="D57" s="45">
        <v>903</v>
      </c>
      <c r="E57" s="45">
        <v>1401</v>
      </c>
      <c r="F57" s="46">
        <v>125</v>
      </c>
      <c r="G57" s="46">
        <v>158</v>
      </c>
      <c r="H57" s="46">
        <v>218</v>
      </c>
      <c r="I57" s="46">
        <v>191</v>
      </c>
      <c r="J57" s="46">
        <v>231</v>
      </c>
      <c r="K57" s="46">
        <v>290</v>
      </c>
      <c r="L57" s="46">
        <v>42</v>
      </c>
      <c r="M57" s="46">
        <v>63</v>
      </c>
      <c r="N57" s="46">
        <v>105</v>
      </c>
      <c r="O57" s="46">
        <v>189</v>
      </c>
      <c r="P57" s="46">
        <v>89</v>
      </c>
      <c r="Q57" s="46">
        <v>137</v>
      </c>
      <c r="R57" s="46">
        <v>259</v>
      </c>
      <c r="S57" s="47">
        <v>0.19</v>
      </c>
      <c r="T57" s="46">
        <v>68</v>
      </c>
      <c r="U57" s="46"/>
      <c r="V57" s="46">
        <v>131</v>
      </c>
      <c r="W57" s="47">
        <v>0.1</v>
      </c>
      <c r="X57" s="46">
        <v>1398</v>
      </c>
      <c r="Y57" s="46">
        <v>2663</v>
      </c>
      <c r="Z57" s="46">
        <v>1468</v>
      </c>
      <c r="AA57" s="46">
        <v>2752</v>
      </c>
      <c r="AB57" s="77"/>
      <c r="AC57" s="565"/>
      <c r="AD57" s="565"/>
      <c r="AE57" s="565"/>
      <c r="AF57" s="567"/>
    </row>
    <row r="58" spans="1:32" hidden="1">
      <c r="A58" s="44" t="s">
        <v>599</v>
      </c>
      <c r="B58" s="44" t="s">
        <v>601</v>
      </c>
      <c r="C58" s="44">
        <v>741</v>
      </c>
      <c r="D58" s="44">
        <v>903</v>
      </c>
      <c r="E58" s="78">
        <v>1401</v>
      </c>
      <c r="F58" s="44">
        <v>125</v>
      </c>
      <c r="G58" s="44">
        <v>158</v>
      </c>
      <c r="H58" s="44">
        <v>218</v>
      </c>
      <c r="I58" s="44">
        <v>191</v>
      </c>
      <c r="J58" s="44">
        <v>231</v>
      </c>
      <c r="K58" s="44">
        <v>290</v>
      </c>
      <c r="L58" s="44">
        <v>42</v>
      </c>
      <c r="M58" s="44">
        <v>63</v>
      </c>
      <c r="N58" s="44">
        <v>105</v>
      </c>
      <c r="O58" s="44">
        <v>189</v>
      </c>
      <c r="P58" s="44">
        <v>89</v>
      </c>
      <c r="Q58" s="44">
        <v>137</v>
      </c>
      <c r="R58" s="44">
        <v>259</v>
      </c>
      <c r="S58" s="79">
        <v>0.19</v>
      </c>
      <c r="T58" s="44">
        <v>68</v>
      </c>
      <c r="U58" s="44"/>
      <c r="V58" s="44">
        <v>131</v>
      </c>
      <c r="W58" s="79">
        <v>0.1</v>
      </c>
      <c r="X58" s="78">
        <v>1398</v>
      </c>
      <c r="Y58" s="78">
        <v>2663</v>
      </c>
      <c r="Z58" s="78">
        <v>1468</v>
      </c>
      <c r="AA58" s="78">
        <v>2752</v>
      </c>
      <c r="AB58" s="77"/>
      <c r="AC58" s="566"/>
      <c r="AD58" s="566"/>
      <c r="AE58" s="566"/>
      <c r="AF58" s="568"/>
    </row>
    <row r="59" spans="1:32" hidden="1">
      <c r="A59" s="55" t="s">
        <v>602</v>
      </c>
      <c r="B59" s="55" t="s">
        <v>603</v>
      </c>
      <c r="C59" s="55">
        <v>906</v>
      </c>
      <c r="D59" s="55">
        <v>1082</v>
      </c>
      <c r="E59" s="55">
        <v>1656</v>
      </c>
      <c r="F59" s="55">
        <v>156</v>
      </c>
      <c r="G59" s="55">
        <v>197</v>
      </c>
      <c r="H59" s="55">
        <v>271</v>
      </c>
      <c r="I59" s="55">
        <v>238</v>
      </c>
      <c r="J59" s="55">
        <v>287</v>
      </c>
      <c r="K59" s="55">
        <v>361</v>
      </c>
      <c r="L59" s="55">
        <v>50</v>
      </c>
      <c r="M59" s="55">
        <v>75</v>
      </c>
      <c r="N59" s="55">
        <v>125</v>
      </c>
      <c r="O59" s="55">
        <v>225</v>
      </c>
      <c r="P59" s="55">
        <v>106</v>
      </c>
      <c r="Q59" s="55">
        <v>164</v>
      </c>
      <c r="R59" s="55">
        <v>308</v>
      </c>
      <c r="S59" s="56">
        <v>0.2</v>
      </c>
      <c r="T59" s="55">
        <v>81</v>
      </c>
      <c r="U59" s="55"/>
      <c r="V59" s="55">
        <v>156</v>
      </c>
      <c r="W59" s="56">
        <v>0.1</v>
      </c>
      <c r="X59" s="55">
        <v>1719</v>
      </c>
      <c r="Y59" s="57">
        <v>3194</v>
      </c>
      <c r="Z59" s="55">
        <v>1805</v>
      </c>
      <c r="AA59" s="57">
        <v>3307</v>
      </c>
      <c r="AC59" s="58"/>
      <c r="AD59" s="58"/>
      <c r="AE59" s="58"/>
      <c r="AF59" s="59"/>
    </row>
    <row r="60" spans="1:32" hidden="1">
      <c r="A60" s="50" t="s">
        <v>604</v>
      </c>
      <c r="B60" s="50" t="s">
        <v>605</v>
      </c>
      <c r="C60" s="60">
        <v>485</v>
      </c>
      <c r="D60" s="60">
        <v>594</v>
      </c>
      <c r="E60" s="60">
        <v>891</v>
      </c>
      <c r="F60" s="61">
        <v>106</v>
      </c>
      <c r="G60" s="61">
        <v>134</v>
      </c>
      <c r="H60" s="61">
        <v>185</v>
      </c>
      <c r="I60" s="61">
        <v>162</v>
      </c>
      <c r="J60" s="61">
        <v>196</v>
      </c>
      <c r="K60" s="61">
        <v>246</v>
      </c>
      <c r="L60" s="61">
        <v>40</v>
      </c>
      <c r="M60" s="61">
        <v>60</v>
      </c>
      <c r="N60" s="61">
        <v>100</v>
      </c>
      <c r="O60" s="61">
        <v>180</v>
      </c>
      <c r="P60" s="61">
        <v>85</v>
      </c>
      <c r="Q60" s="61">
        <v>131</v>
      </c>
      <c r="R60" s="61">
        <v>246</v>
      </c>
      <c r="S60" s="62">
        <v>0.17</v>
      </c>
      <c r="T60" s="61">
        <v>65</v>
      </c>
      <c r="U60" s="61"/>
      <c r="V60" s="61">
        <v>125</v>
      </c>
      <c r="W60" s="62">
        <v>0.1</v>
      </c>
      <c r="X60" s="61">
        <v>994</v>
      </c>
      <c r="Y60" s="61">
        <v>1866</v>
      </c>
      <c r="Z60" s="61">
        <v>1065</v>
      </c>
      <c r="AA60" s="61">
        <v>1970</v>
      </c>
      <c r="AB60" s="80"/>
      <c r="AC60" s="548"/>
      <c r="AD60" s="548"/>
      <c r="AE60" s="548"/>
      <c r="AF60" s="562"/>
    </row>
    <row r="61" spans="1:32" hidden="1">
      <c r="A61" s="50" t="s">
        <v>604</v>
      </c>
      <c r="B61" s="50" t="s">
        <v>606</v>
      </c>
      <c r="C61" s="50">
        <v>416</v>
      </c>
      <c r="D61" s="50">
        <v>530</v>
      </c>
      <c r="E61" s="51">
        <v>817</v>
      </c>
      <c r="F61" s="50">
        <v>106</v>
      </c>
      <c r="G61" s="50">
        <v>134</v>
      </c>
      <c r="H61" s="50">
        <v>185</v>
      </c>
      <c r="I61" s="50">
        <v>162</v>
      </c>
      <c r="J61" s="50">
        <v>196</v>
      </c>
      <c r="K61" s="50">
        <v>246</v>
      </c>
      <c r="L61" s="50">
        <v>40</v>
      </c>
      <c r="M61" s="50">
        <v>60</v>
      </c>
      <c r="N61" s="50">
        <v>100</v>
      </c>
      <c r="O61" s="50">
        <v>180</v>
      </c>
      <c r="P61" s="50">
        <v>85</v>
      </c>
      <c r="Q61" s="50">
        <v>131</v>
      </c>
      <c r="R61" s="50">
        <v>246</v>
      </c>
      <c r="S61" s="52">
        <v>0.17</v>
      </c>
      <c r="T61" s="50">
        <v>65</v>
      </c>
      <c r="U61" s="50"/>
      <c r="V61" s="50">
        <v>125</v>
      </c>
      <c r="W61" s="52">
        <v>0.1</v>
      </c>
      <c r="X61" s="51">
        <v>901</v>
      </c>
      <c r="Y61" s="51">
        <v>1765</v>
      </c>
      <c r="Z61" s="51">
        <v>976</v>
      </c>
      <c r="AA61" s="51">
        <v>1874</v>
      </c>
      <c r="AB61" s="80"/>
      <c r="AC61" s="549"/>
      <c r="AD61" s="549"/>
      <c r="AE61" s="549"/>
      <c r="AF61" s="563"/>
    </row>
    <row r="62" spans="1:32" hidden="1">
      <c r="A62" s="50" t="s">
        <v>604</v>
      </c>
      <c r="B62" s="50" t="s">
        <v>607</v>
      </c>
      <c r="C62" s="50">
        <v>485</v>
      </c>
      <c r="D62" s="50">
        <v>594</v>
      </c>
      <c r="E62" s="50">
        <v>891</v>
      </c>
      <c r="F62" s="50">
        <v>106</v>
      </c>
      <c r="G62" s="50">
        <v>134</v>
      </c>
      <c r="H62" s="50">
        <v>185</v>
      </c>
      <c r="I62" s="50">
        <v>162</v>
      </c>
      <c r="J62" s="50">
        <v>196</v>
      </c>
      <c r="K62" s="50">
        <v>246</v>
      </c>
      <c r="L62" s="50">
        <v>40</v>
      </c>
      <c r="M62" s="50">
        <v>60</v>
      </c>
      <c r="N62" s="50">
        <v>100</v>
      </c>
      <c r="O62" s="50">
        <v>180</v>
      </c>
      <c r="P62" s="50">
        <v>85</v>
      </c>
      <c r="Q62" s="50">
        <v>131</v>
      </c>
      <c r="R62" s="50">
        <v>246</v>
      </c>
      <c r="S62" s="52">
        <v>0.17</v>
      </c>
      <c r="T62" s="50">
        <v>65</v>
      </c>
      <c r="U62" s="50"/>
      <c r="V62" s="50">
        <v>125</v>
      </c>
      <c r="W62" s="52">
        <v>0.1</v>
      </c>
      <c r="X62" s="50">
        <v>994</v>
      </c>
      <c r="Y62" s="51">
        <v>1866</v>
      </c>
      <c r="Z62" s="50">
        <v>1065</v>
      </c>
      <c r="AA62" s="51">
        <v>1970</v>
      </c>
      <c r="AB62" s="80"/>
      <c r="AC62" s="549"/>
      <c r="AD62" s="549"/>
      <c r="AE62" s="549"/>
      <c r="AF62" s="563"/>
    </row>
    <row r="63" spans="1:32" hidden="1">
      <c r="A63" s="50" t="s">
        <v>604</v>
      </c>
      <c r="B63" s="50" t="s">
        <v>608</v>
      </c>
      <c r="C63" s="60">
        <v>592</v>
      </c>
      <c r="D63" s="60">
        <v>734</v>
      </c>
      <c r="E63" s="60">
        <v>1161</v>
      </c>
      <c r="F63" s="61">
        <v>106</v>
      </c>
      <c r="G63" s="61">
        <v>134</v>
      </c>
      <c r="H63" s="61">
        <v>185</v>
      </c>
      <c r="I63" s="61">
        <v>162</v>
      </c>
      <c r="J63" s="61">
        <v>196</v>
      </c>
      <c r="K63" s="61">
        <v>246</v>
      </c>
      <c r="L63" s="61">
        <v>40</v>
      </c>
      <c r="M63" s="61">
        <v>60</v>
      </c>
      <c r="N63" s="61">
        <v>100</v>
      </c>
      <c r="O63" s="61">
        <v>180</v>
      </c>
      <c r="P63" s="61">
        <v>85</v>
      </c>
      <c r="Q63" s="61">
        <v>131</v>
      </c>
      <c r="R63" s="61">
        <v>246</v>
      </c>
      <c r="S63" s="62">
        <v>0.17</v>
      </c>
      <c r="T63" s="61">
        <v>65</v>
      </c>
      <c r="U63" s="61"/>
      <c r="V63" s="61">
        <v>125</v>
      </c>
      <c r="W63" s="62">
        <v>0.1</v>
      </c>
      <c r="X63" s="61">
        <v>1140</v>
      </c>
      <c r="Y63" s="61">
        <v>2231</v>
      </c>
      <c r="Z63" s="61">
        <v>1203</v>
      </c>
      <c r="AA63" s="61">
        <v>2317</v>
      </c>
      <c r="AB63" s="80"/>
      <c r="AC63" s="549"/>
      <c r="AD63" s="549"/>
      <c r="AE63" s="549"/>
      <c r="AF63" s="563"/>
    </row>
    <row r="64" spans="1:32" hidden="1">
      <c r="A64" s="50" t="s">
        <v>604</v>
      </c>
      <c r="B64" s="50" t="s">
        <v>609</v>
      </c>
      <c r="C64" s="50">
        <v>485</v>
      </c>
      <c r="D64" s="50">
        <v>594</v>
      </c>
      <c r="E64" s="51">
        <v>891</v>
      </c>
      <c r="F64" s="50">
        <v>106</v>
      </c>
      <c r="G64" s="50">
        <v>134</v>
      </c>
      <c r="H64" s="50">
        <v>185</v>
      </c>
      <c r="I64" s="50">
        <v>162</v>
      </c>
      <c r="J64" s="50">
        <v>196</v>
      </c>
      <c r="K64" s="50">
        <v>246</v>
      </c>
      <c r="L64" s="50">
        <v>40</v>
      </c>
      <c r="M64" s="50">
        <v>60</v>
      </c>
      <c r="N64" s="50">
        <v>100</v>
      </c>
      <c r="O64" s="50">
        <v>180</v>
      </c>
      <c r="P64" s="50">
        <v>85</v>
      </c>
      <c r="Q64" s="50">
        <v>131</v>
      </c>
      <c r="R64" s="50">
        <v>246</v>
      </c>
      <c r="S64" s="52">
        <v>0.17</v>
      </c>
      <c r="T64" s="50">
        <v>65</v>
      </c>
      <c r="U64" s="50"/>
      <c r="V64" s="50">
        <v>125</v>
      </c>
      <c r="W64" s="52">
        <v>0.1</v>
      </c>
      <c r="X64" s="51">
        <v>994</v>
      </c>
      <c r="Y64" s="51">
        <v>1866</v>
      </c>
      <c r="Z64" s="51">
        <v>1065</v>
      </c>
      <c r="AA64" s="51">
        <v>1970</v>
      </c>
      <c r="AB64" s="80"/>
      <c r="AC64" s="550"/>
      <c r="AD64" s="550"/>
      <c r="AE64" s="550"/>
      <c r="AF64" s="564"/>
    </row>
    <row r="65" spans="1:32" hidden="1">
      <c r="A65" s="55" t="s">
        <v>610</v>
      </c>
      <c r="B65" s="55" t="s">
        <v>611</v>
      </c>
      <c r="C65" s="55">
        <v>362</v>
      </c>
      <c r="D65" s="55">
        <v>477</v>
      </c>
      <c r="E65" s="55">
        <v>748</v>
      </c>
      <c r="F65" s="55">
        <v>114</v>
      </c>
      <c r="G65" s="55">
        <v>144</v>
      </c>
      <c r="H65" s="55">
        <v>198</v>
      </c>
      <c r="I65" s="55">
        <v>174</v>
      </c>
      <c r="J65" s="55">
        <v>210</v>
      </c>
      <c r="K65" s="55">
        <v>264</v>
      </c>
      <c r="L65" s="55">
        <v>40</v>
      </c>
      <c r="M65" s="55">
        <v>60</v>
      </c>
      <c r="N65" s="55">
        <v>100</v>
      </c>
      <c r="O65" s="55">
        <v>180</v>
      </c>
      <c r="P65" s="55">
        <v>85</v>
      </c>
      <c r="Q65" s="55">
        <v>131</v>
      </c>
      <c r="R65" s="55">
        <v>246</v>
      </c>
      <c r="S65" s="56">
        <v>0.16</v>
      </c>
      <c r="T65" s="55">
        <v>65</v>
      </c>
      <c r="U65" s="55"/>
      <c r="V65" s="55">
        <v>125</v>
      </c>
      <c r="W65" s="56">
        <v>0.1</v>
      </c>
      <c r="X65" s="55">
        <v>830</v>
      </c>
      <c r="Y65" s="57">
        <v>1676</v>
      </c>
      <c r="Z65" s="55">
        <v>914</v>
      </c>
      <c r="AA65" s="57">
        <v>1795</v>
      </c>
      <c r="AC65" s="58"/>
      <c r="AD65" s="58"/>
      <c r="AE65" s="58"/>
      <c r="AF65" s="59"/>
    </row>
    <row r="66" spans="1:32" hidden="1">
      <c r="A66" s="44" t="s">
        <v>612</v>
      </c>
      <c r="B66" s="44" t="s">
        <v>613</v>
      </c>
      <c r="C66" s="45">
        <v>765</v>
      </c>
      <c r="D66" s="45">
        <v>907</v>
      </c>
      <c r="E66" s="45">
        <v>1342</v>
      </c>
      <c r="F66" s="46">
        <v>156</v>
      </c>
      <c r="G66" s="46">
        <v>197</v>
      </c>
      <c r="H66" s="46">
        <v>271</v>
      </c>
      <c r="I66" s="46">
        <v>238</v>
      </c>
      <c r="J66" s="46">
        <v>287</v>
      </c>
      <c r="K66" s="46">
        <v>361</v>
      </c>
      <c r="L66" s="46">
        <v>50</v>
      </c>
      <c r="M66" s="46">
        <v>75</v>
      </c>
      <c r="N66" s="46">
        <v>125</v>
      </c>
      <c r="O66" s="46">
        <v>225</v>
      </c>
      <c r="P66" s="46">
        <v>106</v>
      </c>
      <c r="Q66" s="46">
        <v>164</v>
      </c>
      <c r="R66" s="46">
        <v>308</v>
      </c>
      <c r="S66" s="47">
        <v>0.19</v>
      </c>
      <c r="T66" s="46">
        <v>81</v>
      </c>
      <c r="U66" s="46"/>
      <c r="V66" s="46">
        <v>156</v>
      </c>
      <c r="W66" s="47">
        <v>0.1</v>
      </c>
      <c r="X66" s="46">
        <v>1510</v>
      </c>
      <c r="Y66" s="46">
        <v>2735</v>
      </c>
      <c r="Z66" s="46">
        <v>1605</v>
      </c>
      <c r="AA66" s="46">
        <v>2869</v>
      </c>
      <c r="AC66" s="48"/>
      <c r="AD66" s="48"/>
      <c r="AE66" s="48"/>
      <c r="AF66" s="49"/>
    </row>
    <row r="67" spans="1:32">
      <c r="A67" s="110" t="s">
        <v>614</v>
      </c>
      <c r="B67" s="272">
        <f>'2025 FX Rates'!F49</f>
        <v>1.05</v>
      </c>
      <c r="C67" s="89">
        <f t="shared" ref="C67:K67" si="0">C9*$B$67</f>
        <v>414.75</v>
      </c>
      <c r="D67" s="89">
        <f t="shared" si="0"/>
        <v>531.30000000000007</v>
      </c>
      <c r="E67" s="89">
        <f t="shared" si="0"/>
        <v>796.95</v>
      </c>
      <c r="F67" s="89">
        <f t="shared" si="0"/>
        <v>110.25</v>
      </c>
      <c r="G67" s="89">
        <f t="shared" si="0"/>
        <v>139.65</v>
      </c>
      <c r="H67" s="89">
        <f t="shared" si="0"/>
        <v>192.15</v>
      </c>
      <c r="I67" s="89">
        <f t="shared" si="0"/>
        <v>169.05</v>
      </c>
      <c r="J67" s="89">
        <f t="shared" si="0"/>
        <v>203.70000000000002</v>
      </c>
      <c r="K67" s="89">
        <f t="shared" si="0"/>
        <v>256.2</v>
      </c>
      <c r="L67" s="89">
        <f t="shared" ref="L67:R67" si="1">L9*$B$67</f>
        <v>42</v>
      </c>
      <c r="M67" s="89">
        <f t="shared" si="1"/>
        <v>63</v>
      </c>
      <c r="N67" s="89">
        <f t="shared" si="1"/>
        <v>105</v>
      </c>
      <c r="O67" s="89">
        <f t="shared" si="1"/>
        <v>189</v>
      </c>
      <c r="P67" s="89">
        <f t="shared" si="1"/>
        <v>89.25</v>
      </c>
      <c r="Q67" s="89">
        <f t="shared" si="1"/>
        <v>137.55000000000001</v>
      </c>
      <c r="R67" s="89">
        <f t="shared" si="1"/>
        <v>258.3</v>
      </c>
      <c r="S67" s="89">
        <f>S9*$B$67</f>
        <v>0.17850000000000002</v>
      </c>
      <c r="T67" s="89">
        <f>T9*$B$67</f>
        <v>68.25</v>
      </c>
      <c r="U67" s="89">
        <f t="shared" ref="U67" si="2">U9*$B$67</f>
        <v>0</v>
      </c>
      <c r="V67" s="89">
        <f>V9*$B$67</f>
        <v>131.25</v>
      </c>
      <c r="W67" s="89">
        <f t="shared" ref="W67:AA67" si="3">W9*$B$67</f>
        <v>0.10500000000000001</v>
      </c>
      <c r="X67" s="89">
        <f t="shared" si="3"/>
        <v>914.55000000000007</v>
      </c>
      <c r="Y67" s="89">
        <f t="shared" si="3"/>
        <v>1769.25</v>
      </c>
      <c r="Z67" s="89">
        <f t="shared" si="3"/>
        <v>994.35</v>
      </c>
      <c r="AA67" s="89">
        <f t="shared" si="3"/>
        <v>1886.8500000000001</v>
      </c>
    </row>
    <row r="68" spans="1:32">
      <c r="A68" s="110" t="s">
        <v>615</v>
      </c>
      <c r="B68" s="272">
        <f>'2025 FX Rates'!F41</f>
        <v>4.1694290000000002E-2</v>
      </c>
      <c r="C68" s="282">
        <f>C67/$B$68</f>
        <v>9947.4052682033907</v>
      </c>
      <c r="D68" s="282">
        <f t="shared" ref="D68:AA68" si="4">D67/$B$68</f>
        <v>12742.752065090928</v>
      </c>
      <c r="E68" s="282">
        <f t="shared" si="4"/>
        <v>19114.128097636392</v>
      </c>
      <c r="F68" s="282">
        <f t="shared" si="4"/>
        <v>2644.2469700287497</v>
      </c>
      <c r="G68" s="282">
        <f t="shared" si="4"/>
        <v>3349.3794953697497</v>
      </c>
      <c r="H68" s="282">
        <f t="shared" si="4"/>
        <v>4608.5447191929634</v>
      </c>
      <c r="I68" s="282">
        <f t="shared" si="4"/>
        <v>4054.5120207107498</v>
      </c>
      <c r="J68" s="282">
        <f t="shared" si="4"/>
        <v>4885.5610684340709</v>
      </c>
      <c r="K68" s="282">
        <f t="shared" si="4"/>
        <v>6144.7262922572845</v>
      </c>
      <c r="L68" s="282">
        <f>L67/$B$68</f>
        <v>1007.3321790585712</v>
      </c>
      <c r="M68" s="282">
        <f t="shared" si="4"/>
        <v>1510.998268587857</v>
      </c>
      <c r="N68" s="282">
        <f t="shared" si="4"/>
        <v>2518.3304476464282</v>
      </c>
      <c r="O68" s="282">
        <f t="shared" si="4"/>
        <v>4532.9948057635711</v>
      </c>
      <c r="P68" s="282">
        <f>P67/$B$68</f>
        <v>2140.580880499464</v>
      </c>
      <c r="Q68" s="282">
        <f t="shared" si="4"/>
        <v>3299.0128864168214</v>
      </c>
      <c r="R68" s="282">
        <f t="shared" si="4"/>
        <v>6195.0929012102133</v>
      </c>
      <c r="S68" s="282">
        <f t="shared" si="4"/>
        <v>4.2811617609989288</v>
      </c>
      <c r="T68" s="282">
        <f t="shared" si="4"/>
        <v>1636.9147909701783</v>
      </c>
      <c r="U68" s="282"/>
      <c r="V68" s="282">
        <f>V67/$B$68</f>
        <v>3147.9130595580355</v>
      </c>
      <c r="W68" s="282">
        <f t="shared" si="4"/>
        <v>2.5183304476464285</v>
      </c>
      <c r="X68" s="282">
        <f t="shared" si="4"/>
        <v>21934.658199000391</v>
      </c>
      <c r="Y68" s="282">
        <f t="shared" si="4"/>
        <v>42433.868042842318</v>
      </c>
      <c r="Z68" s="282">
        <f t="shared" si="4"/>
        <v>23848.589339211674</v>
      </c>
      <c r="AA68" s="282">
        <f t="shared" si="4"/>
        <v>45254.398144206316</v>
      </c>
    </row>
    <row r="69" spans="1:32">
      <c r="A69" s="110" t="s">
        <v>616</v>
      </c>
      <c r="B69" s="273">
        <v>0.2</v>
      </c>
      <c r="C69" s="282">
        <f>C68+C68*$B$69</f>
        <v>11936.886321844069</v>
      </c>
      <c r="D69" s="282">
        <f>D68+D68*$B$69</f>
        <v>15291.302478109114</v>
      </c>
      <c r="E69" s="282">
        <f>E68+E68*$B$69</f>
        <v>22936.953717163669</v>
      </c>
      <c r="F69" s="282">
        <f t="shared" ref="F69:H69" si="5">F68+F68*$B$69</f>
        <v>3173.0963640344999</v>
      </c>
      <c r="G69" s="282">
        <f t="shared" si="5"/>
        <v>4019.2553944436995</v>
      </c>
      <c r="H69" s="282">
        <f t="shared" si="5"/>
        <v>5530.2536630315562</v>
      </c>
      <c r="I69" s="282">
        <f>I68+I68*$B$69</f>
        <v>4865.4144248529001</v>
      </c>
      <c r="J69" s="282">
        <f>J68+J68*$B$69</f>
        <v>5862.6732821208852</v>
      </c>
      <c r="K69" s="282">
        <f>K68+K68*$B$69</f>
        <v>7373.6715507087411</v>
      </c>
      <c r="L69" s="282">
        <f>L68+L68*$B$69</f>
        <v>1208.7986148702855</v>
      </c>
      <c r="M69" s="282">
        <f t="shared" ref="M69" si="6">M68+M68*$B$69</f>
        <v>1813.1979223054284</v>
      </c>
      <c r="N69" s="282">
        <f t="shared" ref="N69" si="7">N68+N68*$B$69</f>
        <v>3021.9965371757139</v>
      </c>
      <c r="O69" s="282">
        <f t="shared" ref="O69" si="8">O68+O68*$B$69</f>
        <v>5439.5937669162849</v>
      </c>
      <c r="P69" s="282">
        <f t="shared" ref="P69" si="9">P68+P68*$B$69</f>
        <v>2568.697056599357</v>
      </c>
      <c r="Q69" s="282">
        <f>Q68+Q68*$B$69</f>
        <v>3958.8154637001858</v>
      </c>
      <c r="R69" s="282">
        <f t="shared" ref="R69" si="10">R68+R68*$B$69</f>
        <v>7434.1114814522562</v>
      </c>
      <c r="S69" s="282"/>
      <c r="T69" s="282">
        <f t="shared" ref="T69" si="11">T68+T68*$B$69</f>
        <v>1964.2977491642139</v>
      </c>
      <c r="U69" s="282"/>
      <c r="V69" s="282">
        <f>V68+V68*$B$69</f>
        <v>3777.4956714696427</v>
      </c>
      <c r="W69" s="282"/>
      <c r="X69" s="282">
        <f t="shared" ref="X69" si="12">X68+X68*$B$69</f>
        <v>26321.589838800468</v>
      </c>
      <c r="Y69" s="282">
        <f t="shared" ref="Y69" si="13">Y68+Y68*$B$69</f>
        <v>50920.641651410784</v>
      </c>
      <c r="Z69" s="283">
        <f t="shared" ref="Z69" si="14">Z68+Z68*$B$69</f>
        <v>28618.307207054007</v>
      </c>
      <c r="AA69" s="283">
        <f t="shared" ref="AA69" si="15">AA68+AA68*$B$69</f>
        <v>54305.277773047579</v>
      </c>
    </row>
    <row r="70" spans="1:32">
      <c r="C70" s="282"/>
      <c r="D70" s="282"/>
      <c r="E70" s="282"/>
      <c r="F70" s="282"/>
      <c r="G70" s="282"/>
      <c r="H70" s="282"/>
      <c r="I70" s="282" t="s">
        <v>617</v>
      </c>
      <c r="J70" s="538">
        <f>(J69+K69)/2</f>
        <v>6618.1724164148127</v>
      </c>
      <c r="K70" s="538"/>
      <c r="L70" s="282"/>
      <c r="M70" s="282"/>
      <c r="N70" s="282"/>
      <c r="O70" s="282"/>
      <c r="P70" s="282" t="s">
        <v>617</v>
      </c>
      <c r="Q70" s="539">
        <f>(Q69+R69)/2</f>
        <v>5696.4634725762207</v>
      </c>
      <c r="R70" s="539"/>
      <c r="S70" s="282"/>
      <c r="T70" s="282"/>
      <c r="U70" s="282"/>
      <c r="V70" s="282"/>
      <c r="W70" s="282"/>
      <c r="X70" s="282"/>
      <c r="Y70" s="282"/>
      <c r="Z70" s="569">
        <f>(Z69+AA69)/2</f>
        <v>41461.792490050793</v>
      </c>
      <c r="AA70" s="569"/>
      <c r="AC70" s="200" t="s">
        <v>618</v>
      </c>
    </row>
    <row r="71" spans="1:32">
      <c r="C71" s="282"/>
      <c r="D71" s="282"/>
      <c r="E71" s="282"/>
      <c r="F71" s="282"/>
      <c r="G71" s="282"/>
      <c r="H71" s="282"/>
      <c r="I71" s="282"/>
      <c r="J71" s="294"/>
      <c r="K71" s="294"/>
      <c r="L71" s="282"/>
      <c r="M71" s="282"/>
      <c r="N71" s="282"/>
      <c r="O71" s="282"/>
      <c r="P71" s="282"/>
      <c r="Q71" s="295"/>
      <c r="R71" s="295"/>
      <c r="S71" s="282"/>
      <c r="T71" s="282"/>
      <c r="U71" s="282"/>
      <c r="V71" s="282"/>
      <c r="W71" s="282"/>
      <c r="X71" s="282"/>
      <c r="Y71" s="282"/>
      <c r="Z71" s="570">
        <f>(AA69+Z70)/2</f>
        <v>47883.535131549186</v>
      </c>
      <c r="AA71" s="570"/>
      <c r="AC71" s="203" t="s">
        <v>619</v>
      </c>
      <c r="AD71" s="204"/>
      <c r="AE71" s="204"/>
    </row>
    <row r="72" spans="1:32">
      <c r="A72" t="s">
        <v>620</v>
      </c>
      <c r="B72">
        <v>10.7639</v>
      </c>
      <c r="C72" s="282">
        <f>C69/$B$72</f>
        <v>1108.9741006367644</v>
      </c>
      <c r="D72" s="282">
        <f t="shared" ref="D72:Z72" si="16">D69/$B$72</f>
        <v>1420.6098605625391</v>
      </c>
      <c r="E72" s="282">
        <f t="shared" si="16"/>
        <v>2130.9147908438085</v>
      </c>
      <c r="F72" s="282">
        <f t="shared" si="16"/>
        <v>294.79058371357036</v>
      </c>
      <c r="G72" s="282">
        <f t="shared" si="16"/>
        <v>373.40140603718908</v>
      </c>
      <c r="H72" s="282">
        <f t="shared" si="16"/>
        <v>513.77787447222261</v>
      </c>
      <c r="I72" s="450">
        <f t="shared" si="16"/>
        <v>452.01222836080791</v>
      </c>
      <c r="J72" s="294">
        <f>J69/$B$72</f>
        <v>544.66069752792998</v>
      </c>
      <c r="K72" s="282">
        <f t="shared" si="16"/>
        <v>685.0371659629634</v>
      </c>
      <c r="L72" s="450">
        <f>L69/$B$72</f>
        <v>112.3011747480268</v>
      </c>
      <c r="M72" s="282">
        <f t="shared" si="16"/>
        <v>168.45176212204021</v>
      </c>
      <c r="N72" s="282">
        <f t="shared" si="16"/>
        <v>280.752936870067</v>
      </c>
      <c r="O72" s="282">
        <f t="shared" si="16"/>
        <v>505.35528636612054</v>
      </c>
      <c r="P72" s="282">
        <f t="shared" si="16"/>
        <v>238.63999633955694</v>
      </c>
      <c r="Q72" s="296">
        <f t="shared" si="16"/>
        <v>367.78634729978779</v>
      </c>
      <c r="R72" s="282">
        <f t="shared" si="16"/>
        <v>690.65222470036474</v>
      </c>
      <c r="S72" s="282"/>
      <c r="T72" s="282">
        <f t="shared" si="16"/>
        <v>182.48940896554353</v>
      </c>
      <c r="U72" s="282">
        <f>(T72+V72)/2</f>
        <v>266.71529002656365</v>
      </c>
      <c r="V72" s="287">
        <f t="shared" si="16"/>
        <v>350.94117108758377</v>
      </c>
      <c r="W72" s="282"/>
      <c r="X72" s="282">
        <f t="shared" si="16"/>
        <v>2445.3580801382836</v>
      </c>
      <c r="Y72" s="282">
        <f t="shared" si="16"/>
        <v>4730.6869862606291</v>
      </c>
      <c r="Z72" s="282">
        <f t="shared" si="16"/>
        <v>2658.7303121595342</v>
      </c>
      <c r="AA72" s="282">
        <f>AA69/$B$72</f>
        <v>5045.1302755551042</v>
      </c>
    </row>
    <row r="73" spans="1:32" ht="15" thickBot="1">
      <c r="P73" s="202" t="s">
        <v>617</v>
      </c>
      <c r="Q73" s="539">
        <f>(Q72+R72)/2</f>
        <v>529.21928600007629</v>
      </c>
      <c r="R73" s="539"/>
    </row>
    <row r="74" spans="1:32">
      <c r="A74" s="458" t="s">
        <v>621</v>
      </c>
      <c r="B74" s="451">
        <f>'Local Consultant Advice1'!G81+'Local consultant Advice 2'!G54</f>
        <v>418.91098918481219</v>
      </c>
      <c r="C74" s="452">
        <f>B74*B67</f>
        <v>439.85653864405282</v>
      </c>
      <c r="P74" s="202"/>
      <c r="Q74" s="295"/>
      <c r="R74" s="295"/>
    </row>
    <row r="75" spans="1:32">
      <c r="A75" s="459"/>
      <c r="B75" s="453"/>
      <c r="C75" s="454">
        <f>C74/B68</f>
        <v>10549.562989177961</v>
      </c>
      <c r="P75" s="202"/>
      <c r="Q75" s="295"/>
      <c r="R75" s="295"/>
    </row>
    <row r="76" spans="1:32" ht="15" thickBot="1">
      <c r="A76" s="460" t="s">
        <v>616</v>
      </c>
      <c r="B76" s="455">
        <v>0.2</v>
      </c>
      <c r="C76" s="454">
        <f>C75+C75*$B$69</f>
        <v>12659.475587013552</v>
      </c>
      <c r="P76" s="202"/>
      <c r="Q76" s="295"/>
      <c r="R76" s="295"/>
    </row>
    <row r="77" spans="1:32" ht="15" thickBot="1">
      <c r="A77" s="461" t="s">
        <v>620</v>
      </c>
      <c r="B77" s="456">
        <v>10.7639</v>
      </c>
      <c r="C77" s="457">
        <f>C76/$B$77</f>
        <v>1176.1049050078088</v>
      </c>
      <c r="P77" s="202"/>
      <c r="Q77" s="295"/>
      <c r="R77" s="295"/>
    </row>
    <row r="78" spans="1:32">
      <c r="A78" s="1"/>
      <c r="B78" s="1"/>
      <c r="C78" s="1"/>
      <c r="D78" s="1"/>
      <c r="E78" s="1"/>
      <c r="F78" s="1"/>
      <c r="G78" s="1"/>
      <c r="H78" s="1"/>
    </row>
    <row r="79" spans="1:32">
      <c r="A79" s="12" t="s">
        <v>622</v>
      </c>
      <c r="B79" s="1"/>
      <c r="C79" s="1"/>
      <c r="D79" s="1"/>
      <c r="E79" s="1"/>
      <c r="F79" s="1"/>
      <c r="G79" s="1"/>
      <c r="H79" s="1"/>
    </row>
    <row r="80" spans="1:32">
      <c r="A80" s="231" t="s">
        <v>623</v>
      </c>
      <c r="B80" s="231" t="s">
        <v>624</v>
      </c>
      <c r="C80" s="231" t="s">
        <v>625</v>
      </c>
      <c r="D80" s="1"/>
      <c r="E80" s="1"/>
      <c r="F80" s="1"/>
      <c r="G80" s="1"/>
      <c r="H80" s="1"/>
    </row>
    <row r="81" spans="1:34">
      <c r="A81" s="463">
        <f>C77+L72+V72</f>
        <v>1639.3472508434195</v>
      </c>
      <c r="B81" s="464">
        <f>D72+L72+V72</f>
        <v>1883.8522063981497</v>
      </c>
      <c r="C81" s="284">
        <f>E72+L72+V72</f>
        <v>2594.1571366794192</v>
      </c>
      <c r="D81" s="1" t="s">
        <v>626</v>
      </c>
      <c r="E81" s="1"/>
      <c r="F81" s="1"/>
      <c r="G81" s="1"/>
      <c r="H81" s="1"/>
    </row>
    <row r="82" spans="1:34">
      <c r="A82" s="1"/>
      <c r="B82" s="1"/>
      <c r="C82" s="1"/>
      <c r="D82" s="1"/>
      <c r="E82" s="1"/>
      <c r="F82" s="1"/>
      <c r="G82" s="1"/>
      <c r="H82" s="1"/>
    </row>
    <row r="83" spans="1:34">
      <c r="A83" s="12" t="s">
        <v>627</v>
      </c>
      <c r="B83" s="1"/>
      <c r="C83" s="1"/>
      <c r="E83" s="1"/>
      <c r="F83" s="1"/>
      <c r="G83" s="1"/>
      <c r="H83" s="1"/>
    </row>
    <row r="84" spans="1:34">
      <c r="A84" s="1" t="s">
        <v>628</v>
      </c>
      <c r="B84" s="1">
        <v>15</v>
      </c>
      <c r="C84" s="1" t="s">
        <v>629</v>
      </c>
      <c r="D84" s="232">
        <f>(B84*B68)/B72</f>
        <v>5.8102950603405833E-2</v>
      </c>
      <c r="E84" s="1" t="s">
        <v>630</v>
      </c>
      <c r="F84" s="1"/>
      <c r="G84" s="1"/>
      <c r="H84" s="1"/>
    </row>
    <row r="85" spans="1:34">
      <c r="A85" s="1" t="s">
        <v>631</v>
      </c>
      <c r="B85" s="1">
        <v>150</v>
      </c>
      <c r="C85" s="1" t="s">
        <v>632</v>
      </c>
      <c r="D85" s="232">
        <f>B85/B68</f>
        <v>3597.6149252091832</v>
      </c>
      <c r="E85" s="1" t="s">
        <v>633</v>
      </c>
      <c r="F85" s="1"/>
      <c r="G85" s="1"/>
      <c r="H85" s="1"/>
    </row>
    <row r="86" spans="1:34">
      <c r="A86" s="1" t="s">
        <v>634</v>
      </c>
      <c r="B86" s="1">
        <v>16</v>
      </c>
      <c r="C86" s="160" t="s">
        <v>635</v>
      </c>
      <c r="D86" s="232">
        <f>(B86*'2025 FX Rates'!F138)/B68</f>
        <v>487.35690186833733</v>
      </c>
      <c r="E86" s="1" t="s">
        <v>636</v>
      </c>
      <c r="F86" s="1"/>
      <c r="G86" s="1"/>
      <c r="H86" s="1"/>
    </row>
    <row r="87" spans="1:34">
      <c r="A87" s="1" t="s">
        <v>47</v>
      </c>
      <c r="B87" s="1">
        <v>24</v>
      </c>
      <c r="C87" s="160" t="s">
        <v>635</v>
      </c>
      <c r="D87" s="232">
        <f>(B87*'2025 FX Rates'!F138)/B68</f>
        <v>731.03535280250605</v>
      </c>
      <c r="E87" s="1" t="s">
        <v>636</v>
      </c>
      <c r="F87" s="1"/>
      <c r="G87" s="1"/>
      <c r="H87" s="1"/>
      <c r="Z87">
        <f>(Z55+AA55)/2</f>
        <v>2417.5</v>
      </c>
      <c r="AA87" t="s">
        <v>637</v>
      </c>
    </row>
    <row r="88" spans="1:34">
      <c r="A88" s="1"/>
      <c r="B88" s="1"/>
      <c r="C88" s="1"/>
      <c r="D88" s="1"/>
      <c r="E88" s="1"/>
      <c r="F88" s="1"/>
      <c r="G88" s="1"/>
      <c r="H88" s="1"/>
      <c r="Z88">
        <f>Z87+(Z87*$B$69)</f>
        <v>2901</v>
      </c>
      <c r="AA88" t="s">
        <v>638</v>
      </c>
    </row>
    <row r="89" spans="1:34">
      <c r="A89" s="1"/>
      <c r="B89" s="1"/>
      <c r="C89" s="1"/>
      <c r="D89" s="1"/>
      <c r="E89" s="1"/>
      <c r="F89" s="1"/>
      <c r="G89" s="1"/>
      <c r="H89" s="1"/>
    </row>
    <row r="90" spans="1:34" ht="29">
      <c r="A90" s="1"/>
      <c r="B90" s="1"/>
      <c r="C90" s="236" t="s">
        <v>639</v>
      </c>
      <c r="D90" s="233"/>
      <c r="E90" s="237" t="s">
        <v>640</v>
      </c>
      <c r="F90" s="1"/>
      <c r="G90" s="236" t="s">
        <v>641</v>
      </c>
      <c r="H90" s="233"/>
      <c r="I90" s="237" t="s">
        <v>640</v>
      </c>
      <c r="J90" s="1"/>
      <c r="AB90">
        <f>(Z87+AA55)/2</f>
        <v>2774.25</v>
      </c>
      <c r="AC90" t="s">
        <v>642</v>
      </c>
      <c r="AD90"/>
      <c r="AF90" s="81"/>
      <c r="AG90" s="81"/>
      <c r="AH90" s="82"/>
    </row>
    <row r="91" spans="1:34" ht="43.5">
      <c r="A91" s="1"/>
      <c r="B91" s="4"/>
      <c r="C91" s="235" t="s">
        <v>643</v>
      </c>
      <c r="D91" s="234" t="s">
        <v>644</v>
      </c>
      <c r="E91" s="236" t="s">
        <v>645</v>
      </c>
      <c r="F91" s="1"/>
      <c r="G91" s="235" t="str">
        <f>C91</f>
        <v>Global Benchmark</v>
      </c>
      <c r="H91" s="234" t="s">
        <v>646</v>
      </c>
      <c r="I91" s="236" t="str">
        <f>E91</f>
        <v>TBC - Date</v>
      </c>
      <c r="J91" s="1"/>
      <c r="L91" t="s">
        <v>647</v>
      </c>
      <c r="AB91">
        <f>AB90+(AB90*$B$69)</f>
        <v>3329.1</v>
      </c>
      <c r="AC91" t="s">
        <v>638</v>
      </c>
      <c r="AD91"/>
      <c r="AF91" s="81"/>
      <c r="AG91" s="81"/>
      <c r="AH91" s="82"/>
    </row>
    <row r="92" spans="1:34" s="160" customFormat="1">
      <c r="A92" s="241">
        <v>0.12</v>
      </c>
      <c r="B92" s="162" t="s">
        <v>44</v>
      </c>
      <c r="C92" s="285">
        <f>(SUM(C93:C96)*A92)</f>
        <v>342.92874066171152</v>
      </c>
      <c r="D92" s="285"/>
      <c r="E92" s="286">
        <f>'Local Consultant Advice1'!C21/Budget!AK10</f>
        <v>0</v>
      </c>
      <c r="F92" s="177">
        <f>E92/(E93+E95+E96)</f>
        <v>0</v>
      </c>
      <c r="G92" s="465">
        <f>C92*$B$68</f>
        <v>14.298170362484193</v>
      </c>
      <c r="H92" s="188">
        <f t="shared" ref="H92:I93" si="17">D92*$B$68</f>
        <v>0</v>
      </c>
      <c r="I92" s="188">
        <f t="shared" si="17"/>
        <v>0</v>
      </c>
      <c r="J92" s="161"/>
      <c r="K92" s="174">
        <f>I92/(I93+I95+I96)</f>
        <v>0</v>
      </c>
      <c r="L92" s="160" t="e">
        <f>E92/I92</f>
        <v>#DIV/0!</v>
      </c>
      <c r="AE92" s="163"/>
      <c r="AF92" s="163"/>
      <c r="AG92" s="163"/>
      <c r="AH92" s="164"/>
    </row>
    <row r="93" spans="1:34" s="160" customFormat="1">
      <c r="A93" s="161" t="s">
        <v>648</v>
      </c>
      <c r="B93" s="165" t="s">
        <v>649</v>
      </c>
      <c r="C93" s="287">
        <f>A81</f>
        <v>1639.3472508434195</v>
      </c>
      <c r="D93" s="287"/>
      <c r="E93" s="286">
        <f>C77</f>
        <v>1176.1049050078088</v>
      </c>
      <c r="F93" s="161"/>
      <c r="G93" s="465">
        <f>E93*$B$68</f>
        <v>49.036858979818035</v>
      </c>
      <c r="H93" s="188">
        <f t="shared" si="17"/>
        <v>0</v>
      </c>
      <c r="I93" s="188">
        <f t="shared" si="17"/>
        <v>49.036858979818035</v>
      </c>
      <c r="J93" s="161"/>
      <c r="AE93" s="163"/>
      <c r="AF93" s="163"/>
      <c r="AG93" s="163"/>
      <c r="AH93" s="164"/>
    </row>
    <row r="94" spans="1:34" s="160" customFormat="1">
      <c r="A94" s="161"/>
      <c r="B94" s="166" t="s">
        <v>46</v>
      </c>
      <c r="C94" s="286"/>
      <c r="D94" s="286"/>
      <c r="E94" s="286"/>
      <c r="G94" s="465">
        <f t="shared" ref="G94:H96" si="18">C94*$B$68</f>
        <v>0</v>
      </c>
      <c r="H94" s="188">
        <f t="shared" si="18"/>
        <v>0</v>
      </c>
      <c r="I94" s="188">
        <f t="shared" ref="I94" si="19">E94*$B$68</f>
        <v>0</v>
      </c>
      <c r="J94" s="161"/>
      <c r="AE94" s="163"/>
      <c r="AF94" s="163"/>
      <c r="AG94" s="163"/>
      <c r="AH94" s="164"/>
    </row>
    <row r="95" spans="1:34" s="160" customFormat="1">
      <c r="A95" s="161" t="s">
        <v>650</v>
      </c>
      <c r="B95" s="165" t="s">
        <v>47</v>
      </c>
      <c r="C95" s="288">
        <f>D87</f>
        <v>731.03535280250605</v>
      </c>
      <c r="D95" s="288"/>
      <c r="E95" s="286">
        <f>'Local Consultant Advice1'!C19/Budget!AK10</f>
        <v>0</v>
      </c>
      <c r="F95" s="161"/>
      <c r="G95" s="465">
        <f t="shared" si="18"/>
        <v>30.48</v>
      </c>
      <c r="H95" s="188">
        <f t="shared" si="18"/>
        <v>0</v>
      </c>
      <c r="I95" s="188">
        <f>E95*$B$68</f>
        <v>0</v>
      </c>
      <c r="J95" s="161"/>
      <c r="AE95" s="163"/>
      <c r="AF95" s="163"/>
      <c r="AG95" s="163"/>
      <c r="AH95" s="164"/>
    </row>
    <row r="96" spans="1:34" s="160" customFormat="1">
      <c r="A96" s="161" t="s">
        <v>651</v>
      </c>
      <c r="B96" s="167" t="s">
        <v>48</v>
      </c>
      <c r="C96" s="289">
        <f>D86</f>
        <v>487.35690186833733</v>
      </c>
      <c r="D96" s="289"/>
      <c r="E96" s="290">
        <f>'Local Consultant Advice1'!M45*1.1</f>
        <v>0</v>
      </c>
      <c r="F96" s="161"/>
      <c r="G96" s="466">
        <f t="shared" si="18"/>
        <v>20.32</v>
      </c>
      <c r="H96" s="189">
        <f t="shared" si="18"/>
        <v>0</v>
      </c>
      <c r="I96" s="189">
        <f>E96*$B$68</f>
        <v>0</v>
      </c>
      <c r="J96" s="161"/>
      <c r="AE96" s="163"/>
      <c r="AF96" s="163"/>
      <c r="AG96" s="163"/>
      <c r="AH96" s="164"/>
    </row>
    <row r="97" spans="1:34" s="160" customFormat="1">
      <c r="A97" s="161"/>
      <c r="B97" s="161"/>
      <c r="C97" s="291">
        <f>SUM(C92:C96)</f>
        <v>3200.6682461759747</v>
      </c>
      <c r="D97" s="291"/>
      <c r="E97" s="292">
        <f>SUM(E92:E96)</f>
        <v>1176.1049050078088</v>
      </c>
      <c r="F97" s="161"/>
      <c r="G97" s="465">
        <f>SUM(G92:G96)</f>
        <v>114.13502934230223</v>
      </c>
      <c r="H97" s="188">
        <f>SUM(H92:H96)</f>
        <v>0</v>
      </c>
      <c r="I97" s="188">
        <f>SUM(I92:I96)</f>
        <v>49.036858979818035</v>
      </c>
      <c r="J97" s="161"/>
      <c r="AE97" s="163"/>
      <c r="AF97" s="163"/>
      <c r="AG97" s="163"/>
      <c r="AH97" s="164"/>
    </row>
    <row r="98" spans="1:34">
      <c r="A98" s="1"/>
      <c r="B98" s="1"/>
      <c r="C98" s="198"/>
      <c r="D98" s="198"/>
      <c r="E98" s="1"/>
      <c r="F98" s="1"/>
      <c r="G98" s="1"/>
      <c r="H98" s="1"/>
    </row>
    <row r="99" spans="1:34">
      <c r="A99" s="1"/>
      <c r="B99" s="1"/>
      <c r="C99" s="198"/>
      <c r="D99" s="198"/>
      <c r="E99" s="1"/>
      <c r="F99" s="1"/>
      <c r="G99" s="1"/>
      <c r="H99" s="1"/>
      <c r="N99">
        <v>24</v>
      </c>
      <c r="O99" t="s">
        <v>652</v>
      </c>
    </row>
    <row r="100" spans="1:34">
      <c r="A100" s="1"/>
      <c r="B100" s="1" t="s">
        <v>653</v>
      </c>
      <c r="C100" s="198"/>
      <c r="D100" s="293">
        <f>G100/$B$68</f>
        <v>3597.6149252091832</v>
      </c>
      <c r="E100" s="1"/>
      <c r="F100" s="1"/>
      <c r="G100" s="168">
        <v>150</v>
      </c>
      <c r="H100" s="1"/>
      <c r="N100">
        <f>N99*1.18</f>
        <v>28.32</v>
      </c>
      <c r="O100" t="s">
        <v>654</v>
      </c>
    </row>
    <row r="101" spans="1:34">
      <c r="A101" s="1"/>
      <c r="B101" s="1"/>
      <c r="C101" s="1"/>
      <c r="D101" s="1"/>
      <c r="E101" s="1"/>
      <c r="F101" s="1"/>
      <c r="G101" s="1"/>
      <c r="H101" s="1"/>
      <c r="N101">
        <f>N100/B67</f>
        <v>26.971428571428572</v>
      </c>
      <c r="O101" t="s">
        <v>210</v>
      </c>
    </row>
    <row r="102" spans="1:34">
      <c r="A102" s="1"/>
      <c r="B102" s="1"/>
      <c r="C102" s="1"/>
      <c r="D102" s="1"/>
      <c r="E102" s="1"/>
      <c r="F102" s="1"/>
      <c r="G102" s="1"/>
      <c r="H102" s="1"/>
    </row>
    <row r="103" spans="1:34">
      <c r="A103" s="1"/>
      <c r="B103" s="448" t="s">
        <v>52</v>
      </c>
      <c r="C103" s="482">
        <f>200*$B$67</f>
        <v>210</v>
      </c>
      <c r="D103" s="448" t="s">
        <v>655</v>
      </c>
      <c r="E103" s="1"/>
      <c r="F103" s="1"/>
      <c r="G103" s="1"/>
      <c r="H103" s="1"/>
    </row>
    <row r="104" spans="1:34">
      <c r="B104" s="448"/>
      <c r="C104" s="449">
        <f>C103/B68</f>
        <v>5036.6608952928564</v>
      </c>
      <c r="D104" s="448" t="s">
        <v>655</v>
      </c>
    </row>
    <row r="107" spans="1:34">
      <c r="C107" s="482">
        <f>C103/B72</f>
        <v>19.509657280353775</v>
      </c>
      <c r="D107" s="448" t="s">
        <v>656</v>
      </c>
    </row>
    <row r="108" spans="1:34">
      <c r="C108" s="449">
        <f>C104/B72</f>
        <v>467.92156145011165</v>
      </c>
      <c r="D108" s="448" t="s">
        <v>656</v>
      </c>
    </row>
  </sheetData>
  <mergeCells count="38">
    <mergeCell ref="Z70:AA70"/>
    <mergeCell ref="Z71:AA71"/>
    <mergeCell ref="AC60:AC64"/>
    <mergeCell ref="AD60:AD64"/>
    <mergeCell ref="AE60:AE64"/>
    <mergeCell ref="AF60:AF64"/>
    <mergeCell ref="AC51:AC52"/>
    <mergeCell ref="AD51:AD52"/>
    <mergeCell ref="AE51:AE52"/>
    <mergeCell ref="AF51:AF52"/>
    <mergeCell ref="AC57:AC58"/>
    <mergeCell ref="AD57:AD58"/>
    <mergeCell ref="AE57:AE58"/>
    <mergeCell ref="AF57:AF58"/>
    <mergeCell ref="AC26:AC27"/>
    <mergeCell ref="AD26:AD27"/>
    <mergeCell ref="AE26:AE27"/>
    <mergeCell ref="AF26:AF27"/>
    <mergeCell ref="AC49:AC50"/>
    <mergeCell ref="AD49:AD50"/>
    <mergeCell ref="AE49:AE50"/>
    <mergeCell ref="AF49:AF50"/>
    <mergeCell ref="X1:Y1"/>
    <mergeCell ref="Z1:AA1"/>
    <mergeCell ref="AC1:AF1"/>
    <mergeCell ref="AC16:AC20"/>
    <mergeCell ref="AD16:AD20"/>
    <mergeCell ref="AE16:AE20"/>
    <mergeCell ref="AF16:AF20"/>
    <mergeCell ref="J70:K70"/>
    <mergeCell ref="Q70:R70"/>
    <mergeCell ref="Q73:R73"/>
    <mergeCell ref="T1:V1"/>
    <mergeCell ref="C1:E1"/>
    <mergeCell ref="F1:H1"/>
    <mergeCell ref="I1:K1"/>
    <mergeCell ref="M1:O1"/>
    <mergeCell ref="P1:R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4F83-B826-44CA-A5C1-5B6EA6014658}">
  <dimension ref="A1:AM176"/>
  <sheetViews>
    <sheetView topLeftCell="A41" zoomScale="115" zoomScaleNormal="115" workbookViewId="0">
      <selection activeCell="C54" sqref="C54"/>
    </sheetView>
  </sheetViews>
  <sheetFormatPr defaultColWidth="9.1796875" defaultRowHeight="12.5"/>
  <cols>
    <col min="1" max="1" width="5.54296875" style="313" customWidth="1"/>
    <col min="2" max="2" width="60.54296875" style="358" customWidth="1"/>
    <col min="3" max="3" width="10.54296875" style="313" customWidth="1"/>
    <col min="4" max="4" width="5.54296875" style="358" customWidth="1"/>
    <col min="5" max="6" width="11.54296875" style="313" customWidth="1"/>
    <col min="7" max="7" width="12.81640625" style="313" customWidth="1"/>
    <col min="8" max="8" width="11.54296875" style="313" customWidth="1"/>
    <col min="9" max="9" width="13.453125" style="313" customWidth="1"/>
    <col min="10" max="15" width="9.1796875" style="313"/>
    <col min="16" max="16" width="18.81640625" style="313" customWidth="1"/>
    <col min="17" max="17" width="55.81640625" style="313" bestFit="1" customWidth="1"/>
    <col min="18" max="18" width="11.453125" style="313" bestFit="1" customWidth="1"/>
    <col min="19" max="19" width="6.1796875" style="313" bestFit="1" customWidth="1"/>
    <col min="20" max="20" width="9.54296875" style="313" bestFit="1" customWidth="1"/>
    <col min="21" max="21" width="10.54296875" style="313" bestFit="1" customWidth="1"/>
    <col min="22" max="22" width="11.81640625" style="313" bestFit="1" customWidth="1"/>
    <col min="23" max="23" width="9.81640625" style="313" bestFit="1" customWidth="1"/>
    <col min="24" max="16384" width="9.1796875" style="313"/>
  </cols>
  <sheetData>
    <row r="1" spans="1:13" ht="15" customHeight="1">
      <c r="A1" s="308" t="s">
        <v>657</v>
      </c>
      <c r="B1" s="309"/>
      <c r="C1" s="310"/>
      <c r="D1" s="311"/>
      <c r="E1" s="312"/>
      <c r="F1" s="312"/>
      <c r="G1" s="312"/>
    </row>
    <row r="2" spans="1:13" ht="21" customHeight="1">
      <c r="A2" s="314" t="s">
        <v>658</v>
      </c>
      <c r="B2" s="309"/>
      <c r="C2" s="310"/>
      <c r="D2" s="311"/>
      <c r="E2" s="312"/>
      <c r="F2" s="312"/>
      <c r="G2" s="312"/>
      <c r="J2" s="446" t="s">
        <v>659</v>
      </c>
      <c r="K2" s="445"/>
      <c r="L2" s="445"/>
      <c r="M2" s="445"/>
    </row>
    <row r="3" spans="1:13" ht="20.149999999999999" customHeight="1">
      <c r="B3" s="315" t="s">
        <v>660</v>
      </c>
      <c r="C3" s="310"/>
      <c r="D3" s="311"/>
      <c r="E3" s="312"/>
      <c r="F3" s="312"/>
      <c r="G3" s="312"/>
    </row>
    <row r="4" spans="1:13" ht="14.5" customHeight="1">
      <c r="A4" s="308" t="s">
        <v>661</v>
      </c>
      <c r="B4" s="316"/>
      <c r="C4" s="310"/>
      <c r="D4" s="311"/>
      <c r="E4" s="312"/>
      <c r="F4" s="312"/>
      <c r="G4" s="312"/>
    </row>
    <row r="5" spans="1:13" ht="20.149999999999999" customHeight="1">
      <c r="B5" s="317" t="s">
        <v>662</v>
      </c>
      <c r="C5" s="318">
        <f>1216-14.8-0.13-22.9-1.5-1.47-15.8-11.6</f>
        <v>1147.8</v>
      </c>
      <c r="D5" s="319" t="s">
        <v>663</v>
      </c>
      <c r="E5" s="312"/>
      <c r="F5" s="312"/>
      <c r="G5" s="320"/>
    </row>
    <row r="6" spans="1:13" ht="3" customHeight="1">
      <c r="A6" s="321"/>
      <c r="B6" s="316"/>
      <c r="C6" s="310"/>
      <c r="D6" s="311"/>
      <c r="E6" s="312"/>
      <c r="F6" s="312"/>
      <c r="G6" s="312"/>
    </row>
    <row r="7" spans="1:13" s="322" customFormat="1" ht="20.149999999999999" customHeight="1">
      <c r="B7" s="316" t="s">
        <v>664</v>
      </c>
      <c r="C7" s="323"/>
      <c r="D7" s="324"/>
      <c r="E7" s="325"/>
      <c r="F7" s="325"/>
      <c r="G7" s="325"/>
    </row>
    <row r="8" spans="1:13" ht="15" customHeight="1">
      <c r="A8" s="575" t="s">
        <v>665</v>
      </c>
      <c r="B8" s="577" t="s">
        <v>666</v>
      </c>
      <c r="C8" s="575" t="s">
        <v>667</v>
      </c>
      <c r="D8" s="577" t="s">
        <v>668</v>
      </c>
      <c r="E8" s="575" t="s">
        <v>669</v>
      </c>
      <c r="F8" s="573" t="s">
        <v>670</v>
      </c>
      <c r="G8" s="574"/>
      <c r="H8" s="574"/>
    </row>
    <row r="9" spans="1:13" ht="26.5" customHeight="1">
      <c r="A9" s="576" t="s">
        <v>671</v>
      </c>
      <c r="B9" s="578"/>
      <c r="C9" s="576" t="s">
        <v>672</v>
      </c>
      <c r="D9" s="578"/>
      <c r="E9" s="576" t="s">
        <v>673</v>
      </c>
      <c r="F9" s="326" t="s">
        <v>674</v>
      </c>
      <c r="G9" s="326" t="s">
        <v>675</v>
      </c>
      <c r="H9" s="326" t="s">
        <v>676</v>
      </c>
    </row>
    <row r="10" spans="1:13" s="499" customFormat="1" ht="15" customHeight="1">
      <c r="A10" s="491">
        <v>1</v>
      </c>
      <c r="B10" s="492" t="s">
        <v>677</v>
      </c>
      <c r="C10" s="493"/>
      <c r="D10" s="494"/>
      <c r="E10" s="495"/>
      <c r="F10" s="496"/>
      <c r="G10" s="497">
        <f>SUBTOTAL(9,G11:G19)</f>
        <v>2527530</v>
      </c>
      <c r="H10" s="498">
        <f t="shared" ref="H10:H19" si="0">G10/$B$85</f>
        <v>100458.26709062004</v>
      </c>
    </row>
    <row r="11" spans="1:13" ht="12.75" customHeight="1">
      <c r="A11" s="328">
        <f t="shared" ref="A11:A15" si="1">ROW(A11)-ROW($A$10)</f>
        <v>1</v>
      </c>
      <c r="B11" s="329" t="s">
        <v>678</v>
      </c>
      <c r="C11" s="330"/>
      <c r="D11" s="331" t="s">
        <v>663</v>
      </c>
      <c r="E11" s="332">
        <f>C5-210-60</f>
        <v>877.8</v>
      </c>
      <c r="F11" s="333">
        <v>350</v>
      </c>
      <c r="G11" s="334">
        <f t="shared" ref="G11:G12" si="2">ROUND(E11*F11,0)</f>
        <v>307230</v>
      </c>
      <c r="H11" s="335">
        <f t="shared" si="0"/>
        <v>12211.049284578696</v>
      </c>
    </row>
    <row r="12" spans="1:13" ht="12.75" customHeight="1">
      <c r="A12" s="328">
        <f t="shared" si="1"/>
        <v>2</v>
      </c>
      <c r="B12" s="329" t="s">
        <v>679</v>
      </c>
      <c r="C12" s="336"/>
      <c r="D12" s="331" t="s">
        <v>663</v>
      </c>
      <c r="E12" s="337">
        <f>E11</f>
        <v>877.8</v>
      </c>
      <c r="F12" s="333">
        <v>2000</v>
      </c>
      <c r="G12" s="338">
        <f t="shared" si="2"/>
        <v>1755600</v>
      </c>
      <c r="H12" s="339">
        <f t="shared" si="0"/>
        <v>69777.424483306837</v>
      </c>
    </row>
    <row r="13" spans="1:13" ht="12.75" customHeight="1">
      <c r="A13" s="328">
        <f t="shared" si="1"/>
        <v>3</v>
      </c>
      <c r="B13" s="329" t="s">
        <v>680</v>
      </c>
      <c r="C13" s="340"/>
      <c r="D13" s="331" t="s">
        <v>681</v>
      </c>
      <c r="E13" s="332">
        <v>34</v>
      </c>
      <c r="F13" s="333">
        <v>1500</v>
      </c>
      <c r="G13" s="334">
        <f>ROUND(F13*E13,0)</f>
        <v>51000</v>
      </c>
      <c r="H13" s="335">
        <f t="shared" si="0"/>
        <v>2027.0270270270271</v>
      </c>
    </row>
    <row r="14" spans="1:13" ht="12.75" customHeight="1">
      <c r="A14" s="328">
        <f t="shared" si="1"/>
        <v>4</v>
      </c>
      <c r="B14" s="329" t="s">
        <v>682</v>
      </c>
      <c r="C14" s="340"/>
      <c r="D14" s="331" t="s">
        <v>683</v>
      </c>
      <c r="E14" s="332">
        <v>1</v>
      </c>
      <c r="F14" s="341">
        <v>10000</v>
      </c>
      <c r="G14" s="342">
        <f t="shared" ref="G14" si="3">ROUND(F14*E14,0)</f>
        <v>10000</v>
      </c>
      <c r="H14" s="343">
        <f t="shared" si="0"/>
        <v>397.45627980922097</v>
      </c>
    </row>
    <row r="15" spans="1:13" ht="12.75" customHeight="1">
      <c r="A15" s="328">
        <f t="shared" si="1"/>
        <v>5</v>
      </c>
      <c r="B15" s="329" t="s">
        <v>684</v>
      </c>
      <c r="C15" s="344"/>
      <c r="D15" s="331" t="s">
        <v>681</v>
      </c>
      <c r="E15" s="345">
        <v>116</v>
      </c>
      <c r="F15" s="346">
        <v>500</v>
      </c>
      <c r="G15" s="347">
        <f>ROUND(F15*E15,0)</f>
        <v>58000</v>
      </c>
      <c r="H15" s="348">
        <f t="shared" si="0"/>
        <v>2305.2464228934818</v>
      </c>
    </row>
    <row r="16" spans="1:13" ht="12.75" customHeight="1">
      <c r="A16" s="328">
        <f>ROW(A16)-ROW($A$10)</f>
        <v>6</v>
      </c>
      <c r="B16" s="329" t="s">
        <v>685</v>
      </c>
      <c r="C16" s="340"/>
      <c r="D16" s="331" t="s">
        <v>681</v>
      </c>
      <c r="E16" s="345">
        <f>E15</f>
        <v>116</v>
      </c>
      <c r="F16" s="346">
        <v>2700</v>
      </c>
      <c r="G16" s="347">
        <f t="shared" ref="G16:G18" si="4">ROUND(F16*E16,0)</f>
        <v>313200</v>
      </c>
      <c r="H16" s="348">
        <f t="shared" si="0"/>
        <v>12448.330683624801</v>
      </c>
    </row>
    <row r="17" spans="1:9" ht="12.75" customHeight="1">
      <c r="A17" s="328">
        <f>ROW(A17)-ROW($A$10)</f>
        <v>7</v>
      </c>
      <c r="B17" s="329" t="s">
        <v>686</v>
      </c>
      <c r="C17" s="340"/>
      <c r="D17" s="331" t="s">
        <v>683</v>
      </c>
      <c r="E17" s="345">
        <v>1</v>
      </c>
      <c r="F17" s="346">
        <v>15000</v>
      </c>
      <c r="G17" s="347">
        <f t="shared" si="4"/>
        <v>15000</v>
      </c>
      <c r="H17" s="348">
        <f t="shared" si="0"/>
        <v>596.18441971383152</v>
      </c>
    </row>
    <row r="18" spans="1:9" ht="12.75" customHeight="1">
      <c r="A18" s="328">
        <f>ROW(A18)-ROW($A$10)</f>
        <v>8</v>
      </c>
      <c r="B18" s="329" t="s">
        <v>687</v>
      </c>
      <c r="C18" s="340"/>
      <c r="D18" s="331" t="s">
        <v>683</v>
      </c>
      <c r="E18" s="345">
        <v>1</v>
      </c>
      <c r="F18" s="346">
        <v>7500</v>
      </c>
      <c r="G18" s="347">
        <f t="shared" si="4"/>
        <v>7500</v>
      </c>
      <c r="H18" s="348">
        <f t="shared" si="0"/>
        <v>298.09220985691576</v>
      </c>
    </row>
    <row r="19" spans="1:9" ht="12.75" customHeight="1">
      <c r="A19" s="349">
        <f>ROW(A19)-ROW($A$10)</f>
        <v>9</v>
      </c>
      <c r="B19" s="350" t="s">
        <v>688</v>
      </c>
      <c r="C19" s="351"/>
      <c r="D19" s="352" t="s">
        <v>683</v>
      </c>
      <c r="E19" s="353">
        <v>1</v>
      </c>
      <c r="F19" s="354">
        <v>10000</v>
      </c>
      <c r="G19" s="355">
        <f t="shared" ref="G19" si="5">F19*E19</f>
        <v>10000</v>
      </c>
      <c r="H19" s="356">
        <f t="shared" si="0"/>
        <v>397.45627980922097</v>
      </c>
    </row>
    <row r="20" spans="1:9">
      <c r="A20" s="357"/>
      <c r="C20" s="359"/>
      <c r="E20" s="360"/>
      <c r="F20" s="361"/>
      <c r="G20" s="362"/>
      <c r="H20" s="363"/>
    </row>
    <row r="21" spans="1:9" s="504" customFormat="1" ht="15" customHeight="1">
      <c r="A21" s="491">
        <v>2</v>
      </c>
      <c r="B21" s="492" t="s">
        <v>689</v>
      </c>
      <c r="C21" s="500"/>
      <c r="D21" s="501"/>
      <c r="E21" s="502"/>
      <c r="F21" s="503"/>
      <c r="G21" s="497">
        <f>SUBTOTAL(9,G22:G27)</f>
        <v>1479700</v>
      </c>
      <c r="H21" s="498">
        <f t="shared" ref="H21:H27" si="6">G21/$B$85</f>
        <v>58811.605723370427</v>
      </c>
      <c r="I21" s="499"/>
    </row>
    <row r="22" spans="1:9" ht="12.75" customHeight="1">
      <c r="A22" s="364">
        <f t="shared" ref="A22:A27" si="7">ROW(A22)-ROW($A$21)</f>
        <v>1</v>
      </c>
      <c r="B22" s="329" t="s">
        <v>690</v>
      </c>
      <c r="C22" s="340"/>
      <c r="D22" s="331" t="s">
        <v>681</v>
      </c>
      <c r="E22" s="332">
        <f>E23+E24</f>
        <v>343</v>
      </c>
      <c r="F22" s="333">
        <v>400</v>
      </c>
      <c r="G22" s="334">
        <f t="shared" ref="G22:G27" si="8">ROUND(E22*F22,0)</f>
        <v>137200</v>
      </c>
      <c r="H22" s="335">
        <f t="shared" si="6"/>
        <v>5453.1001589825119</v>
      </c>
    </row>
    <row r="23" spans="1:9" ht="12.75" customHeight="1">
      <c r="A23" s="364">
        <f t="shared" si="7"/>
        <v>2</v>
      </c>
      <c r="B23" s="329" t="s">
        <v>691</v>
      </c>
      <c r="C23" s="340"/>
      <c r="D23" s="331" t="s">
        <v>681</v>
      </c>
      <c r="E23" s="332">
        <v>169</v>
      </c>
      <c r="F23" s="333">
        <v>3500</v>
      </c>
      <c r="G23" s="334">
        <f t="shared" si="8"/>
        <v>591500</v>
      </c>
      <c r="H23" s="335">
        <f t="shared" si="6"/>
        <v>23509.538950715421</v>
      </c>
    </row>
    <row r="24" spans="1:9" ht="12.75" customHeight="1">
      <c r="A24" s="364">
        <f t="shared" si="7"/>
        <v>3</v>
      </c>
      <c r="B24" s="329" t="s">
        <v>692</v>
      </c>
      <c r="C24" s="340"/>
      <c r="D24" s="331" t="s">
        <v>681</v>
      </c>
      <c r="E24" s="332">
        <v>174</v>
      </c>
      <c r="F24" s="333">
        <v>4000</v>
      </c>
      <c r="G24" s="334">
        <f t="shared" si="8"/>
        <v>696000</v>
      </c>
      <c r="H24" s="335">
        <f t="shared" si="6"/>
        <v>27662.95707472178</v>
      </c>
    </row>
    <row r="25" spans="1:9" ht="12.75" customHeight="1">
      <c r="A25" s="364">
        <f t="shared" si="7"/>
        <v>4</v>
      </c>
      <c r="B25" s="329" t="s">
        <v>686</v>
      </c>
      <c r="C25" s="340"/>
      <c r="D25" s="331" t="s">
        <v>683</v>
      </c>
      <c r="E25" s="332">
        <v>1</v>
      </c>
      <c r="F25" s="333">
        <v>20000</v>
      </c>
      <c r="G25" s="334">
        <f t="shared" si="8"/>
        <v>20000</v>
      </c>
      <c r="H25" s="335">
        <f t="shared" si="6"/>
        <v>794.91255961844195</v>
      </c>
    </row>
    <row r="26" spans="1:9" ht="12.75" customHeight="1">
      <c r="A26" s="364">
        <f t="shared" si="7"/>
        <v>5</v>
      </c>
      <c r="B26" s="329" t="s">
        <v>693</v>
      </c>
      <c r="C26" s="340"/>
      <c r="D26" s="331" t="s">
        <v>683</v>
      </c>
      <c r="E26" s="332">
        <v>1</v>
      </c>
      <c r="F26" s="333">
        <v>15000</v>
      </c>
      <c r="G26" s="334">
        <f t="shared" si="8"/>
        <v>15000</v>
      </c>
      <c r="H26" s="335">
        <f t="shared" si="6"/>
        <v>596.18441971383152</v>
      </c>
    </row>
    <row r="27" spans="1:9" ht="12.75" customHeight="1">
      <c r="A27" s="349">
        <f t="shared" si="7"/>
        <v>6</v>
      </c>
      <c r="B27" s="350" t="s">
        <v>682</v>
      </c>
      <c r="C27" s="351"/>
      <c r="D27" s="352" t="s">
        <v>683</v>
      </c>
      <c r="E27" s="353">
        <v>1</v>
      </c>
      <c r="F27" s="354">
        <v>20000</v>
      </c>
      <c r="G27" s="355">
        <f t="shared" si="8"/>
        <v>20000</v>
      </c>
      <c r="H27" s="356">
        <f t="shared" si="6"/>
        <v>794.91255961844195</v>
      </c>
    </row>
    <row r="28" spans="1:9">
      <c r="A28" s="357"/>
      <c r="C28" s="359"/>
      <c r="E28" s="360"/>
      <c r="F28" s="361"/>
      <c r="G28" s="362"/>
      <c r="H28" s="363"/>
    </row>
    <row r="29" spans="1:9" s="504" customFormat="1" ht="15" customHeight="1">
      <c r="A29" s="491">
        <v>3</v>
      </c>
      <c r="B29" s="492" t="s">
        <v>694</v>
      </c>
      <c r="C29" s="500"/>
      <c r="D29" s="505"/>
      <c r="E29" s="506"/>
      <c r="F29" s="503"/>
      <c r="G29" s="497">
        <f>SUBTOTAL(9,G30:G35)</f>
        <v>1422199</v>
      </c>
      <c r="H29" s="498">
        <f t="shared" ref="H29:H35" si="9">G29/$B$85</f>
        <v>56526.192368839431</v>
      </c>
    </row>
    <row r="30" spans="1:9">
      <c r="A30" s="365">
        <f>ROW(A30)-ROW($A$29)</f>
        <v>1</v>
      </c>
      <c r="B30" s="366" t="s">
        <v>695</v>
      </c>
      <c r="C30" s="367"/>
      <c r="D30" s="368" t="s">
        <v>663</v>
      </c>
      <c r="E30" s="369">
        <f>C5-162-22-19</f>
        <v>944.8</v>
      </c>
      <c r="F30" s="370">
        <v>100</v>
      </c>
      <c r="G30" s="371">
        <f t="shared" ref="G30:G31" si="10">ROUND(E30*F30,0)</f>
        <v>94480</v>
      </c>
      <c r="H30" s="372">
        <f t="shared" si="9"/>
        <v>3755.1669316375201</v>
      </c>
    </row>
    <row r="31" spans="1:9">
      <c r="A31" s="364">
        <f t="shared" ref="A31:A35" si="11">ROW(A31)-ROW($A$29)</f>
        <v>2</v>
      </c>
      <c r="B31" s="329" t="s">
        <v>696</v>
      </c>
      <c r="C31" s="340"/>
      <c r="D31" s="331" t="s">
        <v>663</v>
      </c>
      <c r="E31" s="332">
        <f>E30</f>
        <v>944.8</v>
      </c>
      <c r="F31" s="333">
        <v>80</v>
      </c>
      <c r="G31" s="334">
        <f t="shared" si="10"/>
        <v>75584</v>
      </c>
      <c r="H31" s="335">
        <f t="shared" si="9"/>
        <v>3004.133545310016</v>
      </c>
    </row>
    <row r="32" spans="1:9" ht="12.75" customHeight="1">
      <c r="A32" s="364">
        <f t="shared" si="11"/>
        <v>3</v>
      </c>
      <c r="B32" s="329" t="s">
        <v>697</v>
      </c>
      <c r="C32" s="340"/>
      <c r="D32" s="331" t="s">
        <v>663</v>
      </c>
      <c r="E32" s="332">
        <f>CEILING(1.1*E33,5)</f>
        <v>1040</v>
      </c>
      <c r="F32" s="333">
        <v>800</v>
      </c>
      <c r="G32" s="334">
        <f>ROUND(E32*F32,0)</f>
        <v>832000</v>
      </c>
      <c r="H32" s="335">
        <f t="shared" si="9"/>
        <v>33068.362480127187</v>
      </c>
    </row>
    <row r="33" spans="1:9" ht="12.75" customHeight="1">
      <c r="A33" s="364">
        <f t="shared" si="11"/>
        <v>4</v>
      </c>
      <c r="B33" s="329" t="s">
        <v>698</v>
      </c>
      <c r="C33" s="340"/>
      <c r="D33" s="331" t="s">
        <v>663</v>
      </c>
      <c r="E33" s="332">
        <f>E30</f>
        <v>944.8</v>
      </c>
      <c r="F33" s="333">
        <v>200</v>
      </c>
      <c r="G33" s="334">
        <f>ROUND(E33*F33,0)</f>
        <v>188960</v>
      </c>
      <c r="H33" s="335">
        <f t="shared" si="9"/>
        <v>7510.3338632750401</v>
      </c>
    </row>
    <row r="34" spans="1:9" ht="12.65" customHeight="1">
      <c r="A34" s="364">
        <f t="shared" si="11"/>
        <v>5</v>
      </c>
      <c r="B34" s="329" t="s">
        <v>699</v>
      </c>
      <c r="C34" s="340"/>
      <c r="D34" s="331" t="s">
        <v>683</v>
      </c>
      <c r="E34" s="332">
        <v>1</v>
      </c>
      <c r="F34" s="333">
        <f>ROUND(100*C5,-2)</f>
        <v>114800</v>
      </c>
      <c r="G34" s="334">
        <f>ROUND(E34*F34,0)</f>
        <v>114800</v>
      </c>
      <c r="H34" s="335">
        <f t="shared" si="9"/>
        <v>4562.7980922098568</v>
      </c>
    </row>
    <row r="35" spans="1:9" ht="12.75" customHeight="1">
      <c r="A35" s="349">
        <f t="shared" si="11"/>
        <v>6</v>
      </c>
      <c r="B35" s="350" t="s">
        <v>700</v>
      </c>
      <c r="C35" s="373"/>
      <c r="D35" s="352" t="s">
        <v>663</v>
      </c>
      <c r="E35" s="374">
        <f>350*3.5</f>
        <v>1225</v>
      </c>
      <c r="F35" s="354">
        <v>95</v>
      </c>
      <c r="G35" s="375">
        <f t="shared" ref="G35" si="12">ROUND(E35*F35,0)</f>
        <v>116375</v>
      </c>
      <c r="H35" s="376">
        <f t="shared" si="9"/>
        <v>4625.3974562798094</v>
      </c>
    </row>
    <row r="36" spans="1:9">
      <c r="A36" s="357"/>
      <c r="C36" s="359"/>
      <c r="E36" s="360"/>
      <c r="F36" s="361"/>
      <c r="G36" s="362"/>
      <c r="H36" s="363"/>
    </row>
    <row r="37" spans="1:9" s="504" customFormat="1" ht="15" customHeight="1">
      <c r="A37" s="491">
        <v>4</v>
      </c>
      <c r="B37" s="492" t="s">
        <v>701</v>
      </c>
      <c r="C37" s="500"/>
      <c r="D37" s="505"/>
      <c r="E37" s="506"/>
      <c r="F37" s="503"/>
      <c r="G37" s="497">
        <f>SUBTOTAL(9,G38:G61)</f>
        <v>1572098</v>
      </c>
      <c r="H37" s="498">
        <f t="shared" ref="H37:H61" si="13">G37/$B$85</f>
        <v>62484.022257551667</v>
      </c>
      <c r="I37" s="499"/>
    </row>
    <row r="38" spans="1:9" ht="12.75" customHeight="1">
      <c r="A38" s="365">
        <f>ROW(A38)-ROW($A$37)</f>
        <v>1</v>
      </c>
      <c r="B38" s="366" t="s">
        <v>702</v>
      </c>
      <c r="C38" s="367"/>
      <c r="D38" s="368" t="s">
        <v>663</v>
      </c>
      <c r="E38" s="369">
        <f>15.5+14.1+13.7</f>
        <v>43.3</v>
      </c>
      <c r="F38" s="370">
        <v>230</v>
      </c>
      <c r="G38" s="371">
        <f t="shared" ref="G38:G49" si="14">ROUND(E38*F38,0)</f>
        <v>9959</v>
      </c>
      <c r="H38" s="372">
        <f t="shared" si="13"/>
        <v>395.8267090620032</v>
      </c>
    </row>
    <row r="39" spans="1:9">
      <c r="A39" s="364">
        <f t="shared" ref="A39:A61" si="15">ROW(A39)-ROW($A$37)</f>
        <v>2</v>
      </c>
      <c r="B39" s="329" t="s">
        <v>703</v>
      </c>
      <c r="C39" s="377"/>
      <c r="D39" s="331" t="s">
        <v>681</v>
      </c>
      <c r="E39" s="332">
        <f>5+4</f>
        <v>9</v>
      </c>
      <c r="F39" s="333">
        <v>1000</v>
      </c>
      <c r="G39" s="334">
        <f t="shared" si="14"/>
        <v>9000</v>
      </c>
      <c r="H39" s="335">
        <f t="shared" si="13"/>
        <v>357.71065182829886</v>
      </c>
    </row>
    <row r="40" spans="1:9" ht="12.75" customHeight="1">
      <c r="A40" s="364">
        <f t="shared" si="15"/>
        <v>3</v>
      </c>
      <c r="B40" s="329" t="s">
        <v>704</v>
      </c>
      <c r="C40" s="340"/>
      <c r="D40" s="331" t="s">
        <v>681</v>
      </c>
      <c r="E40" s="332">
        <f>22</f>
        <v>22</v>
      </c>
      <c r="F40" s="333">
        <v>500</v>
      </c>
      <c r="G40" s="334">
        <f t="shared" si="14"/>
        <v>11000</v>
      </c>
      <c r="H40" s="335">
        <f t="shared" si="13"/>
        <v>437.20190779014308</v>
      </c>
    </row>
    <row r="41" spans="1:9">
      <c r="A41" s="364">
        <f t="shared" si="15"/>
        <v>4</v>
      </c>
      <c r="B41" s="329" t="s">
        <v>705</v>
      </c>
      <c r="C41" s="340"/>
      <c r="D41" s="331" t="s">
        <v>663</v>
      </c>
      <c r="E41" s="332">
        <f>E38</f>
        <v>43.3</v>
      </c>
      <c r="F41" s="333">
        <v>150</v>
      </c>
      <c r="G41" s="334">
        <f t="shared" si="14"/>
        <v>6495</v>
      </c>
      <c r="H41" s="335">
        <f t="shared" si="13"/>
        <v>258.14785373608902</v>
      </c>
    </row>
    <row r="42" spans="1:9" ht="12.75" customHeight="1">
      <c r="A42" s="364">
        <f t="shared" si="15"/>
        <v>5</v>
      </c>
      <c r="B42" s="329" t="s">
        <v>706</v>
      </c>
      <c r="C42" s="340"/>
      <c r="D42" s="331" t="s">
        <v>663</v>
      </c>
      <c r="E42" s="332">
        <f>2.5*(11+3.5*4+1.6*4+4.4+5.7+12+8+6.3)</f>
        <v>169.5</v>
      </c>
      <c r="F42" s="333">
        <v>250</v>
      </c>
      <c r="G42" s="334">
        <f t="shared" si="14"/>
        <v>42375</v>
      </c>
      <c r="H42" s="335">
        <f t="shared" si="13"/>
        <v>1684.220985691574</v>
      </c>
    </row>
    <row r="43" spans="1:9">
      <c r="A43" s="378">
        <f t="shared" si="15"/>
        <v>6</v>
      </c>
      <c r="B43" s="379" t="s">
        <v>707</v>
      </c>
      <c r="C43" s="336"/>
      <c r="D43" s="331" t="s">
        <v>681</v>
      </c>
      <c r="E43" s="337">
        <f>E39</f>
        <v>9</v>
      </c>
      <c r="F43" s="333">
        <v>20000</v>
      </c>
      <c r="G43" s="338">
        <f t="shared" si="14"/>
        <v>180000</v>
      </c>
      <c r="H43" s="339">
        <f t="shared" si="13"/>
        <v>7154.2130365659777</v>
      </c>
    </row>
    <row r="44" spans="1:9" ht="12.75" customHeight="1">
      <c r="A44" s="378">
        <f t="shared" si="15"/>
        <v>7</v>
      </c>
      <c r="B44" s="379" t="s">
        <v>708</v>
      </c>
      <c r="C44" s="336"/>
      <c r="D44" s="331" t="s">
        <v>663</v>
      </c>
      <c r="E44" s="337">
        <f>E38</f>
        <v>43.3</v>
      </c>
      <c r="F44" s="333">
        <v>1100</v>
      </c>
      <c r="G44" s="338">
        <f t="shared" si="14"/>
        <v>47630</v>
      </c>
      <c r="H44" s="339">
        <f t="shared" si="13"/>
        <v>1893.0842607313195</v>
      </c>
    </row>
    <row r="45" spans="1:9" ht="12.75" customHeight="1">
      <c r="A45" s="378">
        <f t="shared" si="15"/>
        <v>8</v>
      </c>
      <c r="B45" s="329" t="s">
        <v>709</v>
      </c>
      <c r="C45" s="336"/>
      <c r="D45" s="331" t="s">
        <v>663</v>
      </c>
      <c r="E45" s="337">
        <f>E42</f>
        <v>169.5</v>
      </c>
      <c r="F45" s="333">
        <v>600</v>
      </c>
      <c r="G45" s="338">
        <f t="shared" si="14"/>
        <v>101700</v>
      </c>
      <c r="H45" s="339">
        <f t="shared" si="13"/>
        <v>4042.1303656597775</v>
      </c>
    </row>
    <row r="46" spans="1:9" ht="12.75" customHeight="1">
      <c r="A46" s="378">
        <f t="shared" si="15"/>
        <v>9</v>
      </c>
      <c r="B46" s="379" t="s">
        <v>710</v>
      </c>
      <c r="C46" s="336"/>
      <c r="D46" s="331" t="s">
        <v>663</v>
      </c>
      <c r="E46" s="337">
        <f>E45</f>
        <v>169.5</v>
      </c>
      <c r="F46" s="333">
        <v>1900</v>
      </c>
      <c r="G46" s="338">
        <f t="shared" si="14"/>
        <v>322050</v>
      </c>
      <c r="H46" s="339">
        <f t="shared" si="13"/>
        <v>12800.079491255961</v>
      </c>
    </row>
    <row r="47" spans="1:9" ht="12.65" customHeight="1">
      <c r="A47" s="378">
        <f t="shared" si="15"/>
        <v>10</v>
      </c>
      <c r="B47" s="379" t="s">
        <v>711</v>
      </c>
      <c r="C47" s="336"/>
      <c r="D47" s="331" t="s">
        <v>663</v>
      </c>
      <c r="E47" s="337">
        <f>E41</f>
        <v>43.3</v>
      </c>
      <c r="F47" s="333">
        <v>650</v>
      </c>
      <c r="G47" s="338">
        <f t="shared" si="14"/>
        <v>28145</v>
      </c>
      <c r="H47" s="339">
        <f t="shared" si="13"/>
        <v>1118.6406995230525</v>
      </c>
    </row>
    <row r="48" spans="1:9" ht="12.75" customHeight="1">
      <c r="A48" s="364">
        <f t="shared" si="15"/>
        <v>11</v>
      </c>
      <c r="B48" s="329" t="s">
        <v>712</v>
      </c>
      <c r="C48" s="340"/>
      <c r="D48" s="331" t="s">
        <v>663</v>
      </c>
      <c r="E48" s="332">
        <f>1.1*E49</f>
        <v>47.63</v>
      </c>
      <c r="F48" s="333">
        <v>800</v>
      </c>
      <c r="G48" s="334">
        <f t="shared" si="14"/>
        <v>38104</v>
      </c>
      <c r="H48" s="335">
        <f t="shared" si="13"/>
        <v>1514.4674085850556</v>
      </c>
    </row>
    <row r="49" spans="1:8" ht="12.75" customHeight="1">
      <c r="A49" s="364">
        <f t="shared" si="15"/>
        <v>12</v>
      </c>
      <c r="B49" s="329" t="s">
        <v>713</v>
      </c>
      <c r="C49" s="340"/>
      <c r="D49" s="331" t="s">
        <v>663</v>
      </c>
      <c r="E49" s="332">
        <f>E47</f>
        <v>43.3</v>
      </c>
      <c r="F49" s="333">
        <v>800</v>
      </c>
      <c r="G49" s="334">
        <f t="shared" si="14"/>
        <v>34640</v>
      </c>
      <c r="H49" s="335">
        <f t="shared" si="13"/>
        <v>1376.7885532591415</v>
      </c>
    </row>
    <row r="50" spans="1:8" ht="12.75" customHeight="1">
      <c r="A50" s="364">
        <f t="shared" si="15"/>
        <v>13</v>
      </c>
      <c r="B50" s="329" t="s">
        <v>714</v>
      </c>
      <c r="C50" s="340"/>
      <c r="D50" s="331" t="s">
        <v>681</v>
      </c>
      <c r="E50" s="332">
        <v>9</v>
      </c>
      <c r="F50" s="333">
        <v>20000</v>
      </c>
      <c r="G50" s="334">
        <f>ROUND(E50*F50,0)</f>
        <v>180000</v>
      </c>
      <c r="H50" s="335">
        <f t="shared" si="13"/>
        <v>7154.2130365659777</v>
      </c>
    </row>
    <row r="51" spans="1:8" ht="12.75" customHeight="1">
      <c r="A51" s="364">
        <f t="shared" si="15"/>
        <v>14</v>
      </c>
      <c r="B51" s="329" t="s">
        <v>715</v>
      </c>
      <c r="C51" s="340"/>
      <c r="D51" s="331" t="s">
        <v>681</v>
      </c>
      <c r="E51" s="332">
        <v>9</v>
      </c>
      <c r="F51" s="333">
        <v>15000</v>
      </c>
      <c r="G51" s="334">
        <f t="shared" ref="G51:G55" si="16">ROUND(E51*F51,0)</f>
        <v>135000</v>
      </c>
      <c r="H51" s="335">
        <f t="shared" si="13"/>
        <v>5365.6597774244829</v>
      </c>
    </row>
    <row r="52" spans="1:8" ht="12.75" customHeight="1">
      <c r="A52" s="364">
        <f t="shared" si="15"/>
        <v>15</v>
      </c>
      <c r="B52" s="329" t="s">
        <v>716</v>
      </c>
      <c r="C52" s="340"/>
      <c r="D52" s="331" t="s">
        <v>681</v>
      </c>
      <c r="E52" s="332">
        <v>3</v>
      </c>
      <c r="F52" s="333">
        <v>12000</v>
      </c>
      <c r="G52" s="334">
        <f t="shared" si="16"/>
        <v>36000</v>
      </c>
      <c r="H52" s="335">
        <f t="shared" si="13"/>
        <v>1430.8426073131955</v>
      </c>
    </row>
    <row r="53" spans="1:8" ht="12.75" customHeight="1">
      <c r="A53" s="364">
        <f t="shared" si="15"/>
        <v>16</v>
      </c>
      <c r="B53" s="329" t="s">
        <v>717</v>
      </c>
      <c r="C53" s="340"/>
      <c r="D53" s="331" t="s">
        <v>681</v>
      </c>
      <c r="E53" s="332">
        <v>5</v>
      </c>
      <c r="F53" s="333">
        <v>5000</v>
      </c>
      <c r="G53" s="334">
        <f t="shared" si="16"/>
        <v>25000</v>
      </c>
      <c r="H53" s="335">
        <f t="shared" si="13"/>
        <v>993.64069952305249</v>
      </c>
    </row>
    <row r="54" spans="1:8" ht="12.75" customHeight="1">
      <c r="A54" s="364">
        <f t="shared" si="15"/>
        <v>17</v>
      </c>
      <c r="B54" s="329" t="s">
        <v>718</v>
      </c>
      <c r="C54" s="340"/>
      <c r="D54" s="331" t="s">
        <v>681</v>
      </c>
      <c r="E54" s="332">
        <v>1</v>
      </c>
      <c r="F54" s="333">
        <v>10000</v>
      </c>
      <c r="G54" s="334">
        <f t="shared" si="16"/>
        <v>10000</v>
      </c>
      <c r="H54" s="335">
        <f t="shared" si="13"/>
        <v>397.45627980922097</v>
      </c>
    </row>
    <row r="55" spans="1:8" ht="12.75" customHeight="1">
      <c r="A55" s="364">
        <f t="shared" si="15"/>
        <v>18</v>
      </c>
      <c r="B55" s="329" t="s">
        <v>719</v>
      </c>
      <c r="C55" s="377"/>
      <c r="D55" s="331" t="s">
        <v>681</v>
      </c>
      <c r="E55" s="332">
        <v>5</v>
      </c>
      <c r="F55" s="333">
        <v>10000</v>
      </c>
      <c r="G55" s="334">
        <f t="shared" si="16"/>
        <v>50000</v>
      </c>
      <c r="H55" s="335">
        <f t="shared" si="13"/>
        <v>1987.281399046105</v>
      </c>
    </row>
    <row r="56" spans="1:8" ht="12.75" customHeight="1">
      <c r="A56" s="364">
        <f t="shared" si="15"/>
        <v>19</v>
      </c>
      <c r="B56" s="329" t="s">
        <v>720</v>
      </c>
      <c r="C56" s="340"/>
      <c r="D56" s="331" t="s">
        <v>683</v>
      </c>
      <c r="E56" s="332">
        <v>5</v>
      </c>
      <c r="F56" s="333">
        <v>15000</v>
      </c>
      <c r="G56" s="334">
        <f>ROUND(E56*F56,0)</f>
        <v>75000</v>
      </c>
      <c r="H56" s="335">
        <f t="shared" si="13"/>
        <v>2980.9220985691572</v>
      </c>
    </row>
    <row r="57" spans="1:8" ht="12.75" customHeight="1">
      <c r="A57" s="364">
        <f t="shared" si="15"/>
        <v>20</v>
      </c>
      <c r="B57" s="329" t="s">
        <v>721</v>
      </c>
      <c r="C57" s="340"/>
      <c r="D57" s="331" t="s">
        <v>683</v>
      </c>
      <c r="E57" s="332">
        <f>E40</f>
        <v>22</v>
      </c>
      <c r="F57" s="333">
        <v>2500</v>
      </c>
      <c r="G57" s="334">
        <f t="shared" ref="G57:G58" si="17">ROUND(E57*F57,0)</f>
        <v>55000</v>
      </c>
      <c r="H57" s="335">
        <f t="shared" si="13"/>
        <v>2186.0095389507155</v>
      </c>
    </row>
    <row r="58" spans="1:8" ht="12.75" customHeight="1">
      <c r="A58" s="364">
        <f t="shared" si="15"/>
        <v>21</v>
      </c>
      <c r="B58" s="329" t="s">
        <v>722</v>
      </c>
      <c r="C58" s="340"/>
      <c r="D58" s="331" t="s">
        <v>683</v>
      </c>
      <c r="E58" s="332">
        <f>3</f>
        <v>3</v>
      </c>
      <c r="F58" s="333">
        <v>5000</v>
      </c>
      <c r="G58" s="334">
        <f t="shared" si="17"/>
        <v>15000</v>
      </c>
      <c r="H58" s="335">
        <f t="shared" si="13"/>
        <v>596.18441971383152</v>
      </c>
    </row>
    <row r="59" spans="1:8" ht="12.75" customHeight="1">
      <c r="A59" s="364">
        <f t="shared" si="15"/>
        <v>22</v>
      </c>
      <c r="B59" s="329" t="s">
        <v>723</v>
      </c>
      <c r="C59" s="340"/>
      <c r="D59" s="331" t="s">
        <v>683</v>
      </c>
      <c r="E59" s="332">
        <v>1</v>
      </c>
      <c r="F59" s="333">
        <v>25000</v>
      </c>
      <c r="G59" s="334">
        <f>ROUND(E59*F59,0)</f>
        <v>25000</v>
      </c>
      <c r="H59" s="335">
        <f t="shared" si="13"/>
        <v>993.64069952305249</v>
      </c>
    </row>
    <row r="60" spans="1:8" ht="12.75" customHeight="1">
      <c r="A60" s="364">
        <f t="shared" si="15"/>
        <v>23</v>
      </c>
      <c r="B60" s="329" t="s">
        <v>724</v>
      </c>
      <c r="C60" s="340"/>
      <c r="D60" s="331" t="s">
        <v>683</v>
      </c>
      <c r="E60" s="332">
        <f>3</f>
        <v>3</v>
      </c>
      <c r="F60" s="333">
        <v>20000</v>
      </c>
      <c r="G60" s="334">
        <f t="shared" ref="G60" si="18">ROUND(E60*F60,0)</f>
        <v>60000</v>
      </c>
      <c r="H60" s="335">
        <f t="shared" si="13"/>
        <v>2384.7376788553261</v>
      </c>
    </row>
    <row r="61" spans="1:8" ht="12.75" customHeight="1">
      <c r="A61" s="349">
        <f t="shared" si="15"/>
        <v>24</v>
      </c>
      <c r="B61" s="350" t="s">
        <v>725</v>
      </c>
      <c r="C61" s="351"/>
      <c r="D61" s="352" t="s">
        <v>683</v>
      </c>
      <c r="E61" s="353">
        <v>3</v>
      </c>
      <c r="F61" s="354">
        <v>25000</v>
      </c>
      <c r="G61" s="355">
        <f>ROUND(E61*F61,0)</f>
        <v>75000</v>
      </c>
      <c r="H61" s="356">
        <f t="shared" si="13"/>
        <v>2980.9220985691572</v>
      </c>
    </row>
    <row r="62" spans="1:8">
      <c r="A62" s="357"/>
      <c r="C62" s="359"/>
      <c r="E62" s="360"/>
      <c r="F62" s="361"/>
      <c r="G62" s="362"/>
      <c r="H62" s="363"/>
    </row>
    <row r="63" spans="1:8" s="504" customFormat="1" ht="15" customHeight="1">
      <c r="A63" s="491">
        <v>5</v>
      </c>
      <c r="B63" s="492" t="s">
        <v>726</v>
      </c>
      <c r="C63" s="507"/>
      <c r="D63" s="508"/>
      <c r="E63" s="502"/>
      <c r="F63" s="509"/>
      <c r="G63" s="497">
        <f>SUBTOTAL(9,G64:G66)</f>
        <v>262000</v>
      </c>
      <c r="H63" s="498">
        <f>G63/$B$85</f>
        <v>10413.354531001591</v>
      </c>
    </row>
    <row r="64" spans="1:8" ht="12.75" customHeight="1">
      <c r="A64" s="378">
        <f>ROW(A64)-ROW($A$63)</f>
        <v>1</v>
      </c>
      <c r="B64" s="329" t="s">
        <v>727</v>
      </c>
      <c r="C64" s="336"/>
      <c r="D64" s="331" t="s">
        <v>683</v>
      </c>
      <c r="E64" s="337">
        <v>1</v>
      </c>
      <c r="F64" s="333">
        <v>50000</v>
      </c>
      <c r="G64" s="338">
        <f t="shared" ref="G64" si="19">ROUND(E64*F64,0)</f>
        <v>50000</v>
      </c>
      <c r="H64" s="339">
        <f>G64/$B$85</f>
        <v>1987.281399046105</v>
      </c>
    </row>
    <row r="65" spans="1:8" ht="12.75" customHeight="1">
      <c r="A65" s="378">
        <f t="shared" ref="A65:A66" si="20">ROW(A65)-ROW($A$63)</f>
        <v>2</v>
      </c>
      <c r="B65" s="380" t="s">
        <v>728</v>
      </c>
      <c r="C65" s="336"/>
      <c r="D65" s="331" t="s">
        <v>729</v>
      </c>
      <c r="E65" s="337">
        <v>60</v>
      </c>
      <c r="F65" s="333">
        <v>1200</v>
      </c>
      <c r="G65" s="338">
        <f>ROUND(E65*F65,0)</f>
        <v>72000</v>
      </c>
      <c r="H65" s="339">
        <f>G65/$B$85</f>
        <v>2861.6852146263909</v>
      </c>
    </row>
    <row r="66" spans="1:8" ht="12.75" customHeight="1">
      <c r="A66" s="381">
        <f t="shared" si="20"/>
        <v>3</v>
      </c>
      <c r="B66" s="382" t="s">
        <v>730</v>
      </c>
      <c r="C66" s="373"/>
      <c r="D66" s="352" t="s">
        <v>681</v>
      </c>
      <c r="E66" s="374">
        <v>20</v>
      </c>
      <c r="F66" s="354">
        <v>7000</v>
      </c>
      <c r="G66" s="375">
        <f>ROUND(E66*F66,0)</f>
        <v>140000</v>
      </c>
      <c r="H66" s="376">
        <f>G66/$B$85</f>
        <v>5564.3879173290934</v>
      </c>
    </row>
    <row r="67" spans="1:8">
      <c r="A67" s="383"/>
      <c r="C67" s="310"/>
      <c r="E67" s="384"/>
      <c r="F67" s="385"/>
      <c r="G67" s="385"/>
      <c r="H67" s="386"/>
    </row>
    <row r="68" spans="1:8" s="504" customFormat="1" ht="15" customHeight="1">
      <c r="A68" s="491">
        <v>6</v>
      </c>
      <c r="B68" s="492" t="s">
        <v>731</v>
      </c>
      <c r="C68" s="507"/>
      <c r="D68" s="508"/>
      <c r="E68" s="502"/>
      <c r="F68" s="509"/>
      <c r="G68" s="497">
        <f>SUBTOTAL(9,G69:G71)</f>
        <v>195126</v>
      </c>
      <c r="H68" s="498">
        <f>G68/$B$85</f>
        <v>7755.405405405405</v>
      </c>
    </row>
    <row r="69" spans="1:8" ht="12.75" customHeight="1">
      <c r="A69" s="365">
        <f>ROW(A69)-ROW($A$68)</f>
        <v>1</v>
      </c>
      <c r="B69" s="366" t="s">
        <v>732</v>
      </c>
      <c r="C69" s="387"/>
      <c r="D69" s="368" t="s">
        <v>663</v>
      </c>
      <c r="E69" s="369">
        <f>$C$5</f>
        <v>1147.8</v>
      </c>
      <c r="F69" s="370">
        <v>20</v>
      </c>
      <c r="G69" s="388">
        <f>ROUND(F69*E69,0)</f>
        <v>22956</v>
      </c>
      <c r="H69" s="389">
        <f>G69/$B$85</f>
        <v>912.40063593004766</v>
      </c>
    </row>
    <row r="70" spans="1:8" ht="12.75" customHeight="1">
      <c r="A70" s="364">
        <f>ROW(A70)-ROW($A$68)</f>
        <v>2</v>
      </c>
      <c r="B70" s="329" t="s">
        <v>733</v>
      </c>
      <c r="C70" s="390"/>
      <c r="D70" s="331" t="s">
        <v>663</v>
      </c>
      <c r="E70" s="332">
        <f>$C$5</f>
        <v>1147.8</v>
      </c>
      <c r="F70" s="333">
        <v>60</v>
      </c>
      <c r="G70" s="334">
        <f>ROUND(F70*E70,0)</f>
        <v>68868</v>
      </c>
      <c r="H70" s="335">
        <f>G70/$B$85</f>
        <v>2737.2019077901432</v>
      </c>
    </row>
    <row r="71" spans="1:8" ht="12.75" customHeight="1">
      <c r="A71" s="349">
        <f>ROW(A71)-ROW($A$68)</f>
        <v>3</v>
      </c>
      <c r="B71" s="350" t="s">
        <v>734</v>
      </c>
      <c r="C71" s="391"/>
      <c r="D71" s="352" t="s">
        <v>663</v>
      </c>
      <c r="E71" s="353">
        <f>$C$5</f>
        <v>1147.8</v>
      </c>
      <c r="F71" s="354">
        <v>90</v>
      </c>
      <c r="G71" s="355">
        <f t="shared" ref="G71" si="21">ROUND(F71*E71,0)</f>
        <v>103302</v>
      </c>
      <c r="H71" s="356">
        <f>G71/$B$85</f>
        <v>4105.8028616852143</v>
      </c>
    </row>
    <row r="72" spans="1:8">
      <c r="A72" s="383"/>
      <c r="C72" s="310"/>
      <c r="E72" s="384"/>
      <c r="F72" s="385"/>
      <c r="G72" s="385"/>
      <c r="H72" s="386"/>
    </row>
    <row r="73" spans="1:8" s="504" customFormat="1" ht="15" customHeight="1">
      <c r="A73" s="491">
        <v>7</v>
      </c>
      <c r="B73" s="492" t="s">
        <v>735</v>
      </c>
      <c r="C73" s="507"/>
      <c r="D73" s="508"/>
      <c r="E73" s="502"/>
      <c r="F73" s="509"/>
      <c r="G73" s="510">
        <f>SUBTOTAL(9,G74)</f>
        <v>522106</v>
      </c>
      <c r="H73" s="511">
        <f>G73/$B$85</f>
        <v>20751.430842607315</v>
      </c>
    </row>
    <row r="74" spans="1:8" ht="15" customHeight="1">
      <c r="A74" s="392">
        <f>ROW(A74)-ROW($A$73)</f>
        <v>1</v>
      </c>
      <c r="B74" s="393" t="s">
        <v>736</v>
      </c>
      <c r="C74" s="394"/>
      <c r="D74" s="395" t="s">
        <v>683</v>
      </c>
      <c r="E74" s="396">
        <v>7.0000000000000007E-2</v>
      </c>
      <c r="F74" s="397">
        <f>SUBTOTAL(9,G10:G71)</f>
        <v>7458653</v>
      </c>
      <c r="G74" s="398">
        <f>ROUND(F74*E74,0)</f>
        <v>522106</v>
      </c>
      <c r="H74" s="399">
        <f>G74/$B$85</f>
        <v>20751.430842607315</v>
      </c>
    </row>
    <row r="75" spans="1:8">
      <c r="A75" s="383"/>
      <c r="C75" s="310"/>
      <c r="E75" s="384"/>
      <c r="F75" s="385"/>
      <c r="G75" s="385"/>
      <c r="H75" s="386"/>
    </row>
    <row r="76" spans="1:8" s="518" customFormat="1" ht="15" customHeight="1">
      <c r="A76" s="491">
        <v>8</v>
      </c>
      <c r="B76" s="512" t="s">
        <v>737</v>
      </c>
      <c r="C76" s="513"/>
      <c r="D76" s="514"/>
      <c r="E76" s="513"/>
      <c r="F76" s="515"/>
      <c r="G76" s="516">
        <f>SUBTOTAL(9,G77)</f>
        <v>798080</v>
      </c>
      <c r="H76" s="517">
        <f>G76/$B$85</f>
        <v>31720.190779014309</v>
      </c>
    </row>
    <row r="77" spans="1:8" ht="15" customHeight="1">
      <c r="A77" s="400" t="s">
        <v>738</v>
      </c>
      <c r="B77" s="401" t="s">
        <v>739</v>
      </c>
      <c r="C77" s="402"/>
      <c r="D77" s="403" t="s">
        <v>683</v>
      </c>
      <c r="E77" s="404">
        <v>0.1</v>
      </c>
      <c r="F77" s="405">
        <f>CEILING(SUBTOTAL(9,G10:G75),100)</f>
        <v>7980800</v>
      </c>
      <c r="G77" s="406">
        <f>ROUND(E77*F77,-1)</f>
        <v>798080</v>
      </c>
      <c r="H77" s="407">
        <f>G77/$B$85</f>
        <v>31720.190779014309</v>
      </c>
    </row>
    <row r="78" spans="1:8">
      <c r="A78" s="408"/>
      <c r="B78" s="409"/>
      <c r="C78" s="410"/>
      <c r="D78" s="411"/>
      <c r="E78" s="412"/>
      <c r="F78" s="413"/>
      <c r="G78" s="414"/>
      <c r="H78" s="414"/>
    </row>
    <row r="79" spans="1:8" s="327" customFormat="1" ht="20.149999999999999" customHeight="1">
      <c r="A79" s="415"/>
      <c r="B79" s="416" t="s">
        <v>740</v>
      </c>
      <c r="C79" s="417"/>
      <c r="D79" s="418"/>
      <c r="E79" s="419"/>
      <c r="F79" s="420" t="s">
        <v>741</v>
      </c>
      <c r="G79" s="421">
        <f>SUBTOTAL(9,G10:G77)</f>
        <v>8778839</v>
      </c>
      <c r="H79" s="421"/>
    </row>
    <row r="80" spans="1:8" s="327" customFormat="1" ht="20.149999999999999" customHeight="1">
      <c r="A80" s="415"/>
      <c r="B80" s="416" t="s">
        <v>742</v>
      </c>
      <c r="C80" s="417"/>
      <c r="D80" s="418"/>
      <c r="E80" s="419"/>
      <c r="F80" s="422" t="s">
        <v>743</v>
      </c>
      <c r="G80" s="421">
        <f>G79/$B$85</f>
        <v>348920.46899841016</v>
      </c>
      <c r="H80" s="417"/>
    </row>
    <row r="81" spans="1:39" s="327" customFormat="1" ht="20.149999999999999" customHeight="1">
      <c r="A81" s="415"/>
      <c r="B81" s="416" t="s">
        <v>744</v>
      </c>
      <c r="C81" s="417"/>
      <c r="D81" s="418"/>
      <c r="E81" s="419"/>
      <c r="F81" s="422" t="s">
        <v>745</v>
      </c>
      <c r="G81" s="423">
        <f>G80/($C$5)</f>
        <v>303.99065080886055</v>
      </c>
      <c r="H81" s="417"/>
    </row>
    <row r="82" spans="1:39" ht="6" customHeight="1">
      <c r="A82" s="408"/>
      <c r="B82" s="409"/>
      <c r="C82" s="410"/>
      <c r="D82" s="411"/>
      <c r="E82" s="412"/>
      <c r="F82" s="413"/>
      <c r="G82" s="414"/>
      <c r="H82" s="414"/>
    </row>
    <row r="83" spans="1:39">
      <c r="A83" s="424" t="s">
        <v>746</v>
      </c>
      <c r="B83" s="425"/>
      <c r="C83" s="424"/>
      <c r="D83" s="426"/>
      <c r="E83" s="427"/>
      <c r="F83" s="428" t="s">
        <v>747</v>
      </c>
      <c r="G83" s="428"/>
      <c r="H83" s="428"/>
    </row>
    <row r="84" spans="1:39">
      <c r="A84" s="429" t="s">
        <v>748</v>
      </c>
      <c r="B84" s="425"/>
      <c r="C84" s="424"/>
      <c r="D84" s="426"/>
      <c r="E84" s="427"/>
      <c r="F84" s="428" t="s">
        <v>749</v>
      </c>
      <c r="G84" s="428"/>
      <c r="H84" s="428"/>
    </row>
    <row r="85" spans="1:39">
      <c r="A85" s="430" t="s">
        <v>750</v>
      </c>
      <c r="B85" s="431">
        <v>25.16</v>
      </c>
      <c r="C85" s="432"/>
      <c r="D85" s="433"/>
      <c r="E85" s="434"/>
      <c r="F85" s="435">
        <v>45525</v>
      </c>
      <c r="G85" s="436"/>
      <c r="H85" s="436"/>
    </row>
    <row r="86" spans="1:39" ht="8.5" customHeight="1">
      <c r="A86" s="437"/>
      <c r="B86" s="438"/>
      <c r="C86" s="310"/>
      <c r="D86" s="439"/>
      <c r="E86" s="384"/>
      <c r="F86" s="440"/>
      <c r="G86" s="441"/>
      <c r="H86" s="441"/>
    </row>
    <row r="87" spans="1:39" ht="18" customHeight="1">
      <c r="A87" s="442"/>
      <c r="B87" s="443" t="s">
        <v>751</v>
      </c>
      <c r="C87" s="310"/>
      <c r="D87" s="311"/>
      <c r="E87" s="310"/>
      <c r="F87" s="310"/>
      <c r="G87" s="312"/>
      <c r="H87" s="312"/>
    </row>
    <row r="88" spans="1:39" ht="21.65" customHeight="1">
      <c r="A88" s="442" t="s">
        <v>738</v>
      </c>
      <c r="B88" s="571" t="s">
        <v>752</v>
      </c>
      <c r="C88" s="571"/>
      <c r="D88" s="571"/>
      <c r="E88" s="571"/>
      <c r="F88" s="571"/>
      <c r="G88" s="424"/>
      <c r="H88" s="424"/>
    </row>
    <row r="89" spans="1:39" s="310" customFormat="1" ht="21.65" customHeight="1">
      <c r="A89" s="442" t="s">
        <v>753</v>
      </c>
      <c r="B89" s="572" t="s">
        <v>754</v>
      </c>
      <c r="C89" s="572"/>
      <c r="D89" s="572"/>
      <c r="E89" s="572"/>
      <c r="F89" s="572"/>
      <c r="G89" s="424"/>
      <c r="H89" s="424"/>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c r="AH89" s="313"/>
      <c r="AI89" s="313"/>
      <c r="AJ89" s="313"/>
      <c r="AK89" s="313"/>
      <c r="AL89" s="313"/>
      <c r="AM89" s="313"/>
    </row>
    <row r="90" spans="1:39" ht="21.65" customHeight="1">
      <c r="A90" s="442" t="s">
        <v>755</v>
      </c>
      <c r="B90" s="429" t="s">
        <v>756</v>
      </c>
      <c r="C90" s="424"/>
      <c r="D90" s="429"/>
      <c r="E90" s="424"/>
      <c r="F90" s="424"/>
      <c r="G90" s="424"/>
      <c r="H90" s="424"/>
    </row>
    <row r="91" spans="1:39" ht="21.65" customHeight="1">
      <c r="A91" s="442" t="s">
        <v>757</v>
      </c>
      <c r="B91" s="572" t="s">
        <v>758</v>
      </c>
      <c r="C91" s="572"/>
      <c r="D91" s="572"/>
      <c r="E91" s="572"/>
      <c r="F91" s="572"/>
      <c r="G91" s="424"/>
      <c r="H91" s="424"/>
    </row>
    <row r="92" spans="1:39" ht="21.65" customHeight="1">
      <c r="A92" s="442" t="s">
        <v>759</v>
      </c>
      <c r="B92" s="429" t="s">
        <v>760</v>
      </c>
      <c r="C92" s="424"/>
      <c r="D92" s="429"/>
      <c r="E92" s="424"/>
      <c r="F92" s="424"/>
      <c r="G92" s="424"/>
      <c r="H92" s="424"/>
    </row>
    <row r="93" spans="1:39" ht="40.75" customHeight="1">
      <c r="A93" s="442" t="s">
        <v>761</v>
      </c>
      <c r="B93" s="572" t="s">
        <v>762</v>
      </c>
      <c r="C93" s="572"/>
      <c r="D93" s="572"/>
      <c r="E93" s="572"/>
      <c r="F93" s="572"/>
      <c r="G93" s="310"/>
      <c r="H93" s="310"/>
    </row>
    <row r="94" spans="1:39" ht="31.4" customHeight="1">
      <c r="A94" s="442" t="s">
        <v>763</v>
      </c>
      <c r="B94" s="572" t="s">
        <v>764</v>
      </c>
      <c r="C94" s="572"/>
      <c r="D94" s="572"/>
      <c r="E94" s="572"/>
      <c r="F94" s="572"/>
      <c r="G94" s="310"/>
      <c r="H94" s="310"/>
    </row>
    <row r="97" s="313" customFormat="1"/>
    <row r="98" s="313" customFormat="1"/>
    <row r="99" s="313" customFormat="1"/>
    <row r="100" s="313" customFormat="1"/>
    <row r="101" s="313" customFormat="1"/>
    <row r="102" s="313" customFormat="1"/>
    <row r="103" s="313" customFormat="1"/>
    <row r="104" s="313" customFormat="1"/>
    <row r="105" s="313" customFormat="1"/>
    <row r="106" s="313" customFormat="1"/>
    <row r="107" s="313" customFormat="1"/>
    <row r="108" s="313" customFormat="1"/>
    <row r="109" s="313" customFormat="1"/>
    <row r="110" s="313" customFormat="1"/>
    <row r="111" s="313" customFormat="1"/>
    <row r="112" s="313" customFormat="1"/>
    <row r="113" s="313" customFormat="1"/>
    <row r="114" s="313" customFormat="1"/>
    <row r="115" s="313" customFormat="1"/>
    <row r="116" s="313" customFormat="1"/>
    <row r="117" s="313" customFormat="1"/>
    <row r="118" s="313" customFormat="1"/>
    <row r="119" s="313" customFormat="1"/>
    <row r="120" s="313" customFormat="1"/>
    <row r="121" s="313" customFormat="1"/>
    <row r="122" s="313" customFormat="1"/>
    <row r="123" s="313" customFormat="1"/>
    <row r="124" s="313" customFormat="1"/>
    <row r="125" s="313" customFormat="1"/>
    <row r="126" s="313" customFormat="1"/>
    <row r="127" s="313" customFormat="1"/>
    <row r="128" s="313" customFormat="1"/>
    <row r="129" s="313" customFormat="1"/>
    <row r="130" s="313" customFormat="1"/>
    <row r="131" s="313" customFormat="1"/>
    <row r="132" s="313" customFormat="1"/>
    <row r="133" s="313" customFormat="1"/>
    <row r="134" s="313" customFormat="1"/>
    <row r="135" s="313" customFormat="1"/>
    <row r="136" s="313" customFormat="1"/>
    <row r="137" s="313" customFormat="1"/>
    <row r="138" s="313" customFormat="1"/>
    <row r="139" s="313" customFormat="1"/>
    <row r="140" s="313" customFormat="1"/>
    <row r="141" s="313" customFormat="1"/>
    <row r="142" s="313" customFormat="1"/>
    <row r="143" s="313" customFormat="1"/>
    <row r="144" s="313" customFormat="1"/>
    <row r="145" s="313" customFormat="1"/>
    <row r="146" s="313" customFormat="1"/>
    <row r="147" s="313" customFormat="1"/>
    <row r="148" s="313" customFormat="1"/>
    <row r="149" s="313" customFormat="1"/>
    <row r="150" s="313" customFormat="1"/>
    <row r="151" s="313" customFormat="1"/>
    <row r="152" s="313" customFormat="1"/>
    <row r="153" s="313" customFormat="1"/>
    <row r="154" s="313" customFormat="1"/>
    <row r="155" s="313" customFormat="1"/>
    <row r="156" s="313" customFormat="1"/>
    <row r="157" s="313" customFormat="1"/>
    <row r="158" s="313" customFormat="1"/>
    <row r="159" s="313" customFormat="1"/>
    <row r="160" s="313" customFormat="1"/>
    <row r="161" s="313" customFormat="1"/>
    <row r="162" s="313" customFormat="1"/>
    <row r="163" s="313" customFormat="1"/>
    <row r="164" s="313" customFormat="1"/>
    <row r="165" s="313" customFormat="1"/>
    <row r="166" s="313" customFormat="1"/>
    <row r="167" s="313" customFormat="1"/>
    <row r="168" s="313" customFormat="1"/>
    <row r="169" s="313" customFormat="1"/>
    <row r="170" s="313" customFormat="1"/>
    <row r="171" s="313" customFormat="1"/>
    <row r="172" s="313" customFormat="1"/>
    <row r="173" s="313" customFormat="1"/>
    <row r="174" s="313" customFormat="1"/>
    <row r="175" s="313" customFormat="1"/>
    <row r="176" s="313" customFormat="1"/>
  </sheetData>
  <protectedRanges>
    <protectedRange sqref="C10" name="Oblast2_1_4_5"/>
    <protectedRange sqref="C8:C9" name="Oblast1_2_1_2_1"/>
    <protectedRange sqref="F8:F9" name="Oblast1_2_1_2_2"/>
    <protectedRange sqref="C42 C40" name="Oblast2_1_8_1"/>
    <protectedRange sqref="C38" name="Oblast2_1_22_4"/>
    <protectedRange sqref="C11" name="Oblast2_1_22_2_1"/>
    <protectedRange sqref="C30" name="Oblast2_1_7_2"/>
    <protectedRange sqref="C41" name="Oblast2_1_14_1"/>
    <protectedRange sqref="C44" name="Oblast2_1_11_4_1"/>
    <protectedRange sqref="C46:C47" name="Oblast2_1_12_4_3"/>
    <protectedRange sqref="C65:C66" name="Oblast2_1_11_1_3_1"/>
    <protectedRange sqref="C50:C54" name="Oblast2_1_15_3_1"/>
    <protectedRange sqref="C55" name="Oblast2_1_50_3_1"/>
    <protectedRange sqref="C59" name="Oblast2_1_1_3_3_1_2"/>
    <protectedRange sqref="C22:C24" name="Oblast2_1_26_3_2"/>
    <protectedRange sqref="C61" name="Oblast2_1_30_3_1"/>
    <protectedRange sqref="C15:C19" name="Oblast2_1_4_5_2"/>
  </protectedRanges>
  <mergeCells count="11">
    <mergeCell ref="F8:H8"/>
    <mergeCell ref="A8:A9"/>
    <mergeCell ref="B8:B9"/>
    <mergeCell ref="C8:C9"/>
    <mergeCell ref="D8:D9"/>
    <mergeCell ref="E8:E9"/>
    <mergeCell ref="B88:F88"/>
    <mergeCell ref="B89:F89"/>
    <mergeCell ref="B91:F91"/>
    <mergeCell ref="B93:F93"/>
    <mergeCell ref="B94:F9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B502D-1FB1-41D0-B453-F3C853E4EA2E}">
  <dimension ref="A1:M67"/>
  <sheetViews>
    <sheetView topLeftCell="A31" zoomScale="130" zoomScaleNormal="130" workbookViewId="0">
      <selection activeCell="J40" sqref="J40"/>
    </sheetView>
  </sheetViews>
  <sheetFormatPr defaultRowHeight="14.5"/>
  <cols>
    <col min="2" max="2" width="55.54296875" bestFit="1" customWidth="1"/>
    <col min="3" max="3" width="11.453125" bestFit="1" customWidth="1"/>
    <col min="6" max="6" width="10.81640625" bestFit="1" customWidth="1"/>
    <col min="7" max="7" width="12.1796875" bestFit="1" customWidth="1"/>
    <col min="8" max="8" width="10.1796875" bestFit="1" customWidth="1"/>
  </cols>
  <sheetData>
    <row r="1" spans="1:13">
      <c r="A1" s="308" t="s">
        <v>657</v>
      </c>
      <c r="B1" s="309"/>
      <c r="C1" s="310"/>
      <c r="D1" s="311"/>
      <c r="E1" s="312"/>
      <c r="F1" s="312"/>
      <c r="G1" s="312"/>
      <c r="H1" s="313"/>
    </row>
    <row r="2" spans="1:13" ht="19">
      <c r="A2" s="314" t="s">
        <v>658</v>
      </c>
      <c r="B2" s="309"/>
      <c r="C2" s="310"/>
      <c r="D2" s="311"/>
      <c r="E2" s="312"/>
      <c r="F2" s="312"/>
      <c r="G2" s="312"/>
      <c r="H2" s="313"/>
      <c r="J2" s="446" t="s">
        <v>765</v>
      </c>
      <c r="K2" s="447"/>
      <c r="L2" s="447"/>
      <c r="M2" s="447"/>
    </row>
    <row r="3" spans="1:13" ht="19">
      <c r="A3" s="313"/>
      <c r="B3" s="315" t="s">
        <v>660</v>
      </c>
      <c r="C3" s="310"/>
      <c r="D3" s="311"/>
      <c r="E3" s="312"/>
      <c r="F3" s="312"/>
      <c r="G3" s="312"/>
      <c r="H3" s="313"/>
    </row>
    <row r="4" spans="1:13" ht="15.5">
      <c r="A4" s="308" t="s">
        <v>661</v>
      </c>
      <c r="B4" s="316"/>
      <c r="C4" s="310"/>
      <c r="D4" s="311"/>
      <c r="E4" s="312"/>
      <c r="F4" s="312"/>
      <c r="G4" s="312"/>
      <c r="H4" s="313"/>
    </row>
    <row r="5" spans="1:13">
      <c r="A5" s="313"/>
      <c r="B5" s="317" t="s">
        <v>662</v>
      </c>
      <c r="C5" s="318">
        <f>1216-14.8-0.13-22.9-1.5-1.47-15.8-11.6</f>
        <v>1147.8</v>
      </c>
      <c r="D5" s="319" t="s">
        <v>663</v>
      </c>
      <c r="E5" s="312"/>
      <c r="F5" s="312"/>
      <c r="G5" s="320"/>
      <c r="H5" s="313"/>
    </row>
    <row r="6" spans="1:13" ht="15.5">
      <c r="A6" s="321"/>
      <c r="B6" s="316"/>
      <c r="C6" s="310"/>
      <c r="D6" s="311"/>
      <c r="E6" s="312"/>
      <c r="F6" s="312"/>
      <c r="G6" s="312"/>
      <c r="H6" s="313"/>
    </row>
    <row r="7" spans="1:13" ht="15.5">
      <c r="A7" s="322"/>
      <c r="B7" s="316" t="s">
        <v>664</v>
      </c>
      <c r="C7" s="323"/>
      <c r="D7" s="324"/>
      <c r="E7" s="325"/>
      <c r="F7" s="325"/>
      <c r="G7" s="325"/>
      <c r="H7" s="322"/>
    </row>
    <row r="8" spans="1:13">
      <c r="A8" s="575" t="s">
        <v>665</v>
      </c>
      <c r="B8" s="577" t="s">
        <v>666</v>
      </c>
      <c r="C8" s="575" t="s">
        <v>667</v>
      </c>
      <c r="D8" s="577" t="s">
        <v>668</v>
      </c>
      <c r="E8" s="575" t="s">
        <v>669</v>
      </c>
      <c r="F8" s="573" t="s">
        <v>670</v>
      </c>
      <c r="G8" s="574"/>
      <c r="H8" s="574"/>
    </row>
    <row r="9" spans="1:13" ht="26">
      <c r="A9" s="576" t="s">
        <v>671</v>
      </c>
      <c r="B9" s="578"/>
      <c r="C9" s="576" t="s">
        <v>672</v>
      </c>
      <c r="D9" s="578"/>
      <c r="E9" s="576" t="s">
        <v>673</v>
      </c>
      <c r="F9" s="326" t="s">
        <v>674</v>
      </c>
      <c r="G9" s="326" t="s">
        <v>675</v>
      </c>
      <c r="H9" s="326" t="s">
        <v>676</v>
      </c>
    </row>
    <row r="10" spans="1:13" s="519" customFormat="1">
      <c r="A10" s="491">
        <v>1</v>
      </c>
      <c r="B10" s="492" t="s">
        <v>766</v>
      </c>
      <c r="C10" s="500"/>
      <c r="D10" s="505"/>
      <c r="E10" s="506"/>
      <c r="F10" s="503"/>
      <c r="G10" s="497">
        <f>SUBTOTAL(9,G11:G28)</f>
        <v>164932</v>
      </c>
      <c r="H10" s="498">
        <f t="shared" ref="H10:H28" si="0">G10/$B$58</f>
        <v>6555.3259141494436</v>
      </c>
    </row>
    <row r="11" spans="1:13">
      <c r="A11" s="365">
        <f>ROW(A11)-ROW($A$10)</f>
        <v>1</v>
      </c>
      <c r="B11" s="366" t="s">
        <v>702</v>
      </c>
      <c r="C11" s="367"/>
      <c r="D11" s="368" t="s">
        <v>663</v>
      </c>
      <c r="E11" s="369">
        <v>3.2</v>
      </c>
      <c r="F11" s="370">
        <v>230</v>
      </c>
      <c r="G11" s="371">
        <f>ROUND(E11*F11,0)</f>
        <v>736</v>
      </c>
      <c r="H11" s="372">
        <f>G11/$B$58</f>
        <v>29.252782193958666</v>
      </c>
    </row>
    <row r="12" spans="1:13">
      <c r="A12" s="364">
        <f>ROW(A12)-ROW($A$10)</f>
        <v>2</v>
      </c>
      <c r="B12" s="329" t="s">
        <v>703</v>
      </c>
      <c r="C12" s="377"/>
      <c r="D12" s="331" t="s">
        <v>681</v>
      </c>
      <c r="E12" s="332">
        <v>1</v>
      </c>
      <c r="F12" s="333">
        <v>1000</v>
      </c>
      <c r="G12" s="334">
        <f t="shared" ref="G12:G25" si="1">ROUND(E12*F12,0)</f>
        <v>1000</v>
      </c>
      <c r="H12" s="335">
        <f t="shared" si="0"/>
        <v>39.745627980922102</v>
      </c>
    </row>
    <row r="13" spans="1:13">
      <c r="A13" s="364">
        <f t="shared" ref="A13:A27" si="2">ROW(A13)-ROW($A$10)</f>
        <v>3</v>
      </c>
      <c r="B13" s="329" t="s">
        <v>704</v>
      </c>
      <c r="C13" s="340"/>
      <c r="D13" s="331" t="s">
        <v>681</v>
      </c>
      <c r="E13" s="332">
        <v>1</v>
      </c>
      <c r="F13" s="333">
        <v>500</v>
      </c>
      <c r="G13" s="334">
        <f t="shared" si="1"/>
        <v>500</v>
      </c>
      <c r="H13" s="335">
        <f t="shared" si="0"/>
        <v>19.872813990461051</v>
      </c>
    </row>
    <row r="14" spans="1:13">
      <c r="A14" s="364">
        <f t="shared" si="2"/>
        <v>4</v>
      </c>
      <c r="B14" s="329" t="s">
        <v>705</v>
      </c>
      <c r="C14" s="340"/>
      <c r="D14" s="331" t="s">
        <v>663</v>
      </c>
      <c r="E14" s="332">
        <f>E11</f>
        <v>3.2</v>
      </c>
      <c r="F14" s="333">
        <v>150</v>
      </c>
      <c r="G14" s="334">
        <f t="shared" si="1"/>
        <v>480</v>
      </c>
      <c r="H14" s="335">
        <f t="shared" si="0"/>
        <v>19.077901430842608</v>
      </c>
    </row>
    <row r="15" spans="1:13">
      <c r="A15" s="364">
        <f t="shared" si="2"/>
        <v>5</v>
      </c>
      <c r="B15" s="329" t="s">
        <v>706</v>
      </c>
      <c r="C15" s="340"/>
      <c r="D15" s="331" t="s">
        <v>663</v>
      </c>
      <c r="E15" s="332">
        <f>6.2*2.5</f>
        <v>15.5</v>
      </c>
      <c r="F15" s="333">
        <v>250</v>
      </c>
      <c r="G15" s="334">
        <f t="shared" si="1"/>
        <v>3875</v>
      </c>
      <c r="H15" s="335">
        <f t="shared" si="0"/>
        <v>154.01430842607314</v>
      </c>
    </row>
    <row r="16" spans="1:13">
      <c r="A16" s="364">
        <f t="shared" si="2"/>
        <v>6</v>
      </c>
      <c r="B16" s="379" t="s">
        <v>707</v>
      </c>
      <c r="C16" s="336"/>
      <c r="D16" s="331" t="s">
        <v>681</v>
      </c>
      <c r="E16" s="337">
        <f>E12</f>
        <v>1</v>
      </c>
      <c r="F16" s="333">
        <v>20000</v>
      </c>
      <c r="G16" s="338">
        <f t="shared" si="1"/>
        <v>20000</v>
      </c>
      <c r="H16" s="339">
        <f t="shared" si="0"/>
        <v>794.91255961844195</v>
      </c>
    </row>
    <row r="17" spans="1:8">
      <c r="A17" s="364">
        <f t="shared" si="2"/>
        <v>7</v>
      </c>
      <c r="B17" s="379" t="s">
        <v>708</v>
      </c>
      <c r="C17" s="336"/>
      <c r="D17" s="331" t="s">
        <v>663</v>
      </c>
      <c r="E17" s="337">
        <f>E11</f>
        <v>3.2</v>
      </c>
      <c r="F17" s="333">
        <v>1100</v>
      </c>
      <c r="G17" s="338">
        <f t="shared" si="1"/>
        <v>3520</v>
      </c>
      <c r="H17" s="339">
        <f t="shared" si="0"/>
        <v>139.90461049284579</v>
      </c>
    </row>
    <row r="18" spans="1:8">
      <c r="A18" s="364">
        <f t="shared" si="2"/>
        <v>8</v>
      </c>
      <c r="B18" s="329" t="s">
        <v>709</v>
      </c>
      <c r="C18" s="336"/>
      <c r="D18" s="331" t="s">
        <v>663</v>
      </c>
      <c r="E18" s="337">
        <f>E15</f>
        <v>15.5</v>
      </c>
      <c r="F18" s="333">
        <v>600</v>
      </c>
      <c r="G18" s="338">
        <f t="shared" si="1"/>
        <v>9300</v>
      </c>
      <c r="H18" s="339">
        <f t="shared" si="0"/>
        <v>369.63434022257553</v>
      </c>
    </row>
    <row r="19" spans="1:8">
      <c r="A19" s="364">
        <f t="shared" si="2"/>
        <v>9</v>
      </c>
      <c r="B19" s="379" t="s">
        <v>710</v>
      </c>
      <c r="C19" s="336"/>
      <c r="D19" s="331" t="s">
        <v>663</v>
      </c>
      <c r="E19" s="337">
        <f>E18</f>
        <v>15.5</v>
      </c>
      <c r="F19" s="333">
        <v>1900</v>
      </c>
      <c r="G19" s="338">
        <f t="shared" si="1"/>
        <v>29450</v>
      </c>
      <c r="H19" s="339">
        <f t="shared" si="0"/>
        <v>1170.5087440381558</v>
      </c>
    </row>
    <row r="20" spans="1:8">
      <c r="A20" s="364">
        <f t="shared" si="2"/>
        <v>10</v>
      </c>
      <c r="B20" s="379" t="s">
        <v>711</v>
      </c>
      <c r="C20" s="336"/>
      <c r="D20" s="331" t="s">
        <v>663</v>
      </c>
      <c r="E20" s="337">
        <f>E14+E15</f>
        <v>18.7</v>
      </c>
      <c r="F20" s="333">
        <v>650</v>
      </c>
      <c r="G20" s="338">
        <f t="shared" si="1"/>
        <v>12155</v>
      </c>
      <c r="H20" s="339">
        <f t="shared" si="0"/>
        <v>483.10810810810813</v>
      </c>
    </row>
    <row r="21" spans="1:8">
      <c r="A21" s="364">
        <f t="shared" si="2"/>
        <v>11</v>
      </c>
      <c r="B21" s="329" t="s">
        <v>712</v>
      </c>
      <c r="C21" s="340"/>
      <c r="D21" s="331" t="s">
        <v>663</v>
      </c>
      <c r="E21" s="332">
        <f>1.1*E22</f>
        <v>20.57</v>
      </c>
      <c r="F21" s="333">
        <v>800</v>
      </c>
      <c r="G21" s="334">
        <f t="shared" si="1"/>
        <v>16456</v>
      </c>
      <c r="H21" s="335">
        <f t="shared" si="0"/>
        <v>654.05405405405406</v>
      </c>
    </row>
    <row r="22" spans="1:8">
      <c r="A22" s="364">
        <f t="shared" si="2"/>
        <v>12</v>
      </c>
      <c r="B22" s="329" t="s">
        <v>713</v>
      </c>
      <c r="C22" s="340"/>
      <c r="D22" s="331" t="s">
        <v>663</v>
      </c>
      <c r="E22" s="332">
        <f>E20</f>
        <v>18.7</v>
      </c>
      <c r="F22" s="333">
        <v>800</v>
      </c>
      <c r="G22" s="334">
        <f t="shared" si="1"/>
        <v>14960</v>
      </c>
      <c r="H22" s="335">
        <f t="shared" si="0"/>
        <v>594.59459459459458</v>
      </c>
    </row>
    <row r="23" spans="1:8">
      <c r="A23" s="364">
        <f t="shared" si="2"/>
        <v>13</v>
      </c>
      <c r="B23" s="329" t="s">
        <v>767</v>
      </c>
      <c r="C23" s="330"/>
      <c r="D23" s="331" t="s">
        <v>681</v>
      </c>
      <c r="E23" s="332">
        <v>1</v>
      </c>
      <c r="F23" s="333">
        <v>30000</v>
      </c>
      <c r="G23" s="334">
        <f t="shared" si="1"/>
        <v>30000</v>
      </c>
      <c r="H23" s="335">
        <f t="shared" si="0"/>
        <v>1192.368839427663</v>
      </c>
    </row>
    <row r="24" spans="1:8">
      <c r="A24" s="364">
        <f t="shared" si="2"/>
        <v>14</v>
      </c>
      <c r="B24" s="329" t="s">
        <v>721</v>
      </c>
      <c r="C24" s="340"/>
      <c r="D24" s="331" t="s">
        <v>683</v>
      </c>
      <c r="E24" s="332">
        <f>E13</f>
        <v>1</v>
      </c>
      <c r="F24" s="333">
        <v>2500</v>
      </c>
      <c r="G24" s="334">
        <f t="shared" si="1"/>
        <v>2500</v>
      </c>
      <c r="H24" s="335">
        <f t="shared" si="0"/>
        <v>99.364069952305243</v>
      </c>
    </row>
    <row r="25" spans="1:8">
      <c r="A25" s="364">
        <f t="shared" si="2"/>
        <v>15</v>
      </c>
      <c r="B25" s="329" t="s">
        <v>722</v>
      </c>
      <c r="C25" s="340"/>
      <c r="D25" s="331" t="s">
        <v>683</v>
      </c>
      <c r="E25" s="332">
        <v>1</v>
      </c>
      <c r="F25" s="333">
        <v>5000</v>
      </c>
      <c r="G25" s="334">
        <f t="shared" si="1"/>
        <v>5000</v>
      </c>
      <c r="H25" s="335">
        <f t="shared" si="0"/>
        <v>198.72813990461049</v>
      </c>
    </row>
    <row r="26" spans="1:8">
      <c r="A26" s="364">
        <f t="shared" si="2"/>
        <v>16</v>
      </c>
      <c r="B26" s="329" t="s">
        <v>723</v>
      </c>
      <c r="C26" s="340"/>
      <c r="D26" s="331" t="s">
        <v>683</v>
      </c>
      <c r="E26" s="332">
        <v>1</v>
      </c>
      <c r="F26" s="333">
        <v>5000</v>
      </c>
      <c r="G26" s="334">
        <f>ROUND(E26*F26,0)</f>
        <v>5000</v>
      </c>
      <c r="H26" s="335">
        <f t="shared" si="0"/>
        <v>198.72813990461049</v>
      </c>
    </row>
    <row r="27" spans="1:8">
      <c r="A27" s="364">
        <f t="shared" si="2"/>
        <v>17</v>
      </c>
      <c r="B27" s="329" t="s">
        <v>724</v>
      </c>
      <c r="C27" s="340"/>
      <c r="D27" s="331" t="s">
        <v>683</v>
      </c>
      <c r="E27" s="332">
        <v>1</v>
      </c>
      <c r="F27" s="333">
        <v>5000</v>
      </c>
      <c r="G27" s="334">
        <f t="shared" ref="G27" si="3">ROUND(E27*F27,0)</f>
        <v>5000</v>
      </c>
      <c r="H27" s="335">
        <f t="shared" si="0"/>
        <v>198.72813990461049</v>
      </c>
    </row>
    <row r="28" spans="1:8">
      <c r="A28" s="349">
        <f>ROW(A28)-ROW($A$10)</f>
        <v>18</v>
      </c>
      <c r="B28" s="350" t="s">
        <v>725</v>
      </c>
      <c r="C28" s="351"/>
      <c r="D28" s="352" t="s">
        <v>683</v>
      </c>
      <c r="E28" s="353">
        <v>1</v>
      </c>
      <c r="F28" s="354">
        <v>5000</v>
      </c>
      <c r="G28" s="355">
        <f>ROUND(E28*F28,0)</f>
        <v>5000</v>
      </c>
      <c r="H28" s="356">
        <f t="shared" si="0"/>
        <v>198.72813990461049</v>
      </c>
    </row>
    <row r="29" spans="1:8">
      <c r="A29" s="357"/>
      <c r="B29" s="358"/>
      <c r="C29" s="359"/>
      <c r="D29" s="358"/>
      <c r="E29" s="360"/>
      <c r="F29" s="361"/>
      <c r="G29" s="362"/>
      <c r="H29" s="363"/>
    </row>
    <row r="30" spans="1:8" s="519" customFormat="1">
      <c r="A30" s="491">
        <v>2</v>
      </c>
      <c r="B30" s="492" t="s">
        <v>768</v>
      </c>
      <c r="C30" s="507"/>
      <c r="D30" s="508"/>
      <c r="E30" s="502"/>
      <c r="F30" s="509"/>
      <c r="G30" s="497">
        <f>SUBTOTAL(9,G31:G33)</f>
        <v>259600</v>
      </c>
      <c r="H30" s="498">
        <f>G30/$B$58</f>
        <v>10317.965023847377</v>
      </c>
    </row>
    <row r="31" spans="1:8">
      <c r="A31" s="378">
        <f>ROW(A31)-ROW($A$30)</f>
        <v>1</v>
      </c>
      <c r="B31" s="329" t="s">
        <v>769</v>
      </c>
      <c r="C31" s="336"/>
      <c r="D31" s="331" t="s">
        <v>663</v>
      </c>
      <c r="E31" s="337">
        <f>2*(27+59+18+8)</f>
        <v>224</v>
      </c>
      <c r="F31" s="333">
        <v>800</v>
      </c>
      <c r="G31" s="338">
        <f t="shared" ref="G31" si="4">ROUND(E31*F31,0)</f>
        <v>179200</v>
      </c>
      <c r="H31" s="339">
        <f>G31/$B$58</f>
        <v>7122.4165341812404</v>
      </c>
    </row>
    <row r="32" spans="1:8">
      <c r="A32" s="378">
        <f>ROW(A32)-ROW($A$30)</f>
        <v>2</v>
      </c>
      <c r="B32" s="380" t="s">
        <v>770</v>
      </c>
      <c r="C32" s="336"/>
      <c r="D32" s="331" t="s">
        <v>663</v>
      </c>
      <c r="E32" s="337">
        <f>14*2</f>
        <v>28</v>
      </c>
      <c r="F32" s="333">
        <v>1800</v>
      </c>
      <c r="G32" s="338">
        <f>ROUND(E32*F32,0)</f>
        <v>50400</v>
      </c>
      <c r="H32" s="339">
        <f>G32/$B$58</f>
        <v>2003.1796502384739</v>
      </c>
    </row>
    <row r="33" spans="1:8">
      <c r="A33" s="381">
        <f>ROW(A33)-ROW($A$30)</f>
        <v>3</v>
      </c>
      <c r="B33" s="382" t="s">
        <v>771</v>
      </c>
      <c r="C33" s="373"/>
      <c r="D33" s="352" t="s">
        <v>681</v>
      </c>
      <c r="E33" s="374">
        <v>3</v>
      </c>
      <c r="F33" s="354">
        <v>10000</v>
      </c>
      <c r="G33" s="375">
        <f>ROUND(E33*F33,0)</f>
        <v>30000</v>
      </c>
      <c r="H33" s="376">
        <f>G33/$B$58</f>
        <v>1192.368839427663</v>
      </c>
    </row>
    <row r="34" spans="1:8">
      <c r="A34" s="383"/>
      <c r="B34" s="358"/>
      <c r="C34" s="310"/>
      <c r="D34" s="358"/>
      <c r="E34" s="384"/>
      <c r="F34" s="385"/>
      <c r="G34" s="385"/>
      <c r="H34" s="386"/>
    </row>
    <row r="35" spans="1:8" s="519" customFormat="1">
      <c r="A35" s="491">
        <v>3</v>
      </c>
      <c r="B35" s="492" t="s">
        <v>772</v>
      </c>
      <c r="C35" s="507"/>
      <c r="D35" s="508"/>
      <c r="E35" s="502"/>
      <c r="F35" s="509"/>
      <c r="G35" s="497">
        <f>SUBTOTAL(9,G36:G36)</f>
        <v>1000000</v>
      </c>
      <c r="H35" s="498">
        <f>G35/$B$58</f>
        <v>39745.627980922101</v>
      </c>
    </row>
    <row r="36" spans="1:8">
      <c r="A36" s="349" t="s">
        <v>738</v>
      </c>
      <c r="B36" s="382" t="s">
        <v>773</v>
      </c>
      <c r="C36" s="373"/>
      <c r="D36" s="352" t="s">
        <v>683</v>
      </c>
      <c r="E36" s="374">
        <v>1</v>
      </c>
      <c r="F36" s="354">
        <v>1000000</v>
      </c>
      <c r="G36" s="375">
        <f>ROUND(E36*F36,0)</f>
        <v>1000000</v>
      </c>
      <c r="H36" s="376">
        <f>G36/$B$58</f>
        <v>39745.627980922101</v>
      </c>
    </row>
    <row r="37" spans="1:8">
      <c r="A37" s="383"/>
      <c r="B37" s="358"/>
      <c r="C37" s="310"/>
      <c r="D37" s="358"/>
      <c r="E37" s="384"/>
      <c r="F37" s="385"/>
      <c r="G37" s="385"/>
      <c r="H37" s="386"/>
    </row>
    <row r="38" spans="1:8" s="519" customFormat="1">
      <c r="A38" s="491">
        <v>4</v>
      </c>
      <c r="B38" s="492" t="s">
        <v>774</v>
      </c>
      <c r="C38" s="507"/>
      <c r="D38" s="508"/>
      <c r="E38" s="502"/>
      <c r="F38" s="509"/>
      <c r="G38" s="510">
        <f>SUBTOTAL(9,G39)</f>
        <v>1200000</v>
      </c>
      <c r="H38" s="511">
        <f>G38/$B$58</f>
        <v>47694.753577106516</v>
      </c>
    </row>
    <row r="39" spans="1:8">
      <c r="A39" s="392">
        <f>ROW(A39)-ROW(A38)</f>
        <v>1</v>
      </c>
      <c r="B39" s="393" t="s">
        <v>775</v>
      </c>
      <c r="C39" s="394"/>
      <c r="D39" s="395" t="s">
        <v>681</v>
      </c>
      <c r="E39" s="444">
        <v>6</v>
      </c>
      <c r="F39" s="397">
        <v>200000</v>
      </c>
      <c r="G39" s="398">
        <f>ROUND(F39*E39,0)</f>
        <v>1200000</v>
      </c>
      <c r="H39" s="399">
        <f>G39/$B$58</f>
        <v>47694.753577106516</v>
      </c>
    </row>
    <row r="40" spans="1:8">
      <c r="A40" s="383"/>
      <c r="B40" s="358"/>
      <c r="C40" s="310"/>
      <c r="D40" s="358"/>
      <c r="E40" s="384"/>
      <c r="F40" s="385"/>
      <c r="G40" s="385"/>
      <c r="H40" s="386"/>
    </row>
    <row r="41" spans="1:8" s="519" customFormat="1">
      <c r="A41" s="491">
        <v>5</v>
      </c>
      <c r="B41" s="492" t="s">
        <v>731</v>
      </c>
      <c r="C41" s="507"/>
      <c r="D41" s="508"/>
      <c r="E41" s="502"/>
      <c r="F41" s="509"/>
      <c r="G41" s="497">
        <f>SUBTOTAL(9,G42:G44)</f>
        <v>195126</v>
      </c>
      <c r="H41" s="498">
        <f>G41/$B$58</f>
        <v>7755.405405405405</v>
      </c>
    </row>
    <row r="42" spans="1:8">
      <c r="A42" s="365">
        <f>ROW(A42)-ROW($A$41)</f>
        <v>1</v>
      </c>
      <c r="B42" s="366" t="s">
        <v>732</v>
      </c>
      <c r="C42" s="387"/>
      <c r="D42" s="368" t="s">
        <v>663</v>
      </c>
      <c r="E42" s="369">
        <f>$C$5</f>
        <v>1147.8</v>
      </c>
      <c r="F42" s="370">
        <v>20</v>
      </c>
      <c r="G42" s="388">
        <f>ROUND(F42*E42,0)</f>
        <v>22956</v>
      </c>
      <c r="H42" s="389">
        <f>G42/$B$58</f>
        <v>912.40063593004766</v>
      </c>
    </row>
    <row r="43" spans="1:8">
      <c r="A43" s="364">
        <f>ROW(A43)-ROW($A$41)</f>
        <v>2</v>
      </c>
      <c r="B43" s="329" t="s">
        <v>733</v>
      </c>
      <c r="C43" s="390"/>
      <c r="D43" s="331" t="s">
        <v>663</v>
      </c>
      <c r="E43" s="332">
        <f>$C$5</f>
        <v>1147.8</v>
      </c>
      <c r="F43" s="333">
        <v>60</v>
      </c>
      <c r="G43" s="334">
        <f>ROUND(F43*E43,0)</f>
        <v>68868</v>
      </c>
      <c r="H43" s="335">
        <f>G43/$B$58</f>
        <v>2737.2019077901432</v>
      </c>
    </row>
    <row r="44" spans="1:8">
      <c r="A44" s="349">
        <f>ROW(A44)-ROW($A$41)</f>
        <v>3</v>
      </c>
      <c r="B44" s="350" t="s">
        <v>734</v>
      </c>
      <c r="C44" s="391"/>
      <c r="D44" s="352" t="s">
        <v>663</v>
      </c>
      <c r="E44" s="353">
        <f>$C$5</f>
        <v>1147.8</v>
      </c>
      <c r="F44" s="354">
        <v>90</v>
      </c>
      <c r="G44" s="355">
        <f t="shared" ref="G44" si="5">ROUND(F44*E44,0)</f>
        <v>103302</v>
      </c>
      <c r="H44" s="356">
        <f>G44/$B$58</f>
        <v>4105.8028616852143</v>
      </c>
    </row>
    <row r="45" spans="1:8">
      <c r="A45" s="383"/>
      <c r="B45" s="358"/>
      <c r="C45" s="310"/>
      <c r="D45" s="358"/>
      <c r="E45" s="384"/>
      <c r="F45" s="385"/>
      <c r="G45" s="385"/>
      <c r="H45" s="386"/>
    </row>
    <row r="46" spans="1:8" s="519" customFormat="1">
      <c r="A46" s="491">
        <v>6</v>
      </c>
      <c r="B46" s="492" t="s">
        <v>735</v>
      </c>
      <c r="C46" s="507"/>
      <c r="D46" s="508"/>
      <c r="E46" s="502"/>
      <c r="F46" s="509"/>
      <c r="G46" s="510">
        <f>SUBTOTAL(9,G47)</f>
        <v>197376</v>
      </c>
      <c r="H46" s="511">
        <f>G46/$B$58</f>
        <v>7844.8330683624799</v>
      </c>
    </row>
    <row r="47" spans="1:8">
      <c r="A47" s="392">
        <f>ROW(A47)-ROW($A$46)</f>
        <v>1</v>
      </c>
      <c r="B47" s="393" t="s">
        <v>736</v>
      </c>
      <c r="C47" s="394"/>
      <c r="D47" s="395" t="s">
        <v>683</v>
      </c>
      <c r="E47" s="396">
        <v>7.0000000000000007E-2</v>
      </c>
      <c r="F47" s="397">
        <f>SUBTOTAL(9,G10:G44)</f>
        <v>2819658</v>
      </c>
      <c r="G47" s="398">
        <f>ROUND(F47*E47,0)</f>
        <v>197376</v>
      </c>
      <c r="H47" s="399">
        <f>G47/$B$58</f>
        <v>7844.8330683624799</v>
      </c>
    </row>
    <row r="48" spans="1:8">
      <c r="A48" s="383"/>
      <c r="B48" s="358"/>
      <c r="C48" s="310"/>
      <c r="D48" s="358"/>
      <c r="E48" s="384"/>
      <c r="F48" s="385"/>
      <c r="G48" s="385"/>
      <c r="H48" s="386"/>
    </row>
    <row r="49" spans="1:8" s="519" customFormat="1">
      <c r="A49" s="491">
        <v>7</v>
      </c>
      <c r="B49" s="512" t="s">
        <v>737</v>
      </c>
      <c r="C49" s="513"/>
      <c r="D49" s="514"/>
      <c r="E49" s="513"/>
      <c r="F49" s="515"/>
      <c r="G49" s="516">
        <f>SUBTOTAL(9,G50)</f>
        <v>301710</v>
      </c>
      <c r="H49" s="517">
        <f>G49/$B$58</f>
        <v>11991.653418124006</v>
      </c>
    </row>
    <row r="50" spans="1:8">
      <c r="A50" s="400" t="s">
        <v>738</v>
      </c>
      <c r="B50" s="401" t="s">
        <v>739</v>
      </c>
      <c r="C50" s="402"/>
      <c r="D50" s="403" t="s">
        <v>683</v>
      </c>
      <c r="E50" s="404">
        <v>0.1</v>
      </c>
      <c r="F50" s="405">
        <f>CEILING(SUBTOTAL(9,G10:G48),100)</f>
        <v>3017100</v>
      </c>
      <c r="G50" s="406">
        <f>ROUND(E50*F50,-1)</f>
        <v>301710</v>
      </c>
      <c r="H50" s="407">
        <f>G50/$B$58</f>
        <v>11991.653418124006</v>
      </c>
    </row>
    <row r="51" spans="1:8">
      <c r="A51" s="408"/>
      <c r="B51" s="409"/>
      <c r="C51" s="410"/>
      <c r="D51" s="411"/>
      <c r="E51" s="412"/>
      <c r="F51" s="413"/>
      <c r="G51" s="414"/>
      <c r="H51" s="414"/>
    </row>
    <row r="52" spans="1:8">
      <c r="A52" s="415"/>
      <c r="B52" s="416" t="s">
        <v>740</v>
      </c>
      <c r="C52" s="417"/>
      <c r="D52" s="418"/>
      <c r="E52" s="419"/>
      <c r="F52" s="420" t="s">
        <v>741</v>
      </c>
      <c r="G52" s="421">
        <f>SUBTOTAL(9,G10:G50)</f>
        <v>3318744</v>
      </c>
      <c r="H52" s="421"/>
    </row>
    <row r="53" spans="1:8">
      <c r="A53" s="415"/>
      <c r="B53" s="416" t="s">
        <v>742</v>
      </c>
      <c r="C53" s="417"/>
      <c r="D53" s="418"/>
      <c r="E53" s="419"/>
      <c r="F53" s="422" t="s">
        <v>743</v>
      </c>
      <c r="G53" s="421">
        <f>G52/$B$58</f>
        <v>131905.56438791731</v>
      </c>
      <c r="H53" s="417"/>
    </row>
    <row r="54" spans="1:8" ht="15">
      <c r="A54" s="415"/>
      <c r="B54" s="416" t="s">
        <v>744</v>
      </c>
      <c r="C54" s="417"/>
      <c r="D54" s="418"/>
      <c r="E54" s="419"/>
      <c r="F54" s="422" t="s">
        <v>745</v>
      </c>
      <c r="G54" s="423">
        <f>G53/($C$5)</f>
        <v>114.92033837595166</v>
      </c>
      <c r="H54" s="417"/>
    </row>
    <row r="55" spans="1:8">
      <c r="A55" s="408"/>
      <c r="B55" s="409"/>
      <c r="C55" s="410"/>
      <c r="D55" s="411"/>
      <c r="E55" s="412"/>
      <c r="F55" s="413"/>
      <c r="G55" s="414"/>
      <c r="H55" s="414"/>
    </row>
    <row r="56" spans="1:8">
      <c r="A56" s="424" t="s">
        <v>746</v>
      </c>
      <c r="B56" s="425"/>
      <c r="C56" s="424"/>
      <c r="D56" s="426"/>
      <c r="E56" s="427"/>
      <c r="F56" s="428" t="s">
        <v>747</v>
      </c>
      <c r="G56" s="428"/>
      <c r="H56" s="428"/>
    </row>
    <row r="57" spans="1:8">
      <c r="A57" s="429" t="s">
        <v>748</v>
      </c>
      <c r="B57" s="425"/>
      <c r="C57" s="424"/>
      <c r="D57" s="426"/>
      <c r="E57" s="427"/>
      <c r="F57" s="428" t="s">
        <v>749</v>
      </c>
      <c r="G57" s="428"/>
      <c r="H57" s="428"/>
    </row>
    <row r="58" spans="1:8">
      <c r="A58" s="430" t="s">
        <v>750</v>
      </c>
      <c r="B58" s="431">
        <v>25.16</v>
      </c>
      <c r="C58" s="432"/>
      <c r="D58" s="433"/>
      <c r="E58" s="434"/>
      <c r="F58" s="435">
        <v>45525</v>
      </c>
      <c r="G58" s="436"/>
      <c r="H58" s="436"/>
    </row>
    <row r="59" spans="1:8">
      <c r="A59" s="437"/>
      <c r="B59" s="438"/>
      <c r="C59" s="310"/>
      <c r="D59" s="439"/>
      <c r="E59" s="384"/>
      <c r="F59" s="440"/>
      <c r="G59" s="441"/>
      <c r="H59" s="441"/>
    </row>
    <row r="60" spans="1:8">
      <c r="A60" s="442"/>
      <c r="B60" s="443" t="s">
        <v>751</v>
      </c>
      <c r="C60" s="310"/>
      <c r="D60" s="311"/>
      <c r="E60" s="310"/>
      <c r="F60" s="310"/>
      <c r="G60" s="312"/>
      <c r="H60" s="312"/>
    </row>
    <row r="61" spans="1:8">
      <c r="A61" s="442" t="s">
        <v>738</v>
      </c>
      <c r="B61" s="571" t="s">
        <v>752</v>
      </c>
      <c r="C61" s="571"/>
      <c r="D61" s="571"/>
      <c r="E61" s="571"/>
      <c r="F61" s="571"/>
      <c r="G61" s="424"/>
      <c r="H61" s="424"/>
    </row>
    <row r="62" spans="1:8">
      <c r="A62" s="442" t="s">
        <v>753</v>
      </c>
      <c r="B62" s="572" t="s">
        <v>754</v>
      </c>
      <c r="C62" s="572"/>
      <c r="D62" s="572"/>
      <c r="E62" s="572"/>
      <c r="F62" s="572"/>
      <c r="G62" s="424"/>
      <c r="H62" s="424"/>
    </row>
    <row r="63" spans="1:8">
      <c r="A63" s="442" t="s">
        <v>755</v>
      </c>
      <c r="B63" s="429" t="s">
        <v>756</v>
      </c>
      <c r="C63" s="424"/>
      <c r="D63" s="429"/>
      <c r="E63" s="424"/>
      <c r="F63" s="424"/>
      <c r="G63" s="424"/>
      <c r="H63" s="424"/>
    </row>
    <row r="64" spans="1:8" ht="30.65" customHeight="1">
      <c r="A64" s="442" t="s">
        <v>757</v>
      </c>
      <c r="B64" s="572" t="s">
        <v>758</v>
      </c>
      <c r="C64" s="572"/>
      <c r="D64" s="572"/>
      <c r="E64" s="572"/>
      <c r="F64" s="572"/>
      <c r="G64" s="424"/>
      <c r="H64" s="424"/>
    </row>
    <row r="65" spans="1:8">
      <c r="A65" s="442" t="s">
        <v>759</v>
      </c>
      <c r="B65" s="429" t="s">
        <v>760</v>
      </c>
      <c r="C65" s="424"/>
      <c r="D65" s="429"/>
      <c r="E65" s="424"/>
      <c r="F65" s="424"/>
      <c r="G65" s="424"/>
      <c r="H65" s="424"/>
    </row>
    <row r="66" spans="1:8" ht="49.5" customHeight="1">
      <c r="A66" s="442" t="s">
        <v>761</v>
      </c>
      <c r="B66" s="572" t="s">
        <v>762</v>
      </c>
      <c r="C66" s="572"/>
      <c r="D66" s="572"/>
      <c r="E66" s="572"/>
      <c r="F66" s="572"/>
      <c r="G66" s="310"/>
      <c r="H66" s="310"/>
    </row>
    <row r="67" spans="1:8" ht="23.5" customHeight="1">
      <c r="A67" s="442" t="s">
        <v>763</v>
      </c>
      <c r="B67" s="572" t="s">
        <v>764</v>
      </c>
      <c r="C67" s="572"/>
      <c r="D67" s="572"/>
      <c r="E67" s="572"/>
      <c r="F67" s="572"/>
      <c r="G67" s="310"/>
      <c r="H67" s="310"/>
    </row>
  </sheetData>
  <protectedRanges>
    <protectedRange sqref="C8:C9" name="Oblast1_2_1_2_1_1"/>
    <protectedRange sqref="F8:F9" name="Oblast1_2_1_2_2_1"/>
    <protectedRange sqref="C15 C13" name="Oblast2_1_8_1_1"/>
    <protectedRange sqref="C11" name="Oblast2_1_22_4_1"/>
    <protectedRange sqref="C14" name="Oblast2_1_14_1_1"/>
    <protectedRange sqref="C17" name="Oblast2_1_11_4_1_1"/>
    <protectedRange sqref="C19:C20" name="Oblast2_1_12_4_3_1"/>
    <protectedRange sqref="C36 C32:C33" name="Oblast2_1_11_1_3_1_1"/>
    <protectedRange sqref="C23" name="Oblast2_1_15_3_1_1"/>
    <protectedRange sqref="C26" name="Oblast2_1_1_3_3_1_2_1"/>
    <protectedRange sqref="C28" name="Oblast2_1_30_3_1_1"/>
  </protectedRanges>
  <mergeCells count="11">
    <mergeCell ref="F8:H8"/>
    <mergeCell ref="A8:A9"/>
    <mergeCell ref="B8:B9"/>
    <mergeCell ref="C8:C9"/>
    <mergeCell ref="D8:D9"/>
    <mergeCell ref="E8:E9"/>
    <mergeCell ref="B61:F61"/>
    <mergeCell ref="B62:F62"/>
    <mergeCell ref="B64:F64"/>
    <mergeCell ref="B66:F66"/>
    <mergeCell ref="B67:F6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CA95-6E7A-482E-9DC2-00DD331A3FCC}">
  <dimension ref="A1:J153"/>
  <sheetViews>
    <sheetView zoomScale="130" zoomScaleNormal="130" workbookViewId="0">
      <selection activeCell="A15" sqref="A15"/>
    </sheetView>
  </sheetViews>
  <sheetFormatPr defaultColWidth="8.81640625" defaultRowHeight="14"/>
  <cols>
    <col min="1" max="1" width="29.81640625" style="87" bestFit="1" customWidth="1"/>
    <col min="2" max="2" width="13.81640625" style="87" bestFit="1" customWidth="1"/>
    <col min="3" max="3" width="6.81640625" style="87" customWidth="1"/>
    <col min="4" max="4" width="12.54296875" style="87" customWidth="1"/>
    <col min="5" max="5" width="0.81640625" style="87" customWidth="1"/>
    <col min="6" max="6" width="12.54296875" style="584" customWidth="1"/>
    <col min="7" max="7" width="0.81640625" style="87" customWidth="1"/>
    <col min="8" max="9" width="12.54296875" style="87" customWidth="1"/>
    <col min="10" max="16384" width="8.81640625" style="87"/>
  </cols>
  <sheetData>
    <row r="1" spans="1:10">
      <c r="A1" s="537"/>
      <c r="B1" s="537"/>
      <c r="C1" s="537"/>
      <c r="D1" s="537"/>
      <c r="E1" s="537"/>
      <c r="F1" s="537"/>
      <c r="G1" s="537"/>
      <c r="H1" s="537"/>
      <c r="I1" s="537"/>
    </row>
    <row r="2" spans="1:10" ht="14.5" customHeight="1">
      <c r="A2" s="537" t="s">
        <v>776</v>
      </c>
      <c r="B2" s="537"/>
      <c r="C2" s="537"/>
      <c r="D2" s="537"/>
      <c r="E2" s="537"/>
      <c r="F2" s="537"/>
      <c r="G2" s="537"/>
      <c r="H2" s="537"/>
      <c r="I2" s="537"/>
    </row>
    <row r="3" spans="1:10" ht="14.5" customHeight="1">
      <c r="A3" s="537" t="s">
        <v>92</v>
      </c>
      <c r="B3" s="537"/>
      <c r="C3" s="537"/>
      <c r="D3" s="537"/>
      <c r="E3" s="537"/>
      <c r="F3" s="537"/>
      <c r="G3" s="537"/>
      <c r="H3" s="537"/>
      <c r="I3" s="537"/>
    </row>
    <row r="4" spans="1:10" ht="14.5" customHeight="1">
      <c r="A4" s="537" t="s">
        <v>779</v>
      </c>
      <c r="B4" s="537"/>
      <c r="C4" s="537"/>
      <c r="D4" s="537"/>
      <c r="E4" s="537"/>
      <c r="F4" s="537"/>
      <c r="G4" s="537"/>
      <c r="H4" s="537"/>
      <c r="I4" s="537"/>
    </row>
    <row r="5" spans="1:10" ht="14.5" customHeight="1">
      <c r="A5" s="537"/>
      <c r="B5" s="537"/>
      <c r="C5" s="537"/>
      <c r="D5" s="537"/>
      <c r="E5" s="537"/>
      <c r="F5" s="537"/>
      <c r="G5" s="537"/>
      <c r="H5" s="537"/>
      <c r="I5" s="537"/>
    </row>
    <row r="6" spans="1:10">
      <c r="A6" s="86"/>
      <c r="B6" s="483" t="s">
        <v>93</v>
      </c>
      <c r="C6" s="483"/>
      <c r="D6" s="84" t="s">
        <v>94</v>
      </c>
      <c r="E6" s="484"/>
      <c r="F6" s="580" t="s">
        <v>777</v>
      </c>
      <c r="G6" s="484"/>
      <c r="H6" s="579" t="s">
        <v>95</v>
      </c>
      <c r="I6" s="579"/>
      <c r="J6" s="484"/>
    </row>
    <row r="7" spans="1:10">
      <c r="A7" s="86"/>
      <c r="B7" s="86"/>
      <c r="C7" s="85" t="s">
        <v>96</v>
      </c>
      <c r="D7" s="83" t="s">
        <v>97</v>
      </c>
      <c r="E7" s="484"/>
      <c r="F7" s="581" t="s">
        <v>97</v>
      </c>
      <c r="G7" s="484"/>
      <c r="H7" s="579" t="s">
        <v>98</v>
      </c>
      <c r="I7" s="579"/>
      <c r="J7" s="484"/>
    </row>
    <row r="8" spans="1:10">
      <c r="A8" s="85" t="s">
        <v>99</v>
      </c>
      <c r="B8" s="85" t="s">
        <v>100</v>
      </c>
      <c r="C8" s="85" t="s">
        <v>101</v>
      </c>
      <c r="D8" s="83" t="s">
        <v>102</v>
      </c>
      <c r="E8" s="484"/>
      <c r="F8" s="581" t="s">
        <v>102</v>
      </c>
      <c r="G8" s="484"/>
      <c r="H8" s="485" t="s">
        <v>103</v>
      </c>
      <c r="I8" s="485" t="s">
        <v>104</v>
      </c>
      <c r="J8" s="484"/>
    </row>
    <row r="9" spans="1:10">
      <c r="A9" s="486" t="s">
        <v>105</v>
      </c>
      <c r="B9" s="486" t="s">
        <v>106</v>
      </c>
      <c r="C9" s="486" t="s">
        <v>107</v>
      </c>
      <c r="D9" s="487">
        <v>1.0534079999999999E-2</v>
      </c>
      <c r="E9" s="488"/>
      <c r="F9" s="521">
        <v>1.0755000000000001E-2</v>
      </c>
      <c r="G9" s="487"/>
      <c r="H9" s="489">
        <f>(F9-D9)</f>
        <v>2.2092000000000118E-4</v>
      </c>
      <c r="I9" s="490">
        <f>H9/D9</f>
        <v>2.0971931103618086E-2</v>
      </c>
    </row>
    <row r="10" spans="1:10">
      <c r="A10" s="486" t="s">
        <v>108</v>
      </c>
      <c r="B10" s="486" t="s">
        <v>109</v>
      </c>
      <c r="C10" s="486" t="s">
        <v>110</v>
      </c>
      <c r="D10" s="487">
        <v>7.4608799999999996E-3</v>
      </c>
      <c r="E10" s="488"/>
      <c r="F10" s="521">
        <v>7.5002000000000003E-3</v>
      </c>
      <c r="G10" s="487"/>
      <c r="H10" s="489">
        <f t="shared" ref="H10:H73" si="0">(F10-D10)</f>
        <v>3.9320000000000674E-5</v>
      </c>
      <c r="I10" s="490">
        <f t="shared" ref="I10:I73" si="1">H10/D10</f>
        <v>5.2701557993159887E-3</v>
      </c>
    </row>
    <row r="11" spans="1:10">
      <c r="A11" s="486" t="s">
        <v>111</v>
      </c>
      <c r="B11" s="486" t="s">
        <v>112</v>
      </c>
      <c r="C11" s="486" t="s">
        <v>113</v>
      </c>
      <c r="D11" s="487">
        <v>1.19768E-3</v>
      </c>
      <c r="E11" s="488"/>
      <c r="F11" s="521">
        <v>1.0868500000000001E-3</v>
      </c>
      <c r="G11" s="487"/>
      <c r="H11" s="489">
        <f t="shared" si="0"/>
        <v>-1.1082999999999991E-4</v>
      </c>
      <c r="I11" s="490">
        <f t="shared" si="1"/>
        <v>-9.2537238661411989E-2</v>
      </c>
    </row>
    <row r="12" spans="1:10">
      <c r="A12" s="486" t="s">
        <v>114</v>
      </c>
      <c r="B12" s="486" t="s">
        <v>115</v>
      </c>
      <c r="C12" s="486" t="s">
        <v>116</v>
      </c>
      <c r="D12" s="487">
        <v>7.1429000000000002E-4</v>
      </c>
      <c r="E12" s="488"/>
      <c r="F12" s="521">
        <v>7.1429000000000002E-4</v>
      </c>
      <c r="G12" s="487"/>
      <c r="H12" s="489">
        <f>(F12-D12)</f>
        <v>0</v>
      </c>
      <c r="I12" s="490">
        <f t="shared" si="1"/>
        <v>0</v>
      </c>
    </row>
    <row r="13" spans="1:10">
      <c r="A13" s="486" t="s">
        <v>117</v>
      </c>
      <c r="B13" s="486" t="s">
        <v>118</v>
      </c>
      <c r="C13" s="486" t="s">
        <v>119</v>
      </c>
      <c r="D13" s="487">
        <v>0.55865922000000001</v>
      </c>
      <c r="E13" s="488"/>
      <c r="F13" s="521">
        <v>0.55865922000000001</v>
      </c>
      <c r="G13" s="487"/>
      <c r="H13" s="489">
        <f t="shared" si="0"/>
        <v>0</v>
      </c>
      <c r="I13" s="490">
        <f t="shared" si="1"/>
        <v>0</v>
      </c>
    </row>
    <row r="14" spans="1:10">
      <c r="A14" s="486" t="s">
        <v>120</v>
      </c>
      <c r="B14" s="486" t="s">
        <v>121</v>
      </c>
      <c r="C14" s="486" t="s">
        <v>122</v>
      </c>
      <c r="D14" s="487">
        <v>0.66</v>
      </c>
      <c r="E14" s="488"/>
      <c r="F14" s="521">
        <v>0.65</v>
      </c>
      <c r="G14" s="487"/>
      <c r="H14" s="489">
        <f t="shared" si="0"/>
        <v>-1.0000000000000009E-2</v>
      </c>
      <c r="I14" s="490">
        <f t="shared" si="1"/>
        <v>-1.5151515151515164E-2</v>
      </c>
    </row>
    <row r="15" spans="1:10">
      <c r="A15" s="486" t="s">
        <v>123</v>
      </c>
      <c r="B15" s="486" t="s">
        <v>123</v>
      </c>
      <c r="C15" s="486" t="s">
        <v>124</v>
      </c>
      <c r="D15" s="487">
        <v>0.58899752999999999</v>
      </c>
      <c r="E15" s="488"/>
      <c r="F15" s="521">
        <v>0.58820068999999997</v>
      </c>
      <c r="G15" s="487"/>
      <c r="H15" s="489">
        <f t="shared" si="0"/>
        <v>-7.9684000000002086E-4</v>
      </c>
      <c r="I15" s="490">
        <f t="shared" si="1"/>
        <v>-1.352874943295638E-3</v>
      </c>
    </row>
    <row r="16" spans="1:10">
      <c r="A16" s="486" t="s">
        <v>125</v>
      </c>
      <c r="B16" s="486" t="s">
        <v>121</v>
      </c>
      <c r="C16" s="486" t="s">
        <v>126</v>
      </c>
      <c r="D16" s="487">
        <v>1</v>
      </c>
      <c r="E16" s="488"/>
      <c r="F16" s="521">
        <v>1</v>
      </c>
      <c r="G16" s="487"/>
      <c r="H16" s="489">
        <f t="shared" si="0"/>
        <v>0</v>
      </c>
      <c r="I16" s="490">
        <f t="shared" si="1"/>
        <v>0</v>
      </c>
    </row>
    <row r="17" spans="1:9">
      <c r="A17" s="486" t="s">
        <v>127</v>
      </c>
      <c r="B17" s="486" t="s">
        <v>109</v>
      </c>
      <c r="C17" s="486" t="s">
        <v>128</v>
      </c>
      <c r="D17" s="487">
        <v>2.6525902499999998</v>
      </c>
      <c r="E17" s="488"/>
      <c r="F17" s="521">
        <v>2.6528013600000002</v>
      </c>
      <c r="G17" s="487"/>
      <c r="H17" s="489">
        <f t="shared" si="0"/>
        <v>2.1111000000040292E-4</v>
      </c>
      <c r="I17" s="490">
        <f t="shared" si="1"/>
        <v>7.9586359031668362E-5</v>
      </c>
    </row>
    <row r="18" spans="1:9">
      <c r="A18" s="486" t="s">
        <v>129</v>
      </c>
      <c r="B18" s="486" t="s">
        <v>130</v>
      </c>
      <c r="C18" s="486" t="s">
        <v>131</v>
      </c>
      <c r="D18" s="487">
        <v>9.0442500000000002E-3</v>
      </c>
      <c r="E18" s="488"/>
      <c r="F18" s="521">
        <v>8.3648999999999998E-3</v>
      </c>
      <c r="G18" s="487"/>
      <c r="H18" s="489">
        <f t="shared" si="0"/>
        <v>-6.7935000000000044E-4</v>
      </c>
      <c r="I18" s="490">
        <f t="shared" si="1"/>
        <v>-7.5114022721618753E-2</v>
      </c>
    </row>
    <row r="19" spans="1:9">
      <c r="A19" s="486" t="s">
        <v>132</v>
      </c>
      <c r="B19" s="486" t="s">
        <v>121</v>
      </c>
      <c r="C19" s="486" t="s">
        <v>133</v>
      </c>
      <c r="D19" s="487">
        <v>0.5</v>
      </c>
      <c r="E19" s="488"/>
      <c r="F19" s="521">
        <v>0.5</v>
      </c>
      <c r="G19" s="487"/>
      <c r="H19" s="489">
        <f t="shared" si="0"/>
        <v>0</v>
      </c>
      <c r="I19" s="490">
        <f t="shared" si="1"/>
        <v>0</v>
      </c>
    </row>
    <row r="20" spans="1:9">
      <c r="A20" s="486" t="s">
        <v>134</v>
      </c>
      <c r="B20" s="486" t="s">
        <v>135</v>
      </c>
      <c r="C20" s="486" t="s">
        <v>136</v>
      </c>
      <c r="D20" s="487">
        <v>3.044E-5</v>
      </c>
      <c r="E20" s="488"/>
      <c r="F20" s="521">
        <v>3.065E-5</v>
      </c>
      <c r="G20" s="487"/>
      <c r="H20" s="489">
        <f t="shared" si="0"/>
        <v>2.0999999999999968E-7</v>
      </c>
      <c r="I20" s="490">
        <f t="shared" si="1"/>
        <v>6.8988173455978869E-3</v>
      </c>
    </row>
    <row r="21" spans="1:9">
      <c r="A21" s="486" t="s">
        <v>137</v>
      </c>
      <c r="B21" s="486" t="s">
        <v>121</v>
      </c>
      <c r="C21" s="486" t="s">
        <v>138</v>
      </c>
      <c r="D21" s="487">
        <v>0.5</v>
      </c>
      <c r="E21" s="488"/>
      <c r="F21" s="521">
        <v>0.5</v>
      </c>
      <c r="G21" s="487"/>
      <c r="H21" s="489">
        <f t="shared" si="0"/>
        <v>0</v>
      </c>
      <c r="I21" s="490">
        <f t="shared" si="1"/>
        <v>0</v>
      </c>
    </row>
    <row r="22" spans="1:9">
      <c r="A22" s="486" t="s">
        <v>139</v>
      </c>
      <c r="B22" s="486" t="s">
        <v>121</v>
      </c>
      <c r="C22" s="486" t="s">
        <v>140</v>
      </c>
      <c r="D22" s="487">
        <v>1</v>
      </c>
      <c r="E22" s="488"/>
      <c r="F22" s="521">
        <v>1</v>
      </c>
      <c r="G22" s="487"/>
      <c r="H22" s="489">
        <f t="shared" si="0"/>
        <v>0</v>
      </c>
      <c r="I22" s="490">
        <f t="shared" si="1"/>
        <v>0</v>
      </c>
    </row>
    <row r="23" spans="1:9">
      <c r="A23" s="486" t="s">
        <v>141</v>
      </c>
      <c r="B23" s="486" t="s">
        <v>142</v>
      </c>
      <c r="C23" s="486" t="s">
        <v>143</v>
      </c>
      <c r="D23" s="487">
        <v>1.1996710000000001E-2</v>
      </c>
      <c r="E23" s="488"/>
      <c r="F23" s="521">
        <v>1.185201E-2</v>
      </c>
      <c r="G23" s="487"/>
      <c r="H23" s="489">
        <f t="shared" si="0"/>
        <v>-1.4470000000000108E-4</v>
      </c>
      <c r="I23" s="490">
        <f t="shared" si="1"/>
        <v>-1.2061640233030645E-2</v>
      </c>
    </row>
    <row r="24" spans="1:9">
      <c r="A24" s="486" t="s">
        <v>144</v>
      </c>
      <c r="B24" s="486" t="s">
        <v>145</v>
      </c>
      <c r="C24" s="486" t="s">
        <v>146</v>
      </c>
      <c r="D24" s="487">
        <v>0.14440433</v>
      </c>
      <c r="E24" s="488"/>
      <c r="F24" s="521">
        <v>0.14498006999999999</v>
      </c>
      <c r="G24" s="487"/>
      <c r="H24" s="489">
        <f t="shared" si="0"/>
        <v>5.7573999999999126E-4</v>
      </c>
      <c r="I24" s="490">
        <f t="shared" si="1"/>
        <v>3.9869995588081826E-3</v>
      </c>
    </row>
    <row r="25" spans="1:9">
      <c r="A25" s="486" t="s">
        <v>147</v>
      </c>
      <c r="B25" s="486" t="s">
        <v>148</v>
      </c>
      <c r="C25" s="486" t="s">
        <v>149</v>
      </c>
      <c r="D25" s="487">
        <v>7.46E-2</v>
      </c>
      <c r="E25" s="488"/>
      <c r="F25" s="521">
        <v>7.3599999999999999E-2</v>
      </c>
      <c r="G25" s="487"/>
      <c r="H25" s="489">
        <f t="shared" si="0"/>
        <v>-1.0000000000000009E-3</v>
      </c>
      <c r="I25" s="490">
        <f t="shared" si="1"/>
        <v>-1.3404825737265428E-2</v>
      </c>
    </row>
    <row r="26" spans="1:9">
      <c r="A26" s="486" t="s">
        <v>150</v>
      </c>
      <c r="B26" s="486" t="s">
        <v>151</v>
      </c>
      <c r="C26" s="486" t="s">
        <v>152</v>
      </c>
      <c r="D26" s="487">
        <v>0.2</v>
      </c>
      <c r="E26" s="488"/>
      <c r="F26" s="521">
        <v>0.18518519</v>
      </c>
      <c r="G26" s="487"/>
      <c r="H26" s="489">
        <f t="shared" si="0"/>
        <v>-1.4814810000000012E-2</v>
      </c>
      <c r="I26" s="490">
        <f t="shared" si="1"/>
        <v>-7.4074050000000058E-2</v>
      </c>
    </row>
    <row r="27" spans="1:9">
      <c r="A27" s="486" t="s">
        <v>153</v>
      </c>
      <c r="B27" s="486" t="s">
        <v>121</v>
      </c>
      <c r="C27" s="486" t="s">
        <v>154</v>
      </c>
      <c r="D27" s="487">
        <v>0.74710496999999998</v>
      </c>
      <c r="E27" s="488"/>
      <c r="F27" s="521">
        <v>0.74460163999999995</v>
      </c>
      <c r="G27" s="487"/>
      <c r="H27" s="489">
        <f t="shared" si="0"/>
        <v>-2.5033300000000258E-3</v>
      </c>
      <c r="I27" s="490">
        <f t="shared" si="1"/>
        <v>-3.3507071971426261E-3</v>
      </c>
    </row>
    <row r="28" spans="1:9">
      <c r="A28" s="486" t="s">
        <v>155</v>
      </c>
      <c r="B28" s="486" t="s">
        <v>156</v>
      </c>
      <c r="C28" s="486" t="s">
        <v>157</v>
      </c>
      <c r="D28" s="487">
        <v>0.55797344000000004</v>
      </c>
      <c r="E28" s="488"/>
      <c r="F28" s="521">
        <v>0.53896734000000002</v>
      </c>
      <c r="G28" s="487"/>
      <c r="H28" s="489">
        <f t="shared" si="0"/>
        <v>-1.9006100000000026E-2</v>
      </c>
      <c r="I28" s="490">
        <f t="shared" si="1"/>
        <v>-3.4062732448340238E-2</v>
      </c>
    </row>
    <row r="29" spans="1:9">
      <c r="A29" s="486" t="s">
        <v>158</v>
      </c>
      <c r="B29" s="486" t="s">
        <v>159</v>
      </c>
      <c r="C29" s="486" t="s">
        <v>160</v>
      </c>
      <c r="D29" s="487">
        <v>3.5188E-4</v>
      </c>
      <c r="E29" s="488"/>
      <c r="F29" s="521">
        <v>3.4227999999999998E-4</v>
      </c>
      <c r="G29" s="487"/>
      <c r="H29" s="489">
        <f t="shared" si="0"/>
        <v>-9.6000000000000165E-6</v>
      </c>
      <c r="I29" s="490">
        <f t="shared" si="1"/>
        <v>-2.728202796407871E-2</v>
      </c>
    </row>
    <row r="30" spans="1:9">
      <c r="A30" s="486" t="s">
        <v>161</v>
      </c>
      <c r="B30" s="486" t="s">
        <v>162</v>
      </c>
      <c r="C30" s="486" t="s">
        <v>163</v>
      </c>
      <c r="D30" s="487">
        <v>2.4309000000000001E-4</v>
      </c>
      <c r="E30" s="488"/>
      <c r="F30" s="521">
        <v>2.4750999999999999E-4</v>
      </c>
      <c r="G30" s="487"/>
      <c r="H30" s="489">
        <f t="shared" si="0"/>
        <v>4.4199999999999882E-6</v>
      </c>
      <c r="I30" s="490">
        <f t="shared" si="1"/>
        <v>1.8182566127771558E-2</v>
      </c>
    </row>
    <row r="31" spans="1:9">
      <c r="A31" s="486" t="s">
        <v>164</v>
      </c>
      <c r="B31" s="486" t="s">
        <v>165</v>
      </c>
      <c r="C31" s="486" t="s">
        <v>166</v>
      </c>
      <c r="D31" s="487">
        <v>0.73</v>
      </c>
      <c r="E31" s="488"/>
      <c r="F31" s="521">
        <v>0.72</v>
      </c>
      <c r="G31" s="487"/>
      <c r="H31" s="489">
        <f t="shared" si="0"/>
        <v>-1.0000000000000009E-2</v>
      </c>
      <c r="I31" s="490">
        <f t="shared" si="1"/>
        <v>-1.3698630136986314E-2</v>
      </c>
    </row>
    <row r="32" spans="1:9">
      <c r="A32" s="486" t="s">
        <v>167</v>
      </c>
      <c r="B32" s="486" t="s">
        <v>168</v>
      </c>
      <c r="C32" s="486" t="s">
        <v>169</v>
      </c>
      <c r="D32" s="487">
        <v>9.8622499999999995E-3</v>
      </c>
      <c r="E32" s="488"/>
      <c r="F32" s="521">
        <v>9.5190399999999994E-3</v>
      </c>
      <c r="G32" s="487"/>
      <c r="H32" s="489">
        <f t="shared" si="0"/>
        <v>-3.4321000000000004E-4</v>
      </c>
      <c r="I32" s="490">
        <f t="shared" si="1"/>
        <v>-3.4800375167938359E-2</v>
      </c>
    </row>
    <row r="33" spans="1:9">
      <c r="A33" s="486" t="s">
        <v>170</v>
      </c>
      <c r="B33" s="486" t="s">
        <v>121</v>
      </c>
      <c r="C33" s="486" t="s">
        <v>171</v>
      </c>
      <c r="D33" s="487">
        <v>1.2195</v>
      </c>
      <c r="E33" s="488"/>
      <c r="F33" s="521">
        <v>1.2195</v>
      </c>
      <c r="G33" s="487"/>
      <c r="H33" s="489">
        <f t="shared" si="0"/>
        <v>0</v>
      </c>
      <c r="I33" s="490">
        <f t="shared" si="1"/>
        <v>0</v>
      </c>
    </row>
    <row r="34" spans="1:9">
      <c r="A34" s="486" t="s">
        <v>172</v>
      </c>
      <c r="B34" s="486" t="s">
        <v>159</v>
      </c>
      <c r="C34" s="486" t="s">
        <v>173</v>
      </c>
      <c r="D34" s="487">
        <v>1.66333E-3</v>
      </c>
      <c r="E34" s="488"/>
      <c r="F34" s="521">
        <v>1.60739E-3</v>
      </c>
      <c r="G34" s="487"/>
      <c r="H34" s="489">
        <f t="shared" si="0"/>
        <v>-5.5939999999999983E-5</v>
      </c>
      <c r="I34" s="490">
        <f t="shared" si="1"/>
        <v>-3.3631329922504845E-2</v>
      </c>
    </row>
    <row r="35" spans="1:9">
      <c r="A35" s="486" t="s">
        <v>174</v>
      </c>
      <c r="B35" s="486" t="s">
        <v>115</v>
      </c>
      <c r="C35" s="486" t="s">
        <v>175</v>
      </c>
      <c r="D35" s="487">
        <v>1.11111E-3</v>
      </c>
      <c r="E35" s="488"/>
      <c r="F35" s="521">
        <v>1.11111E-3</v>
      </c>
      <c r="G35" s="487"/>
      <c r="H35" s="489">
        <f t="shared" si="0"/>
        <v>0</v>
      </c>
      <c r="I35" s="490">
        <f t="shared" si="1"/>
        <v>0</v>
      </c>
    </row>
    <row r="36" spans="1:9">
      <c r="A36" s="486" t="s">
        <v>176</v>
      </c>
      <c r="B36" s="486" t="s">
        <v>177</v>
      </c>
      <c r="C36" s="486" t="s">
        <v>178</v>
      </c>
      <c r="D36" s="487">
        <v>0.14004229000000001</v>
      </c>
      <c r="E36" s="488"/>
      <c r="F36" s="521">
        <v>0.13801669999999999</v>
      </c>
      <c r="G36" s="487"/>
      <c r="H36" s="489">
        <f t="shared" si="0"/>
        <v>-2.0255900000000215E-3</v>
      </c>
      <c r="I36" s="490">
        <f t="shared" si="1"/>
        <v>-1.4464130799346549E-2</v>
      </c>
    </row>
    <row r="37" spans="1:9">
      <c r="A37" s="486" t="s">
        <v>179</v>
      </c>
      <c r="B37" s="486" t="s">
        <v>115</v>
      </c>
      <c r="C37" s="486" t="s">
        <v>180</v>
      </c>
      <c r="D37" s="487">
        <v>2.4096E-4</v>
      </c>
      <c r="E37" s="488"/>
      <c r="F37" s="521">
        <v>2.4096E-4</v>
      </c>
      <c r="G37" s="487"/>
      <c r="H37" s="489">
        <f t="shared" si="0"/>
        <v>0</v>
      </c>
      <c r="I37" s="490">
        <f t="shared" si="1"/>
        <v>0</v>
      </c>
    </row>
    <row r="38" spans="1:9">
      <c r="A38" s="486" t="s">
        <v>181</v>
      </c>
      <c r="B38" s="486" t="s">
        <v>182</v>
      </c>
      <c r="C38" s="486" t="s">
        <v>183</v>
      </c>
      <c r="D38" s="487">
        <v>1.78571E-3</v>
      </c>
      <c r="E38" s="488"/>
      <c r="F38" s="521">
        <v>1.80349E-3</v>
      </c>
      <c r="G38" s="487"/>
      <c r="H38" s="489">
        <f t="shared" si="0"/>
        <v>1.7780000000000009E-5</v>
      </c>
      <c r="I38" s="490">
        <f t="shared" si="1"/>
        <v>9.9568238963773561E-3</v>
      </c>
    </row>
    <row r="39" spans="1:9">
      <c r="A39" s="486" t="s">
        <v>184</v>
      </c>
      <c r="B39" s="486" t="s">
        <v>185</v>
      </c>
      <c r="C39" s="486" t="s">
        <v>186</v>
      </c>
      <c r="D39" s="487">
        <v>0.14481000999999999</v>
      </c>
      <c r="E39" s="488"/>
      <c r="F39" s="521">
        <v>0.13994039</v>
      </c>
      <c r="G39" s="487"/>
      <c r="H39" s="489">
        <f t="shared" si="0"/>
        <v>-4.8696199999999912E-3</v>
      </c>
      <c r="I39" s="490">
        <f t="shared" si="1"/>
        <v>-3.3627647701978555E-2</v>
      </c>
    </row>
    <row r="40" spans="1:9">
      <c r="A40" s="486" t="s">
        <v>187</v>
      </c>
      <c r="B40" s="486" t="s">
        <v>188</v>
      </c>
      <c r="C40" s="486" t="s">
        <v>189</v>
      </c>
      <c r="D40" s="487">
        <v>1.86428039</v>
      </c>
      <c r="E40" s="488"/>
      <c r="F40" s="521">
        <v>1.8014772100000001</v>
      </c>
      <c r="G40" s="487"/>
      <c r="H40" s="489">
        <f t="shared" si="0"/>
        <v>-6.2803179999999958E-2</v>
      </c>
      <c r="I40" s="490">
        <f t="shared" si="1"/>
        <v>-3.3687625711709579E-2</v>
      </c>
    </row>
    <row r="41" spans="1:9">
      <c r="A41" s="486" t="s">
        <v>190</v>
      </c>
      <c r="B41" s="486" t="s">
        <v>191</v>
      </c>
      <c r="C41" s="486" t="s">
        <v>192</v>
      </c>
      <c r="D41" s="487">
        <v>4.4487939999999997E-2</v>
      </c>
      <c r="E41" s="488"/>
      <c r="F41" s="521">
        <v>4.1694290000000002E-2</v>
      </c>
      <c r="G41" s="487"/>
      <c r="H41" s="489">
        <f t="shared" si="0"/>
        <v>-2.7936499999999947E-3</v>
      </c>
      <c r="I41" s="490">
        <f t="shared" si="1"/>
        <v>-6.279567001753722E-2</v>
      </c>
    </row>
    <row r="42" spans="1:9">
      <c r="A42" s="486" t="s">
        <v>193</v>
      </c>
      <c r="B42" s="486" t="s">
        <v>194</v>
      </c>
      <c r="C42" s="486" t="s">
        <v>195</v>
      </c>
      <c r="D42" s="487">
        <v>0.14635717000000001</v>
      </c>
      <c r="E42" s="488"/>
      <c r="F42" s="521">
        <v>0.14134276000000001</v>
      </c>
      <c r="G42" s="487"/>
      <c r="H42" s="489">
        <f t="shared" si="0"/>
        <v>-5.0144099999999969E-3</v>
      </c>
      <c r="I42" s="490">
        <f t="shared" si="1"/>
        <v>-3.4261457774839431E-2</v>
      </c>
    </row>
    <row r="43" spans="1:9">
      <c r="A43" s="486" t="s">
        <v>196</v>
      </c>
      <c r="B43" s="486" t="s">
        <v>159</v>
      </c>
      <c r="C43" s="486" t="s">
        <v>197</v>
      </c>
      <c r="D43" s="487">
        <v>5.6175000000000001E-3</v>
      </c>
      <c r="E43" s="488"/>
      <c r="F43" s="521">
        <v>5.6290100000000003E-3</v>
      </c>
      <c r="G43" s="487"/>
      <c r="H43" s="489">
        <f t="shared" si="0"/>
        <v>1.1510000000000166E-5</v>
      </c>
      <c r="I43" s="490">
        <f t="shared" si="1"/>
        <v>2.0489541611037232E-3</v>
      </c>
    </row>
    <row r="44" spans="1:9">
      <c r="A44" s="486" t="s">
        <v>198</v>
      </c>
      <c r="B44" s="486" t="s">
        <v>121</v>
      </c>
      <c r="C44" s="486" t="s">
        <v>199</v>
      </c>
      <c r="D44" s="487">
        <v>0.37037037</v>
      </c>
      <c r="E44" s="488"/>
      <c r="F44" s="521">
        <v>0.37037037</v>
      </c>
      <c r="G44" s="487"/>
      <c r="H44" s="489">
        <f t="shared" si="0"/>
        <v>0</v>
      </c>
      <c r="I44" s="490">
        <f t="shared" si="1"/>
        <v>0</v>
      </c>
    </row>
    <row r="45" spans="1:9">
      <c r="A45" s="486" t="s">
        <v>200</v>
      </c>
      <c r="B45" s="486" t="s">
        <v>115</v>
      </c>
      <c r="C45" s="486" t="s">
        <v>201</v>
      </c>
      <c r="D45" s="487">
        <v>1.6744829999999999E-2</v>
      </c>
      <c r="E45" s="488"/>
      <c r="F45" s="521">
        <v>1.6182680000000001E-2</v>
      </c>
      <c r="G45" s="487"/>
      <c r="H45" s="489">
        <f t="shared" si="0"/>
        <v>-5.6214999999999737E-4</v>
      </c>
      <c r="I45" s="490">
        <f t="shared" si="1"/>
        <v>-3.3571556116126437E-2</v>
      </c>
    </row>
    <row r="46" spans="1:9">
      <c r="A46" s="486" t="s">
        <v>202</v>
      </c>
      <c r="B46" s="486" t="s">
        <v>188</v>
      </c>
      <c r="C46" s="486" t="s">
        <v>203</v>
      </c>
      <c r="D46" s="487">
        <v>3.2362149999999999E-2</v>
      </c>
      <c r="E46" s="488"/>
      <c r="F46" s="521">
        <v>2.010414E-2</v>
      </c>
      <c r="G46" s="487"/>
      <c r="H46" s="489">
        <f t="shared" si="0"/>
        <v>-1.225801E-2</v>
      </c>
      <c r="I46" s="490">
        <f t="shared" si="1"/>
        <v>-0.37877613199370253</v>
      </c>
    </row>
    <row r="47" spans="1:9">
      <c r="A47" s="486" t="s">
        <v>204</v>
      </c>
      <c r="B47" s="486" t="s">
        <v>182</v>
      </c>
      <c r="C47" s="486" t="s">
        <v>205</v>
      </c>
      <c r="D47" s="487">
        <v>0.11428571</v>
      </c>
      <c r="E47" s="488"/>
      <c r="F47" s="521">
        <v>0.11428571</v>
      </c>
      <c r="G47" s="487"/>
      <c r="H47" s="489">
        <f t="shared" si="0"/>
        <v>0</v>
      </c>
      <c r="I47" s="490">
        <f t="shared" si="1"/>
        <v>0</v>
      </c>
    </row>
    <row r="48" spans="1:9">
      <c r="A48" s="486" t="s">
        <v>206</v>
      </c>
      <c r="B48" s="486" t="s">
        <v>207</v>
      </c>
      <c r="C48" s="486" t="s">
        <v>208</v>
      </c>
      <c r="D48" s="487">
        <v>1.790421E-2</v>
      </c>
      <c r="E48" s="488"/>
      <c r="F48" s="521">
        <v>8.1258500000000004E-3</v>
      </c>
      <c r="G48" s="487"/>
      <c r="H48" s="489">
        <f t="shared" si="0"/>
        <v>-9.7783599999999998E-3</v>
      </c>
      <c r="I48" s="490">
        <f t="shared" si="1"/>
        <v>-0.54614864325206192</v>
      </c>
    </row>
    <row r="49" spans="1:9">
      <c r="A49" s="486" t="s">
        <v>209</v>
      </c>
      <c r="B49" s="486" t="s">
        <v>209</v>
      </c>
      <c r="C49" s="486" t="s">
        <v>210</v>
      </c>
      <c r="D49" s="487">
        <v>1.0900000000000001</v>
      </c>
      <c r="E49" s="488"/>
      <c r="F49" s="521">
        <v>1.05</v>
      </c>
      <c r="G49" s="487"/>
      <c r="H49" s="489">
        <f t="shared" si="0"/>
        <v>-4.0000000000000036E-2</v>
      </c>
      <c r="I49" s="490">
        <f t="shared" si="1"/>
        <v>-3.6697247706422048E-2</v>
      </c>
    </row>
    <row r="50" spans="1:9">
      <c r="A50" s="486" t="s">
        <v>211</v>
      </c>
      <c r="B50" s="486" t="s">
        <v>121</v>
      </c>
      <c r="C50" s="486" t="s">
        <v>212</v>
      </c>
      <c r="D50" s="487">
        <v>0.443</v>
      </c>
      <c r="E50" s="488"/>
      <c r="F50" s="521">
        <v>0.43719999999999998</v>
      </c>
      <c r="G50" s="487"/>
      <c r="H50" s="489">
        <f t="shared" si="0"/>
        <v>-5.8000000000000274E-3</v>
      </c>
      <c r="I50" s="490">
        <f t="shared" si="1"/>
        <v>-1.3092550790067782E-2</v>
      </c>
    </row>
    <row r="51" spans="1:9">
      <c r="A51" s="486" t="s">
        <v>213</v>
      </c>
      <c r="B51" s="486" t="s">
        <v>159</v>
      </c>
      <c r="C51" s="486" t="s">
        <v>214</v>
      </c>
      <c r="D51" s="487">
        <v>9.06122E-3</v>
      </c>
      <c r="E51" s="488"/>
      <c r="F51" s="521">
        <v>8.8613800000000003E-3</v>
      </c>
      <c r="G51" s="487"/>
      <c r="H51" s="489">
        <f t="shared" si="0"/>
        <v>-1.9983999999999974E-4</v>
      </c>
      <c r="I51" s="490">
        <f t="shared" si="1"/>
        <v>-2.2054425342282798E-2</v>
      </c>
    </row>
    <row r="52" spans="1:9">
      <c r="A52" s="486" t="s">
        <v>215</v>
      </c>
      <c r="B52" s="486" t="s">
        <v>216</v>
      </c>
      <c r="C52" s="486" t="s">
        <v>217</v>
      </c>
      <c r="D52" s="487">
        <v>1.503852E-2</v>
      </c>
      <c r="E52" s="488"/>
      <c r="F52" s="521">
        <v>1.422149E-2</v>
      </c>
      <c r="G52" s="487"/>
      <c r="H52" s="489">
        <f t="shared" si="0"/>
        <v>-8.1702999999999984E-4</v>
      </c>
      <c r="I52" s="490">
        <f t="shared" si="1"/>
        <v>-5.4329149410979265E-2</v>
      </c>
    </row>
    <row r="53" spans="1:9">
      <c r="A53" s="486" t="s">
        <v>218</v>
      </c>
      <c r="B53" s="486" t="s">
        <v>219</v>
      </c>
      <c r="C53" s="486" t="s">
        <v>220</v>
      </c>
      <c r="D53" s="487">
        <v>8.3699519999999999E-2</v>
      </c>
      <c r="E53" s="488"/>
      <c r="F53" s="521">
        <v>6.2893080000000004E-2</v>
      </c>
      <c r="G53" s="487"/>
      <c r="H53" s="489">
        <f t="shared" si="0"/>
        <v>-2.0806439999999995E-2</v>
      </c>
      <c r="I53" s="490">
        <f t="shared" si="1"/>
        <v>-0.24858493812150889</v>
      </c>
    </row>
    <row r="54" spans="1:9">
      <c r="A54" s="486" t="s">
        <v>221</v>
      </c>
      <c r="B54" s="486" t="s">
        <v>222</v>
      </c>
      <c r="C54" s="486" t="s">
        <v>223</v>
      </c>
      <c r="D54" s="487">
        <v>0.12776238000000001</v>
      </c>
      <c r="E54" s="488"/>
      <c r="F54" s="521">
        <v>0.12959243000000001</v>
      </c>
      <c r="G54" s="487"/>
      <c r="H54" s="489">
        <f t="shared" si="0"/>
        <v>1.8300499999999997E-3</v>
      </c>
      <c r="I54" s="490">
        <f t="shared" si="1"/>
        <v>1.4323856521771115E-2</v>
      </c>
    </row>
    <row r="55" spans="1:9">
      <c r="A55" s="486" t="s">
        <v>224</v>
      </c>
      <c r="B55" s="486" t="s">
        <v>225</v>
      </c>
      <c r="C55" s="486" t="s">
        <v>226</v>
      </c>
      <c r="D55" s="487">
        <v>1.1616E-4</v>
      </c>
      <c r="E55" s="488"/>
      <c r="F55" s="521">
        <v>1.1644E-4</v>
      </c>
      <c r="G55" s="487"/>
      <c r="H55" s="489">
        <f t="shared" si="0"/>
        <v>2.800000000000041E-7</v>
      </c>
      <c r="I55" s="490">
        <f t="shared" si="1"/>
        <v>2.4104683195592638E-3</v>
      </c>
    </row>
    <row r="56" spans="1:9">
      <c r="A56" s="486" t="s">
        <v>227</v>
      </c>
      <c r="B56" s="486" t="s">
        <v>121</v>
      </c>
      <c r="C56" s="486" t="s">
        <v>228</v>
      </c>
      <c r="D56" s="487">
        <v>4.7778300000000003E-3</v>
      </c>
      <c r="E56" s="488"/>
      <c r="F56" s="521">
        <v>4.7801099999999997E-3</v>
      </c>
      <c r="G56" s="487"/>
      <c r="H56" s="489">
        <f t="shared" si="0"/>
        <v>2.27999999999947E-6</v>
      </c>
      <c r="I56" s="490">
        <f t="shared" si="1"/>
        <v>4.7720408637382867E-4</v>
      </c>
    </row>
    <row r="57" spans="1:9">
      <c r="A57" s="486" t="s">
        <v>229</v>
      </c>
      <c r="B57" s="486" t="s">
        <v>230</v>
      </c>
      <c r="C57" s="486" t="s">
        <v>231</v>
      </c>
      <c r="D57" s="487">
        <v>7.5754699999999999E-3</v>
      </c>
      <c r="E57" s="488"/>
      <c r="F57" s="521">
        <v>7.6363300000000002E-3</v>
      </c>
      <c r="G57" s="487"/>
      <c r="H57" s="489">
        <f t="shared" si="0"/>
        <v>6.0860000000000254E-5</v>
      </c>
      <c r="I57" s="490">
        <f t="shared" si="1"/>
        <v>8.0338249639956665E-3</v>
      </c>
    </row>
    <row r="58" spans="1:9">
      <c r="A58" s="486" t="s">
        <v>232</v>
      </c>
      <c r="B58" s="486" t="s">
        <v>233</v>
      </c>
      <c r="C58" s="486" t="s">
        <v>234</v>
      </c>
      <c r="D58" s="487">
        <v>4.0443590000000001E-2</v>
      </c>
      <c r="E58" s="488"/>
      <c r="F58" s="521">
        <v>3.9666800000000002E-2</v>
      </c>
      <c r="G58" s="487"/>
      <c r="H58" s="489">
        <f t="shared" si="0"/>
        <v>-7.7678999999999943E-4</v>
      </c>
      <c r="I58" s="490">
        <f t="shared" si="1"/>
        <v>-1.9206751922863412E-2</v>
      </c>
    </row>
    <row r="59" spans="1:9">
      <c r="A59" s="486" t="s">
        <v>235</v>
      </c>
      <c r="B59" s="486" t="s">
        <v>121</v>
      </c>
      <c r="C59" s="486" t="s">
        <v>236</v>
      </c>
      <c r="D59" s="487">
        <v>0.12826926</v>
      </c>
      <c r="E59" s="488"/>
      <c r="F59" s="521">
        <v>0.12847691</v>
      </c>
      <c r="G59" s="487"/>
      <c r="H59" s="489">
        <f t="shared" si="0"/>
        <v>2.0765000000000366E-4</v>
      </c>
      <c r="I59" s="490">
        <f t="shared" si="1"/>
        <v>1.6188602007995031E-3</v>
      </c>
    </row>
    <row r="60" spans="1:9">
      <c r="A60" s="486" t="s">
        <v>237</v>
      </c>
      <c r="B60" s="486" t="s">
        <v>238</v>
      </c>
      <c r="C60" s="486" t="s">
        <v>239</v>
      </c>
      <c r="D60" s="487">
        <v>2.86418E-3</v>
      </c>
      <c r="E60" s="488"/>
      <c r="F60" s="521">
        <v>2.57274E-3</v>
      </c>
      <c r="G60" s="487"/>
      <c r="H60" s="489">
        <f t="shared" si="0"/>
        <v>-2.9144000000000002E-4</v>
      </c>
      <c r="I60" s="490">
        <f t="shared" si="1"/>
        <v>-0.10175338142155871</v>
      </c>
    </row>
    <row r="61" spans="1:9">
      <c r="A61" s="486" t="s">
        <v>240</v>
      </c>
      <c r="B61" s="486" t="s">
        <v>241</v>
      </c>
      <c r="C61" s="486" t="s">
        <v>242</v>
      </c>
      <c r="D61" s="487">
        <v>7.1301200000000002E-3</v>
      </c>
      <c r="E61" s="488"/>
      <c r="F61" s="521">
        <v>7.2468999999999997E-3</v>
      </c>
      <c r="G61" s="487"/>
      <c r="H61" s="489">
        <f t="shared" si="0"/>
        <v>1.1677999999999949E-4</v>
      </c>
      <c r="I61" s="490">
        <f t="shared" si="1"/>
        <v>1.6378405973531931E-2</v>
      </c>
    </row>
    <row r="62" spans="1:9">
      <c r="A62" s="486" t="s">
        <v>243</v>
      </c>
      <c r="B62" s="486" t="s">
        <v>244</v>
      </c>
      <c r="C62" s="486" t="s">
        <v>245</v>
      </c>
      <c r="D62" s="487">
        <v>1.1996710000000001E-2</v>
      </c>
      <c r="E62" s="488"/>
      <c r="F62" s="521">
        <v>1.185201E-2</v>
      </c>
      <c r="G62" s="487"/>
      <c r="H62" s="489">
        <f t="shared" si="0"/>
        <v>-1.4470000000000108E-4</v>
      </c>
      <c r="I62" s="490">
        <f t="shared" si="1"/>
        <v>-1.2061640233030645E-2</v>
      </c>
    </row>
    <row r="63" spans="1:9">
      <c r="A63" s="486" t="s">
        <v>246</v>
      </c>
      <c r="B63" s="486" t="s">
        <v>247</v>
      </c>
      <c r="C63" s="486" t="s">
        <v>248</v>
      </c>
      <c r="D63" s="487">
        <v>6.4770000000000005E-5</v>
      </c>
      <c r="E63" s="488"/>
      <c r="F63" s="521">
        <v>6.3009999999999995E-5</v>
      </c>
      <c r="G63" s="487"/>
      <c r="H63" s="489">
        <f t="shared" si="0"/>
        <v>-1.7600000000000103E-6</v>
      </c>
      <c r="I63" s="490">
        <f t="shared" si="1"/>
        <v>-2.7173073953991201E-2</v>
      </c>
    </row>
    <row r="64" spans="1:9">
      <c r="A64" s="486" t="s">
        <v>249</v>
      </c>
      <c r="B64" s="486" t="s">
        <v>250</v>
      </c>
      <c r="C64" s="486" t="s">
        <v>251</v>
      </c>
      <c r="D64" s="487">
        <v>2.3810000000000001E-5</v>
      </c>
      <c r="E64" s="488"/>
      <c r="F64" s="521">
        <v>2.3810000000000001E-5</v>
      </c>
      <c r="G64" s="487"/>
      <c r="H64" s="489">
        <f t="shared" si="0"/>
        <v>0</v>
      </c>
      <c r="I64" s="490">
        <f t="shared" si="1"/>
        <v>0</v>
      </c>
    </row>
    <row r="65" spans="1:9">
      <c r="A65" s="486" t="s">
        <v>252</v>
      </c>
      <c r="B65" s="486" t="s">
        <v>109</v>
      </c>
      <c r="C65" s="486" t="s">
        <v>253</v>
      </c>
      <c r="D65" s="487">
        <v>7.6336000000000004E-4</v>
      </c>
      <c r="E65" s="488"/>
      <c r="F65" s="521">
        <v>7.6336000000000004E-4</v>
      </c>
      <c r="G65" s="487"/>
      <c r="H65" s="489">
        <f t="shared" si="0"/>
        <v>0</v>
      </c>
      <c r="I65" s="490">
        <f t="shared" si="1"/>
        <v>0</v>
      </c>
    </row>
    <row r="66" spans="1:9">
      <c r="A66" s="486" t="s">
        <v>254</v>
      </c>
      <c r="B66" s="486" t="s">
        <v>255</v>
      </c>
      <c r="C66" s="486" t="s">
        <v>256</v>
      </c>
      <c r="D66" s="487">
        <v>0.26888949000000001</v>
      </c>
      <c r="E66" s="488"/>
      <c r="F66" s="521">
        <v>0.26724390999999997</v>
      </c>
      <c r="G66" s="487"/>
      <c r="H66" s="489">
        <f t="shared" si="0"/>
        <v>-1.6455800000000353E-3</v>
      </c>
      <c r="I66" s="490">
        <f t="shared" si="1"/>
        <v>-6.1199119385441031E-3</v>
      </c>
    </row>
    <row r="67" spans="1:9">
      <c r="A67" s="486" t="s">
        <v>257</v>
      </c>
      <c r="B67" s="486" t="s">
        <v>121</v>
      </c>
      <c r="C67" s="486" t="s">
        <v>258</v>
      </c>
      <c r="D67" s="487">
        <v>6.4492500000000001E-3</v>
      </c>
      <c r="E67" s="488"/>
      <c r="F67" s="521">
        <v>6.3210000000000002E-3</v>
      </c>
      <c r="G67" s="487"/>
      <c r="H67" s="489">
        <f t="shared" si="0"/>
        <v>-1.2824999999999989E-4</v>
      </c>
      <c r="I67" s="490">
        <f t="shared" si="1"/>
        <v>-1.988603325968134E-2</v>
      </c>
    </row>
    <row r="68" spans="1:9">
      <c r="A68" s="486" t="s">
        <v>259</v>
      </c>
      <c r="B68" s="486" t="s">
        <v>260</v>
      </c>
      <c r="C68" s="486" t="s">
        <v>261</v>
      </c>
      <c r="D68" s="487">
        <v>6.7390000000000002E-3</v>
      </c>
      <c r="E68" s="488"/>
      <c r="F68" s="521">
        <v>6.43335E-3</v>
      </c>
      <c r="G68" s="487"/>
      <c r="H68" s="489">
        <f t="shared" si="0"/>
        <v>-3.0565000000000019E-4</v>
      </c>
      <c r="I68" s="490">
        <f t="shared" si="1"/>
        <v>-4.5355393975367295E-2</v>
      </c>
    </row>
    <row r="69" spans="1:9">
      <c r="A69" s="486" t="s">
        <v>262</v>
      </c>
      <c r="B69" s="486" t="s">
        <v>109</v>
      </c>
      <c r="C69" s="486" t="s">
        <v>263</v>
      </c>
      <c r="D69" s="487">
        <v>1.4096419499999999</v>
      </c>
      <c r="E69" s="488"/>
      <c r="F69" s="521">
        <v>1.41043724</v>
      </c>
      <c r="G69" s="487"/>
      <c r="H69" s="489">
        <f t="shared" si="0"/>
        <v>7.9529000000011507E-4</v>
      </c>
      <c r="I69" s="490">
        <f t="shared" si="1"/>
        <v>5.6417872637808141E-4</v>
      </c>
    </row>
    <row r="70" spans="1:9">
      <c r="A70" s="486" t="s">
        <v>264</v>
      </c>
      <c r="B70" s="486" t="s">
        <v>265</v>
      </c>
      <c r="C70" s="486" t="s">
        <v>266</v>
      </c>
      <c r="D70" s="487">
        <v>2.1805499999999998E-3</v>
      </c>
      <c r="E70" s="488"/>
      <c r="F70" s="521">
        <v>2.01564E-3</v>
      </c>
      <c r="G70" s="487"/>
      <c r="H70" s="489">
        <f t="shared" si="0"/>
        <v>-1.6490999999999988E-4</v>
      </c>
      <c r="I70" s="490">
        <f t="shared" si="1"/>
        <v>-7.5627708605626967E-2</v>
      </c>
    </row>
    <row r="71" spans="1:9">
      <c r="A71" s="486" t="s">
        <v>267</v>
      </c>
      <c r="B71" s="486" t="s">
        <v>268</v>
      </c>
      <c r="C71" s="486" t="s">
        <v>269</v>
      </c>
      <c r="D71" s="487">
        <v>6.5548000000000004E-3</v>
      </c>
      <c r="E71" s="488"/>
      <c r="F71" s="521">
        <v>7.7243900000000002E-3</v>
      </c>
      <c r="G71" s="487"/>
      <c r="H71" s="489">
        <f t="shared" si="0"/>
        <v>1.1695899999999999E-3</v>
      </c>
      <c r="I71" s="490">
        <f t="shared" si="1"/>
        <v>0.17843259901141145</v>
      </c>
    </row>
    <row r="72" spans="1:9">
      <c r="A72" s="486" t="s">
        <v>270</v>
      </c>
      <c r="B72" s="486" t="s">
        <v>271</v>
      </c>
      <c r="C72" s="486" t="s">
        <v>272</v>
      </c>
      <c r="D72" s="487">
        <v>7.7567000000000001E-4</v>
      </c>
      <c r="E72" s="488"/>
      <c r="F72" s="521">
        <v>7.1420999999999995E-4</v>
      </c>
      <c r="G72" s="487"/>
      <c r="H72" s="489">
        <f t="shared" si="0"/>
        <v>-6.1460000000000052E-5</v>
      </c>
      <c r="I72" s="490">
        <f t="shared" si="1"/>
        <v>-7.9234726107752076E-2</v>
      </c>
    </row>
    <row r="73" spans="1:9">
      <c r="A73" s="486" t="s">
        <v>273</v>
      </c>
      <c r="B73" s="486" t="s">
        <v>109</v>
      </c>
      <c r="C73" s="486" t="s">
        <v>274</v>
      </c>
      <c r="D73" s="487">
        <v>3.2467532499999998</v>
      </c>
      <c r="E73" s="488"/>
      <c r="F73" s="521">
        <v>3.25118668</v>
      </c>
      <c r="G73" s="487"/>
      <c r="H73" s="489">
        <f t="shared" si="0"/>
        <v>4.4334300000001825E-3</v>
      </c>
      <c r="I73" s="490">
        <f t="shared" si="1"/>
        <v>1.3654964386345598E-3</v>
      </c>
    </row>
    <row r="74" spans="1:9">
      <c r="A74" s="486" t="s">
        <v>275</v>
      </c>
      <c r="B74" s="486" t="s">
        <v>276</v>
      </c>
      <c r="C74" s="486" t="s">
        <v>277</v>
      </c>
      <c r="D74" s="487">
        <v>4.8310000000000003E-5</v>
      </c>
      <c r="E74" s="488"/>
      <c r="F74" s="521">
        <v>4.5540000000000001E-5</v>
      </c>
      <c r="G74" s="487"/>
      <c r="H74" s="489">
        <f t="shared" ref="H74:H137" si="2">(F74-D74)</f>
        <v>-2.7700000000000023E-6</v>
      </c>
      <c r="I74" s="490">
        <f t="shared" ref="I74:I137" si="3">H74/D74</f>
        <v>-5.7338025253570735E-2</v>
      </c>
    </row>
    <row r="75" spans="1:9">
      <c r="A75" s="486" t="s">
        <v>278</v>
      </c>
      <c r="B75" s="486" t="s">
        <v>279</v>
      </c>
      <c r="C75" s="486" t="s">
        <v>280</v>
      </c>
      <c r="D75" s="487">
        <v>1.55245754</v>
      </c>
      <c r="E75" s="488"/>
      <c r="F75" s="521">
        <v>1.50024004</v>
      </c>
      <c r="G75" s="487"/>
      <c r="H75" s="489">
        <f t="shared" si="2"/>
        <v>-5.2217500000000028E-2</v>
      </c>
      <c r="I75" s="490">
        <f t="shared" si="3"/>
        <v>-3.3635380456202381E-2</v>
      </c>
    </row>
    <row r="76" spans="1:9">
      <c r="A76" s="486" t="s">
        <v>281</v>
      </c>
      <c r="B76" s="486" t="s">
        <v>188</v>
      </c>
      <c r="C76" s="486" t="s">
        <v>282</v>
      </c>
      <c r="D76" s="487">
        <v>6.6519999999999993E-5</v>
      </c>
      <c r="E76" s="488"/>
      <c r="F76" s="521">
        <v>1.117E-5</v>
      </c>
      <c r="G76" s="487"/>
      <c r="H76" s="489">
        <f t="shared" si="2"/>
        <v>-5.534999999999999E-5</v>
      </c>
      <c r="I76" s="490">
        <f t="shared" si="3"/>
        <v>-0.83208057726999396</v>
      </c>
    </row>
    <row r="77" spans="1:9">
      <c r="A77" s="486" t="s">
        <v>283</v>
      </c>
      <c r="B77" s="486" t="s">
        <v>121</v>
      </c>
      <c r="C77" s="486" t="s">
        <v>284</v>
      </c>
      <c r="D77" s="487">
        <v>5.3204599999999999E-3</v>
      </c>
      <c r="E77" s="488"/>
      <c r="F77" s="521">
        <v>5.4393999999999996E-3</v>
      </c>
      <c r="G77" s="487"/>
      <c r="H77" s="489">
        <f t="shared" si="2"/>
        <v>1.1893999999999967E-4</v>
      </c>
      <c r="I77" s="490">
        <f t="shared" si="3"/>
        <v>2.2355209887866778E-2</v>
      </c>
    </row>
    <row r="78" spans="1:9">
      <c r="A78" s="486" t="s">
        <v>285</v>
      </c>
      <c r="B78" s="486" t="s">
        <v>109</v>
      </c>
      <c r="C78" s="486" t="s">
        <v>286</v>
      </c>
      <c r="D78" s="487">
        <v>0.20746887999999999</v>
      </c>
      <c r="E78" s="488"/>
      <c r="F78" s="521">
        <v>0.20507352000000001</v>
      </c>
      <c r="G78" s="487"/>
      <c r="H78" s="489">
        <f t="shared" si="2"/>
        <v>-2.3953599999999853E-3</v>
      </c>
      <c r="I78" s="490">
        <f t="shared" si="3"/>
        <v>-1.1545635181526914E-2</v>
      </c>
    </row>
    <row r="79" spans="1:9">
      <c r="A79" s="486" t="s">
        <v>287</v>
      </c>
      <c r="B79" s="486" t="s">
        <v>288</v>
      </c>
      <c r="C79" s="486" t="s">
        <v>289</v>
      </c>
      <c r="D79" s="487">
        <v>0.12453454999999999</v>
      </c>
      <c r="E79" s="488"/>
      <c r="F79" s="521">
        <v>0.12473494</v>
      </c>
      <c r="G79" s="487"/>
      <c r="H79" s="489">
        <f t="shared" si="2"/>
        <v>2.0039000000000862E-4</v>
      </c>
      <c r="I79" s="490">
        <f t="shared" si="3"/>
        <v>1.609111688282558E-3</v>
      </c>
    </row>
    <row r="80" spans="1:9">
      <c r="A80" s="486" t="s">
        <v>290</v>
      </c>
      <c r="B80" s="486" t="s">
        <v>291</v>
      </c>
      <c r="C80" s="486" t="s">
        <v>292</v>
      </c>
      <c r="D80" s="487">
        <v>2.2086E-4</v>
      </c>
      <c r="E80" s="488"/>
      <c r="F80" s="521">
        <v>2.1551E-4</v>
      </c>
      <c r="G80" s="487"/>
      <c r="H80" s="489">
        <f t="shared" si="2"/>
        <v>-5.3499999999999945E-6</v>
      </c>
      <c r="I80" s="490">
        <f t="shared" si="3"/>
        <v>-2.4223489993661119E-2</v>
      </c>
    </row>
    <row r="81" spans="1:9">
      <c r="A81" s="486" t="s">
        <v>293</v>
      </c>
      <c r="B81" s="486" t="s">
        <v>294</v>
      </c>
      <c r="C81" s="486" t="s">
        <v>295</v>
      </c>
      <c r="D81" s="487">
        <v>5.9593999999999999E-4</v>
      </c>
      <c r="E81" s="488"/>
      <c r="F81" s="521">
        <v>5.7662000000000002E-4</v>
      </c>
      <c r="G81" s="487"/>
      <c r="H81" s="489">
        <f t="shared" si="2"/>
        <v>-1.9319999999999971E-5</v>
      </c>
      <c r="I81" s="490">
        <f t="shared" si="3"/>
        <v>-3.2419371077625214E-2</v>
      </c>
    </row>
    <row r="82" spans="1:9">
      <c r="A82" s="486" t="s">
        <v>296</v>
      </c>
      <c r="B82" s="486" t="s">
        <v>297</v>
      </c>
      <c r="C82" s="486" t="s">
        <v>298</v>
      </c>
      <c r="D82" s="487">
        <v>0.21490587</v>
      </c>
      <c r="E82" s="488"/>
      <c r="F82" s="521">
        <v>0.2236486</v>
      </c>
      <c r="G82" s="487"/>
      <c r="H82" s="489">
        <f t="shared" si="2"/>
        <v>8.7427300000000041E-3</v>
      </c>
      <c r="I82" s="490">
        <f t="shared" si="3"/>
        <v>4.0681671468536455E-2</v>
      </c>
    </row>
    <row r="83" spans="1:9">
      <c r="A83" s="486" t="s">
        <v>299</v>
      </c>
      <c r="B83" s="486" t="s">
        <v>300</v>
      </c>
      <c r="C83" s="486" t="s">
        <v>301</v>
      </c>
      <c r="D83" s="487">
        <v>6.4857990000000004E-2</v>
      </c>
      <c r="E83" s="488"/>
      <c r="F83" s="521">
        <v>6.5659880000000004E-2</v>
      </c>
      <c r="G83" s="487"/>
      <c r="H83" s="489">
        <f t="shared" si="2"/>
        <v>8.0188999999999955E-4</v>
      </c>
      <c r="I83" s="490">
        <f t="shared" si="3"/>
        <v>1.2363781239597457E-2</v>
      </c>
    </row>
    <row r="84" spans="1:9">
      <c r="A84" s="486" t="s">
        <v>302</v>
      </c>
      <c r="B84" s="486" t="s">
        <v>303</v>
      </c>
      <c r="C84" s="486" t="s">
        <v>304</v>
      </c>
      <c r="D84" s="487">
        <v>2.53148E-3</v>
      </c>
      <c r="E84" s="488"/>
      <c r="F84" s="521">
        <v>2.54302E-3</v>
      </c>
      <c r="G84" s="487"/>
      <c r="H84" s="489">
        <f t="shared" si="2"/>
        <v>1.1539999999999988E-5</v>
      </c>
      <c r="I84" s="490">
        <f t="shared" si="3"/>
        <v>4.558598132317849E-3</v>
      </c>
    </row>
    <row r="85" spans="1:9">
      <c r="A85" s="486" t="s">
        <v>305</v>
      </c>
      <c r="B85" s="486" t="s">
        <v>244</v>
      </c>
      <c r="C85" s="486" t="s">
        <v>306</v>
      </c>
      <c r="D85" s="487">
        <v>2.2662990000000001E-2</v>
      </c>
      <c r="E85" s="488"/>
      <c r="F85" s="521">
        <v>2.1572649999999999E-2</v>
      </c>
      <c r="G85" s="487"/>
      <c r="H85" s="489">
        <f t="shared" si="2"/>
        <v>-1.0903400000000021E-3</v>
      </c>
      <c r="I85" s="490">
        <f t="shared" si="3"/>
        <v>-4.8111039187680095E-2</v>
      </c>
    </row>
    <row r="86" spans="1:9">
      <c r="A86" s="486" t="s">
        <v>307</v>
      </c>
      <c r="B86" s="486" t="s">
        <v>308</v>
      </c>
      <c r="C86" s="486" t="s">
        <v>309</v>
      </c>
      <c r="D86" s="487">
        <v>5.2631579999999997E-2</v>
      </c>
      <c r="E86" s="488"/>
      <c r="F86" s="521">
        <v>0.05</v>
      </c>
      <c r="G86" s="487"/>
      <c r="H86" s="489">
        <f t="shared" si="2"/>
        <v>-2.6315799999999945E-3</v>
      </c>
      <c r="I86" s="490">
        <f t="shared" si="3"/>
        <v>-5.0000018999999521E-2</v>
      </c>
    </row>
    <row r="87" spans="1:9">
      <c r="A87" s="486" t="s">
        <v>310</v>
      </c>
      <c r="B87" s="486" t="s">
        <v>311</v>
      </c>
      <c r="C87" s="486" t="s">
        <v>312</v>
      </c>
      <c r="D87" s="487">
        <v>9.8872849999999998E-2</v>
      </c>
      <c r="E87" s="488"/>
      <c r="F87" s="521">
        <v>0.10007605999999999</v>
      </c>
      <c r="G87" s="487"/>
      <c r="H87" s="489">
        <f t="shared" si="2"/>
        <v>1.2032099999999962E-3</v>
      </c>
      <c r="I87" s="490">
        <f t="shared" si="3"/>
        <v>1.216926588037056E-2</v>
      </c>
    </row>
    <row r="88" spans="1:9">
      <c r="A88" s="486" t="s">
        <v>313</v>
      </c>
      <c r="B88" s="486" t="s">
        <v>314</v>
      </c>
      <c r="C88" s="486" t="s">
        <v>315</v>
      </c>
      <c r="D88" s="487">
        <v>1.5645679999999999E-2</v>
      </c>
      <c r="E88" s="488"/>
      <c r="F88" s="521">
        <v>1.5653960000000001E-2</v>
      </c>
      <c r="G88" s="487"/>
      <c r="H88" s="489">
        <f t="shared" si="2"/>
        <v>8.2800000000028684E-6</v>
      </c>
      <c r="I88" s="490">
        <f t="shared" si="3"/>
        <v>5.2921956731844628E-4</v>
      </c>
    </row>
    <row r="89" spans="1:9">
      <c r="A89" s="486" t="s">
        <v>316</v>
      </c>
      <c r="B89" s="486" t="s">
        <v>317</v>
      </c>
      <c r="C89" s="486" t="s">
        <v>318</v>
      </c>
      <c r="D89" s="487">
        <v>4.7647999999999999E-4</v>
      </c>
      <c r="E89" s="488"/>
      <c r="F89" s="521">
        <v>4.7593000000000001E-4</v>
      </c>
      <c r="G89" s="487"/>
      <c r="H89" s="489">
        <f t="shared" si="2"/>
        <v>-5.4999999999998626E-7</v>
      </c>
      <c r="I89" s="490">
        <f t="shared" si="3"/>
        <v>-1.154298186702456E-3</v>
      </c>
    </row>
    <row r="90" spans="1:9">
      <c r="A90" s="486" t="s">
        <v>319</v>
      </c>
      <c r="B90" s="486" t="s">
        <v>121</v>
      </c>
      <c r="C90" s="486" t="s">
        <v>320</v>
      </c>
      <c r="D90" s="487">
        <v>5.3649799999999997E-2</v>
      </c>
      <c r="E90" s="488"/>
      <c r="F90" s="521">
        <v>5.5199819999999997E-2</v>
      </c>
      <c r="G90" s="487"/>
      <c r="H90" s="489">
        <f t="shared" si="2"/>
        <v>1.5500199999999992E-3</v>
      </c>
      <c r="I90" s="490">
        <f t="shared" si="3"/>
        <v>2.8891440415434899E-2</v>
      </c>
    </row>
    <row r="91" spans="1:9">
      <c r="A91" s="486" t="s">
        <v>321</v>
      </c>
      <c r="B91" s="486" t="s">
        <v>244</v>
      </c>
      <c r="C91" s="486" t="s">
        <v>322</v>
      </c>
      <c r="D91" s="487">
        <v>7.5010399999999996E-3</v>
      </c>
      <c r="E91" s="488"/>
      <c r="F91" s="521">
        <v>7.4037499999999997E-3</v>
      </c>
      <c r="G91" s="487"/>
      <c r="H91" s="489">
        <f t="shared" si="2"/>
        <v>-9.7289999999999877E-5</v>
      </c>
      <c r="I91" s="490">
        <f t="shared" si="3"/>
        <v>-1.2970201465396783E-2</v>
      </c>
    </row>
    <row r="92" spans="1:9">
      <c r="A92" s="486" t="s">
        <v>323</v>
      </c>
      <c r="B92" s="486" t="s">
        <v>324</v>
      </c>
      <c r="C92" s="486" t="s">
        <v>325</v>
      </c>
      <c r="D92" s="487">
        <v>0.55865922000000001</v>
      </c>
      <c r="E92" s="488"/>
      <c r="F92" s="521">
        <v>0.55865922000000001</v>
      </c>
      <c r="G92" s="487"/>
      <c r="H92" s="489">
        <f t="shared" si="2"/>
        <v>0</v>
      </c>
      <c r="I92" s="490">
        <f t="shared" si="3"/>
        <v>0</v>
      </c>
    </row>
    <row r="93" spans="1:9">
      <c r="A93" s="486" t="s">
        <v>326</v>
      </c>
      <c r="B93" s="486" t="s">
        <v>121</v>
      </c>
      <c r="C93" s="486" t="s">
        <v>327</v>
      </c>
      <c r="D93" s="487">
        <v>0.60489999999999999</v>
      </c>
      <c r="E93" s="488"/>
      <c r="F93" s="521">
        <v>0.5877</v>
      </c>
      <c r="G93" s="487"/>
      <c r="H93" s="489">
        <f t="shared" si="2"/>
        <v>-1.7199999999999993E-2</v>
      </c>
      <c r="I93" s="490">
        <f t="shared" si="3"/>
        <v>-2.8434451975533136E-2</v>
      </c>
    </row>
    <row r="94" spans="1:9">
      <c r="A94" s="486" t="s">
        <v>328</v>
      </c>
      <c r="B94" s="486" t="s">
        <v>329</v>
      </c>
      <c r="C94" s="486" t="s">
        <v>330</v>
      </c>
      <c r="D94" s="487">
        <v>2.7245209999999999E-2</v>
      </c>
      <c r="E94" s="488"/>
      <c r="F94" s="521">
        <v>2.717133E-2</v>
      </c>
      <c r="G94" s="487"/>
      <c r="H94" s="489">
        <f t="shared" si="2"/>
        <v>-7.3879999999998391E-5</v>
      </c>
      <c r="I94" s="490">
        <f t="shared" si="3"/>
        <v>-2.7116693172854383E-3</v>
      </c>
    </row>
    <row r="95" spans="1:9">
      <c r="A95" s="486" t="s">
        <v>331</v>
      </c>
      <c r="B95" s="486" t="s">
        <v>332</v>
      </c>
      <c r="C95" s="486" t="s">
        <v>333</v>
      </c>
      <c r="D95" s="487">
        <v>1.2245699999999999E-3</v>
      </c>
      <c r="E95" s="488"/>
      <c r="F95" s="521">
        <v>5.9416000000000004E-4</v>
      </c>
      <c r="G95" s="487"/>
      <c r="H95" s="489">
        <f t="shared" si="2"/>
        <v>-6.3040999999999987E-4</v>
      </c>
      <c r="I95" s="490">
        <f t="shared" si="3"/>
        <v>-0.51480111386037541</v>
      </c>
    </row>
    <row r="96" spans="1:9">
      <c r="A96" s="486" t="s">
        <v>334</v>
      </c>
      <c r="B96" s="486" t="s">
        <v>194</v>
      </c>
      <c r="C96" s="486" t="s">
        <v>335</v>
      </c>
      <c r="D96" s="487">
        <v>9.3628580000000003E-2</v>
      </c>
      <c r="E96" s="488"/>
      <c r="F96" s="521">
        <v>9.0421639999999998E-2</v>
      </c>
      <c r="G96" s="487"/>
      <c r="H96" s="489">
        <f t="shared" si="2"/>
        <v>-3.2069400000000053E-3</v>
      </c>
      <c r="I96" s="490">
        <f t="shared" si="3"/>
        <v>-3.4251721002283762E-2</v>
      </c>
    </row>
    <row r="97" spans="1:9">
      <c r="A97" s="486" t="s">
        <v>336</v>
      </c>
      <c r="B97" s="486" t="s">
        <v>250</v>
      </c>
      <c r="C97" s="486" t="s">
        <v>337</v>
      </c>
      <c r="D97" s="487">
        <v>2.5975375299999999</v>
      </c>
      <c r="E97" s="488"/>
      <c r="F97" s="521">
        <v>2.5972676699999999</v>
      </c>
      <c r="G97" s="487"/>
      <c r="H97" s="489">
        <f t="shared" si="2"/>
        <v>-2.6985999999995514E-4</v>
      </c>
      <c r="I97" s="490">
        <f t="shared" si="3"/>
        <v>-1.0389070297665926E-4</v>
      </c>
    </row>
    <row r="98" spans="1:9">
      <c r="A98" s="486" t="s">
        <v>338</v>
      </c>
      <c r="B98" s="486" t="s">
        <v>244</v>
      </c>
      <c r="C98" s="486" t="s">
        <v>339</v>
      </c>
      <c r="D98" s="487">
        <v>3.5020099999999998E-3</v>
      </c>
      <c r="E98" s="488"/>
      <c r="F98" s="521">
        <v>3.5976300000000001E-3</v>
      </c>
      <c r="G98" s="487"/>
      <c r="H98" s="489">
        <f t="shared" si="2"/>
        <v>9.5620000000000253E-5</v>
      </c>
      <c r="I98" s="490">
        <f t="shared" si="3"/>
        <v>2.7304319519361811E-2</v>
      </c>
    </row>
    <row r="99" spans="1:9">
      <c r="A99" s="486" t="s">
        <v>340</v>
      </c>
      <c r="B99" s="486" t="s">
        <v>341</v>
      </c>
      <c r="C99" s="486" t="s">
        <v>342</v>
      </c>
      <c r="D99" s="487">
        <v>1</v>
      </c>
      <c r="E99" s="488"/>
      <c r="F99" s="521">
        <v>1</v>
      </c>
      <c r="G99" s="487"/>
      <c r="H99" s="489">
        <f t="shared" si="2"/>
        <v>0</v>
      </c>
      <c r="I99" s="490">
        <f t="shared" si="3"/>
        <v>0</v>
      </c>
    </row>
    <row r="100" spans="1:9">
      <c r="A100" s="486" t="s">
        <v>343</v>
      </c>
      <c r="B100" s="486" t="s">
        <v>344</v>
      </c>
      <c r="C100" s="486" t="s">
        <v>345</v>
      </c>
      <c r="D100" s="487">
        <v>0.26939999999999997</v>
      </c>
      <c r="E100" s="488"/>
      <c r="F100" s="521">
        <v>0.25219999999999998</v>
      </c>
      <c r="G100" s="487"/>
      <c r="H100" s="489">
        <f t="shared" si="2"/>
        <v>-1.7199999999999993E-2</v>
      </c>
      <c r="I100" s="490">
        <f t="shared" si="3"/>
        <v>-6.3845582776540441E-2</v>
      </c>
    </row>
    <row r="101" spans="1:9">
      <c r="A101" s="486" t="s">
        <v>346</v>
      </c>
      <c r="B101" s="486" t="s">
        <v>347</v>
      </c>
      <c r="C101" s="486" t="s">
        <v>348</v>
      </c>
      <c r="D101" s="487">
        <v>1.3438999999999999E-4</v>
      </c>
      <c r="E101" s="488"/>
      <c r="F101" s="521">
        <v>1.2807000000000001E-4</v>
      </c>
      <c r="G101" s="487"/>
      <c r="H101" s="489">
        <f t="shared" si="2"/>
        <v>-6.3199999999999801E-6</v>
      </c>
      <c r="I101" s="490">
        <f t="shared" si="3"/>
        <v>-4.7027308579507258E-2</v>
      </c>
    </row>
    <row r="102" spans="1:9">
      <c r="A102" s="486" t="s">
        <v>349</v>
      </c>
      <c r="B102" s="486" t="s">
        <v>350</v>
      </c>
      <c r="C102" s="486" t="s">
        <v>351</v>
      </c>
      <c r="D102" s="487">
        <v>0.26315789000000001</v>
      </c>
      <c r="E102" s="488"/>
      <c r="F102" s="521">
        <v>0.26315789000000001</v>
      </c>
      <c r="G102" s="487"/>
      <c r="H102" s="489">
        <f t="shared" si="2"/>
        <v>0</v>
      </c>
      <c r="I102" s="490">
        <f t="shared" si="3"/>
        <v>0</v>
      </c>
    </row>
    <row r="103" spans="1:9">
      <c r="A103" s="486" t="s">
        <v>349</v>
      </c>
      <c r="B103" s="486" t="s">
        <v>352</v>
      </c>
      <c r="C103" s="486" t="s">
        <v>353</v>
      </c>
      <c r="D103" s="487">
        <v>5.4422699999999999E-3</v>
      </c>
      <c r="E103" s="488"/>
      <c r="F103" s="521">
        <v>5.2592000000000003E-3</v>
      </c>
      <c r="G103" s="487"/>
      <c r="H103" s="489">
        <f t="shared" si="2"/>
        <v>-1.8306999999999959E-4</v>
      </c>
      <c r="I103" s="490">
        <f t="shared" si="3"/>
        <v>-3.3638536860537901E-2</v>
      </c>
    </row>
    <row r="104" spans="1:9">
      <c r="A104" s="486" t="s">
        <v>354</v>
      </c>
      <c r="B104" s="486" t="s">
        <v>115</v>
      </c>
      <c r="C104" s="486" t="s">
        <v>355</v>
      </c>
      <c r="D104" s="487">
        <v>1.805967E-2</v>
      </c>
      <c r="E104" s="488"/>
      <c r="F104" s="521">
        <v>1.697073E-2</v>
      </c>
      <c r="G104" s="487"/>
      <c r="H104" s="489">
        <f t="shared" si="2"/>
        <v>-1.08894E-3</v>
      </c>
      <c r="I104" s="490">
        <f t="shared" si="3"/>
        <v>-6.0296782831579979E-2</v>
      </c>
    </row>
    <row r="105" spans="1:9">
      <c r="A105" s="486" t="s">
        <v>356</v>
      </c>
      <c r="B105" s="486" t="s">
        <v>357</v>
      </c>
      <c r="C105" s="486" t="s">
        <v>358</v>
      </c>
      <c r="D105" s="487">
        <v>0.24955704000000001</v>
      </c>
      <c r="E105" s="488"/>
      <c r="F105" s="521">
        <v>0.24320248999999999</v>
      </c>
      <c r="G105" s="487"/>
      <c r="H105" s="489">
        <f t="shared" si="2"/>
        <v>-6.3545500000000144E-3</v>
      </c>
      <c r="I105" s="490">
        <f t="shared" si="3"/>
        <v>-2.5463316923457716E-2</v>
      </c>
    </row>
    <row r="106" spans="1:9">
      <c r="A106" s="486" t="s">
        <v>359</v>
      </c>
      <c r="B106" s="486" t="s">
        <v>360</v>
      </c>
      <c r="C106" s="486" t="s">
        <v>361</v>
      </c>
      <c r="D106" s="487">
        <v>0.27436347999999999</v>
      </c>
      <c r="E106" s="488"/>
      <c r="F106" s="521">
        <v>0.27420549</v>
      </c>
      <c r="G106" s="487"/>
      <c r="H106" s="489">
        <f t="shared" si="2"/>
        <v>-1.5798999999999674E-4</v>
      </c>
      <c r="I106" s="490">
        <f t="shared" si="3"/>
        <v>-5.7584194514516559E-4</v>
      </c>
    </row>
    <row r="107" spans="1:9">
      <c r="A107" s="486" t="s">
        <v>362</v>
      </c>
      <c r="B107" s="486" t="s">
        <v>363</v>
      </c>
      <c r="C107" s="486" t="s">
        <v>364</v>
      </c>
      <c r="D107" s="487">
        <v>0.21957271</v>
      </c>
      <c r="E107" s="488"/>
      <c r="F107" s="521">
        <v>0.21185992000000001</v>
      </c>
      <c r="G107" s="487"/>
      <c r="H107" s="489">
        <f t="shared" si="2"/>
        <v>-7.7127899999999971E-3</v>
      </c>
      <c r="I107" s="490">
        <f t="shared" si="3"/>
        <v>-3.5126359737510174E-2</v>
      </c>
    </row>
    <row r="108" spans="1:9">
      <c r="A108" s="486" t="s">
        <v>365</v>
      </c>
      <c r="B108" s="486" t="s">
        <v>135</v>
      </c>
      <c r="C108" s="486" t="s">
        <v>366</v>
      </c>
      <c r="D108" s="487">
        <v>1.133207E-2</v>
      </c>
      <c r="E108" s="488"/>
      <c r="F108" s="521">
        <v>9.9497500000000003E-3</v>
      </c>
      <c r="G108" s="487"/>
      <c r="H108" s="489">
        <f t="shared" si="2"/>
        <v>-1.3823199999999994E-3</v>
      </c>
      <c r="I108" s="490">
        <f t="shared" si="3"/>
        <v>-0.12198300928250526</v>
      </c>
    </row>
    <row r="109" spans="1:9">
      <c r="A109" s="486" t="s">
        <v>367</v>
      </c>
      <c r="B109" s="486" t="s">
        <v>159</v>
      </c>
      <c r="C109" s="486" t="s">
        <v>368</v>
      </c>
      <c r="D109" s="487">
        <v>8.0687E-4</v>
      </c>
      <c r="E109" s="488"/>
      <c r="F109" s="521">
        <v>7.2995999999999998E-4</v>
      </c>
      <c r="G109" s="487"/>
      <c r="H109" s="489">
        <f t="shared" si="2"/>
        <v>-7.6910000000000021E-5</v>
      </c>
      <c r="I109" s="490">
        <f t="shared" si="3"/>
        <v>-9.5318948529502914E-2</v>
      </c>
    </row>
    <row r="110" spans="1:9">
      <c r="A110" s="486" t="s">
        <v>369</v>
      </c>
      <c r="B110" s="486" t="s">
        <v>370</v>
      </c>
      <c r="C110" s="486" t="s">
        <v>371</v>
      </c>
      <c r="D110" s="487">
        <v>0.3674</v>
      </c>
      <c r="E110" s="488"/>
      <c r="F110" s="521">
        <v>0.3644</v>
      </c>
      <c r="G110" s="487"/>
      <c r="H110" s="489">
        <f t="shared" si="2"/>
        <v>-3.0000000000000027E-3</v>
      </c>
      <c r="I110" s="490">
        <f t="shared" si="3"/>
        <v>-8.1654872074033817E-3</v>
      </c>
    </row>
    <row r="111" spans="1:9">
      <c r="A111" s="486" t="s">
        <v>372</v>
      </c>
      <c r="B111" s="486" t="s">
        <v>373</v>
      </c>
      <c r="C111" s="486" t="s">
        <v>374</v>
      </c>
      <c r="D111" s="487">
        <v>4.4799999999999998E-5</v>
      </c>
      <c r="E111" s="488"/>
      <c r="F111" s="521">
        <v>4.3300000000000002E-5</v>
      </c>
      <c r="G111" s="487"/>
      <c r="H111" s="489">
        <f t="shared" si="2"/>
        <v>-1.4999999999999958E-6</v>
      </c>
      <c r="I111" s="490">
        <f t="shared" si="3"/>
        <v>-3.3482142857142766E-2</v>
      </c>
    </row>
    <row r="112" spans="1:9">
      <c r="A112" s="486" t="s">
        <v>375</v>
      </c>
      <c r="B112" s="486" t="s">
        <v>360</v>
      </c>
      <c r="C112" s="486" t="s">
        <v>376</v>
      </c>
      <c r="D112" s="487">
        <v>0.26661689999999999</v>
      </c>
      <c r="E112" s="488"/>
      <c r="F112" s="521">
        <v>0.26636124</v>
      </c>
      <c r="G112" s="487"/>
      <c r="H112" s="489">
        <f t="shared" si="2"/>
        <v>-2.5565999999999089E-4</v>
      </c>
      <c r="I112" s="490">
        <f t="shared" si="3"/>
        <v>-9.5890395545065185E-4</v>
      </c>
    </row>
    <row r="113" spans="1:9">
      <c r="A113" s="486" t="s">
        <v>377</v>
      </c>
      <c r="B113" s="486" t="s">
        <v>378</v>
      </c>
      <c r="C113" s="486" t="s">
        <v>379</v>
      </c>
      <c r="D113" s="487">
        <v>9.3090599999999992E-3</v>
      </c>
      <c r="E113" s="488"/>
      <c r="F113" s="521">
        <v>9.0127899999999997E-3</v>
      </c>
      <c r="G113" s="487"/>
      <c r="H113" s="489">
        <f t="shared" si="2"/>
        <v>-2.9626999999999952E-4</v>
      </c>
      <c r="I113" s="490">
        <f t="shared" si="3"/>
        <v>-3.1825984578464375E-2</v>
      </c>
    </row>
    <row r="114" spans="1:9">
      <c r="A114" s="486" t="s">
        <v>380</v>
      </c>
      <c r="B114" s="486" t="s">
        <v>244</v>
      </c>
      <c r="C114" s="486" t="s">
        <v>381</v>
      </c>
      <c r="D114" s="487">
        <v>7.2404999999999997E-2</v>
      </c>
      <c r="E114" s="488"/>
      <c r="F114" s="521">
        <v>7.2718279999999996E-2</v>
      </c>
      <c r="G114" s="487"/>
      <c r="H114" s="489">
        <f t="shared" si="2"/>
        <v>3.1327999999999911E-4</v>
      </c>
      <c r="I114" s="490">
        <f t="shared" si="3"/>
        <v>4.326773012913461E-3</v>
      </c>
    </row>
    <row r="115" spans="1:9">
      <c r="A115" s="486" t="s">
        <v>382</v>
      </c>
      <c r="B115" s="486" t="s">
        <v>383</v>
      </c>
      <c r="C115" s="486" t="s">
        <v>384</v>
      </c>
      <c r="D115" s="487">
        <v>4.4499999999999997E-5</v>
      </c>
      <c r="E115" s="488"/>
      <c r="F115" s="521">
        <v>4.3900000000000003E-5</v>
      </c>
      <c r="G115" s="487"/>
      <c r="H115" s="489">
        <f t="shared" si="2"/>
        <v>-5.9999999999999426E-7</v>
      </c>
      <c r="I115" s="490">
        <f t="shared" si="3"/>
        <v>-1.3483146067415602E-2</v>
      </c>
    </row>
    <row r="116" spans="1:9">
      <c r="A116" s="486" t="s">
        <v>385</v>
      </c>
      <c r="B116" s="486" t="s">
        <v>121</v>
      </c>
      <c r="C116" s="486" t="s">
        <v>386</v>
      </c>
      <c r="D116" s="487">
        <v>0.74710496999999998</v>
      </c>
      <c r="E116" s="488"/>
      <c r="F116" s="521">
        <v>0.74460163999999995</v>
      </c>
      <c r="G116" s="487"/>
      <c r="H116" s="489">
        <f t="shared" si="2"/>
        <v>-2.5033300000000258E-3</v>
      </c>
      <c r="I116" s="490">
        <f t="shared" si="3"/>
        <v>-3.3507071971426261E-3</v>
      </c>
    </row>
    <row r="117" spans="1:9">
      <c r="A117" s="486" t="s">
        <v>387</v>
      </c>
      <c r="B117" s="486" t="s">
        <v>121</v>
      </c>
      <c r="C117" s="486" t="s">
        <v>388</v>
      </c>
      <c r="D117" s="487">
        <v>0.12230000000000001</v>
      </c>
      <c r="E117" s="488"/>
      <c r="F117" s="521">
        <v>0.12189999999999999</v>
      </c>
      <c r="G117" s="487"/>
      <c r="H117" s="489">
        <f t="shared" si="2"/>
        <v>-4.0000000000001146E-4</v>
      </c>
      <c r="I117" s="490">
        <f t="shared" si="3"/>
        <v>-3.270645952575727E-3</v>
      </c>
    </row>
    <row r="118" spans="1:9">
      <c r="A118" s="486" t="s">
        <v>389</v>
      </c>
      <c r="B118" s="486" t="s">
        <v>268</v>
      </c>
      <c r="C118" s="486" t="s">
        <v>390</v>
      </c>
      <c r="D118" s="487">
        <v>1.75016E-3</v>
      </c>
      <c r="E118" s="488"/>
      <c r="F118" s="521">
        <v>1.7513100000000001E-3</v>
      </c>
      <c r="G118" s="487"/>
      <c r="H118" s="489">
        <f t="shared" si="2"/>
        <v>1.1500000000001093E-6</v>
      </c>
      <c r="I118" s="490">
        <f t="shared" si="3"/>
        <v>6.5708278100294214E-4</v>
      </c>
    </row>
    <row r="119" spans="1:9">
      <c r="A119" s="486" t="s">
        <v>391</v>
      </c>
      <c r="B119" s="486" t="s">
        <v>392</v>
      </c>
      <c r="C119" s="486" t="s">
        <v>393</v>
      </c>
      <c r="D119" s="487">
        <v>5.3649799999999997E-2</v>
      </c>
      <c r="E119" s="488"/>
      <c r="F119" s="521">
        <v>5.5199819999999997E-2</v>
      </c>
      <c r="G119" s="487"/>
      <c r="H119" s="489">
        <f t="shared" si="2"/>
        <v>1.5500199999999992E-3</v>
      </c>
      <c r="I119" s="490">
        <f t="shared" si="3"/>
        <v>2.8891440415434899E-2</v>
      </c>
    </row>
    <row r="120" spans="1:9">
      <c r="A120" s="486" t="s">
        <v>394</v>
      </c>
      <c r="B120" s="486" t="s">
        <v>244</v>
      </c>
      <c r="C120" s="486" t="s">
        <v>395</v>
      </c>
      <c r="D120" s="487">
        <v>3.05018E-3</v>
      </c>
      <c r="E120" s="488"/>
      <c r="F120" s="521">
        <v>3.4397400000000002E-3</v>
      </c>
      <c r="G120" s="487"/>
      <c r="H120" s="489">
        <f t="shared" si="2"/>
        <v>3.8956000000000017E-4</v>
      </c>
      <c r="I120" s="490">
        <f t="shared" si="3"/>
        <v>0.12771705276409923</v>
      </c>
    </row>
    <row r="121" spans="1:9">
      <c r="A121" s="486" t="s">
        <v>396</v>
      </c>
      <c r="B121" s="486" t="s">
        <v>397</v>
      </c>
      <c r="C121" s="486" t="s">
        <v>398</v>
      </c>
      <c r="D121" s="487">
        <v>1.7722700000000001E-3</v>
      </c>
      <c r="E121" s="488"/>
      <c r="F121" s="521">
        <v>1.67224E-3</v>
      </c>
      <c r="G121" s="487"/>
      <c r="H121" s="489">
        <f t="shared" si="2"/>
        <v>-1.0003000000000008E-4</v>
      </c>
      <c r="I121" s="490">
        <f t="shared" si="3"/>
        <v>-5.6441738561280215E-2</v>
      </c>
    </row>
    <row r="122" spans="1:9">
      <c r="A122" s="486" t="s">
        <v>399</v>
      </c>
      <c r="B122" s="486" t="s">
        <v>400</v>
      </c>
      <c r="C122" s="486" t="s">
        <v>401</v>
      </c>
      <c r="D122" s="487">
        <v>2.6274990000000002E-2</v>
      </c>
      <c r="E122" s="488"/>
      <c r="F122" s="521">
        <v>2.8207949999999999E-2</v>
      </c>
      <c r="G122" s="487"/>
      <c r="H122" s="489">
        <f t="shared" si="2"/>
        <v>1.9329599999999975E-3</v>
      </c>
      <c r="I122" s="490">
        <f t="shared" si="3"/>
        <v>7.3566536086217243E-2</v>
      </c>
    </row>
    <row r="123" spans="1:9">
      <c r="A123" s="486" t="s">
        <v>402</v>
      </c>
      <c r="B123" s="486" t="s">
        <v>403</v>
      </c>
      <c r="C123" s="486" t="s">
        <v>404</v>
      </c>
      <c r="D123" s="487">
        <v>5.3649799999999997E-2</v>
      </c>
      <c r="E123" s="488"/>
      <c r="F123" s="521">
        <v>5.5199819999999997E-2</v>
      </c>
      <c r="G123" s="487"/>
      <c r="H123" s="489">
        <f t="shared" si="2"/>
        <v>1.5500199999999992E-3</v>
      </c>
      <c r="I123" s="490">
        <f t="shared" si="3"/>
        <v>2.8891440415434899E-2</v>
      </c>
    </row>
    <row r="124" spans="1:9">
      <c r="A124" s="486" t="s">
        <v>405</v>
      </c>
      <c r="B124" s="486" t="s">
        <v>241</v>
      </c>
      <c r="C124" s="486" t="s">
        <v>406</v>
      </c>
      <c r="D124" s="487">
        <v>9.5543840000000005E-2</v>
      </c>
      <c r="E124" s="488"/>
      <c r="F124" s="521">
        <v>9.0685669999999996E-2</v>
      </c>
      <c r="G124" s="487"/>
      <c r="H124" s="489">
        <f t="shared" si="2"/>
        <v>-4.8581700000000089E-3</v>
      </c>
      <c r="I124" s="490">
        <f t="shared" si="3"/>
        <v>-5.0847548099385673E-2</v>
      </c>
    </row>
    <row r="125" spans="1:9">
      <c r="A125" s="486" t="s">
        <v>407</v>
      </c>
      <c r="B125" s="486" t="s">
        <v>159</v>
      </c>
      <c r="C125" s="486" t="s">
        <v>408</v>
      </c>
      <c r="D125" s="487">
        <v>1.1316057500000001</v>
      </c>
      <c r="E125" s="488"/>
      <c r="F125" s="521">
        <v>1.13096584</v>
      </c>
      <c r="G125" s="487"/>
      <c r="H125" s="489">
        <f t="shared" si="2"/>
        <v>-6.3991000000007681E-4</v>
      </c>
      <c r="I125" s="490">
        <f t="shared" si="3"/>
        <v>-5.6548846627906999E-4</v>
      </c>
    </row>
    <row r="126" spans="1:9">
      <c r="A126" s="486" t="s">
        <v>409</v>
      </c>
      <c r="B126" s="486" t="s">
        <v>188</v>
      </c>
      <c r="C126" s="486" t="s">
        <v>410</v>
      </c>
      <c r="D126" s="487">
        <v>1.9501E-3</v>
      </c>
      <c r="E126" s="488"/>
      <c r="F126" s="521">
        <v>1.9501E-3</v>
      </c>
      <c r="G126" s="487"/>
      <c r="H126" s="489">
        <f t="shared" si="2"/>
        <v>0</v>
      </c>
      <c r="I126" s="490">
        <f t="shared" si="3"/>
        <v>0</v>
      </c>
    </row>
    <row r="127" spans="1:9">
      <c r="A127" s="486" t="s">
        <v>411</v>
      </c>
      <c r="B127" s="486" t="s">
        <v>412</v>
      </c>
      <c r="C127" s="486" t="s">
        <v>413</v>
      </c>
      <c r="D127" s="487">
        <v>3.1953990000000002E-2</v>
      </c>
      <c r="E127" s="488"/>
      <c r="F127" s="521">
        <v>3.0773970000000001E-2</v>
      </c>
      <c r="G127" s="487"/>
      <c r="H127" s="489">
        <f t="shared" si="2"/>
        <v>-1.1800200000000004E-3</v>
      </c>
      <c r="I127" s="490">
        <f t="shared" si="3"/>
        <v>-3.6928721577493148E-2</v>
      </c>
    </row>
    <row r="128" spans="1:9">
      <c r="A128" s="486" t="s">
        <v>414</v>
      </c>
      <c r="B128" s="486" t="s">
        <v>268</v>
      </c>
      <c r="C128" s="486" t="s">
        <v>415</v>
      </c>
      <c r="D128" s="487">
        <v>4.0004999999999999E-4</v>
      </c>
      <c r="E128" s="488"/>
      <c r="F128" s="521">
        <v>3.7744999999999999E-4</v>
      </c>
      <c r="G128" s="487"/>
      <c r="H128" s="489">
        <f t="shared" si="2"/>
        <v>-2.2600000000000007E-5</v>
      </c>
      <c r="I128" s="490">
        <f t="shared" si="3"/>
        <v>-5.6492938382702182E-2</v>
      </c>
    </row>
    <row r="129" spans="1:9">
      <c r="A129" s="486" t="s">
        <v>416</v>
      </c>
      <c r="B129" s="486" t="s">
        <v>417</v>
      </c>
      <c r="C129" s="486" t="s">
        <v>418</v>
      </c>
      <c r="D129" s="487">
        <v>2.841716E-2</v>
      </c>
      <c r="E129" s="488"/>
      <c r="F129" s="521">
        <v>2.8824260000000001E-2</v>
      </c>
      <c r="G129" s="487"/>
      <c r="H129" s="489">
        <f t="shared" si="2"/>
        <v>4.0710000000000052E-4</v>
      </c>
      <c r="I129" s="490">
        <f t="shared" si="3"/>
        <v>1.4325850999888817E-2</v>
      </c>
    </row>
    <row r="130" spans="1:9">
      <c r="A130" s="486" t="s">
        <v>419</v>
      </c>
      <c r="B130" s="486" t="s">
        <v>159</v>
      </c>
      <c r="C130" s="486" t="s">
        <v>420</v>
      </c>
      <c r="D130" s="487">
        <v>1.66333E-3</v>
      </c>
      <c r="E130" s="488"/>
      <c r="F130" s="521">
        <v>1.60739E-3</v>
      </c>
      <c r="G130" s="487"/>
      <c r="H130" s="489">
        <f t="shared" si="2"/>
        <v>-5.5939999999999983E-5</v>
      </c>
      <c r="I130" s="490">
        <f t="shared" si="3"/>
        <v>-3.3631329922504845E-2</v>
      </c>
    </row>
    <row r="131" spans="1:9">
      <c r="A131" s="486" t="s">
        <v>421</v>
      </c>
      <c r="B131" s="486" t="s">
        <v>422</v>
      </c>
      <c r="C131" s="486" t="s">
        <v>423</v>
      </c>
      <c r="D131" s="487">
        <v>0.42530000000000001</v>
      </c>
      <c r="E131" s="488"/>
      <c r="F131" s="521">
        <v>0.42549999999999999</v>
      </c>
      <c r="G131" s="487"/>
      <c r="H131" s="489">
        <f t="shared" si="2"/>
        <v>1.9999999999997797E-4</v>
      </c>
      <c r="I131" s="490">
        <f t="shared" si="3"/>
        <v>4.7025628967782264E-4</v>
      </c>
    </row>
    <row r="132" spans="1:9">
      <c r="A132" s="486" t="s">
        <v>424</v>
      </c>
      <c r="B132" s="486" t="s">
        <v>121</v>
      </c>
      <c r="C132" s="486" t="s">
        <v>425</v>
      </c>
      <c r="D132" s="487">
        <v>0.14791149000000001</v>
      </c>
      <c r="E132" s="488"/>
      <c r="F132" s="521">
        <v>0.14775849999999999</v>
      </c>
      <c r="G132" s="487"/>
      <c r="H132" s="489">
        <f t="shared" si="2"/>
        <v>-1.529900000000195E-4</v>
      </c>
      <c r="I132" s="490">
        <f t="shared" si="3"/>
        <v>-1.0343347903534709E-3</v>
      </c>
    </row>
    <row r="133" spans="1:9">
      <c r="A133" s="486" t="s">
        <v>426</v>
      </c>
      <c r="B133" s="486" t="s">
        <v>109</v>
      </c>
      <c r="C133" s="486" t="s">
        <v>427</v>
      </c>
      <c r="D133" s="487">
        <v>0.32160545000000001</v>
      </c>
      <c r="E133" s="488"/>
      <c r="F133" s="521">
        <v>0.31717837999999998</v>
      </c>
      <c r="G133" s="487"/>
      <c r="H133" s="489">
        <f t="shared" si="2"/>
        <v>-4.4270700000000329E-3</v>
      </c>
      <c r="I133" s="490">
        <f t="shared" si="3"/>
        <v>-1.3765531647551472E-2</v>
      </c>
    </row>
    <row r="134" spans="1:9">
      <c r="A134" s="486" t="s">
        <v>428</v>
      </c>
      <c r="B134" s="486" t="s">
        <v>429</v>
      </c>
      <c r="C134" s="486" t="s">
        <v>430</v>
      </c>
      <c r="D134" s="487">
        <v>3.4735370000000002E-2</v>
      </c>
      <c r="E134" s="488"/>
      <c r="F134" s="521">
        <v>2.9013170000000001E-2</v>
      </c>
      <c r="G134" s="487"/>
      <c r="H134" s="489">
        <f t="shared" si="2"/>
        <v>-5.7222000000000002E-3</v>
      </c>
      <c r="I134" s="490">
        <f t="shared" si="3"/>
        <v>-0.16473698135358858</v>
      </c>
    </row>
    <row r="135" spans="1:9">
      <c r="A135" s="486" t="s">
        <v>431</v>
      </c>
      <c r="B135" s="486" t="s">
        <v>268</v>
      </c>
      <c r="C135" s="486" t="s">
        <v>432</v>
      </c>
      <c r="D135" s="487">
        <v>2.6407999999999998E-4</v>
      </c>
      <c r="E135" s="488"/>
      <c r="F135" s="521">
        <v>2.7101000000000002E-4</v>
      </c>
      <c r="G135" s="487"/>
      <c r="H135" s="489">
        <f t="shared" si="2"/>
        <v>6.9300000000000438E-6</v>
      </c>
      <c r="I135" s="490">
        <f t="shared" si="3"/>
        <v>2.6242047864283718E-2</v>
      </c>
    </row>
    <row r="136" spans="1:9">
      <c r="A136" s="486" t="s">
        <v>433</v>
      </c>
      <c r="B136" s="486" t="s">
        <v>434</v>
      </c>
      <c r="C136" s="486" t="s">
        <v>435</v>
      </c>
      <c r="D136" s="487">
        <v>2.7728559999999999E-2</v>
      </c>
      <c r="E136" s="488"/>
      <c r="F136" s="521">
        <v>2.419462E-2</v>
      </c>
      <c r="G136" s="487"/>
      <c r="H136" s="489">
        <f t="shared" si="2"/>
        <v>-3.5339399999999993E-3</v>
      </c>
      <c r="I136" s="490">
        <f t="shared" si="3"/>
        <v>-0.12744765685632428</v>
      </c>
    </row>
    <row r="137" spans="1:9">
      <c r="A137" s="486" t="s">
        <v>436</v>
      </c>
      <c r="B137" s="486" t="s">
        <v>311</v>
      </c>
      <c r="C137" s="486" t="s">
        <v>437</v>
      </c>
      <c r="D137" s="487">
        <v>0.27227183999999999</v>
      </c>
      <c r="E137" s="488"/>
      <c r="F137" s="521">
        <v>0.27225701000000002</v>
      </c>
      <c r="G137" s="487"/>
      <c r="H137" s="489">
        <f t="shared" si="2"/>
        <v>-1.4829999999965704E-5</v>
      </c>
      <c r="I137" s="490">
        <f t="shared" si="3"/>
        <v>-5.4467623239941764E-5</v>
      </c>
    </row>
    <row r="138" spans="1:9">
      <c r="A138" s="486" t="s">
        <v>438</v>
      </c>
      <c r="B138" s="486" t="s">
        <v>188</v>
      </c>
      <c r="C138" s="486" t="s">
        <v>439</v>
      </c>
      <c r="D138" s="487">
        <v>1.25</v>
      </c>
      <c r="E138" s="488"/>
      <c r="F138" s="521">
        <v>1.27</v>
      </c>
      <c r="G138" s="487"/>
      <c r="H138" s="489">
        <f t="shared" ref="H138:H145" si="4">(F138-D138)</f>
        <v>2.0000000000000018E-2</v>
      </c>
      <c r="I138" s="490">
        <f t="shared" ref="I138:I145" si="5">H138/D138</f>
        <v>1.6000000000000014E-2</v>
      </c>
    </row>
    <row r="139" spans="1:9">
      <c r="A139" s="486" t="s">
        <v>440</v>
      </c>
      <c r="B139" s="486" t="s">
        <v>441</v>
      </c>
      <c r="C139" s="486" t="s">
        <v>442</v>
      </c>
      <c r="D139" s="487">
        <v>2.5000000000000001E-2</v>
      </c>
      <c r="E139" s="488"/>
      <c r="F139" s="521">
        <v>2.2727270000000001E-2</v>
      </c>
      <c r="G139" s="487"/>
      <c r="H139" s="489">
        <f t="shared" si="4"/>
        <v>-2.2727300000000006E-3</v>
      </c>
      <c r="I139" s="490">
        <f t="shared" si="5"/>
        <v>-9.0909200000000023E-2</v>
      </c>
    </row>
    <row r="140" spans="1:9">
      <c r="A140" s="486" t="s">
        <v>443</v>
      </c>
      <c r="B140" s="486" t="s">
        <v>444</v>
      </c>
      <c r="C140" s="486" t="s">
        <v>445</v>
      </c>
      <c r="D140" s="487">
        <v>8.26788E-3</v>
      </c>
      <c r="E140" s="488"/>
      <c r="F140" s="521">
        <v>8.2202999999999998E-3</v>
      </c>
      <c r="G140" s="487"/>
      <c r="H140" s="489">
        <f t="shared" si="4"/>
        <v>-4.7580000000000192E-5</v>
      </c>
      <c r="I140" s="490">
        <f t="shared" si="5"/>
        <v>-5.7548005050871796E-3</v>
      </c>
    </row>
    <row r="141" spans="1:9">
      <c r="A141" s="486" t="s">
        <v>446</v>
      </c>
      <c r="B141" s="486" t="s">
        <v>447</v>
      </c>
      <c r="C141" s="486" t="s">
        <v>447</v>
      </c>
      <c r="D141" s="487">
        <v>1.111111E-2</v>
      </c>
      <c r="E141" s="488"/>
      <c r="F141" s="521">
        <v>1.6666670000000001E-2</v>
      </c>
      <c r="G141" s="487"/>
      <c r="H141" s="489">
        <f t="shared" si="4"/>
        <v>5.5555600000000011E-3</v>
      </c>
      <c r="I141" s="490">
        <f t="shared" si="5"/>
        <v>0.50000045000004512</v>
      </c>
    </row>
    <row r="142" spans="1:9">
      <c r="A142" s="486" t="s">
        <v>448</v>
      </c>
      <c r="B142" s="486" t="s">
        <v>449</v>
      </c>
      <c r="C142" s="486" t="s">
        <v>450</v>
      </c>
      <c r="D142" s="487">
        <v>4.1260000000000001E-5</v>
      </c>
      <c r="E142" s="488"/>
      <c r="F142" s="521">
        <v>3.9350000000000001E-5</v>
      </c>
      <c r="G142" s="487"/>
      <c r="H142" s="489">
        <f t="shared" si="4"/>
        <v>-1.9100000000000003E-6</v>
      </c>
      <c r="I142" s="490">
        <f t="shared" si="5"/>
        <v>-4.6291808046534183E-2</v>
      </c>
    </row>
    <row r="143" spans="1:9">
      <c r="A143" s="486" t="s">
        <v>451</v>
      </c>
      <c r="B143" s="486" t="s">
        <v>250</v>
      </c>
      <c r="C143" s="486" t="s">
        <v>452</v>
      </c>
      <c r="D143" s="487">
        <v>3.99564E-3</v>
      </c>
      <c r="E143" s="488"/>
      <c r="F143" s="521">
        <v>3.9977800000000003E-3</v>
      </c>
      <c r="G143" s="487"/>
      <c r="H143" s="489">
        <f t="shared" si="4"/>
        <v>2.1400000000003014E-6</v>
      </c>
      <c r="I143" s="490">
        <f t="shared" si="5"/>
        <v>5.3558378632717195E-4</v>
      </c>
    </row>
    <row r="144" spans="1:9">
      <c r="A144" s="486" t="s">
        <v>453</v>
      </c>
      <c r="B144" s="486" t="s">
        <v>453</v>
      </c>
      <c r="C144" s="486" t="s">
        <v>454</v>
      </c>
      <c r="D144" s="487">
        <v>4.275441E-2</v>
      </c>
      <c r="E144" s="488"/>
      <c r="F144" s="521">
        <v>3.6003599999999997E-2</v>
      </c>
      <c r="G144" s="487"/>
      <c r="H144" s="489">
        <f t="shared" si="4"/>
        <v>-6.7508100000000029E-3</v>
      </c>
      <c r="I144" s="490">
        <f t="shared" si="5"/>
        <v>-0.15789739584758633</v>
      </c>
    </row>
    <row r="145" spans="1:9">
      <c r="A145" s="486" t="s">
        <v>455</v>
      </c>
      <c r="B145" s="486" t="s">
        <v>121</v>
      </c>
      <c r="C145" s="486" t="s">
        <v>456</v>
      </c>
      <c r="D145" s="487">
        <v>1.7233E-4</v>
      </c>
      <c r="E145" s="488"/>
      <c r="F145" s="521">
        <v>2.7630000000000001E-5</v>
      </c>
      <c r="G145" s="487"/>
      <c r="H145" s="489">
        <f t="shared" si="4"/>
        <v>-1.4469999999999999E-4</v>
      </c>
      <c r="I145" s="490">
        <f t="shared" si="5"/>
        <v>-0.83966807868624149</v>
      </c>
    </row>
    <row r="146" spans="1:9">
      <c r="A146" s="536"/>
      <c r="B146" s="536"/>
      <c r="C146" s="536"/>
      <c r="D146" s="536"/>
      <c r="E146" s="536"/>
      <c r="F146" s="536"/>
      <c r="G146" s="536"/>
      <c r="H146" s="536"/>
      <c r="I146" s="536"/>
    </row>
    <row r="147" spans="1:9">
      <c r="A147" s="536" t="s">
        <v>780</v>
      </c>
      <c r="B147" s="536"/>
      <c r="C147" s="536"/>
      <c r="D147" s="536"/>
      <c r="E147" s="536"/>
      <c r="F147" s="536"/>
      <c r="G147" s="536"/>
      <c r="H147" s="536"/>
      <c r="I147" s="536"/>
    </row>
    <row r="148" spans="1:9">
      <c r="A148" s="536"/>
      <c r="B148" s="536"/>
      <c r="C148" s="536"/>
      <c r="D148" s="536"/>
      <c r="E148" s="536"/>
      <c r="F148" s="536"/>
      <c r="G148" s="536"/>
      <c r="H148" s="536"/>
      <c r="I148" s="536"/>
    </row>
    <row r="149" spans="1:9">
      <c r="F149" s="582"/>
      <c r="H149" s="88"/>
    </row>
    <row r="153" spans="1:9">
      <c r="F153" s="583"/>
    </row>
  </sheetData>
  <mergeCells count="10">
    <mergeCell ref="H7:I7"/>
    <mergeCell ref="A146:I146"/>
    <mergeCell ref="A147:I147"/>
    <mergeCell ref="A148:I148"/>
    <mergeCell ref="A1:I1"/>
    <mergeCell ref="A2:I2"/>
    <mergeCell ref="A3:I3"/>
    <mergeCell ref="A4:I4"/>
    <mergeCell ref="A5:I5"/>
    <mergeCell ref="H6:I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2CF59ACD39C14CA24CF9AB38F9905F" ma:contentTypeVersion="15" ma:contentTypeDescription="Create a new document." ma:contentTypeScope="" ma:versionID="a5d19e3642613da06276e53e7ff505b9">
  <xsd:schema xmlns:xsd="http://www.w3.org/2001/XMLSchema" xmlns:xs="http://www.w3.org/2001/XMLSchema" xmlns:p="http://schemas.microsoft.com/office/2006/metadata/properties" xmlns:ns2="b8df95cd-efcd-421a-8dc9-74b66ab104fe" xmlns:ns3="0408f750-d74e-4e69-af3a-2ac0b1b8edc3" targetNamespace="http://schemas.microsoft.com/office/2006/metadata/properties" ma:root="true" ma:fieldsID="132f5b40fb56d704e1e053db070c55cf" ns2:_="" ns3:_="">
    <xsd:import namespace="b8df95cd-efcd-421a-8dc9-74b66ab104fe"/>
    <xsd:import namespace="0408f750-d74e-4e69-af3a-2ac0b1b8edc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df95cd-efcd-421a-8dc9-74b66ab104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2788c53-7e05-4f3c-88a0-b3a683d7962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08f750-d74e-4e69-af3a-2ac0b1b8edc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6a72f25-5fda-4323-9c36-32de72d05d94}" ma:internalName="TaxCatchAll" ma:showField="CatchAllData" ma:web="0408f750-d74e-4e69-af3a-2ac0b1b8edc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8df95cd-efcd-421a-8dc9-74b66ab104fe">
      <Terms xmlns="http://schemas.microsoft.com/office/infopath/2007/PartnerControls"/>
    </lcf76f155ced4ddcb4097134ff3c332f>
    <TaxCatchAll xmlns="0408f750-d74e-4e69-af3a-2ac0b1b8ed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746F0A-8683-4467-BC6D-A1A63CA0AD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df95cd-efcd-421a-8dc9-74b66ab104fe"/>
    <ds:schemaRef ds:uri="0408f750-d74e-4e69-af3a-2ac0b1b8ed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6CB7FE-1EA9-4A3C-ACD4-E738751033D0}">
  <ds:schemaRefs>
    <ds:schemaRef ds:uri="http://schemas.microsoft.com/office/2006/metadata/properties"/>
    <ds:schemaRef ds:uri="http://schemas.microsoft.com/office/infopath/2007/PartnerControls"/>
    <ds:schemaRef ds:uri="b8df95cd-efcd-421a-8dc9-74b66ab104fe"/>
    <ds:schemaRef ds:uri="0408f750-d74e-4e69-af3a-2ac0b1b8edc3"/>
  </ds:schemaRefs>
</ds:datastoreItem>
</file>

<file path=customXml/itemProps3.xml><?xml version="1.0" encoding="utf-8"?>
<ds:datastoreItem xmlns:ds="http://schemas.openxmlformats.org/officeDocument/2006/customXml" ds:itemID="{C1E45561-E627-4FB4-B993-6C72B528E1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Budget</vt:lpstr>
      <vt:lpstr>Benchmarks</vt:lpstr>
      <vt:lpstr>Local Consultant Advice1</vt:lpstr>
      <vt:lpstr>Local consultant Advice 2</vt:lpstr>
      <vt:lpstr>2025 FX Rates</vt:lpstr>
      <vt:lpstr>Budget!Print_Area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2025-04-11T15:01:12Z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0x010100B02CF59ACD39C14CA24CF9AB38F9905F</vt:lpwstr>
  </property>
  <property fmtid="{D5CDD505-2E9C-101B-9397-08002B2CF9AE}" pid="3" name="MediaServiceImageTags">
    <vt:lpwstr/>
  </property>
  <property fmtid="{D5CDD505-2E9C-101B-9397-08002B2CF9AE}" pid="4" name="MSIP_Label_38f1469a-2c2a-4aee-b92b-090d4c5468ff_Enabled">
    <vt:lpwstr>true</vt:lpwstr>
  </property>
  <property fmtid="{D5CDD505-2E9C-101B-9397-08002B2CF9AE}" pid="5" name="MSIP_Label_38f1469a-2c2a-4aee-b92b-090d4c5468ff_SetDate">
    <vt:lpwstr>2022-11-14T14:48:11Z</vt:lpwstr>
  </property>
  <property fmtid="{D5CDD505-2E9C-101B-9397-08002B2CF9AE}" pid="6" name="MSIP_Label_38f1469a-2c2a-4aee-b92b-090d4c5468ff_Method">
    <vt:lpwstr>Standard</vt:lpwstr>
  </property>
  <property fmtid="{D5CDD505-2E9C-101B-9397-08002B2CF9AE}" pid="7" name="MSIP_Label_38f1469a-2c2a-4aee-b92b-090d4c5468ff_Name">
    <vt:lpwstr>Confidential - Unmarked</vt:lpwstr>
  </property>
  <property fmtid="{D5CDD505-2E9C-101B-9397-08002B2CF9AE}" pid="8" name="MSIP_Label_38f1469a-2c2a-4aee-b92b-090d4c5468ff_SiteId">
    <vt:lpwstr>2a6e6092-73e4-4752-b1a5-477a17f5056d</vt:lpwstr>
  </property>
  <property fmtid="{D5CDD505-2E9C-101B-9397-08002B2CF9AE}" pid="9" name="MSIP_Label_38f1469a-2c2a-4aee-b92b-090d4c5468ff_ActionId">
    <vt:lpwstr>3077290f-141e-4ace-8768-ed6d5342a2ea</vt:lpwstr>
  </property>
  <property fmtid="{D5CDD505-2E9C-101B-9397-08002B2CF9AE}" pid="10" name="MSIP_Label_38f1469a-2c2a-4aee-b92b-090d4c5468ff_ContentBits">
    <vt:lpwstr>0</vt:lpwstr>
  </property>
</Properties>
</file>