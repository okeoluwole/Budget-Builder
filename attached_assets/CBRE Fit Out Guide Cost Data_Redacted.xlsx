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https://cbre-my.sharepoint.com/personal/oluwole_oke_cbre_com/Documents/Desktop/MMC Budget App/"/>
    </mc:Choice>
  </mc:AlternateContent>
  <xr:revisionPtr revIDLastSave="251" documentId="8_{6449AFEE-3733-4C6A-86FF-7D5EF17C25DE}" xr6:coauthVersionLast="47" xr6:coauthVersionMax="47" xr10:uidLastSave="{B270227F-DB7F-4F92-A702-7CCEB4A8A3E9}"/>
  <bookViews>
    <workbookView xWindow="-110" yWindow="-110" windowWidth="19420" windowHeight="10300" tabRatio="601" xr2:uid="{D0AC5AF4-6D21-423F-8106-85F7BC18E59C}"/>
  </bookViews>
  <sheets>
    <sheet name="Table 1_Activity BYOB Sqm" sheetId="20" r:id="rId1"/>
    <sheet name="Table 1_Activity BYOB SqFt" sheetId="23" r:id="rId2"/>
    <sheet name="Table 2_Team BYOB Sqm" sheetId="26" r:id="rId3"/>
    <sheet name="Table 2_Team BYOB SqFt" sheetId="27" r:id="rId4"/>
    <sheet name="Table 3_Event BYOB Sqm" sheetId="28" r:id="rId5"/>
    <sheet name="Table 3_Event BYOB SqFt" sheetId="29" r:id="rId6"/>
  </sheets>
  <definedNames>
    <definedName name="_xlnm._FilterDatabase" localSheetId="1" hidden="1">'Table 1_Activity BYOB SqFt'!$A$5:$C$139</definedName>
    <definedName name="_xlnm._FilterDatabase" localSheetId="0" hidden="1">'Table 1_Activity BYOB Sqm'!$A$5:$C$139</definedName>
    <definedName name="_xlnm._FilterDatabase" localSheetId="3" hidden="1">'Table 2_Team BYOB SqFt'!$A$5:$C$139</definedName>
    <definedName name="_xlnm._FilterDatabase" localSheetId="2" hidden="1">'Table 2_Team BYOB Sqm'!$A$5:$C$139</definedName>
    <definedName name="_xlnm._FilterDatabase" localSheetId="5" hidden="1">'Table 3_Event BYOB SqFt'!$A$5:$C$139</definedName>
    <definedName name="_xlnm._FilterDatabase" localSheetId="4" hidden="1">'Table 3_Event BYOB Sqm'!$A$5:$C$139</definedName>
    <definedName name="_xlnm.Print_Area" localSheetId="1">'Table 1_Activity BYOB SqFt'!$A$1:$P$139</definedName>
    <definedName name="_xlnm.Print_Area" localSheetId="0">'Table 1_Activity BYOB Sqm'!$A$1:$P$139</definedName>
    <definedName name="_xlnm.Print_Area" localSheetId="3">'Table 2_Team BYOB SqFt'!$A$1:$P$139</definedName>
    <definedName name="_xlnm.Print_Area" localSheetId="2">'Table 2_Team BYOB Sqm'!$A$1:$P$139</definedName>
    <definedName name="_xlnm.Print_Area" localSheetId="5">'Table 3_Event BYOB SqFt'!$A$1:$P$139</definedName>
    <definedName name="_xlnm.Print_Area" localSheetId="4">'Table 3_Event BYOB Sqm'!$A$1:$P$139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3" i="29" l="1"/>
  <c r="E73" i="29"/>
  <c r="D73" i="29"/>
  <c r="F72" i="29"/>
  <c r="E72" i="29"/>
  <c r="D72" i="29"/>
  <c r="F71" i="29"/>
  <c r="E71" i="29"/>
  <c r="D71" i="29"/>
  <c r="F73" i="28"/>
  <c r="E73" i="28"/>
  <c r="D73" i="28"/>
  <c r="F72" i="28"/>
  <c r="E72" i="28"/>
  <c r="D72" i="28"/>
  <c r="F71" i="28"/>
  <c r="E71" i="28"/>
  <c r="D71" i="28"/>
  <c r="F73" i="27"/>
  <c r="E73" i="27"/>
  <c r="D73" i="27"/>
  <c r="F72" i="27"/>
  <c r="E72" i="27"/>
  <c r="D72" i="27"/>
  <c r="F71" i="27"/>
  <c r="E71" i="27"/>
  <c r="D71" i="27"/>
  <c r="F73" i="26"/>
  <c r="E73" i="26"/>
  <c r="D73" i="26"/>
  <c r="F72" i="26"/>
  <c r="E72" i="26"/>
  <c r="D72" i="26"/>
  <c r="F71" i="26"/>
  <c r="E71" i="26"/>
  <c r="D71" i="26"/>
  <c r="F73" i="23"/>
  <c r="E73" i="23"/>
  <c r="D73" i="23"/>
  <c r="F72" i="23"/>
  <c r="E72" i="23"/>
  <c r="D72" i="23"/>
  <c r="F71" i="23"/>
  <c r="E71" i="23"/>
  <c r="D71" i="23"/>
  <c r="F73" i="20"/>
  <c r="E73" i="20"/>
  <c r="D73" i="20"/>
  <c r="F72" i="20"/>
  <c r="E72" i="20"/>
  <c r="D72" i="20"/>
  <c r="F71" i="20"/>
  <c r="E71" i="20"/>
  <c r="D71" i="20"/>
</calcChain>
</file>

<file path=xl/sharedStrings.xml><?xml version="1.0" encoding="utf-8"?>
<sst xmlns="http://schemas.openxmlformats.org/spreadsheetml/2006/main" count="2520" uniqueCount="224">
  <si>
    <t>FIT OUT $/M2</t>
  </si>
  <si>
    <t>EMEA</t>
  </si>
  <si>
    <t>APAC</t>
  </si>
  <si>
    <t>Low</t>
  </si>
  <si>
    <t xml:space="preserve">Medium </t>
  </si>
  <si>
    <t xml:space="preserve">High </t>
  </si>
  <si>
    <t>COUNTRY</t>
  </si>
  <si>
    <t>CITY</t>
  </si>
  <si>
    <t>REGION</t>
  </si>
  <si>
    <t>United States</t>
  </si>
  <si>
    <t>Cincinnati</t>
  </si>
  <si>
    <t>AMERICAS</t>
  </si>
  <si>
    <t>Charlotte</t>
  </si>
  <si>
    <t>Chicago</t>
  </si>
  <si>
    <t>Cleveland</t>
  </si>
  <si>
    <t>Boston</t>
  </si>
  <si>
    <t>Baltimore</t>
  </si>
  <si>
    <t>Columbus</t>
  </si>
  <si>
    <t>Austin</t>
  </si>
  <si>
    <t>Atlanta</t>
  </si>
  <si>
    <t>Dallas</t>
  </si>
  <si>
    <t>Denver</t>
  </si>
  <si>
    <t>Detroit</t>
  </si>
  <si>
    <t>Houston</t>
  </si>
  <si>
    <t>Indianapolis</t>
  </si>
  <si>
    <t>Kansas City</t>
  </si>
  <si>
    <t>Los Angeles</t>
  </si>
  <si>
    <t>Miami</t>
  </si>
  <si>
    <t>Minneapolis</t>
  </si>
  <si>
    <t>Nashville</t>
  </si>
  <si>
    <t>New York</t>
  </si>
  <si>
    <t>Newark</t>
  </si>
  <si>
    <t>Oakland</t>
  </si>
  <si>
    <t>Orlando</t>
  </si>
  <si>
    <t>Oklahoma</t>
  </si>
  <si>
    <t>Philadelphia</t>
  </si>
  <si>
    <t>Phoenix</t>
  </si>
  <si>
    <t>Portland</t>
  </si>
  <si>
    <t>Sacramento</t>
  </si>
  <si>
    <t>Salt Lake City</t>
  </si>
  <si>
    <t>San Diego</t>
  </si>
  <si>
    <t>San Francisco</t>
  </si>
  <si>
    <t>San Jose</t>
  </si>
  <si>
    <t>Seattle</t>
  </si>
  <si>
    <t>St. Louis</t>
  </si>
  <si>
    <t>Tampa</t>
  </si>
  <si>
    <t>Washington DC</t>
  </si>
  <si>
    <t>Tulsa</t>
  </si>
  <si>
    <t>Saint Kitts and Nevis</t>
  </si>
  <si>
    <t>Basseterre</t>
  </si>
  <si>
    <t>Puerto Rico</t>
  </si>
  <si>
    <t>San Juan</t>
  </si>
  <si>
    <t>Barbados</t>
  </si>
  <si>
    <t>Bridgetown</t>
  </si>
  <si>
    <t xml:space="preserve">Saint Lucia </t>
  </si>
  <si>
    <t>Castries</t>
  </si>
  <si>
    <t>Turks &amp; Caicos Islands</t>
  </si>
  <si>
    <t>Cockburn Town</t>
  </si>
  <si>
    <t xml:space="preserve">Cayman Islands </t>
  </si>
  <si>
    <t>George Town</t>
  </si>
  <si>
    <t>Saint Vincent The Grenadines</t>
  </si>
  <si>
    <t>Kingstontown</t>
  </si>
  <si>
    <t xml:space="preserve">Bahamas </t>
  </si>
  <si>
    <t>Nassau</t>
  </si>
  <si>
    <t>St. Maarten</t>
  </si>
  <si>
    <t>Philipsburg</t>
  </si>
  <si>
    <t xml:space="preserve">Trinidad Tobago </t>
  </si>
  <si>
    <t xml:space="preserve">Port of Spain </t>
  </si>
  <si>
    <t>British Virgin Islands</t>
  </si>
  <si>
    <t>Road Town</t>
  </si>
  <si>
    <t>Argentina</t>
  </si>
  <si>
    <t>Buenos Aires</t>
  </si>
  <si>
    <t>Cordoba</t>
  </si>
  <si>
    <t>Brazil</t>
  </si>
  <si>
    <t>Brasilia</t>
  </si>
  <si>
    <t>Rio De Janeiro</t>
  </si>
  <si>
    <t>Sao Paulo</t>
  </si>
  <si>
    <t>Colombia</t>
  </si>
  <si>
    <t>Bogota</t>
  </si>
  <si>
    <t>Chile</t>
  </si>
  <si>
    <t>Santiago</t>
  </si>
  <si>
    <t>Costa Rica</t>
  </si>
  <si>
    <t xml:space="preserve">Mexico </t>
  </si>
  <si>
    <t>Mexico City</t>
  </si>
  <si>
    <t>Guadalajara</t>
  </si>
  <si>
    <t>Monterrey</t>
  </si>
  <si>
    <t>Queretaro</t>
  </si>
  <si>
    <t xml:space="preserve">Panama </t>
  </si>
  <si>
    <t>Panama City</t>
  </si>
  <si>
    <t>Austria</t>
  </si>
  <si>
    <t>Vienna</t>
  </si>
  <si>
    <t xml:space="preserve">Belgium </t>
  </si>
  <si>
    <t>Brussels</t>
  </si>
  <si>
    <t>Botswana</t>
  </si>
  <si>
    <t>Gabarone</t>
  </si>
  <si>
    <t>Bulgaria</t>
  </si>
  <si>
    <t>Sofia</t>
  </si>
  <si>
    <t xml:space="preserve">Croatia </t>
  </si>
  <si>
    <t>Zagreb</t>
  </si>
  <si>
    <t>Czech Republic</t>
  </si>
  <si>
    <t>Prague</t>
  </si>
  <si>
    <t>Denmark</t>
  </si>
  <si>
    <t>Copenhagen</t>
  </si>
  <si>
    <t>Ethiopia</t>
  </si>
  <si>
    <t>Addis Ababa</t>
  </si>
  <si>
    <t>Finland</t>
  </si>
  <si>
    <t>Helsinki</t>
  </si>
  <si>
    <t>France</t>
  </si>
  <si>
    <t>Paris</t>
  </si>
  <si>
    <t>Germany</t>
  </si>
  <si>
    <t>Cologne</t>
  </si>
  <si>
    <t>Ghana</t>
  </si>
  <si>
    <t>Accra</t>
  </si>
  <si>
    <t>Hungary</t>
  </si>
  <si>
    <t>Budapest</t>
  </si>
  <si>
    <t>Ireland</t>
  </si>
  <si>
    <t>Dublin</t>
  </si>
  <si>
    <t>Israel</t>
  </si>
  <si>
    <t>Tel Aviv</t>
  </si>
  <si>
    <t>Italy</t>
  </si>
  <si>
    <t>Rome</t>
  </si>
  <si>
    <t>Kenya</t>
  </si>
  <si>
    <t>Nairobi</t>
  </si>
  <si>
    <t>Luxembourg</t>
  </si>
  <si>
    <t>Morocco</t>
  </si>
  <si>
    <t>Casablanca</t>
  </si>
  <si>
    <t>Netherlands</t>
  </si>
  <si>
    <t>Amsterdam</t>
  </si>
  <si>
    <t>Nigeria</t>
  </si>
  <si>
    <t>Abuja</t>
  </si>
  <si>
    <t xml:space="preserve">Norway </t>
  </si>
  <si>
    <t>Oslo</t>
  </si>
  <si>
    <t>Poland</t>
  </si>
  <si>
    <t>Warsaw</t>
  </si>
  <si>
    <t>Romania</t>
  </si>
  <si>
    <t>Bucharest</t>
  </si>
  <si>
    <t>Rwanda</t>
  </si>
  <si>
    <t>Kigali</t>
  </si>
  <si>
    <t>Senegal</t>
  </si>
  <si>
    <t>Dakar</t>
  </si>
  <si>
    <t xml:space="preserve">Serbia </t>
  </si>
  <si>
    <t>Belgrade</t>
  </si>
  <si>
    <t>Slovakia</t>
  </si>
  <si>
    <t>Bratislava</t>
  </si>
  <si>
    <t>Slovenia</t>
  </si>
  <si>
    <t>Ljubljana</t>
  </si>
  <si>
    <t>South Africa</t>
  </si>
  <si>
    <t>Johannesburg</t>
  </si>
  <si>
    <t>Spain</t>
  </si>
  <si>
    <t>Madrid</t>
  </si>
  <si>
    <t>Sweden</t>
  </si>
  <si>
    <t>Stockholm</t>
  </si>
  <si>
    <t>Switzerland</t>
  </si>
  <si>
    <t xml:space="preserve">Geneva </t>
  </si>
  <si>
    <t>Zurich</t>
  </si>
  <si>
    <t>Turkey</t>
  </si>
  <si>
    <t>Istanbul</t>
  </si>
  <si>
    <t>UAE</t>
  </si>
  <si>
    <t>Abu Dhabi</t>
  </si>
  <si>
    <t>Dubai</t>
  </si>
  <si>
    <t xml:space="preserve">Uganda </t>
  </si>
  <si>
    <t>Kampala</t>
  </si>
  <si>
    <t>China</t>
  </si>
  <si>
    <t>Hong Kong</t>
  </si>
  <si>
    <t xml:space="preserve">Australia </t>
  </si>
  <si>
    <t>Sydney</t>
  </si>
  <si>
    <t>Brisbane</t>
  </si>
  <si>
    <t>Melborne</t>
  </si>
  <si>
    <t>Perth</t>
  </si>
  <si>
    <t>Beijing</t>
  </si>
  <si>
    <t>Guangzhou</t>
  </si>
  <si>
    <t>Shanghai</t>
  </si>
  <si>
    <t>India</t>
  </si>
  <si>
    <t>Bangalore</t>
  </si>
  <si>
    <t>Chennai</t>
  </si>
  <si>
    <t>Hyderbad</t>
  </si>
  <si>
    <t>Kolkata</t>
  </si>
  <si>
    <t>Mumbai</t>
  </si>
  <si>
    <t>New Delhi</t>
  </si>
  <si>
    <t>Pune</t>
  </si>
  <si>
    <t xml:space="preserve">Indonesia </t>
  </si>
  <si>
    <t>Jakarta</t>
  </si>
  <si>
    <t>Japan</t>
  </si>
  <si>
    <t>Tokyo</t>
  </si>
  <si>
    <t>Malaysia</t>
  </si>
  <si>
    <t>Kuala Lumpur</t>
  </si>
  <si>
    <t>New Zealand</t>
  </si>
  <si>
    <t>Auckland</t>
  </si>
  <si>
    <t>Pakistan</t>
  </si>
  <si>
    <t>Karachi</t>
  </si>
  <si>
    <t xml:space="preserve">Philippines </t>
  </si>
  <si>
    <t>Manila</t>
  </si>
  <si>
    <t>Singapore</t>
  </si>
  <si>
    <t>South Korea</t>
  </si>
  <si>
    <t>Seoul</t>
  </si>
  <si>
    <t>Taiwan</t>
  </si>
  <si>
    <t>Taipei</t>
  </si>
  <si>
    <t>Thailand</t>
  </si>
  <si>
    <t>Bangkok</t>
  </si>
  <si>
    <t>Vietnam</t>
  </si>
  <si>
    <t>Hanoi</t>
  </si>
  <si>
    <t>United Kingdom</t>
  </si>
  <si>
    <t>London</t>
  </si>
  <si>
    <t>Zimbabwe</t>
  </si>
  <si>
    <t>Harare</t>
  </si>
  <si>
    <t>FURNITURE $/M2</t>
  </si>
  <si>
    <t>ACTIVITY SPACE</t>
  </si>
  <si>
    <t>TECHNOLOGY $/M2</t>
  </si>
  <si>
    <t>Total</t>
  </si>
  <si>
    <t>Charleston (SC)</t>
  </si>
  <si>
    <t>Saddle Brook (NJ)</t>
  </si>
  <si>
    <t>Stamford (CT)</t>
  </si>
  <si>
    <t>LATAM</t>
  </si>
  <si>
    <t>Canada</t>
  </si>
  <si>
    <t>Toronto</t>
  </si>
  <si>
    <t>Montreal</t>
  </si>
  <si>
    <t>Vancouver</t>
  </si>
  <si>
    <t>Ottawa</t>
  </si>
  <si>
    <t>FIT OUT $/SqFt</t>
  </si>
  <si>
    <t>FURNITURE $/SqFt</t>
  </si>
  <si>
    <t>TECHNOLOGY $/SqFt</t>
  </si>
  <si>
    <t>TEAM SPACE</t>
  </si>
  <si>
    <t>EVENT SPACE</t>
  </si>
  <si>
    <t>Professional Fees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</si>
</sst>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_);\(#,##0\);0_)"/>
    <numFmt numFmtId="165" formatCode="_-[$$-409]* #,##0.00_ ;_-[$$-409]* \-#,##0.00\ ;_-[$$-409]* &quot;-&quot;??_ ;_-@_ "/>
    <numFmt numFmtId="169" formatCode="0.0%"/>
  </numFmts>
  <fonts count="13" x14ac:knownFonts="1">
    <font>
      <sz val="11"/>
      <color theme="1"/>
      <name val="Calibre"/>
      <family val="2"/>
      <scheme val="minor"/>
    </font>
    <font>
      <sz val="10"/>
      <color rgb="FFFFFFFF"/>
      <name val="Calibre"/>
      <family val="2"/>
      <scheme val="minor"/>
    </font>
    <font>
      <sz val="11"/>
      <color rgb="FFFFFFFF"/>
      <name val="Calibre"/>
      <family val="2"/>
      <scheme val="minor"/>
    </font>
    <font>
      <sz val="14"/>
      <color rgb="FFFFFFFF"/>
      <name val="Calibre"/>
      <family val="2"/>
      <scheme val="minor"/>
    </font>
    <font>
      <b/>
      <sz val="10"/>
      <color rgb="FFFFFFFF"/>
      <name val="Calibre"/>
      <family val="2"/>
      <scheme val="minor"/>
    </font>
    <font>
      <sz val="11"/>
      <color rgb="FFFF0000"/>
      <name val="Calibre"/>
      <family val="2"/>
      <scheme val="minor"/>
    </font>
    <font>
      <sz val="11"/>
      <color theme="1"/>
      <name val="Calibre"/>
      <family val="2"/>
      <scheme val="minor"/>
    </font>
    <font>
      <sz val="10"/>
      <name val="Arial"/>
      <family val="2"/>
    </font>
    <font>
      <b/>
      <sz val="11"/>
      <color theme="1"/>
      <name val="Calibre"/>
      <family val="2"/>
      <scheme val="minor"/>
    </font>
    <font>
      <b/>
      <sz val="14"/>
      <color rgb="FFFFFFFF"/>
      <name val="Calibre"/>
      <family val="2"/>
      <scheme val="minor"/>
    </font>
    <font>
      <sz val="10"/>
      <color theme="1"/>
      <name val="Arial"/>
      <family val="2"/>
    </font>
    <font>
      <sz val="11"/>
      <name val="Calibre"/>
      <family val="2"/>
      <scheme val="minor"/>
    </font>
    <font>
      <sz val="11"/>
      <color rgb="FF0070C0"/>
      <name val="Calibre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0BBAD"/>
        <bgColor indexed="64"/>
      </patternFill>
    </fill>
    <fill>
      <patternFill patternType="solid">
        <fgColor rgb="FFC0DDD6"/>
        <bgColor indexed="64"/>
      </patternFill>
    </fill>
    <fill>
      <patternFill patternType="solid">
        <fgColor theme="0" tint="-0.34998626667073579"/>
        <bgColor indexed="64"/>
      </patternFill>
    </fill>
  </fills>
  <borders count="33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</borders>
  <cellStyleXfs count="4">
    <xf numFmtId="0" fontId="0" fillId="0" borderId="0"/>
    <xf numFmtId="0" fontId="7" fillId="0" borderId="0"/>
    <xf numFmtId="0" fontId="10" fillId="0" borderId="0"/>
    <xf numFmtId="0" fontId="6" fillId="0" borderId="0"/>
  </cellStyleXfs>
  <cellXfs count="76">
    <xf numFmtId="0" fontId="0" fillId="0" borderId="0" xfId="0"/>
    <xf numFmtId="49" fontId="1" fillId="3" borderId="0" xfId="0" applyNumberFormat="1" applyFont="1" applyFill="1" applyAlignment="1">
      <alignment horizontal="left" vertical="center" wrapText="1"/>
    </xf>
    <xf numFmtId="49" fontId="1" fillId="2" borderId="2" xfId="0" applyNumberFormat="1" applyFont="1" applyFill="1" applyBorder="1" applyAlignment="1">
      <alignment horizontal="left" vertical="center" wrapText="1"/>
    </xf>
    <xf numFmtId="49" fontId="1" fillId="3" borderId="5" xfId="0" applyNumberFormat="1" applyFont="1" applyFill="1" applyBorder="1" applyAlignment="1">
      <alignment horizontal="left" vertical="center" wrapText="1"/>
    </xf>
    <xf numFmtId="165" fontId="0" fillId="0" borderId="0" xfId="0" applyNumberFormat="1"/>
    <xf numFmtId="164" fontId="4" fillId="3" borderId="7" xfId="0" applyNumberFormat="1" applyFont="1" applyFill="1" applyBorder="1" applyAlignment="1">
      <alignment horizontal="center" vertical="center"/>
    </xf>
    <xf numFmtId="165" fontId="0" fillId="0" borderId="6" xfId="0" applyNumberFormat="1" applyBorder="1"/>
    <xf numFmtId="165" fontId="0" fillId="0" borderId="3" xfId="0" applyNumberFormat="1" applyBorder="1"/>
    <xf numFmtId="49" fontId="1" fillId="3" borderId="3" xfId="0" applyNumberFormat="1" applyFont="1" applyFill="1" applyBorder="1" applyAlignment="1">
      <alignment horizontal="left" vertical="center" wrapText="1"/>
    </xf>
    <xf numFmtId="49" fontId="4" fillId="3" borderId="5" xfId="0" applyNumberFormat="1" applyFont="1" applyFill="1" applyBorder="1" applyAlignment="1">
      <alignment horizontal="center" vertical="center" wrapText="1"/>
    </xf>
    <xf numFmtId="49" fontId="4" fillId="3" borderId="6" xfId="0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textRotation="90"/>
    </xf>
    <xf numFmtId="0" fontId="2" fillId="2" borderId="0" xfId="0" applyFont="1" applyFill="1" applyAlignment="1">
      <alignment horizontal="center" vertical="center" textRotation="90"/>
    </xf>
    <xf numFmtId="0" fontId="2" fillId="2" borderId="5" xfId="0" applyFont="1" applyFill="1" applyBorder="1" applyAlignment="1">
      <alignment horizontal="center" vertical="center" textRotation="90"/>
    </xf>
    <xf numFmtId="0" fontId="0" fillId="4" borderId="0" xfId="0" applyFill="1"/>
    <xf numFmtId="0" fontId="5" fillId="4" borderId="0" xfId="0" applyFont="1" applyFill="1"/>
    <xf numFmtId="0" fontId="5" fillId="0" borderId="0" xfId="0" applyFont="1"/>
    <xf numFmtId="164" fontId="4" fillId="3" borderId="0" xfId="0" applyNumberFormat="1" applyFont="1" applyFill="1" applyAlignment="1">
      <alignment horizontal="center" vertical="center"/>
    </xf>
    <xf numFmtId="49" fontId="4" fillId="3" borderId="0" xfId="0" applyNumberFormat="1" applyFont="1" applyFill="1" applyAlignment="1">
      <alignment horizontal="center" vertical="center" wrapText="1"/>
    </xf>
    <xf numFmtId="49" fontId="1" fillId="2" borderId="9" xfId="0" applyNumberFormat="1" applyFont="1" applyFill="1" applyBorder="1" applyAlignment="1">
      <alignment horizontal="left" vertical="center" wrapText="1"/>
    </xf>
    <xf numFmtId="165" fontId="4" fillId="3" borderId="12" xfId="0" applyNumberFormat="1" applyFont="1" applyFill="1" applyBorder="1" applyAlignment="1">
      <alignment horizontal="center" vertical="center"/>
    </xf>
    <xf numFmtId="164" fontId="4" fillId="3" borderId="13" xfId="0" applyNumberFormat="1" applyFont="1" applyFill="1" applyBorder="1" applyAlignment="1">
      <alignment horizontal="center" vertical="center"/>
    </xf>
    <xf numFmtId="49" fontId="4" fillId="3" borderId="12" xfId="0" applyNumberFormat="1" applyFont="1" applyFill="1" applyBorder="1" applyAlignment="1">
      <alignment horizontal="center" vertical="center" wrapText="1"/>
    </xf>
    <xf numFmtId="49" fontId="4" fillId="3" borderId="14" xfId="0" applyNumberFormat="1" applyFont="1" applyFill="1" applyBorder="1" applyAlignment="1">
      <alignment horizontal="center" vertical="center" wrapText="1"/>
    </xf>
    <xf numFmtId="165" fontId="0" fillId="0" borderId="12" xfId="0" applyNumberFormat="1" applyBorder="1"/>
    <xf numFmtId="165" fontId="0" fillId="0" borderId="14" xfId="0" applyNumberFormat="1" applyBorder="1"/>
    <xf numFmtId="165" fontId="0" fillId="0" borderId="15" xfId="0" applyNumberFormat="1" applyBorder="1"/>
    <xf numFmtId="165" fontId="0" fillId="0" borderId="16" xfId="0" applyNumberFormat="1" applyBorder="1"/>
    <xf numFmtId="165" fontId="0" fillId="0" borderId="19" xfId="0" applyNumberFormat="1" applyBorder="1"/>
    <xf numFmtId="164" fontId="4" fillId="3" borderId="19" xfId="0" applyNumberFormat="1" applyFont="1" applyFill="1" applyBorder="1" applyAlignment="1">
      <alignment horizontal="center" vertical="center"/>
    </xf>
    <xf numFmtId="164" fontId="4" fillId="3" borderId="16" xfId="0" applyNumberFormat="1" applyFont="1" applyFill="1" applyBorder="1" applyAlignment="1">
      <alignment horizontal="center" vertical="center"/>
    </xf>
    <xf numFmtId="49" fontId="4" fillId="3" borderId="19" xfId="0" applyNumberFormat="1" applyFont="1" applyFill="1" applyBorder="1" applyAlignment="1">
      <alignment horizontal="center" vertical="center" wrapText="1"/>
    </xf>
    <xf numFmtId="49" fontId="4" fillId="3" borderId="16" xfId="0" applyNumberFormat="1" applyFont="1" applyFill="1" applyBorder="1" applyAlignment="1">
      <alignment horizontal="center" vertical="center" wrapText="1"/>
    </xf>
    <xf numFmtId="165" fontId="0" fillId="0" borderId="20" xfId="0" applyNumberFormat="1" applyBorder="1"/>
    <xf numFmtId="0" fontId="0" fillId="0" borderId="0" xfId="0" applyAlignment="1">
      <alignment wrapText="1"/>
    </xf>
    <xf numFmtId="0" fontId="3" fillId="2" borderId="24" xfId="0" applyFont="1" applyFill="1" applyBorder="1" applyAlignment="1">
      <alignment horizontal="center" vertical="center" wrapText="1"/>
    </xf>
    <xf numFmtId="0" fontId="3" fillId="2" borderId="30" xfId="0" applyFont="1" applyFill="1" applyBorder="1" applyAlignment="1">
      <alignment horizontal="center" vertical="center" wrapText="1"/>
    </xf>
    <xf numFmtId="164" fontId="4" fillId="3" borderId="20" xfId="0" applyNumberFormat="1" applyFont="1" applyFill="1" applyBorder="1" applyAlignment="1">
      <alignment horizontal="center" vertical="center"/>
    </xf>
    <xf numFmtId="165" fontId="5" fillId="0" borderId="20" xfId="0" applyNumberFormat="1" applyFont="1" applyBorder="1"/>
    <xf numFmtId="165" fontId="0" fillId="0" borderId="8" xfId="0" applyNumberFormat="1" applyBorder="1"/>
    <xf numFmtId="169" fontId="0" fillId="0" borderId="0" xfId="0" applyNumberFormat="1" applyAlignment="1">
      <alignment horizontal="center"/>
    </xf>
    <xf numFmtId="165" fontId="11" fillId="0" borderId="15" xfId="0" applyNumberFormat="1" applyFont="1" applyBorder="1"/>
    <xf numFmtId="165" fontId="11" fillId="0" borderId="3" xfId="0" applyNumberFormat="1" applyFont="1" applyBorder="1"/>
    <xf numFmtId="165" fontId="11" fillId="0" borderId="16" xfId="0" applyNumberFormat="1" applyFont="1" applyBorder="1"/>
    <xf numFmtId="165" fontId="11" fillId="0" borderId="17" xfId="0" applyNumberFormat="1" applyFont="1" applyBorder="1"/>
    <xf numFmtId="165" fontId="11" fillId="0" borderId="4" xfId="0" applyNumberFormat="1" applyFont="1" applyBorder="1"/>
    <xf numFmtId="165" fontId="11" fillId="0" borderId="18" xfId="0" applyNumberFormat="1" applyFont="1" applyBorder="1"/>
    <xf numFmtId="165" fontId="11" fillId="0" borderId="19" xfId="0" applyNumberFormat="1" applyFont="1" applyBorder="1"/>
    <xf numFmtId="165" fontId="11" fillId="0" borderId="0" xfId="0" applyNumberFormat="1" applyFont="1"/>
    <xf numFmtId="49" fontId="4" fillId="3" borderId="20" xfId="0" applyNumberFormat="1" applyFont="1" applyFill="1" applyBorder="1" applyAlignment="1">
      <alignment horizontal="center" vertical="center" wrapText="1"/>
    </xf>
    <xf numFmtId="165" fontId="11" fillId="0" borderId="12" xfId="0" applyNumberFormat="1" applyFont="1" applyBorder="1"/>
    <xf numFmtId="165" fontId="11" fillId="0" borderId="6" xfId="0" applyNumberFormat="1" applyFont="1" applyBorder="1"/>
    <xf numFmtId="165" fontId="11" fillId="0" borderId="14" xfId="0" applyNumberFormat="1" applyFont="1" applyBorder="1"/>
    <xf numFmtId="165" fontId="11" fillId="0" borderId="20" xfId="0" applyNumberFormat="1" applyFont="1" applyBorder="1"/>
    <xf numFmtId="169" fontId="11" fillId="0" borderId="0" xfId="0" applyNumberFormat="1" applyFont="1" applyAlignment="1">
      <alignment horizontal="center"/>
    </xf>
    <xf numFmtId="0" fontId="0" fillId="0" borderId="30" xfId="0" applyBorder="1" applyAlignment="1">
      <alignment horizontal="center" vertical="center" wrapText="1"/>
    </xf>
    <xf numFmtId="0" fontId="12" fillId="4" borderId="0" xfId="0" applyFont="1" applyFill="1"/>
    <xf numFmtId="0" fontId="12" fillId="0" borderId="0" xfId="0" applyFont="1"/>
    <xf numFmtId="164" fontId="4" fillId="3" borderId="1" xfId="0" applyNumberFormat="1" applyFont="1" applyFill="1" applyBorder="1" applyAlignment="1">
      <alignment horizontal="center" vertical="center"/>
    </xf>
    <xf numFmtId="0" fontId="9" fillId="2" borderId="19" xfId="0" applyFont="1" applyFill="1" applyBorder="1" applyAlignment="1">
      <alignment horizontal="center" vertical="center" wrapText="1"/>
    </xf>
    <xf numFmtId="0" fontId="9" fillId="2" borderId="0" xfId="0" applyFont="1" applyFill="1" applyAlignment="1">
      <alignment horizontal="center" vertical="center" wrapText="1"/>
    </xf>
    <xf numFmtId="0" fontId="8" fillId="0" borderId="0" xfId="0" applyFont="1" applyAlignment="1">
      <alignment wrapText="1"/>
    </xf>
    <xf numFmtId="0" fontId="3" fillId="2" borderId="25" xfId="0" applyFont="1" applyFill="1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164" fontId="4" fillId="3" borderId="10" xfId="0" applyNumberFormat="1" applyFont="1" applyFill="1" applyBorder="1" applyAlignment="1">
      <alignment horizontal="center" vertical="center"/>
    </xf>
    <xf numFmtId="164" fontId="4" fillId="3" borderId="11" xfId="0" applyNumberFormat="1" applyFont="1" applyFill="1" applyBorder="1" applyAlignment="1">
      <alignment horizontal="center" vertical="center"/>
    </xf>
    <xf numFmtId="164" fontId="4" fillId="3" borderId="31" xfId="0" applyNumberFormat="1" applyFont="1" applyFill="1" applyBorder="1" applyAlignment="1">
      <alignment horizontal="center" vertical="center"/>
    </xf>
    <xf numFmtId="0" fontId="3" fillId="2" borderId="27" xfId="0" applyFont="1" applyFill="1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0" fontId="3" fillId="2" borderId="21" xfId="0" applyFont="1" applyFill="1" applyBorder="1" applyAlignment="1">
      <alignment horizontal="center" vertical="center" wrapText="1"/>
    </xf>
    <xf numFmtId="0" fontId="3" fillId="2" borderId="22" xfId="0" applyFont="1" applyFill="1" applyBorder="1" applyAlignment="1">
      <alignment horizontal="center" vertical="center" wrapText="1"/>
    </xf>
    <xf numFmtId="0" fontId="3" fillId="2" borderId="23" xfId="0" applyFont="1" applyFill="1" applyBorder="1" applyAlignment="1">
      <alignment horizontal="center" vertical="center" wrapText="1"/>
    </xf>
    <xf numFmtId="0" fontId="0" fillId="0" borderId="29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32" xfId="0" applyBorder="1" applyAlignment="1">
      <alignment horizontal="center" vertical="center" wrapText="1"/>
    </xf>
  </cellXfs>
  <cellStyles count="4">
    <cellStyle name="Normal" xfId="0" builtinId="0"/>
    <cellStyle name="Normal 2" xfId="1" xr:uid="{2BE2422F-25CC-4790-91E5-4213514FAC4F}"/>
    <cellStyle name="Normal 2 2" xfId="3" xr:uid="{FF90747F-6001-4094-8847-C6528F1BFA5C}"/>
    <cellStyle name="Normal 3" xfId="2" xr:uid="{23E85581-492F-4745-8861-2FDA132B0C1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BRE">
  <a:themeElements>
    <a:clrScheme name="CBRE Excel">
      <a:dk1>
        <a:srgbClr val="435254"/>
      </a:dk1>
      <a:lt1>
        <a:sysClr val="window" lastClr="FFFFFF"/>
      </a:lt1>
      <a:dk2>
        <a:srgbClr val="DBD99A"/>
      </a:dk2>
      <a:lt2>
        <a:srgbClr val="80BBAD"/>
      </a:lt2>
      <a:accent1>
        <a:srgbClr val="80BBAD"/>
      </a:accent1>
      <a:accent2>
        <a:srgbClr val="435254"/>
      </a:accent2>
      <a:accent3>
        <a:srgbClr val="17E88F"/>
      </a:accent3>
      <a:accent4>
        <a:srgbClr val="DBD99A"/>
      </a:accent4>
      <a:accent5>
        <a:srgbClr val="D2785A"/>
      </a:accent5>
      <a:accent6>
        <a:srgbClr val="885073"/>
      </a:accent6>
      <a:hlink>
        <a:srgbClr val="538184"/>
      </a:hlink>
      <a:folHlink>
        <a:srgbClr val="538184"/>
      </a:folHlink>
    </a:clrScheme>
    <a:fontScheme name="CBRE">
      <a:majorFont>
        <a:latin typeface="Financier Display"/>
        <a:ea typeface=""/>
        <a:cs typeface=""/>
      </a:majorFont>
      <a:minorFont>
        <a:latin typeface="Calibre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custClrLst>
    <a:custClr name="Celadon (DV1)">
      <a:srgbClr val="80BBAD"/>
    </a:custClr>
    <a:custClr name="Dark Grey (DV2)">
      <a:srgbClr val="435254"/>
    </a:custClr>
    <a:custClr name="Accent Green (DV3)">
      <a:srgbClr val="17E88F"/>
    </a:custClr>
    <a:custClr name="Wheat (DV4)">
      <a:srgbClr val="DBD99A"/>
    </a:custClr>
    <a:custClr name="Data Orange (DV5)">
      <a:srgbClr val="D2785A"/>
    </a:custClr>
    <a:custClr name="Data Purple (DV6)">
      <a:srgbClr val="885073"/>
    </a:custClr>
    <a:custClr name="Data Lt. Purple (DV7)">
      <a:srgbClr val="A388BF"/>
    </a:custClr>
    <a:custClr name="Data Blue (DV8)">
      <a:srgbClr val="1F3765"/>
    </a:custClr>
    <a:custClr name="Data Lt. Blue (DV9)">
      <a:srgbClr val="3E7CA6"/>
    </a:custClr>
    <a:custClr name="Light Grey (DV10)">
      <a:srgbClr val="CAD1D3"/>
    </a:custClr>
    <a:custClr name="Negative Value Red">
      <a:srgbClr val="AD2A2A"/>
    </a:custClr>
    <a:custClr name="DataViz Background (20% Lt. Grey)">
      <a:srgbClr val="F6F6F6"/>
    </a:custClr>
    <a:custClr name=" ">
      <a:srgbClr val="FFFFFF"/>
    </a:custClr>
    <a:custClr name=" ">
      <a:srgbClr val="FFFFFF"/>
    </a:custClr>
    <a:custClr name=" ">
      <a:srgbClr val="FFFFFF"/>
    </a:custClr>
    <a:custClr name=" ">
      <a:srgbClr val="FFFFFF"/>
    </a:custClr>
    <a:custClr name=" ">
      <a:srgbClr val="FFFFFF"/>
    </a:custClr>
    <a:custClr name=" ">
      <a:srgbClr val="FFFFFF"/>
    </a:custClr>
    <a:custClr name=" ">
      <a:srgbClr val="FFFFFF"/>
    </a:custClr>
    <a:custClr name=" ">
      <a:srgbClr val="FFFFFF"/>
    </a:custClr>
    <a:custClr name="Primary Green (Primary)">
      <a:srgbClr val="003F2D"/>
    </a:custClr>
    <a:custClr name="Accent Green (Primary)">
      <a:srgbClr val="17E88F"/>
    </a:custClr>
    <a:custClr name="Dark Green (Primary)">
      <a:srgbClr val="012A2D"/>
    </a:custClr>
    <a:custClr name="Dark Grey (Primary)">
      <a:srgbClr val="435254"/>
    </a:custClr>
    <a:custClr name="Light Grey (Primary)">
      <a:srgbClr val="CAD1D3"/>
    </a:custClr>
    <a:custClr name="Midnight (Secondary)">
      <a:srgbClr val="032842"/>
    </a:custClr>
    <a:custClr name="Sage (Secondary)">
      <a:srgbClr val="538184"/>
    </a:custClr>
    <a:custClr name="Celadon (Secondary)">
      <a:srgbClr val="80BBAD"/>
    </a:custClr>
    <a:custClr name="Wheat (Secondary)">
      <a:srgbClr val="DBD99A"/>
    </a:custClr>
    <a:custClr name="Cement (Secondary)">
      <a:srgbClr val="7F8480"/>
    </a:custClr>
    <a:custClr name=" ">
      <a:srgbClr val="FFFFFF"/>
    </a:custClr>
    <a:custClr name=" ">
      <a:srgbClr val="FFFFFF"/>
    </a:custClr>
    <a:custClr name=" ">
      <a:srgbClr val="FFFFFF"/>
    </a:custClr>
    <a:custClr name=" ">
      <a:srgbClr val="FFFFFF"/>
    </a:custClr>
    <a:custClr name=" ">
      <a:srgbClr val="FFFFFF"/>
    </a:custClr>
    <a:custClr name="Midnight Tint (Secondary)">
      <a:srgbClr val="778F9C"/>
    </a:custClr>
    <a:custClr name="Sage Tint (Secondary)">
      <a:srgbClr val="96B3B6"/>
    </a:custClr>
    <a:custClr name="Celadon Tint (Secondary)">
      <a:srgbClr val="C0D4CB"/>
    </a:custClr>
    <a:custClr name="Wheat Tint (Secondary)">
      <a:srgbClr val="EFECD2"/>
    </a:custClr>
    <a:custClr name="Cement Tint (Secondary)">
      <a:srgbClr val="CBCDCB"/>
    </a:custClr>
  </a:custClrLst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9AB410-A69C-4F5C-966B-754E46AD9607}">
  <sheetPr>
    <tabColor rgb="FFFFC000"/>
  </sheetPr>
  <dimension ref="A1:AF159"/>
  <sheetViews>
    <sheetView tabSelected="1" view="pageBreakPreview" topLeftCell="B1" zoomScaleNormal="100" zoomScaleSheetLayoutView="100" workbookViewId="0">
      <selection activeCell="B1" sqref="B1"/>
    </sheetView>
  </sheetViews>
  <sheetFormatPr defaultColWidth="8.83203125" defaultRowHeight="13.5" x14ac:dyDescent="0.25"/>
  <cols>
    <col min="1" max="1" width="21" customWidth="1"/>
    <col min="2" max="2" width="14.58203125" customWidth="1"/>
    <col min="3" max="3" width="10.08203125" bestFit="1" customWidth="1"/>
    <col min="4" max="4" width="11" style="4" bestFit="1" customWidth="1"/>
    <col min="5" max="5" width="11" bestFit="1" customWidth="1"/>
    <col min="6" max="6" width="11" customWidth="1"/>
    <col min="7" max="7" width="2.83203125" customWidth="1"/>
    <col min="8" max="10" width="11" customWidth="1"/>
    <col min="11" max="11" width="4" customWidth="1"/>
    <col min="12" max="14" width="10.83203125" customWidth="1"/>
    <col min="15" max="15" width="3.83203125" customWidth="1"/>
    <col min="16" max="16" width="16" customWidth="1"/>
    <col min="17" max="17" width="6" customWidth="1"/>
    <col min="18" max="18" width="14.08203125" customWidth="1"/>
    <col min="19" max="19" width="17.08203125" customWidth="1"/>
    <col min="20" max="20" width="13.83203125" customWidth="1"/>
    <col min="21" max="32" width="6" customWidth="1"/>
  </cols>
  <sheetData>
    <row r="1" spans="1:32" ht="18.5" thickBot="1" x14ac:dyDescent="0.35">
      <c r="D1" s="59" t="s">
        <v>206</v>
      </c>
      <c r="E1" s="60"/>
      <c r="F1" s="60"/>
      <c r="G1" s="61"/>
      <c r="H1" s="61"/>
      <c r="I1" s="61"/>
      <c r="J1" s="61"/>
      <c r="K1" s="61"/>
      <c r="L1" s="61"/>
      <c r="M1" s="61"/>
      <c r="N1" s="61"/>
      <c r="O1" s="61"/>
      <c r="P1" s="61"/>
      <c r="Q1" s="34"/>
    </row>
    <row r="2" spans="1:32" ht="17.5" customHeight="1" x14ac:dyDescent="0.25">
      <c r="A2" s="11"/>
      <c r="B2" s="2"/>
      <c r="C2" s="19"/>
      <c r="D2" s="70" t="s">
        <v>0</v>
      </c>
      <c r="E2" s="71"/>
      <c r="F2" s="72"/>
      <c r="G2" s="35"/>
      <c r="H2" s="62" t="s">
        <v>205</v>
      </c>
      <c r="I2" s="63"/>
      <c r="J2" s="64"/>
      <c r="K2" s="35"/>
      <c r="L2" s="68" t="s">
        <v>207</v>
      </c>
      <c r="M2" s="69"/>
      <c r="N2" s="69"/>
      <c r="O2" s="36"/>
      <c r="P2" s="62" t="s">
        <v>223</v>
      </c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</row>
    <row r="3" spans="1:32" ht="13.5" customHeight="1" x14ac:dyDescent="0.25">
      <c r="A3" s="12"/>
      <c r="B3" s="1"/>
      <c r="C3" s="1"/>
      <c r="D3" s="65"/>
      <c r="E3" s="58"/>
      <c r="F3" s="66"/>
      <c r="G3" s="17"/>
      <c r="H3" s="65"/>
      <c r="I3" s="58"/>
      <c r="J3" s="66"/>
      <c r="K3" s="17"/>
      <c r="L3" s="65"/>
      <c r="M3" s="58"/>
      <c r="N3" s="67"/>
      <c r="O3" s="37"/>
      <c r="P3" s="7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</row>
    <row r="4" spans="1:32" ht="13.5" customHeight="1" x14ac:dyDescent="0.25">
      <c r="A4" s="12"/>
      <c r="B4" s="1"/>
      <c r="C4" s="1"/>
      <c r="D4" s="20" t="s">
        <v>3</v>
      </c>
      <c r="E4" s="5" t="s">
        <v>4</v>
      </c>
      <c r="F4" s="21" t="s">
        <v>5</v>
      </c>
      <c r="G4" s="17"/>
      <c r="H4" s="29" t="s">
        <v>3</v>
      </c>
      <c r="I4" s="17" t="s">
        <v>4</v>
      </c>
      <c r="J4" s="30" t="s">
        <v>5</v>
      </c>
      <c r="K4" s="17"/>
      <c r="L4" s="29" t="s">
        <v>3</v>
      </c>
      <c r="M4" s="17" t="s">
        <v>4</v>
      </c>
      <c r="N4" s="17" t="s">
        <v>5</v>
      </c>
      <c r="O4" s="37"/>
      <c r="P4" s="75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</row>
    <row r="5" spans="1:32" x14ac:dyDescent="0.25">
      <c r="A5" s="9" t="s">
        <v>6</v>
      </c>
      <c r="B5" s="9" t="s">
        <v>7</v>
      </c>
      <c r="C5" s="18" t="s">
        <v>8</v>
      </c>
      <c r="D5" s="22"/>
      <c r="E5" s="10"/>
      <c r="F5" s="23"/>
      <c r="G5" s="18"/>
      <c r="H5" s="31"/>
      <c r="I5" s="18"/>
      <c r="J5" s="32"/>
      <c r="K5" s="18"/>
      <c r="L5" s="31"/>
      <c r="M5" s="18"/>
      <c r="N5" s="18"/>
      <c r="O5" s="37"/>
      <c r="P5" s="17" t="s">
        <v>208</v>
      </c>
      <c r="Q5" s="14"/>
      <c r="Z5" s="14"/>
      <c r="AA5" s="14"/>
      <c r="AB5" s="14"/>
      <c r="AC5" s="14"/>
      <c r="AD5" s="14"/>
      <c r="AE5" s="14"/>
      <c r="AF5" s="14"/>
    </row>
    <row r="6" spans="1:32" x14ac:dyDescent="0.25">
      <c r="A6" s="3" t="s">
        <v>9</v>
      </c>
      <c r="B6" s="3" t="s">
        <v>10</v>
      </c>
      <c r="C6" s="8" t="s">
        <v>11</v>
      </c>
      <c r="D6" s="24">
        <v>1812.7573346593736</v>
      </c>
      <c r="E6" s="6">
        <v>2640.9278965688713</v>
      </c>
      <c r="F6" s="25">
        <v>3159.8935852809545</v>
      </c>
      <c r="G6" s="4"/>
      <c r="H6" s="28">
        <v>187.98909455868639</v>
      </c>
      <c r="I6" s="4">
        <v>248.41050462649525</v>
      </c>
      <c r="J6" s="27">
        <v>287.63363033322742</v>
      </c>
      <c r="K6" s="4"/>
      <c r="L6" s="28">
        <v>412.61379064966394</v>
      </c>
      <c r="M6" s="4">
        <v>422.06267633344061</v>
      </c>
      <c r="N6" s="4">
        <v>463.09499150304276</v>
      </c>
      <c r="O6" s="33"/>
      <c r="P6" s="40">
        <v>0.19499999999999998</v>
      </c>
      <c r="Q6" s="14"/>
      <c r="Z6" s="14"/>
      <c r="AA6" s="14"/>
      <c r="AB6" s="14"/>
      <c r="AC6" s="14"/>
      <c r="AD6" s="14"/>
      <c r="AE6" s="14"/>
      <c r="AF6" s="14"/>
    </row>
    <row r="7" spans="1:32" x14ac:dyDescent="0.25">
      <c r="A7" s="3" t="s">
        <v>9</v>
      </c>
      <c r="B7" s="3" t="s">
        <v>12</v>
      </c>
      <c r="C7" s="8" t="s">
        <v>11</v>
      </c>
      <c r="D7" s="26">
        <v>1693.3112879164594</v>
      </c>
      <c r="E7" s="7">
        <v>2466.1541521631029</v>
      </c>
      <c r="F7" s="27">
        <v>2950.4485330681255</v>
      </c>
      <c r="G7" s="4"/>
      <c r="H7" s="28">
        <v>175.60213368615777</v>
      </c>
      <c r="I7" s="4">
        <v>232.04226151985642</v>
      </c>
      <c r="J7" s="27">
        <v>268.68090047980081</v>
      </c>
      <c r="K7" s="4"/>
      <c r="L7" s="28">
        <v>385.42587907297639</v>
      </c>
      <c r="M7" s="4">
        <v>394.25215961293503</v>
      </c>
      <c r="N7" s="4">
        <v>432.58077708290034</v>
      </c>
      <c r="O7" s="33"/>
      <c r="P7" s="40">
        <v>0.19499999999999998</v>
      </c>
      <c r="Q7" s="14"/>
      <c r="Z7" s="14"/>
      <c r="AA7" s="14"/>
      <c r="AB7" s="14"/>
      <c r="AC7" s="14"/>
      <c r="AD7" s="14"/>
      <c r="AE7" s="14"/>
      <c r="AF7" s="14"/>
    </row>
    <row r="8" spans="1:32" x14ac:dyDescent="0.25">
      <c r="A8" s="3" t="s">
        <v>9</v>
      </c>
      <c r="B8" s="3" t="s">
        <v>209</v>
      </c>
      <c r="C8" s="8" t="s">
        <v>11</v>
      </c>
      <c r="D8" s="26">
        <v>1693.3112879164594</v>
      </c>
      <c r="E8" s="7">
        <v>2466.1541521631029</v>
      </c>
      <c r="F8" s="27">
        <v>2950.4485330681255</v>
      </c>
      <c r="G8" s="4"/>
      <c r="H8" s="28">
        <v>175.60213368615777</v>
      </c>
      <c r="I8" s="4">
        <v>232.04226151985642</v>
      </c>
      <c r="J8" s="27">
        <v>268.68090047980081</v>
      </c>
      <c r="K8" s="4"/>
      <c r="L8" s="28">
        <v>385.42587907297639</v>
      </c>
      <c r="M8" s="4">
        <v>394.25215961293503</v>
      </c>
      <c r="N8" s="4">
        <v>432.58077708290034</v>
      </c>
      <c r="O8" s="33"/>
      <c r="P8" s="40">
        <v>0.19499999999999998</v>
      </c>
      <c r="Q8" s="14"/>
      <c r="Z8" s="14"/>
      <c r="AA8" s="14"/>
      <c r="AB8" s="14"/>
      <c r="AC8" s="14"/>
      <c r="AD8" s="14"/>
      <c r="AE8" s="14"/>
      <c r="AF8" s="14"/>
    </row>
    <row r="9" spans="1:32" x14ac:dyDescent="0.25">
      <c r="A9" s="3" t="s">
        <v>9</v>
      </c>
      <c r="B9" s="3" t="s">
        <v>13</v>
      </c>
      <c r="C9" s="8" t="s">
        <v>11</v>
      </c>
      <c r="D9" s="26">
        <v>2218.492789656887</v>
      </c>
      <c r="E9" s="7">
        <v>3234.6056688214817</v>
      </c>
      <c r="F9" s="27">
        <v>3871.3426156141222</v>
      </c>
      <c r="G9" s="4"/>
      <c r="H9" s="28">
        <v>230.06523975308525</v>
      </c>
      <c r="I9" s="4">
        <v>304.01030675871601</v>
      </c>
      <c r="J9" s="27">
        <v>352.01244135470802</v>
      </c>
      <c r="K9" s="4"/>
      <c r="L9" s="28">
        <v>504.96594440274635</v>
      </c>
      <c r="M9" s="4">
        <v>516.52970109480771</v>
      </c>
      <c r="N9" s="4">
        <v>566.74596203951728</v>
      </c>
      <c r="O9" s="33"/>
      <c r="P9" s="40">
        <v>0.19499999999999998</v>
      </c>
      <c r="Q9" s="14"/>
      <c r="Z9" s="14"/>
      <c r="AA9" s="14"/>
      <c r="AB9" s="14"/>
      <c r="AC9" s="14"/>
      <c r="AD9" s="14"/>
      <c r="AE9" s="14"/>
      <c r="AF9" s="14"/>
    </row>
    <row r="10" spans="1:32" x14ac:dyDescent="0.25">
      <c r="A10" s="3" t="s">
        <v>9</v>
      </c>
      <c r="B10" s="3" t="s">
        <v>14</v>
      </c>
      <c r="C10" s="8" t="s">
        <v>11</v>
      </c>
      <c r="D10" s="26">
        <v>1758.2913973147688</v>
      </c>
      <c r="E10" s="7">
        <v>2556.5693684733965</v>
      </c>
      <c r="F10" s="27">
        <v>3071.177026355047</v>
      </c>
      <c r="G10" s="4"/>
      <c r="H10" s="28">
        <v>182.34079180467967</v>
      </c>
      <c r="I10" s="4">
        <v>240.94678583631821</v>
      </c>
      <c r="J10" s="27">
        <v>278.99141717628845</v>
      </c>
      <c r="K10" s="4"/>
      <c r="L10" s="28">
        <v>400.21643528424357</v>
      </c>
      <c r="M10" s="4">
        <v>409.38142063244351</v>
      </c>
      <c r="N10" s="4">
        <v>449.18088269788126</v>
      </c>
      <c r="O10" s="33"/>
      <c r="P10" s="40">
        <v>0.19499999999999998</v>
      </c>
      <c r="Q10" s="14"/>
      <c r="Z10" s="14"/>
      <c r="AA10" s="14"/>
      <c r="AB10" s="14"/>
      <c r="AC10" s="14"/>
      <c r="AD10" s="14"/>
      <c r="AE10" s="14"/>
      <c r="AF10" s="14"/>
    </row>
    <row r="11" spans="1:32" x14ac:dyDescent="0.25">
      <c r="A11" s="3" t="s">
        <v>9</v>
      </c>
      <c r="B11" s="3" t="s">
        <v>15</v>
      </c>
      <c r="C11" s="8" t="s">
        <v>11</v>
      </c>
      <c r="D11" s="26">
        <v>2159.7180507210342</v>
      </c>
      <c r="E11" s="7">
        <v>3148.6056688214817</v>
      </c>
      <c r="F11" s="27">
        <v>3768.2819492789658</v>
      </c>
      <c r="G11" s="4"/>
      <c r="H11" s="28">
        <v>223.97009963464777</v>
      </c>
      <c r="I11" s="4">
        <v>295.95613299855899</v>
      </c>
      <c r="J11" s="27">
        <v>342.68654251056751</v>
      </c>
      <c r="K11" s="4"/>
      <c r="L11" s="28">
        <v>491.58783396121635</v>
      </c>
      <c r="M11" s="4">
        <v>502.8452309554404</v>
      </c>
      <c r="N11" s="4">
        <v>551.73110775776274</v>
      </c>
      <c r="O11" s="33"/>
      <c r="P11" s="40">
        <v>0.19499999999999998</v>
      </c>
      <c r="Q11" s="14"/>
      <c r="Z11" s="14"/>
      <c r="AA11" s="14"/>
      <c r="AB11" s="14"/>
      <c r="AC11" s="14"/>
      <c r="AD11" s="14"/>
      <c r="AE11" s="14"/>
      <c r="AF11" s="14"/>
    </row>
    <row r="12" spans="1:32" x14ac:dyDescent="0.25">
      <c r="A12" s="3" t="s">
        <v>9</v>
      </c>
      <c r="B12" s="3" t="s">
        <v>16</v>
      </c>
      <c r="C12" s="8" t="s">
        <v>11</v>
      </c>
      <c r="D12" s="26">
        <v>1765.8120338140229</v>
      </c>
      <c r="E12" s="7">
        <v>2572.788165091994</v>
      </c>
      <c r="F12" s="27">
        <v>3092.4574838388862</v>
      </c>
      <c r="G12" s="4"/>
      <c r="H12" s="28">
        <v>183.12070736147729</v>
      </c>
      <c r="I12" s="4">
        <v>241.97737336845651</v>
      </c>
      <c r="J12" s="27">
        <v>280.18473077504632</v>
      </c>
      <c r="K12" s="4"/>
      <c r="L12" s="28">
        <v>401.92825753133906</v>
      </c>
      <c r="M12" s="4">
        <v>411.13244373295282</v>
      </c>
      <c r="N12" s="4">
        <v>451.10213769938099</v>
      </c>
      <c r="O12" s="33"/>
      <c r="P12" s="40">
        <v>0.19499999999999998</v>
      </c>
      <c r="Q12" s="14"/>
      <c r="Z12" s="14"/>
      <c r="AA12" s="14"/>
      <c r="AB12" s="14"/>
      <c r="AC12" s="14"/>
      <c r="AD12" s="14"/>
      <c r="AE12" s="14"/>
      <c r="AF12" s="14"/>
    </row>
    <row r="13" spans="1:32" x14ac:dyDescent="0.25">
      <c r="A13" s="3" t="s">
        <v>9</v>
      </c>
      <c r="B13" s="3" t="s">
        <v>17</v>
      </c>
      <c r="C13" s="8" t="s">
        <v>11</v>
      </c>
      <c r="D13" s="26">
        <v>1717.8080556936848</v>
      </c>
      <c r="E13" s="7">
        <v>2497.442565887618</v>
      </c>
      <c r="F13" s="27">
        <v>3000.0318249627053</v>
      </c>
      <c r="G13" s="4"/>
      <c r="H13" s="28">
        <v>178.14253173393081</v>
      </c>
      <c r="I13" s="4">
        <v>235.3991666769397</v>
      </c>
      <c r="J13" s="27">
        <v>272.56784889395095</v>
      </c>
      <c r="K13" s="4"/>
      <c r="L13" s="28">
        <v>391.00175181554891</v>
      </c>
      <c r="M13" s="4">
        <v>399.95572024506862</v>
      </c>
      <c r="N13" s="4">
        <v>438.83882952530189</v>
      </c>
      <c r="O13" s="33"/>
      <c r="P13" s="40">
        <v>0.19499999999999998</v>
      </c>
      <c r="Q13" s="14"/>
      <c r="Z13" s="14"/>
      <c r="AA13" s="14"/>
      <c r="AB13" s="14"/>
      <c r="AC13" s="14"/>
      <c r="AD13" s="14"/>
      <c r="AE13" s="14"/>
      <c r="AF13" s="14"/>
    </row>
    <row r="14" spans="1:32" x14ac:dyDescent="0.25">
      <c r="A14" s="3" t="s">
        <v>9</v>
      </c>
      <c r="B14" s="3" t="s">
        <v>18</v>
      </c>
      <c r="C14" s="8" t="s">
        <v>11</v>
      </c>
      <c r="D14" s="26">
        <v>1612.2665340626554</v>
      </c>
      <c r="E14" s="7">
        <v>2322.8329189457982</v>
      </c>
      <c r="F14" s="27">
        <v>2795.9229239184488</v>
      </c>
      <c r="G14" s="4"/>
      <c r="H14" s="28">
        <v>167.1975173569837</v>
      </c>
      <c r="I14" s="4">
        <v>220.93632482484009</v>
      </c>
      <c r="J14" s="27">
        <v>255.82137630371312</v>
      </c>
      <c r="K14" s="4"/>
      <c r="L14" s="28">
        <v>366.97874196282896</v>
      </c>
      <c r="M14" s="4">
        <v>375.38258172718406</v>
      </c>
      <c r="N14" s="4">
        <v>411.87672647463415</v>
      </c>
      <c r="O14" s="33"/>
      <c r="P14" s="40">
        <v>0.19499999999999998</v>
      </c>
      <c r="Q14" s="14"/>
      <c r="Z14" s="14"/>
      <c r="AA14" s="14"/>
      <c r="AB14" s="14"/>
      <c r="AC14" s="14"/>
      <c r="AD14" s="14"/>
      <c r="AE14" s="14"/>
      <c r="AF14" s="14"/>
    </row>
    <row r="15" spans="1:32" x14ac:dyDescent="0.25">
      <c r="A15" s="3" t="s">
        <v>9</v>
      </c>
      <c r="B15" s="3" t="s">
        <v>19</v>
      </c>
      <c r="C15" s="8" t="s">
        <v>11</v>
      </c>
      <c r="D15" s="26">
        <v>1701.2466434609646</v>
      </c>
      <c r="E15" s="7">
        <v>2518.8100447538536</v>
      </c>
      <c r="F15" s="27">
        <v>3020.0353058180008</v>
      </c>
      <c r="G15" s="4"/>
      <c r="H15" s="28">
        <v>176.42505701698138</v>
      </c>
      <c r="I15" s="4">
        <v>233.12967991696453</v>
      </c>
      <c r="J15" s="27">
        <v>269.94001833281442</v>
      </c>
      <c r="K15" s="4"/>
      <c r="L15" s="28">
        <v>387.23209828873621</v>
      </c>
      <c r="M15" s="4">
        <v>396.09974137952634</v>
      </c>
      <c r="N15" s="4">
        <v>434.60797804256265</v>
      </c>
      <c r="O15" s="33"/>
      <c r="P15" s="40">
        <v>0.19499999999999998</v>
      </c>
      <c r="Q15" s="14"/>
      <c r="Z15" s="14"/>
      <c r="AA15" s="14"/>
      <c r="AB15" s="14"/>
      <c r="AC15" s="14"/>
      <c r="AD15" s="14"/>
      <c r="AE15" s="14"/>
      <c r="AF15" s="14"/>
    </row>
    <row r="16" spans="1:32" x14ac:dyDescent="0.25">
      <c r="A16" s="3" t="s">
        <v>9</v>
      </c>
      <c r="B16" s="3" t="s">
        <v>20</v>
      </c>
      <c r="C16" s="8" t="s">
        <v>11</v>
      </c>
      <c r="D16" s="26">
        <v>1620.2794629537543</v>
      </c>
      <c r="E16" s="7">
        <v>2355</v>
      </c>
      <c r="F16" s="27">
        <v>2828.6364992541025</v>
      </c>
      <c r="G16" s="4"/>
      <c r="H16" s="28">
        <v>168.02848530740928</v>
      </c>
      <c r="I16" s="4">
        <v>222.03437345568352</v>
      </c>
      <c r="J16" s="27">
        <v>257.09280286615586</v>
      </c>
      <c r="K16" s="4"/>
      <c r="L16" s="28">
        <v>368.80261816553303</v>
      </c>
      <c r="M16" s="4">
        <v>377.24822482699932</v>
      </c>
      <c r="N16" s="4">
        <v>413.92374466388077</v>
      </c>
      <c r="O16" s="33"/>
      <c r="P16" s="40">
        <v>0.19499999999999998</v>
      </c>
      <c r="Q16" s="14"/>
      <c r="Z16" s="14"/>
      <c r="AA16" s="14"/>
      <c r="AB16" s="14"/>
      <c r="AC16" s="14"/>
      <c r="AD16" s="14"/>
      <c r="AE16" s="14"/>
      <c r="AF16" s="14"/>
    </row>
    <row r="17" spans="1:32" x14ac:dyDescent="0.25">
      <c r="A17" s="3" t="s">
        <v>9</v>
      </c>
      <c r="B17" s="3" t="s">
        <v>21</v>
      </c>
      <c r="C17" s="8" t="s">
        <v>11</v>
      </c>
      <c r="D17" s="26">
        <v>1730.6892093485828</v>
      </c>
      <c r="E17" s="7">
        <v>2516.2555942317254</v>
      </c>
      <c r="F17" s="27">
        <v>3022.66882148185</v>
      </c>
      <c r="G17" s="4"/>
      <c r="H17" s="28">
        <v>179.47835113245534</v>
      </c>
      <c r="I17" s="4">
        <v>237.16433061720085</v>
      </c>
      <c r="J17" s="27">
        <v>274.61172587505536</v>
      </c>
      <c r="K17" s="4"/>
      <c r="L17" s="28">
        <v>393.93371713482702</v>
      </c>
      <c r="M17" s="4">
        <v>402.95482778246554</v>
      </c>
      <c r="N17" s="4">
        <v>442.12950590449037</v>
      </c>
      <c r="O17" s="33"/>
      <c r="P17" s="40">
        <v>0.19499999999999998</v>
      </c>
      <c r="Q17" s="14"/>
      <c r="Z17" s="14"/>
      <c r="AA17" s="14"/>
      <c r="AB17" s="14"/>
      <c r="AC17" s="14"/>
      <c r="AD17" s="14"/>
      <c r="AE17" s="14"/>
      <c r="AF17" s="14"/>
    </row>
    <row r="18" spans="1:32" x14ac:dyDescent="0.25">
      <c r="A18" s="3" t="s">
        <v>9</v>
      </c>
      <c r="B18" s="3" t="s">
        <v>22</v>
      </c>
      <c r="C18" s="8" t="s">
        <v>11</v>
      </c>
      <c r="D18" s="26">
        <v>1817.1770263550472</v>
      </c>
      <c r="E18" s="7">
        <v>2642.5723520636498</v>
      </c>
      <c r="F18" s="27">
        <v>3174.6613625062159</v>
      </c>
      <c r="G18" s="4"/>
      <c r="H18" s="28">
        <v>188.44743160370206</v>
      </c>
      <c r="I18" s="4">
        <v>249.01615537931491</v>
      </c>
      <c r="J18" s="27">
        <v>288.33491116275394</v>
      </c>
      <c r="K18" s="4"/>
      <c r="L18" s="28">
        <v>413.61978616223905</v>
      </c>
      <c r="M18" s="4">
        <v>423.0917092160991</v>
      </c>
      <c r="N18" s="4">
        <v>464.22406545525973</v>
      </c>
      <c r="O18" s="33"/>
      <c r="P18" s="40">
        <v>0.19499999999999998</v>
      </c>
      <c r="Q18" s="14"/>
      <c r="Z18" s="14"/>
      <c r="AA18" s="14"/>
      <c r="AB18" s="14"/>
      <c r="AC18" s="14"/>
      <c r="AD18" s="14"/>
      <c r="AE18" s="14"/>
      <c r="AF18" s="14"/>
    </row>
    <row r="19" spans="1:32" x14ac:dyDescent="0.25">
      <c r="A19" s="3" t="s">
        <v>9</v>
      </c>
      <c r="B19" s="3" t="s">
        <v>23</v>
      </c>
      <c r="C19" s="8" t="s">
        <v>11</v>
      </c>
      <c r="D19" s="26">
        <v>1609.2391844853307</v>
      </c>
      <c r="E19" s="7">
        <v>2338.8751864743908</v>
      </c>
      <c r="F19" s="27">
        <v>2809.2327200397813</v>
      </c>
      <c r="G19" s="4"/>
      <c r="H19" s="28">
        <v>166.8835709202088</v>
      </c>
      <c r="I19" s="4">
        <v>220.52147313906531</v>
      </c>
      <c r="J19" s="27">
        <v>255.3410210280428</v>
      </c>
      <c r="K19" s="4"/>
      <c r="L19" s="28">
        <v>366.28966672874287</v>
      </c>
      <c r="M19" s="4">
        <v>374.67772662034059</v>
      </c>
      <c r="N19" s="4">
        <v>411.10334638675198</v>
      </c>
      <c r="O19" s="33"/>
      <c r="P19" s="40">
        <v>0.19499999999999998</v>
      </c>
      <c r="Q19" s="14"/>
      <c r="Z19" s="14"/>
      <c r="AA19" s="14"/>
      <c r="AB19" s="14"/>
      <c r="AC19" s="14"/>
      <c r="AD19" s="14"/>
      <c r="AE19" s="14"/>
      <c r="AF19" s="14"/>
    </row>
    <row r="20" spans="1:32" x14ac:dyDescent="0.25">
      <c r="A20" s="3" t="s">
        <v>9</v>
      </c>
      <c r="B20" s="3" t="s">
        <v>24</v>
      </c>
      <c r="C20" s="8" t="s">
        <v>11</v>
      </c>
      <c r="D20" s="26">
        <v>1710.4475385380408</v>
      </c>
      <c r="E20" s="7">
        <v>2486.6921929388363</v>
      </c>
      <c r="F20" s="27">
        <v>2987.0964694181998</v>
      </c>
      <c r="G20" s="4"/>
      <c r="H20" s="28">
        <v>177.37922109708092</v>
      </c>
      <c r="I20" s="4">
        <v>234.3905210375116</v>
      </c>
      <c r="J20" s="27">
        <v>271.39994173388658</v>
      </c>
      <c r="K20" s="4"/>
      <c r="L20" s="28">
        <v>389.32637540047955</v>
      </c>
      <c r="M20" s="4">
        <v>398.24197758877796</v>
      </c>
      <c r="N20" s="4">
        <v>436.9584793182006</v>
      </c>
      <c r="O20" s="33"/>
      <c r="P20" s="40">
        <v>0.19499999999999998</v>
      </c>
      <c r="Q20" s="14"/>
      <c r="Z20" s="14"/>
      <c r="AA20" s="14"/>
      <c r="AB20" s="14"/>
      <c r="AC20" s="14"/>
      <c r="AD20" s="14"/>
      <c r="AE20" s="14"/>
      <c r="AF20" s="14"/>
    </row>
    <row r="21" spans="1:32" x14ac:dyDescent="0.25">
      <c r="A21" s="3" t="s">
        <v>9</v>
      </c>
      <c r="B21" s="3" t="s">
        <v>25</v>
      </c>
      <c r="C21" s="8" t="s">
        <v>11</v>
      </c>
      <c r="D21" s="26">
        <v>1796.9353555445052</v>
      </c>
      <c r="E21" s="7">
        <v>2613.0084535057185</v>
      </c>
      <c r="F21" s="27">
        <v>3139.0890104425657</v>
      </c>
      <c r="G21" s="4"/>
      <c r="H21" s="28">
        <v>186.34830156832763</v>
      </c>
      <c r="I21" s="4">
        <v>246.24234579962567</v>
      </c>
      <c r="J21" s="27">
        <v>285.12312702158522</v>
      </c>
      <c r="K21" s="4"/>
      <c r="L21" s="28">
        <v>409.01244442789158</v>
      </c>
      <c r="M21" s="4">
        <v>418.37885902241152</v>
      </c>
      <c r="N21" s="4">
        <v>459.05303886896996</v>
      </c>
      <c r="O21" s="33"/>
      <c r="P21" s="40">
        <v>0.19499999999999998</v>
      </c>
      <c r="Q21" s="14"/>
      <c r="Z21" s="14"/>
      <c r="AA21" s="14"/>
      <c r="AB21" s="14"/>
      <c r="AC21" s="14"/>
      <c r="AD21" s="14"/>
      <c r="AE21" s="14"/>
      <c r="AF21" s="14"/>
    </row>
    <row r="22" spans="1:32" x14ac:dyDescent="0.25">
      <c r="A22" s="3" t="s">
        <v>9</v>
      </c>
      <c r="B22" s="3" t="s">
        <v>26</v>
      </c>
      <c r="C22" s="8" t="s">
        <v>11</v>
      </c>
      <c r="D22" s="26">
        <v>2120.80258577822</v>
      </c>
      <c r="E22" s="7">
        <v>3086.0233714569868</v>
      </c>
      <c r="F22" s="27">
        <v>3708.2516161113872</v>
      </c>
      <c r="G22" s="4"/>
      <c r="H22" s="28">
        <v>219.93443370239285</v>
      </c>
      <c r="I22" s="4">
        <v>290.62336721717776</v>
      </c>
      <c r="J22" s="27">
        <v>336.51175218226882</v>
      </c>
      <c r="K22" s="4"/>
      <c r="L22" s="28">
        <v>482.73002536326294</v>
      </c>
      <c r="M22" s="4">
        <v>493.78457789918843</v>
      </c>
      <c r="N22" s="4">
        <v>541.78959128312874</v>
      </c>
      <c r="O22" s="33"/>
      <c r="P22" s="40">
        <v>0.19499999999999998</v>
      </c>
      <c r="Q22" s="14"/>
      <c r="Z22" s="14"/>
      <c r="AA22" s="14"/>
      <c r="AB22" s="14"/>
      <c r="AC22" s="14"/>
      <c r="AD22" s="14"/>
      <c r="AE22" s="14"/>
      <c r="AF22" s="14"/>
    </row>
    <row r="23" spans="1:32" x14ac:dyDescent="0.25">
      <c r="A23" s="3" t="s">
        <v>9</v>
      </c>
      <c r="B23" s="3" t="s">
        <v>27</v>
      </c>
      <c r="C23" s="8" t="s">
        <v>11</v>
      </c>
      <c r="D23" s="26">
        <v>1660.7633018398806</v>
      </c>
      <c r="E23" s="7">
        <v>2414.126802585778</v>
      </c>
      <c r="F23" s="27">
        <v>2899.7817006464447</v>
      </c>
      <c r="G23" s="4"/>
      <c r="H23" s="28">
        <v>172.22679694623253</v>
      </c>
      <c r="I23" s="4">
        <v>227.58206075758602</v>
      </c>
      <c r="J23" s="27">
        <v>263.51645005047692</v>
      </c>
      <c r="K23" s="4"/>
      <c r="L23" s="28">
        <v>378.01741482004144</v>
      </c>
      <c r="M23" s="4">
        <v>386.67404099215133</v>
      </c>
      <c r="N23" s="4">
        <v>424.26592486998317</v>
      </c>
      <c r="O23" s="33"/>
      <c r="P23" s="40">
        <v>0.19499999999999998</v>
      </c>
      <c r="Q23" s="14"/>
      <c r="Z23" s="14"/>
      <c r="AA23" s="14"/>
      <c r="AB23" s="14"/>
      <c r="AC23" s="14"/>
      <c r="AD23" s="14"/>
      <c r="AE23" s="14"/>
      <c r="AF23" s="14"/>
    </row>
    <row r="24" spans="1:32" x14ac:dyDescent="0.25">
      <c r="A24" s="3" t="s">
        <v>9</v>
      </c>
      <c r="B24" s="3" t="s">
        <v>28</v>
      </c>
      <c r="C24" s="8" t="s">
        <v>11</v>
      </c>
      <c r="D24" s="26">
        <v>1951.5077076081552</v>
      </c>
      <c r="E24" s="7">
        <v>2838.7657881650921</v>
      </c>
      <c r="F24" s="27">
        <v>3410.7349577324712</v>
      </c>
      <c r="G24" s="4"/>
      <c r="H24" s="28">
        <v>202.37797964639879</v>
      </c>
      <c r="I24" s="4">
        <v>267.42410865518769</v>
      </c>
      <c r="J24" s="27">
        <v>309.6494140888874</v>
      </c>
      <c r="K24" s="4"/>
      <c r="L24" s="28">
        <v>444.19568870178739</v>
      </c>
      <c r="M24" s="4">
        <v>454.36780213784385</v>
      </c>
      <c r="N24" s="4">
        <v>498.54077431866369</v>
      </c>
      <c r="O24" s="33"/>
      <c r="P24" s="40">
        <v>0.19499999999999998</v>
      </c>
      <c r="Q24" s="14"/>
      <c r="Z24" s="14"/>
      <c r="AA24" s="14"/>
      <c r="AB24" s="14"/>
      <c r="AC24" s="14"/>
      <c r="AD24" s="14"/>
      <c r="AE24" s="14"/>
      <c r="AF24" s="14"/>
    </row>
    <row r="25" spans="1:32" x14ac:dyDescent="0.25">
      <c r="A25" s="3" t="s">
        <v>9</v>
      </c>
      <c r="B25" s="3" t="s">
        <v>29</v>
      </c>
      <c r="C25" s="8" t="s">
        <v>11</v>
      </c>
      <c r="D25" s="26">
        <v>1655.2431626056689</v>
      </c>
      <c r="E25" s="7">
        <v>2406.0641471904523</v>
      </c>
      <c r="F25" s="27">
        <v>2890.0805569368472</v>
      </c>
      <c r="G25" s="4"/>
      <c r="H25" s="28">
        <v>171.65433975263224</v>
      </c>
      <c r="I25" s="4">
        <v>226.82561059927687</v>
      </c>
      <c r="J25" s="27">
        <v>262.64055913142033</v>
      </c>
      <c r="K25" s="4"/>
      <c r="L25" s="28">
        <v>376.76093910164644</v>
      </c>
      <c r="M25" s="4">
        <v>385.38879188882203</v>
      </c>
      <c r="N25" s="4">
        <v>422.85572573141883</v>
      </c>
      <c r="O25" s="33"/>
      <c r="P25" s="40">
        <v>0.19499999999999998</v>
      </c>
      <c r="Q25" s="14"/>
      <c r="Z25" s="14"/>
      <c r="AA25" s="14"/>
      <c r="AB25" s="14"/>
      <c r="AC25" s="14"/>
      <c r="AD25" s="14"/>
      <c r="AE25" s="14"/>
      <c r="AF25" s="14"/>
    </row>
    <row r="26" spans="1:32" x14ac:dyDescent="0.25">
      <c r="A26" s="3" t="s">
        <v>9</v>
      </c>
      <c r="B26" s="3" t="s">
        <v>30</v>
      </c>
      <c r="C26" s="8" t="s">
        <v>11</v>
      </c>
      <c r="D26" s="26">
        <v>2302.0460815514671</v>
      </c>
      <c r="E26" s="7">
        <v>3357.5815067130779</v>
      </c>
      <c r="F26" s="27">
        <v>4037.3143560417702</v>
      </c>
      <c r="G26" s="4"/>
      <c r="H26" s="28">
        <v>238.73</v>
      </c>
      <c r="I26" s="4">
        <v>315.45999999999998</v>
      </c>
      <c r="J26" s="27">
        <v>365.27</v>
      </c>
      <c r="K26" s="4"/>
      <c r="L26" s="28">
        <v>523.98406659192426</v>
      </c>
      <c r="M26" s="4">
        <v>535.98333965924473</v>
      </c>
      <c r="N26" s="4">
        <v>588.0908548501385</v>
      </c>
      <c r="O26" s="33"/>
      <c r="P26" s="40">
        <v>0.19499999999999998</v>
      </c>
      <c r="Q26" s="14"/>
      <c r="Z26" s="14"/>
      <c r="AA26" s="14"/>
      <c r="AB26" s="14"/>
      <c r="AC26" s="14"/>
      <c r="AD26" s="14"/>
      <c r="AE26" s="14"/>
      <c r="AF26" s="14"/>
    </row>
    <row r="27" spans="1:32" x14ac:dyDescent="0.25">
      <c r="A27" s="3" t="s">
        <v>9</v>
      </c>
      <c r="B27" s="3" t="s">
        <v>31</v>
      </c>
      <c r="C27" s="8" t="s">
        <v>11</v>
      </c>
      <c r="D27" s="26">
        <v>2130.0034808552959</v>
      </c>
      <c r="E27" s="7">
        <v>3099.4619592242666</v>
      </c>
      <c r="F27" s="27">
        <v>3724.4206862257583</v>
      </c>
      <c r="G27" s="4"/>
      <c r="H27" s="28">
        <v>220.88859778249241</v>
      </c>
      <c r="I27" s="4">
        <v>291.88420833772489</v>
      </c>
      <c r="J27" s="27">
        <v>337.97167558334104</v>
      </c>
      <c r="K27" s="4"/>
      <c r="L27" s="28">
        <v>484.82430247500639</v>
      </c>
      <c r="M27" s="4">
        <v>495.92681410844017</v>
      </c>
      <c r="N27" s="4">
        <v>544.1400925587667</v>
      </c>
      <c r="O27" s="33"/>
      <c r="P27" s="40">
        <v>0.19499999999999998</v>
      </c>
      <c r="Q27" s="14"/>
      <c r="Z27" s="14"/>
      <c r="AA27" s="14"/>
      <c r="AB27" s="14"/>
      <c r="AC27" s="14"/>
      <c r="AD27" s="14"/>
      <c r="AE27" s="14"/>
      <c r="AF27" s="14"/>
    </row>
    <row r="28" spans="1:32" x14ac:dyDescent="0.25">
      <c r="A28" s="3" t="s">
        <v>9</v>
      </c>
      <c r="B28" s="3" t="s">
        <v>32</v>
      </c>
      <c r="C28" s="8" t="s">
        <v>11</v>
      </c>
      <c r="D28" s="26">
        <v>2210.970164097464</v>
      </c>
      <c r="E28" s="7">
        <v>3217.7155643958231</v>
      </c>
      <c r="F28" s="27">
        <v>3866.7115862754849</v>
      </c>
      <c r="G28" s="4"/>
      <c r="H28" s="28">
        <v>229.28511792399013</v>
      </c>
      <c r="I28" s="4">
        <v>302.97944665648191</v>
      </c>
      <c r="J28" s="27">
        <v>350.81881214801609</v>
      </c>
      <c r="K28" s="4"/>
      <c r="L28" s="28">
        <v>503.25366941239577</v>
      </c>
      <c r="M28" s="4">
        <v>514.77821488319012</v>
      </c>
      <c r="N28" s="4">
        <v>564.82419890392566</v>
      </c>
      <c r="O28" s="33"/>
      <c r="P28" s="40">
        <v>0.19499999999999998</v>
      </c>
      <c r="Q28" s="14"/>
      <c r="Z28" s="14"/>
      <c r="AA28" s="14"/>
      <c r="AB28" s="14"/>
      <c r="AC28" s="14"/>
      <c r="AD28" s="14"/>
      <c r="AE28" s="14"/>
      <c r="AF28" s="14"/>
    </row>
    <row r="29" spans="1:32" x14ac:dyDescent="0.25">
      <c r="A29" s="3" t="s">
        <v>9</v>
      </c>
      <c r="B29" s="3" t="s">
        <v>33</v>
      </c>
      <c r="C29" s="8" t="s">
        <v>11</v>
      </c>
      <c r="D29" s="26">
        <v>1662.6031824962706</v>
      </c>
      <c r="E29" s="7">
        <v>2416.8150174042767</v>
      </c>
      <c r="F29" s="27">
        <v>2903.0154152163104</v>
      </c>
      <c r="G29" s="4"/>
      <c r="H29" s="28">
        <v>172.41759882140781</v>
      </c>
      <c r="I29" s="4">
        <v>227.83418809618107</v>
      </c>
      <c r="J29" s="27">
        <v>263.80838738950126</v>
      </c>
      <c r="K29" s="4"/>
      <c r="L29" s="28">
        <v>378.43620233090201</v>
      </c>
      <c r="M29" s="4">
        <v>387.10241876733551</v>
      </c>
      <c r="N29" s="4">
        <v>424.73594890499709</v>
      </c>
      <c r="O29" s="33"/>
      <c r="P29" s="40">
        <v>0.19499999999999998</v>
      </c>
      <c r="Q29" s="14"/>
      <c r="Z29" s="14"/>
      <c r="AA29" s="14"/>
      <c r="AB29" s="14"/>
      <c r="AC29" s="14"/>
      <c r="AD29" s="14"/>
      <c r="AE29" s="14"/>
      <c r="AF29" s="14"/>
    </row>
    <row r="30" spans="1:32" x14ac:dyDescent="0.25">
      <c r="A30" s="3" t="s">
        <v>9</v>
      </c>
      <c r="B30" s="3" t="s">
        <v>34</v>
      </c>
      <c r="C30" s="8" t="s">
        <v>11</v>
      </c>
      <c r="D30" s="26">
        <v>1653.4931277971157</v>
      </c>
      <c r="E30" s="7">
        <v>2408.4060517155644</v>
      </c>
      <c r="F30" s="27">
        <v>2894.548189955246</v>
      </c>
      <c r="G30" s="4"/>
      <c r="H30" s="28">
        <v>171.47285519713444</v>
      </c>
      <c r="I30" s="4">
        <v>226.58579525190814</v>
      </c>
      <c r="J30" s="27">
        <v>262.36287780277843</v>
      </c>
      <c r="K30" s="4"/>
      <c r="L30" s="28">
        <v>376.36260200361363</v>
      </c>
      <c r="M30" s="4">
        <v>384.98133284240015</v>
      </c>
      <c r="N30" s="4">
        <v>422.40865411333641</v>
      </c>
      <c r="O30" s="33"/>
      <c r="P30" s="40">
        <v>0.19499999999999998</v>
      </c>
      <c r="Q30" s="14"/>
      <c r="Z30" s="14"/>
      <c r="AA30" s="14"/>
      <c r="AB30" s="14"/>
      <c r="AC30" s="14"/>
      <c r="AD30" s="14"/>
      <c r="AE30" s="14"/>
      <c r="AF30" s="14"/>
    </row>
    <row r="31" spans="1:32" x14ac:dyDescent="0.25">
      <c r="A31" s="3" t="s">
        <v>9</v>
      </c>
      <c r="B31" s="3" t="s">
        <v>35</v>
      </c>
      <c r="C31" s="8" t="s">
        <v>11</v>
      </c>
      <c r="D31" s="26">
        <v>2086.4658677274988</v>
      </c>
      <c r="E31" s="7">
        <v>3042.0734510193934</v>
      </c>
      <c r="F31" s="27">
        <v>3657.4563053207357</v>
      </c>
      <c r="G31" s="4"/>
      <c r="H31" s="28">
        <v>216.37359937942219</v>
      </c>
      <c r="I31" s="4">
        <v>285.91804825632522</v>
      </c>
      <c r="J31" s="27">
        <v>331.06348027194548</v>
      </c>
      <c r="K31" s="4"/>
      <c r="L31" s="28">
        <v>474.91441589226946</v>
      </c>
      <c r="M31" s="4">
        <v>485.78999040537087</v>
      </c>
      <c r="N31" s="4">
        <v>533.01778170337116</v>
      </c>
      <c r="O31" s="33"/>
      <c r="P31" s="40">
        <v>0.19499999999999998</v>
      </c>
      <c r="Q31" s="14"/>
      <c r="Z31" s="14"/>
      <c r="AA31" s="14"/>
      <c r="AB31" s="14"/>
      <c r="AC31" s="14"/>
      <c r="AD31" s="14"/>
      <c r="AE31" s="14"/>
      <c r="AF31" s="14"/>
    </row>
    <row r="32" spans="1:32" x14ac:dyDescent="0.25">
      <c r="A32" s="3" t="s">
        <v>9</v>
      </c>
      <c r="B32" s="3" t="s">
        <v>36</v>
      </c>
      <c r="C32" s="8" t="s">
        <v>11</v>
      </c>
      <c r="D32" s="26">
        <v>1703.0870213823969</v>
      </c>
      <c r="E32" s="7">
        <v>2475.9413227250125</v>
      </c>
      <c r="F32" s="27">
        <v>2974.1611138736948</v>
      </c>
      <c r="G32" s="4"/>
      <c r="H32" s="28">
        <v>176.61591046023102</v>
      </c>
      <c r="I32" s="4">
        <v>233.38187539808351</v>
      </c>
      <c r="J32" s="27">
        <v>270.23203457382226</v>
      </c>
      <c r="K32" s="4"/>
      <c r="L32" s="28">
        <v>387.65099898541041</v>
      </c>
      <c r="M32" s="4">
        <v>396.52823493248758</v>
      </c>
      <c r="N32" s="4">
        <v>435.07812911109949</v>
      </c>
      <c r="O32" s="33"/>
      <c r="P32" s="40">
        <v>0.19499999999999998</v>
      </c>
      <c r="Q32" s="14"/>
      <c r="Z32" s="14"/>
      <c r="AA32" s="14"/>
      <c r="AB32" s="14"/>
      <c r="AC32" s="14"/>
      <c r="AD32" s="14"/>
      <c r="AE32" s="14"/>
      <c r="AF32" s="14"/>
    </row>
    <row r="33" spans="1:32" x14ac:dyDescent="0.25">
      <c r="A33" s="3" t="s">
        <v>9</v>
      </c>
      <c r="B33" s="3" t="s">
        <v>37</v>
      </c>
      <c r="C33" s="8" t="s">
        <v>11</v>
      </c>
      <c r="D33" s="26">
        <v>1791.1745748383889</v>
      </c>
      <c r="E33" s="7">
        <v>2609.9072998508204</v>
      </c>
      <c r="F33" s="27">
        <v>3137.1468622575831</v>
      </c>
      <c r="G33" s="4"/>
      <c r="H33" s="28">
        <v>185.75088903649669</v>
      </c>
      <c r="I33" s="4">
        <v>245.45291942970405</v>
      </c>
      <c r="J33" s="27">
        <v>284.20905306564379</v>
      </c>
      <c r="K33" s="4"/>
      <c r="L33" s="28">
        <v>407.7011946986504</v>
      </c>
      <c r="M33" s="4">
        <v>417.0375815794215</v>
      </c>
      <c r="N33" s="4">
        <v>457.58136439763149</v>
      </c>
      <c r="O33" s="33"/>
      <c r="P33" s="40">
        <v>0.19499999999999998</v>
      </c>
      <c r="Q33" s="14"/>
      <c r="Z33" s="14"/>
      <c r="AA33" s="14"/>
      <c r="AB33" s="14"/>
      <c r="AC33" s="14"/>
      <c r="AD33" s="14"/>
      <c r="AE33" s="14"/>
      <c r="AF33" s="14"/>
    </row>
    <row r="34" spans="1:32" x14ac:dyDescent="0.25">
      <c r="A34" s="3" t="s">
        <v>9</v>
      </c>
      <c r="B34" s="3" t="s">
        <v>38</v>
      </c>
      <c r="C34" s="8" t="s">
        <v>11</v>
      </c>
      <c r="D34" s="26">
        <v>2060.0770760815512</v>
      </c>
      <c r="E34" s="7">
        <v>2997.3336648433615</v>
      </c>
      <c r="F34" s="27">
        <v>3601.533565390353</v>
      </c>
      <c r="G34" s="4"/>
      <c r="H34" s="28">
        <v>213.63699202819518</v>
      </c>
      <c r="I34" s="4">
        <v>282.30187033558605</v>
      </c>
      <c r="J34" s="27">
        <v>326.87632085677905</v>
      </c>
      <c r="K34" s="4"/>
      <c r="L34" s="28">
        <v>468.90788697440712</v>
      </c>
      <c r="M34" s="4">
        <v>479.64591154034889</v>
      </c>
      <c r="N34" s="4">
        <v>526.27638449073652</v>
      </c>
      <c r="O34" s="33"/>
      <c r="P34" s="40">
        <v>0.19499999999999998</v>
      </c>
      <c r="Q34" s="14"/>
      <c r="Z34" s="14"/>
      <c r="AA34" s="14"/>
      <c r="AB34" s="14"/>
      <c r="AC34" s="14"/>
      <c r="AD34" s="14"/>
      <c r="AE34" s="14"/>
      <c r="AF34" s="14"/>
    </row>
    <row r="35" spans="1:32" x14ac:dyDescent="0.25">
      <c r="A35" s="3" t="s">
        <v>9</v>
      </c>
      <c r="B35" s="3" t="s">
        <v>210</v>
      </c>
      <c r="C35" s="8" t="s">
        <v>11</v>
      </c>
      <c r="D35" s="26">
        <v>2071.9733963202389</v>
      </c>
      <c r="E35" s="7">
        <v>3020.8626603679763</v>
      </c>
      <c r="F35" s="27">
        <v>3631.9197314768771</v>
      </c>
      <c r="G35" s="4"/>
      <c r="H35" s="28">
        <v>214.87068085542657</v>
      </c>
      <c r="I35" s="4">
        <v>283.93207800717488</v>
      </c>
      <c r="J35" s="27">
        <v>328.76393245952187</v>
      </c>
      <c r="K35" s="4"/>
      <c r="L35" s="28">
        <v>471.61568778956109</v>
      </c>
      <c r="M35" s="4">
        <v>482.41572119024528</v>
      </c>
      <c r="N35" s="4">
        <v>529.31547097766975</v>
      </c>
      <c r="O35" s="33"/>
      <c r="P35" s="40">
        <v>0.19499999999999998</v>
      </c>
      <c r="Q35" s="14"/>
      <c r="Z35" s="14"/>
      <c r="AA35" s="14"/>
      <c r="AB35" s="14"/>
      <c r="AC35" s="14"/>
      <c r="AD35" s="14"/>
      <c r="AE35" s="14"/>
      <c r="AF35" s="14"/>
    </row>
    <row r="36" spans="1:32" x14ac:dyDescent="0.25">
      <c r="A36" s="3" t="s">
        <v>9</v>
      </c>
      <c r="B36" s="3" t="s">
        <v>39</v>
      </c>
      <c r="C36" s="8" t="s">
        <v>11</v>
      </c>
      <c r="D36" s="26">
        <v>1689.7252958727004</v>
      </c>
      <c r="E36" s="7">
        <v>2461.4327747389361</v>
      </c>
      <c r="F36" s="27">
        <v>2958.3898657384384</v>
      </c>
      <c r="G36" s="4"/>
      <c r="H36" s="28">
        <v>175.23025412759148</v>
      </c>
      <c r="I36" s="4">
        <v>231.55085647840659</v>
      </c>
      <c r="J36" s="27">
        <v>268.11190434878455</v>
      </c>
      <c r="K36" s="4"/>
      <c r="L36" s="28">
        <v>384.6096475001537</v>
      </c>
      <c r="M36" s="4">
        <v>393.4172362779903</v>
      </c>
      <c r="N36" s="4">
        <v>431.66468372430063</v>
      </c>
      <c r="O36" s="33"/>
      <c r="P36" s="40">
        <v>0.19499999999999998</v>
      </c>
      <c r="Q36" s="14"/>
      <c r="Z36" s="14"/>
      <c r="AA36" s="14"/>
      <c r="AB36" s="14"/>
      <c r="AC36" s="14"/>
      <c r="AD36" s="14"/>
      <c r="AE36" s="14"/>
      <c r="AF36" s="14"/>
    </row>
    <row r="37" spans="1:32" x14ac:dyDescent="0.25">
      <c r="A37" s="3" t="s">
        <v>9</v>
      </c>
      <c r="B37" s="3" t="s">
        <v>40</v>
      </c>
      <c r="C37" s="8" t="s">
        <v>11</v>
      </c>
      <c r="D37" s="26">
        <v>2054.5569368473398</v>
      </c>
      <c r="E37" s="7">
        <v>2989.2710094480358</v>
      </c>
      <c r="F37" s="27">
        <v>3591.8319244157137</v>
      </c>
      <c r="G37" s="4"/>
      <c r="H37" s="28">
        <v>213.06453483459495</v>
      </c>
      <c r="I37" s="4">
        <v>281.54542017727692</v>
      </c>
      <c r="J37" s="27">
        <v>326.00042993772252</v>
      </c>
      <c r="K37" s="4"/>
      <c r="L37" s="28">
        <v>467.65141125601207</v>
      </c>
      <c r="M37" s="4">
        <v>478.36066243701958</v>
      </c>
      <c r="N37" s="4">
        <v>524.86618535217212</v>
      </c>
      <c r="O37" s="33"/>
      <c r="P37" s="40">
        <v>0.19499999999999998</v>
      </c>
      <c r="Q37" s="14"/>
      <c r="Z37" s="14"/>
      <c r="AA37" s="14"/>
      <c r="AB37" s="14"/>
      <c r="AC37" s="14"/>
      <c r="AD37" s="14"/>
      <c r="AE37" s="14"/>
      <c r="AF37" s="14"/>
    </row>
    <row r="38" spans="1:32" x14ac:dyDescent="0.25">
      <c r="A38" s="3" t="s">
        <v>9</v>
      </c>
      <c r="B38" s="3" t="s">
        <v>41</v>
      </c>
      <c r="C38" s="8" t="s">
        <v>11</v>
      </c>
      <c r="D38" s="26">
        <v>2294.8003480855295</v>
      </c>
      <c r="E38" s="7">
        <v>3346.975867727499</v>
      </c>
      <c r="F38" s="27">
        <v>4024.5463202386873</v>
      </c>
      <c r="G38" s="4"/>
      <c r="H38" s="28">
        <v>237.97859282175727</v>
      </c>
      <c r="I38" s="4">
        <v>314.46708369937397</v>
      </c>
      <c r="J38" s="27">
        <v>364.12030578479153</v>
      </c>
      <c r="K38" s="4"/>
      <c r="L38" s="28">
        <v>522.33481685824188</v>
      </c>
      <c r="M38" s="4">
        <v>534.29632198723675</v>
      </c>
      <c r="N38" s="4">
        <v>586.2398277911459</v>
      </c>
      <c r="O38" s="33"/>
      <c r="P38" s="40">
        <v>0.19499999999999998</v>
      </c>
      <c r="Q38" s="14"/>
      <c r="Z38" s="14"/>
      <c r="AA38" s="14"/>
      <c r="AB38" s="14"/>
      <c r="AC38" s="14"/>
      <c r="AD38" s="14"/>
      <c r="AE38" s="14"/>
      <c r="AF38" s="14"/>
    </row>
    <row r="39" spans="1:32" x14ac:dyDescent="0.25">
      <c r="A39" s="3" t="s">
        <v>9</v>
      </c>
      <c r="B39" s="3" t="s">
        <v>42</v>
      </c>
      <c r="C39" s="8" t="s">
        <v>11</v>
      </c>
      <c r="D39" s="26">
        <v>2280.8965688712083</v>
      </c>
      <c r="E39" s="7">
        <v>3319.8438587767282</v>
      </c>
      <c r="F39" s="27">
        <v>3989.5992043759325</v>
      </c>
      <c r="G39" s="4"/>
      <c r="H39" s="28">
        <v>236.53672367828736</v>
      </c>
      <c r="I39" s="4">
        <v>312.56178465862075</v>
      </c>
      <c r="J39" s="27">
        <v>361.91416687457809</v>
      </c>
      <c r="K39" s="4"/>
      <c r="L39" s="28">
        <v>519.17008491299509</v>
      </c>
      <c r="M39" s="4">
        <v>531.0591174512814</v>
      </c>
      <c r="N39" s="4">
        <v>582.68790697195584</v>
      </c>
      <c r="O39" s="33"/>
      <c r="P39" s="40">
        <v>0.19499999999999998</v>
      </c>
      <c r="Q39" s="14"/>
      <c r="Z39" s="14"/>
      <c r="AA39" s="14"/>
      <c r="AB39" s="14"/>
      <c r="AC39" s="14"/>
      <c r="AD39" s="14"/>
      <c r="AE39" s="14"/>
      <c r="AF39" s="14"/>
    </row>
    <row r="40" spans="1:32" x14ac:dyDescent="0.25">
      <c r="A40" s="3" t="s">
        <v>9</v>
      </c>
      <c r="B40" s="3" t="s">
        <v>43</v>
      </c>
      <c r="C40" s="8" t="s">
        <v>11</v>
      </c>
      <c r="D40" s="26">
        <v>1928.8565241173544</v>
      </c>
      <c r="E40" s="7">
        <v>2811.4080507210342</v>
      </c>
      <c r="F40" s="27">
        <v>3379.7445350571852</v>
      </c>
      <c r="G40" s="4"/>
      <c r="H40" s="28">
        <v>200.02897495961403</v>
      </c>
      <c r="I40" s="4">
        <v>264.3201124314491</v>
      </c>
      <c r="J40" s="27">
        <v>306.05530801951249</v>
      </c>
      <c r="K40" s="4"/>
      <c r="L40" s="28">
        <v>439.03990171135905</v>
      </c>
      <c r="M40" s="4">
        <v>449.09394725199752</v>
      </c>
      <c r="N40" s="4">
        <v>492.75420298578467</v>
      </c>
      <c r="O40" s="33"/>
      <c r="P40" s="40">
        <v>0.19499999999999998</v>
      </c>
      <c r="Q40" s="14"/>
      <c r="Z40" s="14"/>
      <c r="AA40" s="14"/>
      <c r="AB40" s="14"/>
      <c r="AC40" s="14"/>
      <c r="AD40" s="14"/>
      <c r="AE40" s="14"/>
      <c r="AF40" s="14"/>
    </row>
    <row r="41" spans="1:32" x14ac:dyDescent="0.25">
      <c r="A41" s="3" t="s">
        <v>9</v>
      </c>
      <c r="B41" s="3" t="s">
        <v>44</v>
      </c>
      <c r="C41" s="8" t="s">
        <v>11</v>
      </c>
      <c r="D41" s="26">
        <v>1776.6821034311288</v>
      </c>
      <c r="E41" s="7">
        <v>2588.696509199403</v>
      </c>
      <c r="F41" s="27">
        <v>3111.6097911486822</v>
      </c>
      <c r="G41" s="4"/>
      <c r="H41" s="28">
        <v>184.24797051250107</v>
      </c>
      <c r="I41" s="4">
        <v>243.46694918055371</v>
      </c>
      <c r="J41" s="27">
        <v>281.90950525322023</v>
      </c>
      <c r="K41" s="4"/>
      <c r="L41" s="28">
        <v>404.40246659594203</v>
      </c>
      <c r="M41" s="4">
        <v>413.66331236429585</v>
      </c>
      <c r="N41" s="4">
        <v>453.87905367193002</v>
      </c>
      <c r="O41" s="33"/>
      <c r="P41" s="40">
        <v>0.19499999999999998</v>
      </c>
      <c r="Q41" s="14"/>
      <c r="Z41" s="14"/>
      <c r="AA41" s="14"/>
      <c r="AB41" s="14"/>
      <c r="AC41" s="14"/>
      <c r="AD41" s="14"/>
      <c r="AE41" s="14"/>
      <c r="AF41" s="14"/>
    </row>
    <row r="42" spans="1:32" x14ac:dyDescent="0.25">
      <c r="A42" s="3" t="s">
        <v>9</v>
      </c>
      <c r="B42" s="3" t="s">
        <v>211</v>
      </c>
      <c r="C42" s="8" t="s">
        <v>11</v>
      </c>
      <c r="D42" s="26">
        <v>2003.1321730482346</v>
      </c>
      <c r="E42" s="7">
        <v>2920.1122874191947</v>
      </c>
      <c r="F42" s="27">
        <v>3510.6203978120338</v>
      </c>
      <c r="G42" s="4"/>
      <c r="H42" s="28">
        <v>207.73161210983071</v>
      </c>
      <c r="I42" s="4">
        <v>274.49844743504036</v>
      </c>
      <c r="J42" s="27">
        <v>317.84076553159576</v>
      </c>
      <c r="K42" s="4"/>
      <c r="L42" s="28">
        <v>455.94627769029989</v>
      </c>
      <c r="M42" s="4">
        <v>466.38748046506868</v>
      </c>
      <c r="N42" s="4">
        <v>511.72898816683158</v>
      </c>
      <c r="O42" s="33"/>
      <c r="P42" s="40">
        <v>0.19499999999999998</v>
      </c>
      <c r="Q42" s="14"/>
      <c r="Z42" s="14"/>
      <c r="AA42" s="14"/>
      <c r="AB42" s="14"/>
      <c r="AC42" s="14"/>
      <c r="AD42" s="14"/>
      <c r="AE42" s="14"/>
      <c r="AF42" s="14"/>
    </row>
    <row r="43" spans="1:32" x14ac:dyDescent="0.25">
      <c r="A43" s="3" t="s">
        <v>9</v>
      </c>
      <c r="B43" s="3" t="s">
        <v>45</v>
      </c>
      <c r="C43" s="8" t="s">
        <v>11</v>
      </c>
      <c r="D43" s="41">
        <v>1629.9426106414719</v>
      </c>
      <c r="E43" s="42">
        <v>2373.9388314271509</v>
      </c>
      <c r="F43" s="43">
        <v>2853.0510740924915</v>
      </c>
      <c r="G43" s="4"/>
      <c r="H43" s="28">
        <v>169.03058655376401</v>
      </c>
      <c r="I43" s="4">
        <v>223.35855918506425</v>
      </c>
      <c r="J43" s="27">
        <v>258.62607276208843</v>
      </c>
      <c r="K43" s="4"/>
      <c r="L43" s="28">
        <v>371.0021116778766</v>
      </c>
      <c r="M43" s="4">
        <v>379.49808690004375</v>
      </c>
      <c r="N43" s="4">
        <v>416.39233503214257</v>
      </c>
      <c r="O43" s="33"/>
      <c r="P43" s="40">
        <v>0.19499999999999998</v>
      </c>
      <c r="Q43" s="14"/>
      <c r="Z43" s="14"/>
      <c r="AA43" s="14"/>
      <c r="AB43" s="14"/>
      <c r="AC43" s="14"/>
      <c r="AD43" s="14"/>
      <c r="AE43" s="14"/>
      <c r="AF43" s="14"/>
    </row>
    <row r="44" spans="1:32" x14ac:dyDescent="0.25">
      <c r="A44" s="3" t="s">
        <v>9</v>
      </c>
      <c r="B44" s="3" t="s">
        <v>46</v>
      </c>
      <c r="C44" s="8" t="s">
        <v>11</v>
      </c>
      <c r="D44" s="41">
        <v>1800.2326156141223</v>
      </c>
      <c r="E44" s="42">
        <v>2623.1637294878169</v>
      </c>
      <c r="F44" s="43">
        <v>3153.1069070114372</v>
      </c>
      <c r="G44" s="4"/>
      <c r="H44" s="28">
        <v>186.69023864019076</v>
      </c>
      <c r="I44" s="4">
        <v>246.69418456597234</v>
      </c>
      <c r="J44" s="27">
        <v>285.64630950489038</v>
      </c>
      <c r="K44" s="4"/>
      <c r="L44" s="28">
        <v>409.76295578982081</v>
      </c>
      <c r="M44" s="4">
        <v>419.14655714887442</v>
      </c>
      <c r="N44" s="4">
        <v>459.89537148278862</v>
      </c>
      <c r="O44" s="33"/>
      <c r="P44" s="40">
        <v>0.19499999999999998</v>
      </c>
      <c r="Q44" s="14"/>
      <c r="Z44" s="14"/>
      <c r="AA44" s="14"/>
      <c r="AB44" s="14"/>
      <c r="AC44" s="14"/>
      <c r="AD44" s="14"/>
      <c r="AE44" s="14"/>
      <c r="AF44" s="14"/>
    </row>
    <row r="45" spans="1:32" x14ac:dyDescent="0.25">
      <c r="A45" s="3" t="s">
        <v>9</v>
      </c>
      <c r="B45" s="3" t="s">
        <v>47</v>
      </c>
      <c r="C45" s="8" t="s">
        <v>11</v>
      </c>
      <c r="D45" s="41">
        <v>1571.9712381899553</v>
      </c>
      <c r="E45" s="42">
        <v>2289.0961710591746</v>
      </c>
      <c r="F45" s="43">
        <v>2750.9042963699653</v>
      </c>
      <c r="G45" s="4"/>
      <c r="H45" s="28">
        <v>163.01875826923924</v>
      </c>
      <c r="I45" s="4">
        <v>215.41447444231645</v>
      </c>
      <c r="J45" s="27">
        <v>249.42764559546356</v>
      </c>
      <c r="K45" s="4"/>
      <c r="L45" s="28">
        <v>357.80686084146043</v>
      </c>
      <c r="M45" s="4">
        <v>366.00066386398839</v>
      </c>
      <c r="N45" s="4">
        <v>401.58271229910349</v>
      </c>
      <c r="O45" s="33"/>
      <c r="P45" s="40">
        <v>0.19499999999999998</v>
      </c>
      <c r="Q45" s="14"/>
      <c r="Z45" s="14"/>
      <c r="AA45" s="14"/>
      <c r="AB45" s="14"/>
      <c r="AC45" s="14"/>
      <c r="AD45" s="14"/>
      <c r="AE45" s="14"/>
      <c r="AF45" s="14"/>
    </row>
    <row r="46" spans="1:32" x14ac:dyDescent="0.25">
      <c r="A46" s="3" t="s">
        <v>48</v>
      </c>
      <c r="B46" s="3" t="s">
        <v>49</v>
      </c>
      <c r="C46" s="8" t="s">
        <v>212</v>
      </c>
      <c r="D46" s="41">
        <v>1540.22</v>
      </c>
      <c r="E46" s="42">
        <v>2238.0500000000002</v>
      </c>
      <c r="F46" s="43">
        <v>2687.99</v>
      </c>
      <c r="G46" s="4"/>
      <c r="H46" s="28">
        <v>58.859105552531197</v>
      </c>
      <c r="I46" s="4">
        <v>77.776959065058819</v>
      </c>
      <c r="J46" s="27">
        <v>90.057661312667321</v>
      </c>
      <c r="K46" s="4"/>
      <c r="L46" s="28">
        <v>132.19315323320973</v>
      </c>
      <c r="M46" s="4">
        <v>135.22038601452778</v>
      </c>
      <c r="N46" s="4">
        <v>148.36631387648347</v>
      </c>
      <c r="O46" s="33"/>
      <c r="P46" s="40">
        <v>0.19499999999999998</v>
      </c>
      <c r="Q46" s="14"/>
      <c r="Z46" s="14"/>
      <c r="AA46" s="14"/>
      <c r="AB46" s="14"/>
      <c r="AC46" s="14"/>
      <c r="AD46" s="14"/>
      <c r="AE46" s="14"/>
      <c r="AF46" s="14"/>
    </row>
    <row r="47" spans="1:32" x14ac:dyDescent="0.25">
      <c r="A47" s="3" t="s">
        <v>50</v>
      </c>
      <c r="B47" s="3" t="s">
        <v>51</v>
      </c>
      <c r="C47" s="8" t="s">
        <v>212</v>
      </c>
      <c r="D47" s="41">
        <v>1684.14</v>
      </c>
      <c r="E47" s="42">
        <v>1677.7454002983591</v>
      </c>
      <c r="F47" s="43">
        <v>1677.7454002983591</v>
      </c>
      <c r="G47" s="4"/>
      <c r="H47" s="28">
        <v>173.99193954095281</v>
      </c>
      <c r="I47" s="4">
        <v>229.91453628613485</v>
      </c>
      <c r="J47" s="27">
        <v>266.21721508031601</v>
      </c>
      <c r="K47" s="4"/>
      <c r="L47" s="28">
        <v>390.77289586999876</v>
      </c>
      <c r="M47" s="4">
        <v>399.72162348179359</v>
      </c>
      <c r="N47" s="4">
        <v>438.58197421759849</v>
      </c>
      <c r="O47" s="33"/>
      <c r="P47" s="40">
        <v>0.19499999999999998</v>
      </c>
      <c r="Q47" s="14"/>
      <c r="Z47" s="14"/>
      <c r="AA47" s="14"/>
      <c r="AB47" s="14"/>
      <c r="AC47" s="14"/>
      <c r="AD47" s="14"/>
      <c r="AE47" s="14"/>
      <c r="AF47" s="14"/>
    </row>
    <row r="48" spans="1:32" x14ac:dyDescent="0.25">
      <c r="A48" s="3" t="s">
        <v>52</v>
      </c>
      <c r="B48" s="3" t="s">
        <v>53</v>
      </c>
      <c r="C48" s="8" t="s">
        <v>212</v>
      </c>
      <c r="D48" s="41">
        <v>1630.32</v>
      </c>
      <c r="E48" s="42">
        <v>812.01317752362013</v>
      </c>
      <c r="F48" s="43">
        <v>812.01317752362013</v>
      </c>
      <c r="G48" s="4"/>
      <c r="H48" s="28">
        <v>84.210893173602869</v>
      </c>
      <c r="I48" s="4">
        <v>111.27704251893252</v>
      </c>
      <c r="J48" s="27">
        <v>128.84728751946517</v>
      </c>
      <c r="K48" s="4"/>
      <c r="L48" s="28">
        <v>189.13137399392252</v>
      </c>
      <c r="M48" s="4">
        <v>193.46249615363126</v>
      </c>
      <c r="N48" s="4">
        <v>212.27063665218213</v>
      </c>
      <c r="O48" s="33"/>
      <c r="P48" s="40">
        <v>0.19499999999999998</v>
      </c>
      <c r="Q48" s="14"/>
      <c r="Z48" s="14"/>
      <c r="AA48" s="14"/>
      <c r="AB48" s="14"/>
      <c r="AC48" s="14"/>
      <c r="AD48" s="14"/>
      <c r="AE48" s="14"/>
      <c r="AF48" s="14"/>
    </row>
    <row r="49" spans="1:32" x14ac:dyDescent="0.25">
      <c r="A49" s="3" t="s">
        <v>54</v>
      </c>
      <c r="B49" s="3" t="s">
        <v>55</v>
      </c>
      <c r="C49" s="8" t="s">
        <v>212</v>
      </c>
      <c r="D49" s="41">
        <v>1630.32</v>
      </c>
      <c r="E49" s="42">
        <v>812.01317752362013</v>
      </c>
      <c r="F49" s="43">
        <v>812.01317752362013</v>
      </c>
      <c r="G49" s="4"/>
      <c r="H49" s="28">
        <v>84.210893173602869</v>
      </c>
      <c r="I49" s="4">
        <v>111.27704251893252</v>
      </c>
      <c r="J49" s="27">
        <v>128.84728751946517</v>
      </c>
      <c r="K49" s="4"/>
      <c r="L49" s="28">
        <v>189.13137399392252</v>
      </c>
      <c r="M49" s="4">
        <v>193.46249615363126</v>
      </c>
      <c r="N49" s="4">
        <v>212.27063665218213</v>
      </c>
      <c r="O49" s="33"/>
      <c r="P49" s="40">
        <v>0.19499999999999998</v>
      </c>
      <c r="Q49" s="14"/>
      <c r="Z49" s="14"/>
      <c r="AA49" s="14"/>
      <c r="AB49" s="14"/>
      <c r="AC49" s="14"/>
      <c r="AD49" s="14"/>
      <c r="AE49" s="14"/>
      <c r="AF49" s="14"/>
    </row>
    <row r="50" spans="1:32" x14ac:dyDescent="0.25">
      <c r="A50" s="3" t="s">
        <v>56</v>
      </c>
      <c r="B50" s="3" t="s">
        <v>57</v>
      </c>
      <c r="C50" s="8" t="s">
        <v>212</v>
      </c>
      <c r="D50" s="41">
        <v>2018.0347199999999</v>
      </c>
      <c r="E50" s="42">
        <v>2935.8809999999999</v>
      </c>
      <c r="F50" s="43">
        <v>3527.5780800000002</v>
      </c>
      <c r="G50" s="4"/>
      <c r="H50" s="28">
        <v>208.43982081530837</v>
      </c>
      <c r="I50" s="4">
        <v>275.43428087964304</v>
      </c>
      <c r="J50" s="27">
        <v>318.92436371301341</v>
      </c>
      <c r="K50" s="4"/>
      <c r="L50" s="28">
        <v>468.14026333357833</v>
      </c>
      <c r="M50" s="4">
        <v>478.86070926256048</v>
      </c>
      <c r="N50" s="4">
        <v>525.4148459976401</v>
      </c>
      <c r="O50" s="33"/>
      <c r="P50" s="40">
        <v>0.19499999999999998</v>
      </c>
      <c r="Q50" s="14"/>
      <c r="Z50" s="14"/>
      <c r="AA50" s="14"/>
      <c r="AB50" s="14"/>
      <c r="AC50" s="14"/>
      <c r="AD50" s="14"/>
      <c r="AE50" s="14"/>
      <c r="AF50" s="14"/>
    </row>
    <row r="51" spans="1:32" x14ac:dyDescent="0.25">
      <c r="A51" s="3" t="s">
        <v>58</v>
      </c>
      <c r="B51" s="3" t="s">
        <v>59</v>
      </c>
      <c r="C51" s="8" t="s">
        <v>212</v>
      </c>
      <c r="D51" s="41">
        <v>2020.7257199999997</v>
      </c>
      <c r="E51" s="42">
        <v>2939.9713199999997</v>
      </c>
      <c r="F51" s="43">
        <v>3532.4218799999999</v>
      </c>
      <c r="G51" s="4"/>
      <c r="H51" s="28">
        <v>173.21814591491963</v>
      </c>
      <c r="I51" s="4">
        <v>228.89203832916075</v>
      </c>
      <c r="J51" s="27">
        <v>265.03326837156072</v>
      </c>
      <c r="K51" s="4"/>
      <c r="L51" s="28">
        <v>389.03501320228145</v>
      </c>
      <c r="M51" s="4">
        <v>397.9439431751432</v>
      </c>
      <c r="N51" s="4">
        <v>436.63147043542324</v>
      </c>
      <c r="O51" s="33"/>
      <c r="P51" s="40">
        <v>0.19499999999999998</v>
      </c>
      <c r="Q51" s="14"/>
      <c r="Z51" s="14"/>
      <c r="AA51" s="14"/>
      <c r="AB51" s="14"/>
      <c r="AC51" s="14"/>
      <c r="AD51" s="14"/>
      <c r="AE51" s="14"/>
      <c r="AF51" s="14"/>
    </row>
    <row r="52" spans="1:32" x14ac:dyDescent="0.25">
      <c r="A52" s="3" t="s">
        <v>60</v>
      </c>
      <c r="B52" s="3" t="s">
        <v>61</v>
      </c>
      <c r="C52" s="8" t="s">
        <v>212</v>
      </c>
      <c r="D52" s="41">
        <v>1073.6013599999999</v>
      </c>
      <c r="E52" s="42">
        <v>1556.4743999999998</v>
      </c>
      <c r="F52" s="43">
        <v>1867.8769199999999</v>
      </c>
      <c r="G52" s="4"/>
      <c r="H52" s="28">
        <v>41.037405990453294</v>
      </c>
      <c r="I52" s="4">
        <v>54.22720267142126</v>
      </c>
      <c r="J52" s="27">
        <v>62.789483039973511</v>
      </c>
      <c r="K52" s="4"/>
      <c r="L52" s="28">
        <v>92.166947619477355</v>
      </c>
      <c r="M52" s="4">
        <v>94.277577393891534</v>
      </c>
      <c r="N52" s="4">
        <v>103.44310537342923</v>
      </c>
      <c r="O52" s="33"/>
      <c r="P52" s="40">
        <v>0.19499999999999998</v>
      </c>
      <c r="Q52" s="14"/>
      <c r="Z52" s="14"/>
      <c r="AA52" s="14"/>
      <c r="AB52" s="14"/>
      <c r="AC52" s="14"/>
      <c r="AD52" s="14"/>
      <c r="AE52" s="14"/>
      <c r="AF52" s="14"/>
    </row>
    <row r="53" spans="1:32" x14ac:dyDescent="0.25">
      <c r="A53" s="3" t="s">
        <v>62</v>
      </c>
      <c r="B53" s="3" t="s">
        <v>63</v>
      </c>
      <c r="C53" s="8" t="s">
        <v>212</v>
      </c>
      <c r="D53" s="41">
        <v>2028.1528799999996</v>
      </c>
      <c r="E53" s="42">
        <v>2950.7353199999998</v>
      </c>
      <c r="F53" s="43">
        <v>3545.4463199999996</v>
      </c>
      <c r="G53" s="4"/>
      <c r="H53" s="28">
        <v>104.73339146359079</v>
      </c>
      <c r="I53" s="4">
        <v>138.39565899176623</v>
      </c>
      <c r="J53" s="27">
        <v>160.24783604869856</v>
      </c>
      <c r="K53" s="4"/>
      <c r="L53" s="28">
        <v>235.22337175211794</v>
      </c>
      <c r="M53" s="4">
        <v>240.61000399807068</v>
      </c>
      <c r="N53" s="4">
        <v>264.0017561491382</v>
      </c>
      <c r="O53" s="33"/>
      <c r="P53" s="40">
        <v>0.19499999999999998</v>
      </c>
      <c r="Q53" s="14"/>
      <c r="Z53" s="14"/>
      <c r="AA53" s="14"/>
      <c r="AB53" s="14"/>
      <c r="AC53" s="14"/>
      <c r="AD53" s="14"/>
      <c r="AE53" s="14"/>
      <c r="AF53" s="14"/>
    </row>
    <row r="54" spans="1:32" x14ac:dyDescent="0.25">
      <c r="A54" s="3" t="s">
        <v>64</v>
      </c>
      <c r="B54" s="3" t="s">
        <v>65</v>
      </c>
      <c r="C54" s="8" t="s">
        <v>212</v>
      </c>
      <c r="D54" s="41">
        <v>1693.1772000000001</v>
      </c>
      <c r="E54" s="42">
        <v>2461.51152</v>
      </c>
      <c r="F54" s="43">
        <v>2956.76316</v>
      </c>
      <c r="G54" s="4"/>
      <c r="H54" s="28">
        <v>97.910567745991443</v>
      </c>
      <c r="I54" s="4">
        <v>129.37991748481741</v>
      </c>
      <c r="J54" s="27">
        <v>149.80854136714402</v>
      </c>
      <c r="K54" s="4"/>
      <c r="L54" s="28">
        <v>219.89981947049475</v>
      </c>
      <c r="M54" s="4">
        <v>224.93554125960003</v>
      </c>
      <c r="N54" s="4">
        <v>246.80344510267122</v>
      </c>
      <c r="O54" s="33"/>
      <c r="P54" s="40">
        <v>0.19499999999999998</v>
      </c>
      <c r="Q54" s="14"/>
      <c r="Z54" s="14"/>
      <c r="AA54" s="14"/>
      <c r="AB54" s="14"/>
      <c r="AC54" s="14"/>
      <c r="AD54" s="14"/>
      <c r="AE54" s="14"/>
      <c r="AF54" s="14"/>
    </row>
    <row r="55" spans="1:32" x14ac:dyDescent="0.25">
      <c r="A55" s="3" t="s">
        <v>66</v>
      </c>
      <c r="B55" s="3" t="s">
        <v>67</v>
      </c>
      <c r="C55" s="8" t="s">
        <v>212</v>
      </c>
      <c r="D55" s="41">
        <v>1777.4593199999999</v>
      </c>
      <c r="E55" s="42">
        <v>2584.5440399999998</v>
      </c>
      <c r="F55" s="43">
        <v>3104.8757999999998</v>
      </c>
      <c r="G55" s="4"/>
      <c r="H55" s="28">
        <v>27.53877041409557</v>
      </c>
      <c r="I55" s="4">
        <v>36.389982469026044</v>
      </c>
      <c r="J55" s="27">
        <v>42.135829887976747</v>
      </c>
      <c r="K55" s="4"/>
      <c r="L55" s="28">
        <v>61.850020706747948</v>
      </c>
      <c r="M55" s="4">
        <v>63.266390659572643</v>
      </c>
      <c r="N55" s="4">
        <v>69.417056488966836</v>
      </c>
      <c r="O55" s="33"/>
      <c r="P55" s="40">
        <v>0.19499999999999998</v>
      </c>
      <c r="Q55" s="14"/>
      <c r="Z55" s="14"/>
      <c r="AA55" s="14"/>
      <c r="AB55" s="14"/>
      <c r="AC55" s="14"/>
      <c r="AD55" s="14"/>
      <c r="AE55" s="14"/>
      <c r="AF55" s="14"/>
    </row>
    <row r="56" spans="1:32" x14ac:dyDescent="0.25">
      <c r="A56" s="3" t="s">
        <v>68</v>
      </c>
      <c r="B56" s="3" t="s">
        <v>69</v>
      </c>
      <c r="C56" s="8" t="s">
        <v>212</v>
      </c>
      <c r="D56" s="41">
        <v>1844.7343199999998</v>
      </c>
      <c r="E56" s="42">
        <v>2682.81936</v>
      </c>
      <c r="F56" s="43">
        <v>3223.0645199999999</v>
      </c>
      <c r="G56" s="4"/>
      <c r="H56" s="28">
        <v>190.52379701578127</v>
      </c>
      <c r="I56" s="4">
        <v>251.75988357809391</v>
      </c>
      <c r="J56" s="27">
        <v>291.51186418110177</v>
      </c>
      <c r="K56" s="4"/>
      <c r="L56" s="28">
        <v>427.9022125302584</v>
      </c>
      <c r="M56" s="4">
        <v>437.70120418215515</v>
      </c>
      <c r="N56" s="4">
        <v>480.25387412240781</v>
      </c>
      <c r="O56" s="33"/>
      <c r="P56" s="40">
        <v>0.19499999999999998</v>
      </c>
      <c r="Q56" s="14"/>
      <c r="Z56" s="14"/>
      <c r="AA56" s="14"/>
      <c r="AB56" s="14"/>
      <c r="AC56" s="14"/>
      <c r="AD56" s="14"/>
      <c r="AE56" s="14"/>
      <c r="AF56" s="14"/>
    </row>
    <row r="57" spans="1:32" x14ac:dyDescent="0.25">
      <c r="A57" s="3" t="s">
        <v>70</v>
      </c>
      <c r="B57" s="3" t="s">
        <v>71</v>
      </c>
      <c r="C57" s="8" t="s">
        <v>212</v>
      </c>
      <c r="D57" s="41">
        <v>1455.18516</v>
      </c>
      <c r="E57" s="42">
        <v>2113.9419599999997</v>
      </c>
      <c r="F57" s="43">
        <v>2538.58176</v>
      </c>
      <c r="G57" s="4"/>
      <c r="H57" s="28">
        <v>185.12630493712987</v>
      </c>
      <c r="I57" s="4">
        <v>244.62758830254677</v>
      </c>
      <c r="J57" s="27">
        <v>283.25340512036792</v>
      </c>
      <c r="K57" s="4"/>
      <c r="L57" s="28">
        <v>415.77984861170717</v>
      </c>
      <c r="M57" s="4">
        <v>425.30123725207301</v>
      </c>
      <c r="N57" s="4">
        <v>466.64840057044705</v>
      </c>
      <c r="O57" s="33"/>
      <c r="P57" s="40">
        <v>0.19499999999999998</v>
      </c>
      <c r="Q57" s="14"/>
      <c r="Z57" s="14"/>
      <c r="AA57" s="14"/>
      <c r="AB57" s="14"/>
      <c r="AC57" s="14"/>
      <c r="AD57" s="14"/>
      <c r="AE57" s="14"/>
      <c r="AF57" s="14"/>
    </row>
    <row r="58" spans="1:32" x14ac:dyDescent="0.25">
      <c r="A58" s="3" t="s">
        <v>70</v>
      </c>
      <c r="B58" s="3" t="s">
        <v>72</v>
      </c>
      <c r="C58" s="8" t="s">
        <v>212</v>
      </c>
      <c r="D58" s="41">
        <v>1785.1517818146938</v>
      </c>
      <c r="E58" s="42">
        <v>2432.3803920661853</v>
      </c>
      <c r="F58" s="43">
        <v>3420.6233810476879</v>
      </c>
      <c r="G58" s="4"/>
      <c r="H58" s="28">
        <v>185.12630493712987</v>
      </c>
      <c r="I58" s="4">
        <v>244.62758830254677</v>
      </c>
      <c r="J58" s="27">
        <v>283.25340512036792</v>
      </c>
      <c r="K58" s="4"/>
      <c r="L58" s="28">
        <v>415.77984861170717</v>
      </c>
      <c r="M58" s="4">
        <v>425.30123725207301</v>
      </c>
      <c r="N58" s="4">
        <v>466.64840057044705</v>
      </c>
      <c r="O58" s="33"/>
      <c r="P58" s="40">
        <v>0.19499999999999998</v>
      </c>
      <c r="Q58" s="14"/>
      <c r="Z58" s="14"/>
      <c r="AA58" s="14"/>
      <c r="AB58" s="14"/>
      <c r="AC58" s="14"/>
      <c r="AD58" s="14"/>
      <c r="AE58" s="14"/>
      <c r="AF58" s="14"/>
    </row>
    <row r="59" spans="1:32" x14ac:dyDescent="0.25">
      <c r="A59" s="3" t="s">
        <v>73</v>
      </c>
      <c r="B59" s="3" t="s">
        <v>74</v>
      </c>
      <c r="C59" s="8" t="s">
        <v>212</v>
      </c>
      <c r="D59" s="41">
        <v>1069.0142416708104</v>
      </c>
      <c r="E59" s="42">
        <v>1456.5984286424664</v>
      </c>
      <c r="F59" s="43">
        <v>2048.3945101939335</v>
      </c>
      <c r="G59" s="4"/>
      <c r="H59" s="28">
        <v>110.86040890288187</v>
      </c>
      <c r="I59" s="4">
        <v>146.49195573452482</v>
      </c>
      <c r="J59" s="27">
        <v>169.62250894297179</v>
      </c>
      <c r="K59" s="4"/>
      <c r="L59" s="28">
        <v>234.72419121951214</v>
      </c>
      <c r="M59" s="4">
        <v>240.09939219512191</v>
      </c>
      <c r="N59" s="4">
        <v>263.4415034146341</v>
      </c>
      <c r="O59" s="33"/>
      <c r="P59" s="40">
        <v>0.19499999999999998</v>
      </c>
      <c r="Q59" s="14"/>
      <c r="Z59" s="14"/>
      <c r="AA59" s="14"/>
      <c r="AB59" s="14"/>
      <c r="AC59" s="14"/>
      <c r="AD59" s="14"/>
      <c r="AE59" s="14"/>
      <c r="AF59" s="14"/>
    </row>
    <row r="60" spans="1:32" x14ac:dyDescent="0.25">
      <c r="A60" s="3" t="s">
        <v>73</v>
      </c>
      <c r="B60" s="3" t="s">
        <v>75</v>
      </c>
      <c r="C60" s="8" t="s">
        <v>212</v>
      </c>
      <c r="D60" s="41">
        <v>1069.0142416708104</v>
      </c>
      <c r="E60" s="42">
        <v>1456.5984286424664</v>
      </c>
      <c r="F60" s="43">
        <v>2048.3945101939335</v>
      </c>
      <c r="G60" s="4"/>
      <c r="H60" s="28">
        <v>110.86040890288187</v>
      </c>
      <c r="I60" s="4">
        <v>146.49195573452482</v>
      </c>
      <c r="J60" s="27">
        <v>169.62250894297179</v>
      </c>
      <c r="K60" s="4"/>
      <c r="L60" s="28">
        <v>234.72419121951214</v>
      </c>
      <c r="M60" s="4">
        <v>240.09939219512191</v>
      </c>
      <c r="N60" s="4">
        <v>263.4415034146341</v>
      </c>
      <c r="O60" s="33"/>
      <c r="P60" s="40">
        <v>0.19499999999999998</v>
      </c>
      <c r="Q60" s="14"/>
      <c r="Z60" s="14"/>
      <c r="AA60" s="14"/>
      <c r="AB60" s="14"/>
      <c r="AC60" s="14"/>
      <c r="AD60" s="14"/>
      <c r="AE60" s="14"/>
      <c r="AF60" s="14"/>
    </row>
    <row r="61" spans="1:32" s="16" customFormat="1" x14ac:dyDescent="0.25">
      <c r="A61" s="3" t="s">
        <v>73</v>
      </c>
      <c r="B61" s="3" t="s">
        <v>76</v>
      </c>
      <c r="C61" s="8" t="s">
        <v>212</v>
      </c>
      <c r="D61" s="41">
        <v>1069.0142416708104</v>
      </c>
      <c r="E61" s="42">
        <v>1456.5984286424664</v>
      </c>
      <c r="F61" s="43">
        <v>2048.3945101939335</v>
      </c>
      <c r="G61" s="4"/>
      <c r="H61" s="28">
        <v>132.00672703498213</v>
      </c>
      <c r="I61" s="4">
        <v>174.43489343800721</v>
      </c>
      <c r="J61" s="27">
        <v>201.97753606194411</v>
      </c>
      <c r="K61" s="4"/>
      <c r="L61" s="28">
        <v>234.72419121951214</v>
      </c>
      <c r="M61" s="4">
        <v>240.09939219512191</v>
      </c>
      <c r="N61" s="4">
        <v>263.4415034146341</v>
      </c>
      <c r="O61" s="33"/>
      <c r="P61" s="40">
        <v>0.19499999999999998</v>
      </c>
      <c r="Q61" s="15"/>
      <c r="Z61" s="15"/>
      <c r="AA61" s="15"/>
      <c r="AB61" s="15"/>
      <c r="AC61" s="15"/>
      <c r="AD61" s="15"/>
      <c r="AE61" s="15"/>
      <c r="AF61" s="15"/>
    </row>
    <row r="62" spans="1:32" x14ac:dyDescent="0.25">
      <c r="A62" s="3" t="s">
        <v>77</v>
      </c>
      <c r="B62" s="3" t="s">
        <v>78</v>
      </c>
      <c r="C62" s="8" t="s">
        <v>212</v>
      </c>
      <c r="D62" s="41">
        <v>1080.9208799999999</v>
      </c>
      <c r="E62" s="42">
        <v>1567.3460400000001</v>
      </c>
      <c r="F62" s="43">
        <v>1880.7937199999997</v>
      </c>
      <c r="G62" s="4"/>
      <c r="H62" s="28">
        <v>132.00672703498213</v>
      </c>
      <c r="I62" s="4">
        <v>174.43489343800721</v>
      </c>
      <c r="J62" s="27">
        <v>201.97753606194411</v>
      </c>
      <c r="K62" s="4"/>
      <c r="L62" s="28">
        <v>281.65338335318052</v>
      </c>
      <c r="M62" s="4">
        <v>288.10326622685488</v>
      </c>
      <c r="N62" s="4">
        <v>316.11224376523535</v>
      </c>
      <c r="O62" s="33"/>
      <c r="P62" s="40">
        <v>0.19499999999999998</v>
      </c>
      <c r="Q62" s="14"/>
      <c r="Z62" s="14"/>
      <c r="AA62" s="14"/>
      <c r="AB62" s="14"/>
      <c r="AC62" s="14"/>
      <c r="AD62" s="14"/>
      <c r="AE62" s="14"/>
      <c r="AF62" s="14"/>
    </row>
    <row r="63" spans="1:32" x14ac:dyDescent="0.25">
      <c r="A63" s="3" t="s">
        <v>79</v>
      </c>
      <c r="B63" s="3" t="s">
        <v>80</v>
      </c>
      <c r="C63" s="8" t="s">
        <v>212</v>
      </c>
      <c r="D63" s="41">
        <v>954.87443999999982</v>
      </c>
      <c r="E63" s="42">
        <v>1383.06636</v>
      </c>
      <c r="F63" s="43">
        <v>1659.1629599999997</v>
      </c>
      <c r="G63" s="4"/>
      <c r="H63" s="28">
        <v>132.00672703498213</v>
      </c>
      <c r="I63" s="4">
        <v>174.43489343800721</v>
      </c>
      <c r="J63" s="27">
        <v>201.97753606194411</v>
      </c>
      <c r="K63" s="4"/>
      <c r="L63" s="28">
        <v>259.76609999999994</v>
      </c>
      <c r="M63" s="4">
        <v>265.71476249999995</v>
      </c>
      <c r="N63" s="4">
        <v>291.54716250000001</v>
      </c>
      <c r="O63" s="33"/>
      <c r="P63" s="40">
        <v>0.19499999999999998</v>
      </c>
      <c r="Q63" s="14"/>
      <c r="Z63" s="14"/>
      <c r="AA63" s="14"/>
      <c r="AB63" s="14"/>
      <c r="AC63" s="14"/>
      <c r="AD63" s="14"/>
      <c r="AE63" s="14"/>
      <c r="AF63" s="14"/>
    </row>
    <row r="64" spans="1:32" x14ac:dyDescent="0.25">
      <c r="A64" s="3" t="s">
        <v>81</v>
      </c>
      <c r="B64" s="3" t="s">
        <v>42</v>
      </c>
      <c r="C64" s="8" t="s">
        <v>212</v>
      </c>
      <c r="D64" s="41">
        <v>900.19331999999986</v>
      </c>
      <c r="E64" s="42">
        <v>1303.30512</v>
      </c>
      <c r="F64" s="43">
        <v>1563.2557199999999</v>
      </c>
      <c r="G64" s="4"/>
      <c r="H64" s="28">
        <v>159.59130036758683</v>
      </c>
      <c r="I64" s="4">
        <v>210.88540030142397</v>
      </c>
      <c r="J64" s="27">
        <v>244.18344692861578</v>
      </c>
      <c r="K64" s="4"/>
      <c r="L64" s="28">
        <v>299.29031999999995</v>
      </c>
      <c r="M64" s="4">
        <v>306.14409000000001</v>
      </c>
      <c r="N64" s="4">
        <v>335.90697</v>
      </c>
      <c r="O64" s="33"/>
      <c r="P64" s="40">
        <v>0.19499999999999998</v>
      </c>
      <c r="Q64" s="14"/>
      <c r="Z64" s="14"/>
      <c r="AA64" s="14"/>
      <c r="AB64" s="14"/>
      <c r="AC64" s="14"/>
      <c r="AD64" s="14"/>
      <c r="AE64" s="14"/>
      <c r="AF64" s="14"/>
    </row>
    <row r="65" spans="1:32" x14ac:dyDescent="0.25">
      <c r="A65" s="3" t="s">
        <v>82</v>
      </c>
      <c r="B65" s="3" t="s">
        <v>83</v>
      </c>
      <c r="C65" s="8" t="s">
        <v>212</v>
      </c>
      <c r="D65" s="41">
        <v>1115.0524853607656</v>
      </c>
      <c r="E65" s="42">
        <v>1519.3284006131278</v>
      </c>
      <c r="F65" s="43">
        <v>2136.610814483839</v>
      </c>
      <c r="G65" s="4"/>
      <c r="H65" s="28">
        <v>115.63473119129402</v>
      </c>
      <c r="I65" s="4">
        <v>152.80078876389902</v>
      </c>
      <c r="J65" s="27">
        <v>176.92748402900335</v>
      </c>
      <c r="K65" s="4"/>
      <c r="L65" s="28">
        <v>246.72161794097559</v>
      </c>
      <c r="M65" s="4">
        <v>252.37156085725607</v>
      </c>
      <c r="N65" s="4">
        <v>276.90675433823168</v>
      </c>
      <c r="O65" s="33"/>
      <c r="P65" s="40">
        <v>0.19499999999999998</v>
      </c>
      <c r="Q65" s="14"/>
      <c r="Z65" s="14"/>
      <c r="AA65" s="14"/>
      <c r="AB65" s="14"/>
      <c r="AC65" s="14"/>
      <c r="AD65" s="14"/>
      <c r="AE65" s="14"/>
      <c r="AF65" s="14"/>
    </row>
    <row r="66" spans="1:32" x14ac:dyDescent="0.25">
      <c r="A66" s="3" t="s">
        <v>82</v>
      </c>
      <c r="B66" s="3" t="s">
        <v>84</v>
      </c>
      <c r="C66" s="8" t="s">
        <v>212</v>
      </c>
      <c r="D66" s="41">
        <v>1115.0524853607656</v>
      </c>
      <c r="E66" s="42">
        <v>1519.3284006131278</v>
      </c>
      <c r="F66" s="43">
        <v>2136.610814483839</v>
      </c>
      <c r="G66" s="4"/>
      <c r="H66" s="28">
        <v>115.63473119129402</v>
      </c>
      <c r="I66" s="4">
        <v>152.80078876389902</v>
      </c>
      <c r="J66" s="27">
        <v>176.92748402900335</v>
      </c>
      <c r="K66" s="4"/>
      <c r="L66" s="28">
        <v>246.72161794097559</v>
      </c>
      <c r="M66" s="4">
        <v>252.37156085725607</v>
      </c>
      <c r="N66" s="4">
        <v>276.90675433823168</v>
      </c>
      <c r="O66" s="33"/>
      <c r="P66" s="40">
        <v>0.19499999999999998</v>
      </c>
      <c r="Q66" s="14"/>
      <c r="Z66" s="14"/>
      <c r="AA66" s="14"/>
      <c r="AB66" s="14"/>
      <c r="AC66" s="14"/>
      <c r="AD66" s="14"/>
      <c r="AE66" s="14"/>
      <c r="AF66" s="14"/>
    </row>
    <row r="67" spans="1:32" x14ac:dyDescent="0.25">
      <c r="A67" s="3" t="s">
        <v>82</v>
      </c>
      <c r="B67" s="3" t="s">
        <v>85</v>
      </c>
      <c r="C67" s="8" t="s">
        <v>212</v>
      </c>
      <c r="D67" s="41">
        <v>1115.0524853607656</v>
      </c>
      <c r="E67" s="42">
        <v>1519.3284006131278</v>
      </c>
      <c r="F67" s="43">
        <v>2136.610814483839</v>
      </c>
      <c r="G67" s="4"/>
      <c r="H67" s="28">
        <v>115.63473119129402</v>
      </c>
      <c r="I67" s="4">
        <v>152.80078876389902</v>
      </c>
      <c r="J67" s="27">
        <v>176.92748402900335</v>
      </c>
      <c r="K67" s="4"/>
      <c r="L67" s="28">
        <v>246.72161794097559</v>
      </c>
      <c r="M67" s="4">
        <v>252.37156085725607</v>
      </c>
      <c r="N67" s="4">
        <v>276.90675433823168</v>
      </c>
      <c r="O67" s="33"/>
      <c r="P67" s="40">
        <v>0.19499999999999998</v>
      </c>
      <c r="Q67" s="14"/>
      <c r="Z67" s="14"/>
      <c r="AA67" s="14"/>
      <c r="AB67" s="14"/>
      <c r="AC67" s="14"/>
      <c r="AD67" s="14"/>
      <c r="AE67" s="14"/>
      <c r="AF67" s="14"/>
    </row>
    <row r="68" spans="1:32" x14ac:dyDescent="0.25">
      <c r="A68" s="3" t="s">
        <v>82</v>
      </c>
      <c r="B68" s="3" t="s">
        <v>86</v>
      </c>
      <c r="C68" s="8" t="s">
        <v>212</v>
      </c>
      <c r="D68" s="44">
        <v>1115.0524853607656</v>
      </c>
      <c r="E68" s="45">
        <v>1519.3284006131278</v>
      </c>
      <c r="F68" s="46">
        <v>2136.610814483839</v>
      </c>
      <c r="G68" s="4"/>
      <c r="H68" s="28">
        <v>115.63473119129402</v>
      </c>
      <c r="I68" s="4">
        <v>152.80078876389902</v>
      </c>
      <c r="J68" s="27">
        <v>176.92748402900335</v>
      </c>
      <c r="K68" s="4"/>
      <c r="L68" s="28">
        <v>246.72161794097559</v>
      </c>
      <c r="M68" s="4">
        <v>252.37156085725607</v>
      </c>
      <c r="N68" s="4">
        <v>276.90675433823168</v>
      </c>
      <c r="O68" s="33"/>
      <c r="P68" s="40">
        <v>0.19499999999999998</v>
      </c>
      <c r="Q68" s="14"/>
      <c r="Z68" s="14"/>
      <c r="AA68" s="14"/>
      <c r="AB68" s="14"/>
      <c r="AC68" s="14"/>
      <c r="AD68" s="14"/>
      <c r="AE68" s="14"/>
      <c r="AF68" s="14"/>
    </row>
    <row r="69" spans="1:32" x14ac:dyDescent="0.25">
      <c r="A69" s="3" t="s">
        <v>87</v>
      </c>
      <c r="B69" s="3" t="s">
        <v>88</v>
      </c>
      <c r="C69" s="8" t="s">
        <v>212</v>
      </c>
      <c r="D69" s="41">
        <v>1292.1105600000001</v>
      </c>
      <c r="E69" s="42">
        <v>1875.7346399999999</v>
      </c>
      <c r="F69" s="43">
        <v>2251.9364399999999</v>
      </c>
      <c r="G69" s="4"/>
      <c r="H69" s="28">
        <v>267.83037307317068</v>
      </c>
      <c r="I69" s="4">
        <v>375.74449112195117</v>
      </c>
      <c r="J69" s="27">
        <v>441.66712565853652</v>
      </c>
      <c r="K69" s="4"/>
      <c r="L69" s="28">
        <v>390.0563765853658</v>
      </c>
      <c r="M69" s="4">
        <v>398.98869585365844</v>
      </c>
      <c r="N69" s="4">
        <v>437.77779243902438</v>
      </c>
      <c r="O69" s="33"/>
      <c r="P69" s="40">
        <v>0.19499999999999998</v>
      </c>
      <c r="Q69" s="14"/>
      <c r="Z69" s="14"/>
      <c r="AA69" s="14"/>
      <c r="AB69" s="14"/>
      <c r="AC69" s="14"/>
      <c r="AD69" s="14"/>
      <c r="AE69" s="14"/>
      <c r="AF69" s="14"/>
    </row>
    <row r="70" spans="1:32" s="57" customFormat="1" x14ac:dyDescent="0.25">
      <c r="A70" s="3" t="s">
        <v>213</v>
      </c>
      <c r="B70" s="3" t="s">
        <v>214</v>
      </c>
      <c r="C70" s="8" t="s">
        <v>11</v>
      </c>
      <c r="D70" s="44">
        <v>1377.8799999999999</v>
      </c>
      <c r="E70" s="45">
        <v>2181.52</v>
      </c>
      <c r="F70" s="46">
        <v>2931.88</v>
      </c>
      <c r="G70" s="4"/>
      <c r="H70" s="28">
        <v>143.238</v>
      </c>
      <c r="I70" s="4">
        <v>189.27599999999998</v>
      </c>
      <c r="J70" s="27">
        <v>219.16199999999998</v>
      </c>
      <c r="K70" s="4"/>
      <c r="L70" s="28">
        <v>301.58388479999996</v>
      </c>
      <c r="M70" s="4">
        <v>308.49017759999998</v>
      </c>
      <c r="N70" s="4">
        <v>338.48114079999999</v>
      </c>
      <c r="O70" s="33"/>
      <c r="P70" s="40">
        <v>0.19499999999999998</v>
      </c>
      <c r="Q70" s="56"/>
      <c r="Z70" s="56"/>
      <c r="AA70" s="56"/>
      <c r="AB70" s="56"/>
      <c r="AC70" s="56"/>
      <c r="AD70" s="56"/>
      <c r="AE70" s="56"/>
      <c r="AF70" s="56"/>
    </row>
    <row r="71" spans="1:32" s="57" customFormat="1" x14ac:dyDescent="0.25">
      <c r="A71" s="3" t="s">
        <v>213</v>
      </c>
      <c r="B71" s="3" t="s">
        <v>215</v>
      </c>
      <c r="C71" s="8" t="s">
        <v>11</v>
      </c>
      <c r="D71" s="44">
        <f>D$25*0.58</f>
        <v>960.04103431128783</v>
      </c>
      <c r="E71" s="45">
        <f t="shared" ref="E71:F72" si="0">E$25*0.58</f>
        <v>1395.5172053704623</v>
      </c>
      <c r="F71" s="46">
        <f t="shared" si="0"/>
        <v>1676.2467230233713</v>
      </c>
      <c r="G71" s="4"/>
      <c r="H71" s="28">
        <v>138.46339999999998</v>
      </c>
      <c r="I71" s="4">
        <v>182.96679999999998</v>
      </c>
      <c r="J71" s="27">
        <v>211.85659999999999</v>
      </c>
      <c r="K71" s="4"/>
      <c r="L71" s="28">
        <v>292.31974364326396</v>
      </c>
      <c r="M71" s="4">
        <v>299.01388693994619</v>
      </c>
      <c r="N71" s="4">
        <v>328.08357904253489</v>
      </c>
      <c r="O71" s="33"/>
      <c r="P71" s="40">
        <v>0.19499999999999998</v>
      </c>
      <c r="Q71" s="56"/>
      <c r="Z71" s="56"/>
      <c r="AA71" s="56"/>
      <c r="AB71" s="56"/>
      <c r="AC71" s="56"/>
      <c r="AD71" s="56"/>
      <c r="AE71" s="56"/>
      <c r="AF71" s="56"/>
    </row>
    <row r="72" spans="1:32" s="57" customFormat="1" x14ac:dyDescent="0.25">
      <c r="A72" s="3" t="s">
        <v>213</v>
      </c>
      <c r="B72" s="3" t="s">
        <v>216</v>
      </c>
      <c r="C72" s="8" t="s">
        <v>11</v>
      </c>
      <c r="D72" s="44">
        <f>D$25*0.58</f>
        <v>960.04103431128783</v>
      </c>
      <c r="E72" s="45">
        <f t="shared" si="0"/>
        <v>1395.5172053704623</v>
      </c>
      <c r="F72" s="46">
        <f t="shared" si="0"/>
        <v>1676.2467230233713</v>
      </c>
      <c r="G72" s="4"/>
      <c r="H72" s="28">
        <v>138.46339999999998</v>
      </c>
      <c r="I72" s="4">
        <v>182.96679999999998</v>
      </c>
      <c r="J72" s="27">
        <v>211.85659999999999</v>
      </c>
      <c r="K72" s="4"/>
      <c r="L72" s="28">
        <v>292.31974364326396</v>
      </c>
      <c r="M72" s="4">
        <v>299.01388693994619</v>
      </c>
      <c r="N72" s="4">
        <v>328.08357904253489</v>
      </c>
      <c r="O72" s="33"/>
      <c r="P72" s="40">
        <v>0.19499999999999998</v>
      </c>
      <c r="Q72" s="56"/>
      <c r="Z72" s="56"/>
      <c r="AA72" s="56"/>
      <c r="AB72" s="56"/>
      <c r="AC72" s="56"/>
      <c r="AD72" s="56"/>
      <c r="AE72" s="56"/>
      <c r="AF72" s="56"/>
    </row>
    <row r="73" spans="1:32" s="57" customFormat="1" x14ac:dyDescent="0.25">
      <c r="A73" s="3" t="s">
        <v>213</v>
      </c>
      <c r="B73" s="3" t="s">
        <v>217</v>
      </c>
      <c r="C73" s="8" t="s">
        <v>11</v>
      </c>
      <c r="D73" s="44">
        <f>D$25*0.59</f>
        <v>976.5934659373446</v>
      </c>
      <c r="E73" s="45">
        <f t="shared" ref="E73:F73" si="1">E$25*0.59</f>
        <v>1419.5778468423669</v>
      </c>
      <c r="F73" s="46">
        <f t="shared" si="1"/>
        <v>1705.1475285927397</v>
      </c>
      <c r="G73" s="4"/>
      <c r="H73" s="28">
        <v>140.85069999999999</v>
      </c>
      <c r="I73" s="4">
        <v>186.12139999999997</v>
      </c>
      <c r="J73" s="27">
        <v>215.50929999999997</v>
      </c>
      <c r="K73" s="4"/>
      <c r="L73" s="28">
        <v>297.35973922332028</v>
      </c>
      <c r="M73" s="4">
        <v>304.16929878373844</v>
      </c>
      <c r="N73" s="4">
        <v>333.74019247430272</v>
      </c>
      <c r="O73" s="33"/>
      <c r="P73" s="40">
        <v>0.19499999999999998</v>
      </c>
      <c r="Q73" s="56"/>
      <c r="Z73" s="56"/>
      <c r="AA73" s="56"/>
      <c r="AB73" s="56"/>
      <c r="AC73" s="56"/>
      <c r="AD73" s="56"/>
      <c r="AE73" s="56"/>
      <c r="AF73" s="56"/>
    </row>
    <row r="74" spans="1:32" x14ac:dyDescent="0.25">
      <c r="A74" s="3" t="s">
        <v>89</v>
      </c>
      <c r="B74" s="3" t="s">
        <v>90</v>
      </c>
      <c r="C74" s="8" t="s">
        <v>1</v>
      </c>
      <c r="D74" s="41">
        <v>873.74731476877184</v>
      </c>
      <c r="E74" s="42">
        <v>1173.3920089507708</v>
      </c>
      <c r="F74" s="43">
        <v>1411.0910989557435</v>
      </c>
      <c r="G74" s="4"/>
      <c r="H74" s="28">
        <v>133.38383539264544</v>
      </c>
      <c r="I74" s="4">
        <v>187.12680260431648</v>
      </c>
      <c r="J74" s="27">
        <v>219.95733535078432</v>
      </c>
      <c r="K74" s="4"/>
      <c r="L74" s="28">
        <v>197.95443474710518</v>
      </c>
      <c r="M74" s="4">
        <v>202.48760563695106</v>
      </c>
      <c r="N74" s="4">
        <v>222.17315405978655</v>
      </c>
      <c r="O74" s="33"/>
      <c r="P74" s="40">
        <v>0.24200000000000002</v>
      </c>
      <c r="Q74" s="14"/>
      <c r="Z74" s="14"/>
      <c r="AA74" s="14"/>
      <c r="AB74" s="14"/>
      <c r="AC74" s="14"/>
      <c r="AD74" s="14"/>
      <c r="AE74" s="14"/>
      <c r="AF74" s="14"/>
    </row>
    <row r="75" spans="1:32" x14ac:dyDescent="0.25">
      <c r="A75" s="3" t="s">
        <v>91</v>
      </c>
      <c r="B75" s="3" t="s">
        <v>92</v>
      </c>
      <c r="C75" s="8" t="s">
        <v>1</v>
      </c>
      <c r="D75" s="41">
        <v>913.27346593734467</v>
      </c>
      <c r="E75" s="42">
        <v>1302.7311188463452</v>
      </c>
      <c r="F75" s="43">
        <v>1620.4620586772751</v>
      </c>
      <c r="G75" s="4"/>
      <c r="H75" s="28">
        <v>139.41778771737316</v>
      </c>
      <c r="I75" s="4">
        <v>195.59195283987074</v>
      </c>
      <c r="J75" s="27">
        <v>229.90765707510593</v>
      </c>
      <c r="K75" s="4"/>
      <c r="L75" s="28">
        <v>207.8762664341792</v>
      </c>
      <c r="M75" s="4">
        <v>212.6366479881118</v>
      </c>
      <c r="N75" s="4">
        <v>233.3088714423435</v>
      </c>
      <c r="O75" s="33"/>
      <c r="P75" s="40">
        <v>0.26</v>
      </c>
      <c r="Q75" s="14"/>
      <c r="Z75" s="14"/>
      <c r="AA75" s="14"/>
      <c r="AB75" s="14"/>
      <c r="AC75" s="14"/>
      <c r="AD75" s="14"/>
      <c r="AE75" s="14"/>
      <c r="AF75" s="14"/>
    </row>
    <row r="76" spans="1:32" x14ac:dyDescent="0.25">
      <c r="A76" s="3" t="s">
        <v>93</v>
      </c>
      <c r="B76" s="3" t="s">
        <v>94</v>
      </c>
      <c r="C76" s="8" t="s">
        <v>1</v>
      </c>
      <c r="D76" s="41">
        <v>860.94069169567365</v>
      </c>
      <c r="E76" s="42">
        <v>1268.7336111387367</v>
      </c>
      <c r="F76" s="43">
        <v>1716.5761964196915</v>
      </c>
      <c r="G76" s="4"/>
      <c r="H76" s="28">
        <v>131.4288119264275</v>
      </c>
      <c r="I76" s="4">
        <v>184.38406178289054</v>
      </c>
      <c r="J76" s="27">
        <v>216.73339332728736</v>
      </c>
      <c r="K76" s="4"/>
      <c r="L76" s="28">
        <v>191.40714165729227</v>
      </c>
      <c r="M76" s="4">
        <v>195.79037906128349</v>
      </c>
      <c r="N76" s="4">
        <v>214.82483292630991</v>
      </c>
      <c r="O76" s="33"/>
      <c r="P76" s="40">
        <v>0.16</v>
      </c>
      <c r="Q76" s="14"/>
      <c r="Z76" s="14"/>
      <c r="AA76" s="14"/>
      <c r="AB76" s="14"/>
      <c r="AC76" s="14"/>
      <c r="AD76" s="14"/>
      <c r="AE76" s="14"/>
      <c r="AF76" s="14"/>
    </row>
    <row r="77" spans="1:32" x14ac:dyDescent="0.25">
      <c r="A77" s="3" t="s">
        <v>95</v>
      </c>
      <c r="B77" s="3" t="s">
        <v>96</v>
      </c>
      <c r="C77" s="8" t="s">
        <v>1</v>
      </c>
      <c r="D77" s="41">
        <v>967.29903033316759</v>
      </c>
      <c r="E77" s="42">
        <v>967.29903033316759</v>
      </c>
      <c r="F77" s="43">
        <v>967.29903033316759</v>
      </c>
      <c r="G77" s="4"/>
      <c r="H77" s="28">
        <v>147.66552651317227</v>
      </c>
      <c r="I77" s="4">
        <v>207.1628675989958</v>
      </c>
      <c r="J77" s="27">
        <v>243.50863535596659</v>
      </c>
      <c r="K77" s="4"/>
      <c r="L77" s="28">
        <v>215.05357871626691</v>
      </c>
      <c r="M77" s="4">
        <v>219.97832124117778</v>
      </c>
      <c r="N77" s="4">
        <v>241.36429141523087</v>
      </c>
      <c r="O77" s="33"/>
      <c r="P77" s="40">
        <v>0.15</v>
      </c>
      <c r="Q77" s="14"/>
      <c r="Z77" s="14"/>
      <c r="AA77" s="14"/>
      <c r="AB77" s="14"/>
      <c r="AC77" s="14"/>
      <c r="AD77" s="14"/>
      <c r="AE77" s="14"/>
      <c r="AF77" s="14"/>
    </row>
    <row r="78" spans="1:32" x14ac:dyDescent="0.25">
      <c r="A78" s="3" t="s">
        <v>97</v>
      </c>
      <c r="B78" s="3" t="s">
        <v>98</v>
      </c>
      <c r="C78" s="8" t="s">
        <v>1</v>
      </c>
      <c r="D78" s="41">
        <v>1058.3843013426156</v>
      </c>
      <c r="E78" s="42">
        <v>1058.3843013426156</v>
      </c>
      <c r="F78" s="43">
        <v>1058.3843013426156</v>
      </c>
      <c r="G78" s="4"/>
      <c r="H78" s="28">
        <v>161.56340042492951</v>
      </c>
      <c r="I78" s="4">
        <v>226.66046789253537</v>
      </c>
      <c r="J78" s="27">
        <v>266.42699951660506</v>
      </c>
      <c r="K78" s="4"/>
      <c r="L78" s="28">
        <v>235.29383107472259</v>
      </c>
      <c r="M78" s="4">
        <v>240.68207684426503</v>
      </c>
      <c r="N78" s="4">
        <v>264.08083581186963</v>
      </c>
      <c r="O78" s="33"/>
      <c r="P78" s="40">
        <v>0.15</v>
      </c>
      <c r="Q78" s="14"/>
      <c r="Z78" s="14"/>
      <c r="AA78" s="14"/>
      <c r="AB78" s="14"/>
      <c r="AC78" s="14"/>
      <c r="AD78" s="14"/>
      <c r="AE78" s="14"/>
      <c r="AF78" s="14"/>
    </row>
    <row r="79" spans="1:32" x14ac:dyDescent="0.25">
      <c r="A79" s="3" t="s">
        <v>99</v>
      </c>
      <c r="B79" s="3" t="s">
        <v>100</v>
      </c>
      <c r="C79" s="8" t="s">
        <v>1</v>
      </c>
      <c r="D79" s="41">
        <v>504.76085629040273</v>
      </c>
      <c r="E79" s="42">
        <v>844.20454549975136</v>
      </c>
      <c r="F79" s="43">
        <v>1154.8402232720039</v>
      </c>
      <c r="G79" s="4"/>
      <c r="H79" s="28">
        <v>77.055388703434417</v>
      </c>
      <c r="I79" s="4">
        <v>108.10251833785175</v>
      </c>
      <c r="J79" s="27">
        <v>127.06860560527033</v>
      </c>
      <c r="K79" s="4"/>
      <c r="L79" s="28">
        <v>114.8919859837106</v>
      </c>
      <c r="M79" s="4">
        <v>117.52302078221518</v>
      </c>
      <c r="N79" s="4">
        <v>128.94843671880432</v>
      </c>
      <c r="O79" s="33"/>
      <c r="P79" s="40">
        <v>0.192</v>
      </c>
      <c r="Q79" s="14"/>
      <c r="Z79" s="14"/>
      <c r="AA79" s="14"/>
      <c r="AB79" s="14"/>
      <c r="AC79" s="14"/>
      <c r="AD79" s="14"/>
      <c r="AE79" s="14"/>
      <c r="AF79" s="14"/>
    </row>
    <row r="80" spans="1:32" x14ac:dyDescent="0.25">
      <c r="A80" s="3" t="s">
        <v>101</v>
      </c>
      <c r="B80" s="3" t="s">
        <v>102</v>
      </c>
      <c r="C80" s="8" t="s">
        <v>1</v>
      </c>
      <c r="D80" s="41">
        <v>1346.741596384883</v>
      </c>
      <c r="E80" s="42">
        <v>1835.0192323122824</v>
      </c>
      <c r="F80" s="43">
        <v>2580.5625268125318</v>
      </c>
      <c r="G80" s="4"/>
      <c r="H80" s="28">
        <v>205.58982714146342</v>
      </c>
      <c r="I80" s="4">
        <v>288.42600670243905</v>
      </c>
      <c r="J80" s="27">
        <v>339.02901667317076</v>
      </c>
      <c r="K80" s="4"/>
      <c r="L80" s="28">
        <v>299.41198273170727</v>
      </c>
      <c r="M80" s="4">
        <v>306.26853881707314</v>
      </c>
      <c r="N80" s="4">
        <v>336.04351754878047</v>
      </c>
      <c r="O80" s="33"/>
      <c r="P80" s="40">
        <v>0.24</v>
      </c>
      <c r="Q80" s="14"/>
      <c r="Z80" s="14"/>
      <c r="AA80" s="14"/>
      <c r="AB80" s="14"/>
      <c r="AC80" s="14"/>
      <c r="AD80" s="14"/>
      <c r="AE80" s="14"/>
      <c r="AF80" s="14"/>
    </row>
    <row r="81" spans="1:32" x14ac:dyDescent="0.25">
      <c r="A81" s="3" t="s">
        <v>103</v>
      </c>
      <c r="B81" s="3" t="s">
        <v>104</v>
      </c>
      <c r="C81" s="8" t="s">
        <v>1</v>
      </c>
      <c r="D81" s="41">
        <v>828.67683043262048</v>
      </c>
      <c r="E81" s="42">
        <v>1147.6344226752858</v>
      </c>
      <c r="F81" s="43">
        <v>1833.9745211337643</v>
      </c>
      <c r="G81" s="4"/>
      <c r="H81" s="28">
        <v>126.50350058400454</v>
      </c>
      <c r="I81" s="4">
        <v>177.47424575739333</v>
      </c>
      <c r="J81" s="27">
        <v>208.61128201249994</v>
      </c>
      <c r="K81" s="4"/>
      <c r="L81" s="28">
        <v>182.4795240177676</v>
      </c>
      <c r="M81" s="4">
        <v>186.65831833135331</v>
      </c>
      <c r="N81" s="4">
        <v>204.80496662855833</v>
      </c>
      <c r="O81" s="33"/>
      <c r="P81" s="40">
        <v>0.16</v>
      </c>
      <c r="Q81" s="14"/>
      <c r="Z81" s="14"/>
      <c r="AA81" s="14"/>
      <c r="AB81" s="14"/>
      <c r="AC81" s="14"/>
      <c r="AD81" s="14"/>
      <c r="AE81" s="14"/>
      <c r="AF81" s="14"/>
    </row>
    <row r="82" spans="1:32" x14ac:dyDescent="0.25">
      <c r="A82" s="3" t="s">
        <v>105</v>
      </c>
      <c r="B82" s="3" t="s">
        <v>106</v>
      </c>
      <c r="C82" s="8" t="s">
        <v>1</v>
      </c>
      <c r="D82" s="41">
        <v>1237.1230943535554</v>
      </c>
      <c r="E82" s="42">
        <v>1685.6572017752362</v>
      </c>
      <c r="F82" s="43">
        <v>2370.5167397463952</v>
      </c>
      <c r="G82" s="4"/>
      <c r="H82" s="28">
        <v>188.8557714439024</v>
      </c>
      <c r="I82" s="4">
        <v>264.94947127317073</v>
      </c>
      <c r="J82" s="27">
        <v>311.43363159512188</v>
      </c>
      <c r="K82" s="4"/>
      <c r="L82" s="28">
        <v>275.04123995121955</v>
      </c>
      <c r="M82" s="4">
        <v>281.33970426219514</v>
      </c>
      <c r="N82" s="4">
        <v>308.69113821341466</v>
      </c>
      <c r="O82" s="33"/>
      <c r="P82" s="40">
        <v>0.185</v>
      </c>
      <c r="Q82" s="14"/>
      <c r="Z82" s="14"/>
      <c r="AA82" s="14"/>
      <c r="AB82" s="14"/>
      <c r="AC82" s="14"/>
      <c r="AD82" s="14"/>
      <c r="AE82" s="14"/>
      <c r="AF82" s="14"/>
    </row>
    <row r="83" spans="1:32" x14ac:dyDescent="0.25">
      <c r="A83" s="3" t="s">
        <v>107</v>
      </c>
      <c r="B83" s="3" t="s">
        <v>108</v>
      </c>
      <c r="C83" s="8" t="s">
        <v>1</v>
      </c>
      <c r="D83" s="41">
        <v>1315.4220243759321</v>
      </c>
      <c r="E83" s="42">
        <v>1792.3443664445549</v>
      </c>
      <c r="F83" s="43">
        <v>2520.5494447936353</v>
      </c>
      <c r="G83" s="4"/>
      <c r="H83" s="28">
        <v>200.80866837073174</v>
      </c>
      <c r="I83" s="4">
        <v>281.71842515121961</v>
      </c>
      <c r="J83" s="27">
        <v>331.14462093658545</v>
      </c>
      <c r="K83" s="4"/>
      <c r="L83" s="28">
        <v>292.44891336585368</v>
      </c>
      <c r="M83" s="4">
        <v>299.14601465853656</v>
      </c>
      <c r="N83" s="4">
        <v>328.2285520243903</v>
      </c>
      <c r="O83" s="33"/>
      <c r="P83" s="40">
        <v>0.19</v>
      </c>
      <c r="Q83" s="14"/>
      <c r="Z83" s="14"/>
      <c r="AA83" s="14"/>
      <c r="AB83" s="14"/>
      <c r="AC83" s="14"/>
      <c r="AD83" s="14"/>
      <c r="AE83" s="14"/>
      <c r="AF83" s="14"/>
    </row>
    <row r="84" spans="1:32" x14ac:dyDescent="0.25">
      <c r="A84" s="3" t="s">
        <v>109</v>
      </c>
      <c r="B84" s="3" t="s">
        <v>110</v>
      </c>
      <c r="C84" s="8" t="s">
        <v>1</v>
      </c>
      <c r="D84" s="41">
        <v>1218.5937891596222</v>
      </c>
      <c r="E84" s="42">
        <v>1429.124669318747</v>
      </c>
      <c r="F84" s="43">
        <v>1720.9361760318252</v>
      </c>
      <c r="G84" s="4"/>
      <c r="H84" s="28">
        <v>186.02713923851277</v>
      </c>
      <c r="I84" s="4">
        <v>260.9811275920942</v>
      </c>
      <c r="J84" s="27">
        <v>306.76906035413617</v>
      </c>
      <c r="K84" s="4"/>
      <c r="L84" s="28">
        <v>277.37226213003811</v>
      </c>
      <c r="M84" s="4">
        <v>283.72410701770104</v>
      </c>
      <c r="N84" s="4">
        <v>311.30734911221612</v>
      </c>
      <c r="O84" s="33"/>
      <c r="P84" s="40">
        <v>0.26</v>
      </c>
      <c r="Q84" s="14"/>
      <c r="Z84" s="14"/>
      <c r="AA84" s="14"/>
      <c r="AB84" s="14"/>
      <c r="AC84" s="14"/>
      <c r="AD84" s="14"/>
      <c r="AE84" s="14"/>
      <c r="AF84" s="14"/>
    </row>
    <row r="85" spans="1:32" x14ac:dyDescent="0.25">
      <c r="A85" s="3" t="s">
        <v>111</v>
      </c>
      <c r="B85" s="3" t="s">
        <v>112</v>
      </c>
      <c r="C85" s="8" t="s">
        <v>1</v>
      </c>
      <c r="D85" s="41">
        <v>954.49575932371965</v>
      </c>
      <c r="E85" s="42">
        <v>1403.1196260566883</v>
      </c>
      <c r="F85" s="43">
        <v>1891.0941720537048</v>
      </c>
      <c r="G85" s="4"/>
      <c r="H85" s="28">
        <v>145.71066839650936</v>
      </c>
      <c r="I85" s="4">
        <v>204.42035874970841</v>
      </c>
      <c r="J85" s="27">
        <v>240.28496600304791</v>
      </c>
      <c r="K85" s="4"/>
      <c r="L85" s="28">
        <v>210.18559399982186</v>
      </c>
      <c r="M85" s="4">
        <v>214.99885932222904</v>
      </c>
      <c r="N85" s="4">
        <v>235.90073350227414</v>
      </c>
      <c r="O85" s="33"/>
      <c r="P85" s="40">
        <v>0.16</v>
      </c>
      <c r="Q85" s="14"/>
      <c r="Z85" s="14"/>
      <c r="AA85" s="14"/>
      <c r="AB85" s="14"/>
      <c r="AC85" s="14"/>
      <c r="AD85" s="14"/>
      <c r="AE85" s="14"/>
      <c r="AF85" s="14"/>
    </row>
    <row r="86" spans="1:32" x14ac:dyDescent="0.25">
      <c r="A86" s="3" t="s">
        <v>113</v>
      </c>
      <c r="B86" s="3" t="s">
        <v>114</v>
      </c>
      <c r="C86" s="8" t="s">
        <v>1</v>
      </c>
      <c r="D86" s="41">
        <v>971.50637056190953</v>
      </c>
      <c r="E86" s="42">
        <v>1262.3664107409249</v>
      </c>
      <c r="F86" s="43">
        <v>1412.3895224266535</v>
      </c>
      <c r="G86" s="4"/>
      <c r="H86" s="28">
        <v>148.30746100573583</v>
      </c>
      <c r="I86" s="4">
        <v>208.06345010752264</v>
      </c>
      <c r="J86" s="27">
        <v>244.56722090374598</v>
      </c>
      <c r="K86" s="4"/>
      <c r="L86" s="28">
        <v>215.9884638799675</v>
      </c>
      <c r="M86" s="4">
        <v>220.93461534282338</v>
      </c>
      <c r="N86" s="4">
        <v>242.41355502869033</v>
      </c>
      <c r="O86" s="33"/>
      <c r="P86" s="40">
        <v>0.23</v>
      </c>
      <c r="Q86" s="14"/>
      <c r="Z86" s="14"/>
      <c r="AA86" s="14"/>
      <c r="AB86" s="14"/>
      <c r="AC86" s="14"/>
      <c r="AD86" s="14"/>
      <c r="AE86" s="14"/>
      <c r="AF86" s="14"/>
    </row>
    <row r="87" spans="1:32" x14ac:dyDescent="0.25">
      <c r="A87" s="3" t="s">
        <v>115</v>
      </c>
      <c r="B87" s="3" t="s">
        <v>116</v>
      </c>
      <c r="C87" s="8" t="s">
        <v>1</v>
      </c>
      <c r="D87" s="41">
        <v>1152.6033615116858</v>
      </c>
      <c r="E87" s="42">
        <v>1576.4909646941821</v>
      </c>
      <c r="F87" s="43">
        <v>2005.5599005469915</v>
      </c>
      <c r="G87" s="4"/>
      <c r="H87" s="28">
        <v>175.95322405719745</v>
      </c>
      <c r="I87" s="4">
        <v>246.84823411188046</v>
      </c>
      <c r="J87" s="27">
        <v>290.15661602526279</v>
      </c>
      <c r="K87" s="4"/>
      <c r="L87" s="28">
        <v>261.13149998754506</v>
      </c>
      <c r="M87" s="4">
        <v>267.11143024613017</v>
      </c>
      <c r="N87" s="4">
        <v>293.07961223861599</v>
      </c>
      <c r="O87" s="33"/>
      <c r="P87" s="40">
        <v>9.1000000000000011E-2</v>
      </c>
      <c r="Q87" s="14"/>
      <c r="Z87" s="14"/>
      <c r="AA87" s="14"/>
      <c r="AB87" s="14"/>
      <c r="AC87" s="14"/>
      <c r="AD87" s="14"/>
      <c r="AE87" s="14"/>
      <c r="AF87" s="14"/>
    </row>
    <row r="88" spans="1:32" x14ac:dyDescent="0.25">
      <c r="A88" s="3" t="s">
        <v>117</v>
      </c>
      <c r="B88" s="3" t="s">
        <v>118</v>
      </c>
      <c r="C88" s="8" t="s">
        <v>1</v>
      </c>
      <c r="D88" s="41">
        <v>1170.9677274987569</v>
      </c>
      <c r="E88" s="42">
        <v>1170.9677274987569</v>
      </c>
      <c r="F88" s="43">
        <v>1170.9677274987569</v>
      </c>
      <c r="G88" s="4"/>
      <c r="H88" s="28">
        <v>178.75835915826457</v>
      </c>
      <c r="I88" s="4">
        <v>250.78361324377167</v>
      </c>
      <c r="J88" s="27">
        <v>294.78243923924794</v>
      </c>
      <c r="K88" s="4"/>
      <c r="L88" s="28">
        <v>269.26161206158048</v>
      </c>
      <c r="M88" s="4">
        <v>275.427722475373</v>
      </c>
      <c r="N88" s="4">
        <v>302.20440221695429</v>
      </c>
      <c r="O88" s="33"/>
      <c r="P88" s="40">
        <v>0.17</v>
      </c>
      <c r="Q88" s="14"/>
      <c r="Z88" s="14"/>
      <c r="AA88" s="14"/>
      <c r="AB88" s="14"/>
      <c r="AC88" s="14"/>
      <c r="AD88" s="14"/>
      <c r="AE88" s="14"/>
      <c r="AF88" s="14"/>
    </row>
    <row r="89" spans="1:32" x14ac:dyDescent="0.25">
      <c r="A89" s="3" t="s">
        <v>119</v>
      </c>
      <c r="B89" s="3" t="s">
        <v>120</v>
      </c>
      <c r="C89" s="8" t="s">
        <v>1</v>
      </c>
      <c r="D89" s="41">
        <v>686.05941819990062</v>
      </c>
      <c r="E89" s="42">
        <v>1162.8963252113376</v>
      </c>
      <c r="F89" s="43">
        <v>1660.5452909000498</v>
      </c>
      <c r="G89" s="4"/>
      <c r="H89" s="28">
        <v>116.90696327729988</v>
      </c>
      <c r="I89" s="4">
        <v>164.01107507415105</v>
      </c>
      <c r="J89" s="27">
        <v>192.78606025033179</v>
      </c>
      <c r="K89" s="4"/>
      <c r="L89" s="28">
        <v>174.31192564544222</v>
      </c>
      <c r="M89" s="4">
        <v>178.3036813648753</v>
      </c>
      <c r="N89" s="4">
        <v>195.63810409379693</v>
      </c>
      <c r="O89" s="33"/>
      <c r="P89" s="40">
        <v>0.13999999999999999</v>
      </c>
      <c r="Q89" s="14"/>
      <c r="Z89" s="14"/>
      <c r="AA89" s="14"/>
      <c r="AB89" s="14"/>
      <c r="AC89" s="14"/>
      <c r="AD89" s="14"/>
      <c r="AE89" s="14"/>
      <c r="AF89" s="14"/>
    </row>
    <row r="90" spans="1:32" x14ac:dyDescent="0.25">
      <c r="A90" s="3" t="s">
        <v>121</v>
      </c>
      <c r="B90" s="3" t="s">
        <v>122</v>
      </c>
      <c r="C90" s="8" t="s">
        <v>1</v>
      </c>
      <c r="D90" s="41">
        <v>746.2023440079563</v>
      </c>
      <c r="E90" s="42">
        <v>1095.9434756837395</v>
      </c>
      <c r="F90" s="43">
        <v>1467.9147628045748</v>
      </c>
      <c r="G90" s="4"/>
      <c r="H90" s="28">
        <v>113.91317482801449</v>
      </c>
      <c r="I90" s="4">
        <v>159.81103045450593</v>
      </c>
      <c r="J90" s="27">
        <v>187.84913721186683</v>
      </c>
      <c r="K90" s="4"/>
      <c r="L90" s="28">
        <v>164.3181558297303</v>
      </c>
      <c r="M90" s="4">
        <v>168.08105349672175</v>
      </c>
      <c r="N90" s="4">
        <v>184.42164731807074</v>
      </c>
      <c r="O90" s="33"/>
      <c r="P90" s="40">
        <v>0.16</v>
      </c>
      <c r="Q90" s="14"/>
      <c r="Z90" s="14"/>
      <c r="AA90" s="14"/>
      <c r="AB90" s="14"/>
      <c r="AC90" s="14"/>
      <c r="AD90" s="14"/>
      <c r="AE90" s="14"/>
      <c r="AF90" s="14"/>
    </row>
    <row r="91" spans="1:32" x14ac:dyDescent="0.25">
      <c r="A91" s="3" t="s">
        <v>123</v>
      </c>
      <c r="B91" s="3" t="s">
        <v>123</v>
      </c>
      <c r="C91" s="8" t="s">
        <v>1</v>
      </c>
      <c r="D91" s="41">
        <v>1009.3823968175037</v>
      </c>
      <c r="E91" s="42">
        <v>1402.8199900546992</v>
      </c>
      <c r="F91" s="43">
        <v>1669.17105917454</v>
      </c>
      <c r="G91" s="4"/>
      <c r="H91" s="28">
        <v>154.08950984984662</v>
      </c>
      <c r="I91" s="4">
        <v>216.17520000221862</v>
      </c>
      <c r="J91" s="27">
        <v>254.1021398305773</v>
      </c>
      <c r="K91" s="4"/>
      <c r="L91" s="28">
        <v>224.40918553111982</v>
      </c>
      <c r="M91" s="4">
        <v>229.54817212954245</v>
      </c>
      <c r="N91" s="4">
        <v>251.86450918935935</v>
      </c>
      <c r="O91" s="33"/>
      <c r="P91" s="40">
        <v>0.22</v>
      </c>
      <c r="Q91" s="14"/>
      <c r="Z91" s="14"/>
      <c r="AA91" s="14"/>
      <c r="AB91" s="14"/>
      <c r="AC91" s="14"/>
      <c r="AD91" s="14"/>
      <c r="AE91" s="14"/>
      <c r="AF91" s="14"/>
    </row>
    <row r="92" spans="1:32" x14ac:dyDescent="0.25">
      <c r="A92" s="3" t="s">
        <v>124</v>
      </c>
      <c r="B92" s="3" t="s">
        <v>125</v>
      </c>
      <c r="C92" s="8" t="s">
        <v>1</v>
      </c>
      <c r="D92" s="41">
        <v>1234.5493153031327</v>
      </c>
      <c r="E92" s="42">
        <v>1682.1502676537048</v>
      </c>
      <c r="F92" s="43">
        <v>2365.584986106614</v>
      </c>
      <c r="G92" s="4"/>
      <c r="H92" s="28">
        <v>188.46286549112196</v>
      </c>
      <c r="I92" s="4">
        <v>264.39825579453662</v>
      </c>
      <c r="J92" s="27">
        <v>310.78570790809761</v>
      </c>
      <c r="K92" s="4"/>
      <c r="L92" s="28">
        <v>271.8550382485854</v>
      </c>
      <c r="M92" s="4">
        <v>278.08053830985369</v>
      </c>
      <c r="N92" s="4">
        <v>305.11512092110576</v>
      </c>
      <c r="O92" s="33"/>
      <c r="P92" s="40">
        <v>0.16</v>
      </c>
      <c r="Q92" s="14"/>
      <c r="Z92" s="14"/>
      <c r="AA92" s="14"/>
      <c r="AB92" s="14"/>
      <c r="AC92" s="14"/>
      <c r="AD92" s="14"/>
      <c r="AE92" s="14"/>
      <c r="AF92" s="14"/>
    </row>
    <row r="93" spans="1:32" x14ac:dyDescent="0.25">
      <c r="A93" s="3" t="s">
        <v>126</v>
      </c>
      <c r="B93" s="3" t="s">
        <v>127</v>
      </c>
      <c r="C93" s="8" t="s">
        <v>1</v>
      </c>
      <c r="D93" s="41">
        <v>752.06740427647935</v>
      </c>
      <c r="E93" s="42">
        <v>1066.1323570363004</v>
      </c>
      <c r="F93" s="43">
        <v>1396.1472799602188</v>
      </c>
      <c r="G93" s="4"/>
      <c r="H93" s="28">
        <v>114.80851861929318</v>
      </c>
      <c r="I93" s="4">
        <v>161.06712584567842</v>
      </c>
      <c r="J93" s="27">
        <v>189.32560873461767</v>
      </c>
      <c r="K93" s="4"/>
      <c r="L93" s="28">
        <v>167.99827778779343</v>
      </c>
      <c r="M93" s="4">
        <v>171.84545051410694</v>
      </c>
      <c r="N93" s="4">
        <v>188.55201349952114</v>
      </c>
      <c r="O93" s="33"/>
      <c r="P93" s="40">
        <v>0.17499999999999999</v>
      </c>
      <c r="Q93" s="14"/>
      <c r="Z93" s="14"/>
      <c r="AA93" s="14"/>
      <c r="AB93" s="14"/>
      <c r="AC93" s="14"/>
      <c r="AD93" s="14"/>
      <c r="AE93" s="14"/>
      <c r="AF93" s="14"/>
    </row>
    <row r="94" spans="1:32" x14ac:dyDescent="0.25">
      <c r="A94" s="3" t="s">
        <v>128</v>
      </c>
      <c r="B94" s="3" t="s">
        <v>129</v>
      </c>
      <c r="C94" s="8" t="s">
        <v>1</v>
      </c>
      <c r="D94" s="41">
        <v>963.33580009945297</v>
      </c>
      <c r="E94" s="42">
        <v>1403.5290337145698</v>
      </c>
      <c r="F94" s="43">
        <v>1992.8350245648928</v>
      </c>
      <c r="G94" s="4"/>
      <c r="H94" s="28">
        <v>147.0601644393175</v>
      </c>
      <c r="I94" s="4">
        <v>206.31359325503277</v>
      </c>
      <c r="J94" s="27">
        <v>242.51035975311299</v>
      </c>
      <c r="K94" s="4"/>
      <c r="L94" s="28">
        <v>212.1322231003499</v>
      </c>
      <c r="M94" s="4">
        <v>216.99006637011715</v>
      </c>
      <c r="N94" s="4">
        <v>238.08552278270324</v>
      </c>
      <c r="O94" s="33"/>
      <c r="P94" s="40">
        <v>0.16</v>
      </c>
      <c r="Q94" s="14"/>
      <c r="Z94" s="14"/>
      <c r="AA94" s="14"/>
      <c r="AB94" s="14"/>
      <c r="AC94" s="14"/>
      <c r="AD94" s="14"/>
      <c r="AE94" s="14"/>
      <c r="AF94" s="14"/>
    </row>
    <row r="95" spans="1:32" x14ac:dyDescent="0.25">
      <c r="A95" s="3" t="s">
        <v>130</v>
      </c>
      <c r="B95" s="3" t="s">
        <v>131</v>
      </c>
      <c r="C95" s="8" t="s">
        <v>1</v>
      </c>
      <c r="D95" s="47">
        <v>1248.914066911984</v>
      </c>
      <c r="E95" s="48">
        <v>1701.723135634013</v>
      </c>
      <c r="F95" s="43">
        <v>2393.1100434808554</v>
      </c>
      <c r="G95" s="4"/>
      <c r="H95" s="28">
        <v>190.65574852682929</v>
      </c>
      <c r="I95" s="4">
        <v>267.47469447804883</v>
      </c>
      <c r="J95" s="27">
        <v>314.40189354146349</v>
      </c>
      <c r="K95" s="4"/>
      <c r="L95" s="28">
        <v>277.66264741463419</v>
      </c>
      <c r="M95" s="4">
        <v>284.02114214634145</v>
      </c>
      <c r="N95" s="4">
        <v>311.63326156097565</v>
      </c>
      <c r="O95" s="33"/>
      <c r="P95" s="40">
        <v>0.185</v>
      </c>
      <c r="Q95" s="14"/>
      <c r="Z95" s="14"/>
      <c r="AA95" s="14"/>
      <c r="AB95" s="14"/>
      <c r="AC95" s="14"/>
      <c r="AD95" s="14"/>
      <c r="AE95" s="14"/>
      <c r="AF95" s="14"/>
    </row>
    <row r="96" spans="1:32" x14ac:dyDescent="0.25">
      <c r="A96" s="3" t="s">
        <v>132</v>
      </c>
      <c r="B96" s="3" t="s">
        <v>133</v>
      </c>
      <c r="C96" s="8" t="s">
        <v>1</v>
      </c>
      <c r="D96" s="41">
        <v>1002.5789358528094</v>
      </c>
      <c r="E96" s="42">
        <v>1381.4179214321232</v>
      </c>
      <c r="F96" s="43">
        <v>1639.8664147190452</v>
      </c>
      <c r="G96" s="4"/>
      <c r="H96" s="28">
        <v>153.05091241775582</v>
      </c>
      <c r="I96" s="4">
        <v>214.71813126455572</v>
      </c>
      <c r="J96" s="27">
        <v>252.38943511645383</v>
      </c>
      <c r="K96" s="4"/>
      <c r="L96" s="28">
        <v>228.20368023802047</v>
      </c>
      <c r="M96" s="4">
        <v>233.42956103999541</v>
      </c>
      <c r="N96" s="4">
        <v>256.12324104435567</v>
      </c>
      <c r="O96" s="33"/>
      <c r="P96" s="40">
        <v>0.14000000000000001</v>
      </c>
      <c r="Q96" s="14"/>
      <c r="Z96" s="14"/>
      <c r="AA96" s="14"/>
      <c r="AB96" s="14"/>
      <c r="AC96" s="14"/>
      <c r="AD96" s="14"/>
      <c r="AE96" s="14"/>
      <c r="AF96" s="14"/>
    </row>
    <row r="97" spans="1:32" x14ac:dyDescent="0.25">
      <c r="A97" s="3" t="s">
        <v>134</v>
      </c>
      <c r="B97" s="3" t="s">
        <v>135</v>
      </c>
      <c r="C97" s="8" t="s">
        <v>1</v>
      </c>
      <c r="D97" s="41">
        <v>791.21266036797613</v>
      </c>
      <c r="E97" s="42">
        <v>1361.37093983093</v>
      </c>
      <c r="F97" s="43">
        <v>1695.3626653406266</v>
      </c>
      <c r="G97" s="4"/>
      <c r="H97" s="28">
        <v>120.78432456073168</v>
      </c>
      <c r="I97" s="4">
        <v>169.45070137800198</v>
      </c>
      <c r="J97" s="27">
        <v>199.18004385100861</v>
      </c>
      <c r="K97" s="4"/>
      <c r="L97" s="28">
        <v>176.74262113991662</v>
      </c>
      <c r="M97" s="4">
        <v>180.79003996218299</v>
      </c>
      <c r="N97" s="4">
        <v>198.36618283199851</v>
      </c>
      <c r="O97" s="33"/>
      <c r="P97" s="40">
        <v>0.19</v>
      </c>
      <c r="Q97" s="14"/>
      <c r="Z97" s="14"/>
      <c r="AA97" s="14"/>
      <c r="AB97" s="14"/>
      <c r="AC97" s="14"/>
      <c r="AD97" s="14"/>
      <c r="AE97" s="14"/>
      <c r="AF97" s="14"/>
    </row>
    <row r="98" spans="1:32" x14ac:dyDescent="0.25">
      <c r="A98" s="3" t="s">
        <v>136</v>
      </c>
      <c r="B98" s="3" t="s">
        <v>137</v>
      </c>
      <c r="C98" s="8" t="s">
        <v>1</v>
      </c>
      <c r="D98" s="41">
        <v>825.60973717056186</v>
      </c>
      <c r="E98" s="42">
        <v>1270.6612336051714</v>
      </c>
      <c r="F98" s="43">
        <v>1716.0124070810539</v>
      </c>
      <c r="G98" s="4"/>
      <c r="H98" s="28">
        <v>126.03528665546318</v>
      </c>
      <c r="I98" s="4">
        <v>176.81737924036128</v>
      </c>
      <c r="J98" s="27">
        <v>207.83917130063659</v>
      </c>
      <c r="K98" s="4"/>
      <c r="L98" s="28">
        <v>181.80413199759201</v>
      </c>
      <c r="M98" s="4">
        <v>185.96745978500968</v>
      </c>
      <c r="N98" s="4">
        <v>204.04694382628605</v>
      </c>
      <c r="O98" s="33"/>
      <c r="P98" s="40">
        <v>0.16</v>
      </c>
      <c r="Q98" s="14"/>
      <c r="Z98" s="14"/>
      <c r="AA98" s="14"/>
      <c r="AB98" s="14"/>
      <c r="AC98" s="14"/>
      <c r="AD98" s="14"/>
      <c r="AE98" s="14"/>
      <c r="AF98" s="14"/>
    </row>
    <row r="99" spans="1:32" x14ac:dyDescent="0.25">
      <c r="A99" s="3" t="s">
        <v>138</v>
      </c>
      <c r="B99" s="3" t="s">
        <v>139</v>
      </c>
      <c r="C99" s="8" t="s">
        <v>1</v>
      </c>
      <c r="D99" s="41">
        <v>960.78473754351069</v>
      </c>
      <c r="E99" s="42">
        <v>1330.5906227747391</v>
      </c>
      <c r="F99" s="43">
        <v>2126.3472731974143</v>
      </c>
      <c r="G99" s="4"/>
      <c r="H99" s="28">
        <v>146.67072632341532</v>
      </c>
      <c r="I99" s="4">
        <v>205.76724287287067</v>
      </c>
      <c r="J99" s="27">
        <v>241.86815472125352</v>
      </c>
      <c r="K99" s="4"/>
      <c r="L99" s="28">
        <v>211.57046408422676</v>
      </c>
      <c r="M99" s="4">
        <v>216.41544303184705</v>
      </c>
      <c r="N99" s="4">
        <v>237.45503540517592</v>
      </c>
      <c r="O99" s="33"/>
      <c r="P99" s="40">
        <v>0.16</v>
      </c>
      <c r="Q99" s="14"/>
      <c r="Z99" s="14"/>
      <c r="AA99" s="14"/>
      <c r="AB99" s="14"/>
      <c r="AC99" s="14"/>
      <c r="AD99" s="14"/>
      <c r="AE99" s="14"/>
      <c r="AF99" s="14"/>
    </row>
    <row r="100" spans="1:32" x14ac:dyDescent="0.25">
      <c r="A100" s="3" t="s">
        <v>140</v>
      </c>
      <c r="B100" s="3" t="s">
        <v>141</v>
      </c>
      <c r="C100" s="8" t="s">
        <v>1</v>
      </c>
      <c r="D100" s="41">
        <v>925.81870059671814</v>
      </c>
      <c r="E100" s="42">
        <v>925.81870059671814</v>
      </c>
      <c r="F100" s="43">
        <v>925.81870059671814</v>
      </c>
      <c r="G100" s="4"/>
      <c r="H100" s="28">
        <v>141.33287575540098</v>
      </c>
      <c r="I100" s="4">
        <v>198.27866746467515</v>
      </c>
      <c r="J100" s="27">
        <v>233.06574336469833</v>
      </c>
      <c r="K100" s="4"/>
      <c r="L100" s="28">
        <v>205.83098465266522</v>
      </c>
      <c r="M100" s="4">
        <v>210.54452910569967</v>
      </c>
      <c r="N100" s="4">
        <v>231.0133598266502</v>
      </c>
      <c r="O100" s="33"/>
      <c r="P100" s="40">
        <v>0.15</v>
      </c>
      <c r="Q100" s="14"/>
      <c r="Z100" s="14"/>
      <c r="AA100" s="14"/>
      <c r="AB100" s="14"/>
      <c r="AC100" s="14"/>
      <c r="AD100" s="14"/>
      <c r="AE100" s="14"/>
      <c r="AF100" s="14"/>
    </row>
    <row r="101" spans="1:32" x14ac:dyDescent="0.25">
      <c r="A101" s="3" t="s">
        <v>142</v>
      </c>
      <c r="B101" s="3" t="s">
        <v>143</v>
      </c>
      <c r="C101" s="8" t="s">
        <v>1</v>
      </c>
      <c r="D101" s="41">
        <v>1442.5164296369965</v>
      </c>
      <c r="E101" s="42">
        <v>1664.3682396817503</v>
      </c>
      <c r="F101" s="43">
        <v>1801.1297762307311</v>
      </c>
      <c r="G101" s="4"/>
      <c r="H101" s="28">
        <v>220.21054685908413</v>
      </c>
      <c r="I101" s="4">
        <v>308.93770157519805</v>
      </c>
      <c r="J101" s="27">
        <v>363.13939362050996</v>
      </c>
      <c r="K101" s="4"/>
      <c r="L101" s="28">
        <v>354.30261798224149</v>
      </c>
      <c r="M101" s="4">
        <v>362.41617358954664</v>
      </c>
      <c r="N101" s="4">
        <v>397.64974313062407</v>
      </c>
      <c r="O101" s="33"/>
      <c r="P101" s="40">
        <v>0.192</v>
      </c>
      <c r="Q101" s="14"/>
      <c r="Z101" s="14"/>
      <c r="AA101" s="14"/>
      <c r="AB101" s="14"/>
      <c r="AC101" s="14"/>
      <c r="AD101" s="14"/>
      <c r="AE101" s="14"/>
      <c r="AF101" s="14"/>
    </row>
    <row r="102" spans="1:32" x14ac:dyDescent="0.25">
      <c r="A102" s="3" t="s">
        <v>144</v>
      </c>
      <c r="B102" s="3" t="s">
        <v>145</v>
      </c>
      <c r="C102" s="8" t="s">
        <v>1</v>
      </c>
      <c r="D102" s="41">
        <v>1137.7632968672301</v>
      </c>
      <c r="E102" s="42">
        <v>1137.7632968672301</v>
      </c>
      <c r="F102" s="43">
        <v>1137.7632968672301</v>
      </c>
      <c r="G102" s="4"/>
      <c r="H102" s="28">
        <v>173.69516082249194</v>
      </c>
      <c r="I102" s="4">
        <v>243.68035284692098</v>
      </c>
      <c r="J102" s="27">
        <v>286.43294463211896</v>
      </c>
      <c r="K102" s="4"/>
      <c r="L102" s="28">
        <v>252.96199338199852</v>
      </c>
      <c r="M102" s="4">
        <v>258.75484134775212</v>
      </c>
      <c r="N102" s="4">
        <v>283.91060800799431</v>
      </c>
      <c r="O102" s="33"/>
      <c r="P102" s="40">
        <v>0.15</v>
      </c>
      <c r="Q102" s="14"/>
      <c r="Z102" s="14"/>
      <c r="AA102" s="14"/>
      <c r="AB102" s="14"/>
      <c r="AC102" s="14"/>
      <c r="AD102" s="14"/>
      <c r="AE102" s="14"/>
      <c r="AF102" s="14"/>
    </row>
    <row r="103" spans="1:32" x14ac:dyDescent="0.25">
      <c r="A103" s="3" t="s">
        <v>146</v>
      </c>
      <c r="B103" s="3" t="s">
        <v>147</v>
      </c>
      <c r="C103" s="8" t="s">
        <v>1</v>
      </c>
      <c r="D103" s="41">
        <v>767.68974042764796</v>
      </c>
      <c r="E103" s="42">
        <v>1088.4362526106415</v>
      </c>
      <c r="F103" s="43">
        <v>1356.5160243659871</v>
      </c>
      <c r="G103" s="4"/>
      <c r="H103" s="28">
        <v>117.19338101419218</v>
      </c>
      <c r="I103" s="4">
        <v>164.41289614306876</v>
      </c>
      <c r="J103" s="27">
        <v>193.2583789688525</v>
      </c>
      <c r="K103" s="4"/>
      <c r="L103" s="28">
        <v>169.04980721305591</v>
      </c>
      <c r="M103" s="4">
        <v>172.92106003935055</v>
      </c>
      <c r="N103" s="4">
        <v>189.73219220729143</v>
      </c>
      <c r="O103" s="33"/>
      <c r="P103" s="40">
        <v>0.16</v>
      </c>
      <c r="Q103" s="14"/>
      <c r="Z103" s="14"/>
      <c r="AA103" s="14"/>
      <c r="AB103" s="14"/>
      <c r="AC103" s="14"/>
      <c r="AD103" s="14"/>
      <c r="AE103" s="14"/>
      <c r="AF103" s="14"/>
    </row>
    <row r="104" spans="1:32" x14ac:dyDescent="0.25">
      <c r="A104" s="3" t="s">
        <v>148</v>
      </c>
      <c r="B104" s="3" t="s">
        <v>149</v>
      </c>
      <c r="C104" s="8" t="s">
        <v>1</v>
      </c>
      <c r="D104" s="41">
        <v>686.05941819990062</v>
      </c>
      <c r="E104" s="42">
        <v>1162.8963252113376</v>
      </c>
      <c r="F104" s="43">
        <v>1660.5452909000498</v>
      </c>
      <c r="G104" s="4"/>
      <c r="H104" s="28">
        <v>104.73192301708707</v>
      </c>
      <c r="I104" s="4">
        <v>146.93047195034799</v>
      </c>
      <c r="J104" s="27">
        <v>172.70874424317344</v>
      </c>
      <c r="K104" s="4"/>
      <c r="L104" s="28">
        <v>168.50598229981094</v>
      </c>
      <c r="M104" s="4">
        <v>172.3647814962132</v>
      </c>
      <c r="N104" s="4">
        <v>189.12183307900881</v>
      </c>
      <c r="O104" s="33"/>
      <c r="P104" s="40">
        <v>0.18</v>
      </c>
      <c r="Q104" s="14"/>
      <c r="Z104" s="14"/>
      <c r="AA104" s="14"/>
      <c r="AB104" s="14"/>
      <c r="AC104" s="14"/>
      <c r="AD104" s="14"/>
      <c r="AE104" s="14"/>
      <c r="AF104" s="14"/>
    </row>
    <row r="105" spans="1:32" x14ac:dyDescent="0.25">
      <c r="A105" s="3" t="s">
        <v>150</v>
      </c>
      <c r="B105" s="3" t="s">
        <v>151</v>
      </c>
      <c r="C105" s="8" t="s">
        <v>1</v>
      </c>
      <c r="D105" s="41">
        <v>1247.6312498219791</v>
      </c>
      <c r="E105" s="42">
        <v>1699.975217519642</v>
      </c>
      <c r="F105" s="43">
        <v>2390.6519700686231</v>
      </c>
      <c r="G105" s="4"/>
      <c r="H105" s="28">
        <v>190.45991723707317</v>
      </c>
      <c r="I105" s="4">
        <v>267.19995891512195</v>
      </c>
      <c r="J105" s="27">
        <v>314.07895689365853</v>
      </c>
      <c r="K105" s="4"/>
      <c r="L105" s="28">
        <v>283.98167227317072</v>
      </c>
      <c r="M105" s="4">
        <v>290.48487313170727</v>
      </c>
      <c r="N105" s="4">
        <v>318.72538700487803</v>
      </c>
      <c r="O105" s="33"/>
      <c r="P105" s="40">
        <v>0.16</v>
      </c>
      <c r="Q105" s="14"/>
      <c r="Z105" s="14"/>
      <c r="AA105" s="14"/>
      <c r="AB105" s="14"/>
      <c r="AC105" s="14"/>
      <c r="AD105" s="14"/>
      <c r="AE105" s="14"/>
      <c r="AF105" s="14"/>
    </row>
    <row r="106" spans="1:32" x14ac:dyDescent="0.25">
      <c r="A106" s="3" t="s">
        <v>152</v>
      </c>
      <c r="B106" s="3" t="s">
        <v>153</v>
      </c>
      <c r="C106" s="8" t="s">
        <v>1</v>
      </c>
      <c r="D106" s="41">
        <v>1298.5023968175039</v>
      </c>
      <c r="E106" s="42">
        <v>1781.9915713575338</v>
      </c>
      <c r="F106" s="43">
        <v>2194.8238090502241</v>
      </c>
      <c r="G106" s="4"/>
      <c r="H106" s="28">
        <v>198.22576507705401</v>
      </c>
      <c r="I106" s="4">
        <v>278.09481938700327</v>
      </c>
      <c r="J106" s="27">
        <v>326.88527028683319</v>
      </c>
      <c r="K106" s="4"/>
      <c r="L106" s="28">
        <v>283.18848114189836</v>
      </c>
      <c r="M106" s="4">
        <v>289.67351786609282</v>
      </c>
      <c r="N106" s="4">
        <v>317.83515296878704</v>
      </c>
      <c r="O106" s="33"/>
      <c r="P106" s="40">
        <v>0.29000000000000004</v>
      </c>
      <c r="Q106" s="14"/>
      <c r="Z106" s="14"/>
      <c r="AA106" s="14"/>
      <c r="AB106" s="14"/>
      <c r="AC106" s="14"/>
      <c r="AD106" s="14"/>
      <c r="AE106" s="14"/>
      <c r="AF106" s="14"/>
    </row>
    <row r="107" spans="1:32" x14ac:dyDescent="0.25">
      <c r="A107" s="3" t="s">
        <v>152</v>
      </c>
      <c r="B107" s="3" t="s">
        <v>154</v>
      </c>
      <c r="C107" s="8" t="s">
        <v>1</v>
      </c>
      <c r="D107" s="41">
        <v>2004.5162403729491</v>
      </c>
      <c r="E107" s="42">
        <v>2731.2781178219798</v>
      </c>
      <c r="F107" s="43">
        <v>3840.959177454004</v>
      </c>
      <c r="G107" s="4"/>
      <c r="H107" s="28">
        <v>306.0038751804878</v>
      </c>
      <c r="I107" s="4">
        <v>429.29884703414649</v>
      </c>
      <c r="J107" s="27">
        <v>504.61734582439038</v>
      </c>
      <c r="K107" s="4"/>
      <c r="L107" s="28">
        <v>437.16200364878057</v>
      </c>
      <c r="M107" s="4">
        <v>447.17304518780492</v>
      </c>
      <c r="N107" s="4">
        <v>490.64655363658545</v>
      </c>
      <c r="O107" s="33"/>
      <c r="P107" s="40">
        <v>0.29000000000000004</v>
      </c>
      <c r="Q107" s="14"/>
      <c r="Z107" s="14"/>
      <c r="AA107" s="14"/>
      <c r="AB107" s="14"/>
      <c r="AC107" s="14"/>
      <c r="AD107" s="14"/>
      <c r="AE107" s="14"/>
      <c r="AF107" s="14"/>
    </row>
    <row r="108" spans="1:32" ht="14.15" customHeight="1" x14ac:dyDescent="0.25">
      <c r="A108" s="3" t="s">
        <v>155</v>
      </c>
      <c r="B108" s="3" t="s">
        <v>156</v>
      </c>
      <c r="C108" s="8" t="s">
        <v>1</v>
      </c>
      <c r="D108" s="41">
        <v>1091.5971675261062</v>
      </c>
      <c r="E108" s="42">
        <v>1487.3690704475384</v>
      </c>
      <c r="F108" s="43">
        <v>2091.6668442217801</v>
      </c>
      <c r="G108" s="4"/>
      <c r="H108" s="28">
        <v>166.64018812682926</v>
      </c>
      <c r="I108" s="4">
        <v>233.78279307804883</v>
      </c>
      <c r="J108" s="27">
        <v>274.79890374146345</v>
      </c>
      <c r="K108" s="4"/>
      <c r="L108" s="28">
        <v>346.69634487804876</v>
      </c>
      <c r="M108" s="4">
        <v>354.63571628048777</v>
      </c>
      <c r="N108" s="4">
        <v>389.11288115853665</v>
      </c>
      <c r="O108" s="33"/>
      <c r="P108" s="40">
        <v>0.10999999999999999</v>
      </c>
      <c r="Q108" s="14"/>
      <c r="Z108" s="14"/>
      <c r="AA108" s="14"/>
      <c r="AB108" s="14"/>
      <c r="AC108" s="14"/>
      <c r="AD108" s="14"/>
      <c r="AE108" s="14"/>
      <c r="AF108" s="14"/>
    </row>
    <row r="109" spans="1:32" x14ac:dyDescent="0.25">
      <c r="A109" s="3" t="s">
        <v>157</v>
      </c>
      <c r="B109" s="3" t="s">
        <v>158</v>
      </c>
      <c r="C109" s="8" t="s">
        <v>1</v>
      </c>
      <c r="D109" s="41">
        <v>1499.8651601442068</v>
      </c>
      <c r="E109" s="42">
        <v>2043.6596167578318</v>
      </c>
      <c r="F109" s="43">
        <v>2873.9706547488813</v>
      </c>
      <c r="G109" s="4"/>
      <c r="H109" s="47">
        <v>133.24316664438598</v>
      </c>
      <c r="I109" s="48">
        <v>183.22862465458508</v>
      </c>
      <c r="J109" s="43">
        <v>192.6961170643543</v>
      </c>
      <c r="K109" s="4"/>
      <c r="L109" s="47">
        <v>322.3397489268292</v>
      </c>
      <c r="M109" s="48">
        <v>329.72135251829258</v>
      </c>
      <c r="N109" s="43">
        <v>361.77637944512185</v>
      </c>
      <c r="O109" s="33"/>
      <c r="P109" s="40">
        <v>0.12</v>
      </c>
      <c r="Q109" s="14"/>
      <c r="Z109" s="14"/>
      <c r="AA109" s="14"/>
      <c r="AB109" s="14"/>
      <c r="AC109" s="14"/>
      <c r="AD109" s="14"/>
      <c r="AE109" s="14"/>
      <c r="AF109" s="14"/>
    </row>
    <row r="110" spans="1:32" x14ac:dyDescent="0.25">
      <c r="A110" s="3" t="s">
        <v>157</v>
      </c>
      <c r="B110" s="3" t="s">
        <v>159</v>
      </c>
      <c r="C110" s="8" t="s">
        <v>1</v>
      </c>
      <c r="D110" s="41">
        <v>1499.8651601442068</v>
      </c>
      <c r="E110" s="42">
        <v>2043.6596167578318</v>
      </c>
      <c r="F110" s="43">
        <v>2873.9706547488813</v>
      </c>
      <c r="G110" s="4"/>
      <c r="H110" s="47">
        <v>133.24316664438598</v>
      </c>
      <c r="I110" s="48">
        <v>183.22862465458508</v>
      </c>
      <c r="J110" s="48">
        <v>192.6961170643543</v>
      </c>
      <c r="K110" s="33"/>
      <c r="L110" s="47">
        <v>322.3397489268292</v>
      </c>
      <c r="M110" s="48">
        <v>329.72135251829258</v>
      </c>
      <c r="N110" s="48">
        <v>361.77637944512185</v>
      </c>
      <c r="O110" s="33"/>
      <c r="P110" s="40">
        <v>0.12</v>
      </c>
      <c r="Q110" s="14"/>
      <c r="Z110" s="14"/>
      <c r="AA110" s="14"/>
      <c r="AB110" s="14"/>
      <c r="AC110" s="14"/>
      <c r="AD110" s="14"/>
      <c r="AE110" s="14"/>
      <c r="AF110" s="14"/>
    </row>
    <row r="111" spans="1:32" x14ac:dyDescent="0.25">
      <c r="A111" s="3" t="s">
        <v>160</v>
      </c>
      <c r="B111" s="3" t="s">
        <v>161</v>
      </c>
      <c r="C111" s="8" t="s">
        <v>1</v>
      </c>
      <c r="D111" s="41">
        <v>945.77247523620088</v>
      </c>
      <c r="E111" s="42">
        <v>1309.8001442715067</v>
      </c>
      <c r="F111" s="43">
        <v>2093.1230970313277</v>
      </c>
      <c r="G111" s="4"/>
      <c r="H111" s="47">
        <v>144.37899610505198</v>
      </c>
      <c r="I111" s="48">
        <v>202.55212953524901</v>
      </c>
      <c r="J111" s="48">
        <v>238.08896460657292</v>
      </c>
      <c r="K111" s="33"/>
      <c r="L111" s="47">
        <v>208.2646754104471</v>
      </c>
      <c r="M111" s="48">
        <v>213.0339515580614</v>
      </c>
      <c r="N111" s="48">
        <v>233.74480028340642</v>
      </c>
      <c r="O111" s="33"/>
      <c r="P111" s="40">
        <v>0.16</v>
      </c>
      <c r="Q111" s="14"/>
      <c r="Z111" s="14"/>
      <c r="AA111" s="14"/>
      <c r="AB111" s="14"/>
      <c r="AC111" s="14"/>
      <c r="AD111" s="14"/>
      <c r="AE111" s="14"/>
      <c r="AF111" s="14"/>
    </row>
    <row r="112" spans="1:32" x14ac:dyDescent="0.25">
      <c r="A112" s="3" t="s">
        <v>162</v>
      </c>
      <c r="B112" s="3" t="s">
        <v>163</v>
      </c>
      <c r="C112" s="8" t="s">
        <v>2</v>
      </c>
      <c r="D112" s="41">
        <v>987.46489582297363</v>
      </c>
      <c r="E112" s="42">
        <v>1487.1147856787666</v>
      </c>
      <c r="F112" s="48">
        <v>1927.5031282943808</v>
      </c>
      <c r="G112" s="33"/>
      <c r="H112" s="42">
        <v>95.504500000000007</v>
      </c>
      <c r="I112" s="42">
        <v>131.33250000000001</v>
      </c>
      <c r="J112" s="48">
        <v>138.11850000000001</v>
      </c>
      <c r="K112" s="33"/>
      <c r="L112" s="42">
        <v>204.82992000000002</v>
      </c>
      <c r="M112" s="42">
        <v>209.52053999999998</v>
      </c>
      <c r="N112" s="48">
        <v>229.88981999999999</v>
      </c>
      <c r="O112" s="33"/>
      <c r="P112" s="40">
        <v>0.14000000000000001</v>
      </c>
      <c r="Q112" s="14"/>
      <c r="Z112" s="14"/>
      <c r="AA112" s="14"/>
      <c r="AB112" s="14"/>
      <c r="AC112" s="14"/>
      <c r="AD112" s="14"/>
      <c r="AE112" s="14"/>
      <c r="AF112" s="14"/>
    </row>
    <row r="113" spans="1:32" x14ac:dyDescent="0.25">
      <c r="A113" s="3" t="s">
        <v>164</v>
      </c>
      <c r="B113" s="3" t="s">
        <v>165</v>
      </c>
      <c r="C113" s="8" t="s">
        <v>2</v>
      </c>
      <c r="D113" s="41">
        <v>1240.5316360019892</v>
      </c>
      <c r="E113" s="42">
        <v>1794.1551864743908</v>
      </c>
      <c r="F113" s="48">
        <v>2201.2012332173049</v>
      </c>
      <c r="G113" s="33"/>
      <c r="H113" s="42">
        <v>110.2048156699323</v>
      </c>
      <c r="I113" s="42">
        <v>151.54756010419806</v>
      </c>
      <c r="J113" s="48">
        <v>159.37807991359091</v>
      </c>
      <c r="K113" s="33"/>
      <c r="L113" s="42">
        <v>276.5005056</v>
      </c>
      <c r="M113" s="42">
        <v>282.83238719999997</v>
      </c>
      <c r="N113" s="48">
        <v>310.32893760000007</v>
      </c>
      <c r="O113" s="33"/>
      <c r="P113" s="40">
        <v>0.185</v>
      </c>
      <c r="Q113" s="14"/>
      <c r="Z113" s="14"/>
      <c r="AA113" s="14"/>
      <c r="AB113" s="14"/>
      <c r="AC113" s="14"/>
      <c r="AD113" s="14"/>
      <c r="AE113" s="14"/>
      <c r="AF113" s="14"/>
    </row>
    <row r="114" spans="1:32" x14ac:dyDescent="0.25">
      <c r="A114" s="3" t="s">
        <v>164</v>
      </c>
      <c r="B114" s="3" t="s">
        <v>166</v>
      </c>
      <c r="C114" s="8" t="s">
        <v>2</v>
      </c>
      <c r="D114" s="41">
        <v>1265.3422687220291</v>
      </c>
      <c r="E114" s="42">
        <v>1830.0382902038787</v>
      </c>
      <c r="F114" s="48">
        <v>2245.225257881651</v>
      </c>
      <c r="G114" s="33"/>
      <c r="H114" s="42">
        <v>112.40891198333095</v>
      </c>
      <c r="I114" s="42">
        <v>154.57851130628202</v>
      </c>
      <c r="J114" s="48">
        <v>162.56564151186274</v>
      </c>
      <c r="K114" s="33"/>
      <c r="L114" s="42">
        <v>282.03051571200001</v>
      </c>
      <c r="M114" s="42">
        <v>288.48903494399997</v>
      </c>
      <c r="N114" s="48">
        <v>316.53551635200006</v>
      </c>
      <c r="O114" s="38"/>
      <c r="P114" s="40">
        <v>0.185</v>
      </c>
      <c r="Q114" s="14"/>
      <c r="Z114" s="14"/>
      <c r="AA114" s="14"/>
      <c r="AB114" s="14"/>
      <c r="AC114" s="14"/>
      <c r="AD114" s="14"/>
      <c r="AE114" s="14"/>
      <c r="AF114" s="14"/>
    </row>
    <row r="115" spans="1:32" x14ac:dyDescent="0.25">
      <c r="A115" s="3" t="s">
        <v>164</v>
      </c>
      <c r="B115" s="3" t="s">
        <v>167</v>
      </c>
      <c r="C115" s="8" t="s">
        <v>2</v>
      </c>
      <c r="D115" s="41">
        <v>1290.1529014420689</v>
      </c>
      <c r="E115" s="42">
        <v>1865.9213939333665</v>
      </c>
      <c r="F115" s="48">
        <v>2289.2492825459972</v>
      </c>
      <c r="G115" s="33"/>
      <c r="H115" s="42">
        <v>114.6130082967296</v>
      </c>
      <c r="I115" s="42">
        <v>157.60946250836599</v>
      </c>
      <c r="J115" s="48">
        <v>165.75320311013456</v>
      </c>
      <c r="K115" s="33"/>
      <c r="L115" s="42">
        <v>287.56052582400002</v>
      </c>
      <c r="M115" s="42">
        <v>294.14568268799997</v>
      </c>
      <c r="N115" s="48">
        <v>322.7420951040001</v>
      </c>
      <c r="O115" s="38"/>
      <c r="P115" s="40">
        <v>0.185</v>
      </c>
      <c r="Q115" s="14"/>
      <c r="Z115" s="14"/>
      <c r="AA115" s="14"/>
      <c r="AB115" s="14"/>
      <c r="AC115" s="14"/>
      <c r="AD115" s="14"/>
      <c r="AE115" s="14"/>
      <c r="AF115" s="14"/>
    </row>
    <row r="116" spans="1:32" x14ac:dyDescent="0.25">
      <c r="A116" s="3" t="s">
        <v>164</v>
      </c>
      <c r="B116" s="3" t="s">
        <v>168</v>
      </c>
      <c r="C116" s="8" t="s">
        <v>2</v>
      </c>
      <c r="D116" s="41">
        <v>1277.747585082049</v>
      </c>
      <c r="E116" s="42">
        <v>1847.9798420686225</v>
      </c>
      <c r="F116" s="48">
        <v>2267.2372702138241</v>
      </c>
      <c r="G116" s="33"/>
      <c r="H116" s="42">
        <v>113.51096014003028</v>
      </c>
      <c r="I116" s="42">
        <v>156.09398690732399</v>
      </c>
      <c r="J116" s="48">
        <v>164.15942231099865</v>
      </c>
      <c r="K116" s="33"/>
      <c r="L116" s="42">
        <v>284.79552076800002</v>
      </c>
      <c r="M116" s="42">
        <v>291.31735881599997</v>
      </c>
      <c r="N116" s="48">
        <v>319.63880572800008</v>
      </c>
      <c r="O116" s="38"/>
      <c r="P116" s="40">
        <v>0.185</v>
      </c>
      <c r="Q116" s="14"/>
      <c r="Z116" s="14"/>
      <c r="AA116" s="14"/>
      <c r="AB116" s="14"/>
      <c r="AC116" s="14"/>
      <c r="AD116" s="14"/>
      <c r="AE116" s="14"/>
      <c r="AF116" s="14"/>
    </row>
    <row r="117" spans="1:32" x14ac:dyDescent="0.25">
      <c r="A117" s="3" t="s">
        <v>162</v>
      </c>
      <c r="B117" s="3" t="s">
        <v>169</v>
      </c>
      <c r="C117" s="8" t="s">
        <v>2</v>
      </c>
      <c r="D117" s="41">
        <v>812.25928464694186</v>
      </c>
      <c r="E117" s="42">
        <v>1219.4384362133269</v>
      </c>
      <c r="F117" s="48">
        <v>1658.157023033317</v>
      </c>
      <c r="G117" s="33"/>
      <c r="H117" s="42">
        <v>91.096600000000009</v>
      </c>
      <c r="I117" s="42">
        <v>125.271</v>
      </c>
      <c r="J117" s="48">
        <v>131.74379999999999</v>
      </c>
      <c r="K117" s="33"/>
      <c r="L117" s="42">
        <v>196.079904</v>
      </c>
      <c r="M117" s="42">
        <v>200.57014799999996</v>
      </c>
      <c r="N117" s="48">
        <v>220.06928400000001</v>
      </c>
      <c r="O117" s="33"/>
      <c r="P117" s="40">
        <v>0.15</v>
      </c>
      <c r="Q117" s="14"/>
      <c r="Z117" s="14"/>
      <c r="AA117" s="14"/>
      <c r="AB117" s="14"/>
      <c r="AC117" s="14"/>
      <c r="AD117" s="14"/>
      <c r="AE117" s="14"/>
      <c r="AF117" s="14"/>
    </row>
    <row r="118" spans="1:32" x14ac:dyDescent="0.25">
      <c r="A118" s="3" t="s">
        <v>162</v>
      </c>
      <c r="B118" s="3" t="s">
        <v>170</v>
      </c>
      <c r="C118" s="8" t="s">
        <v>2</v>
      </c>
      <c r="D118" s="41">
        <v>771.93229005967191</v>
      </c>
      <c r="E118" s="42">
        <v>1160.7155672153158</v>
      </c>
      <c r="F118" s="48">
        <v>1578.9137613326704</v>
      </c>
      <c r="G118" s="33"/>
      <c r="H118" s="42">
        <v>88.158000000000001</v>
      </c>
      <c r="I118" s="42">
        <v>121.23</v>
      </c>
      <c r="J118" s="48">
        <v>127.494</v>
      </c>
      <c r="K118" s="33"/>
      <c r="L118" s="42">
        <v>192.69921599999998</v>
      </c>
      <c r="M118" s="42">
        <v>197.11204199999997</v>
      </c>
      <c r="N118" s="48">
        <v>216.27498599999998</v>
      </c>
      <c r="O118" s="33"/>
      <c r="P118" s="40">
        <v>0.15</v>
      </c>
      <c r="Q118" s="14"/>
      <c r="Z118" s="14"/>
      <c r="AA118" s="14"/>
      <c r="AB118" s="14"/>
      <c r="AC118" s="14"/>
      <c r="AD118" s="14"/>
      <c r="AE118" s="14"/>
      <c r="AF118" s="14"/>
    </row>
    <row r="119" spans="1:32" x14ac:dyDescent="0.25">
      <c r="A119" s="3" t="s">
        <v>162</v>
      </c>
      <c r="B119" s="3" t="s">
        <v>171</v>
      </c>
      <c r="C119" s="8" t="s">
        <v>2</v>
      </c>
      <c r="D119" s="41">
        <v>809.38724199403293</v>
      </c>
      <c r="E119" s="42">
        <v>1216.6627533814024</v>
      </c>
      <c r="F119" s="48">
        <v>1655.7329346593738</v>
      </c>
      <c r="G119" s="33"/>
      <c r="H119" s="42">
        <v>91.096600000000009</v>
      </c>
      <c r="I119" s="42">
        <v>125.271</v>
      </c>
      <c r="J119" s="48">
        <v>131.74379999999999</v>
      </c>
      <c r="K119" s="33"/>
      <c r="L119" s="42">
        <v>189.31852800000001</v>
      </c>
      <c r="M119" s="42">
        <v>193.65393599999999</v>
      </c>
      <c r="N119" s="48">
        <v>212.48068800000004</v>
      </c>
      <c r="O119" s="33"/>
      <c r="P119" s="40">
        <v>0.15</v>
      </c>
      <c r="Q119" s="14"/>
      <c r="Z119" s="14"/>
      <c r="AA119" s="14"/>
      <c r="AB119" s="14"/>
      <c r="AC119" s="14"/>
      <c r="AD119" s="14"/>
      <c r="AE119" s="14"/>
      <c r="AF119" s="14"/>
    </row>
    <row r="120" spans="1:32" x14ac:dyDescent="0.25">
      <c r="A120" s="3" t="s">
        <v>172</v>
      </c>
      <c r="B120" s="3" t="s">
        <v>173</v>
      </c>
      <c r="C120" s="8" t="s">
        <v>2</v>
      </c>
      <c r="D120" s="41">
        <v>453.57549875683736</v>
      </c>
      <c r="E120" s="42">
        <v>562.75089010442571</v>
      </c>
      <c r="F120" s="48">
        <v>758.58851516658387</v>
      </c>
      <c r="G120" s="33"/>
      <c r="H120" s="42">
        <v>39.671100000000003</v>
      </c>
      <c r="I120" s="42">
        <v>54.553500000000007</v>
      </c>
      <c r="J120" s="48">
        <v>57.372300000000003</v>
      </c>
      <c r="K120" s="33"/>
      <c r="L120" s="42">
        <v>99.39980684643551</v>
      </c>
      <c r="M120" s="42">
        <v>101.67606962088773</v>
      </c>
      <c r="N120" s="48">
        <v>111.5608681776658</v>
      </c>
      <c r="O120" s="33"/>
      <c r="P120" s="40">
        <v>0.15</v>
      </c>
      <c r="Q120" s="14"/>
      <c r="Z120" s="14"/>
      <c r="AA120" s="14"/>
      <c r="AB120" s="14"/>
      <c r="AC120" s="14"/>
      <c r="AD120" s="14"/>
      <c r="AE120" s="14"/>
      <c r="AF120" s="14"/>
    </row>
    <row r="121" spans="1:32" x14ac:dyDescent="0.25">
      <c r="A121" s="3" t="s">
        <v>172</v>
      </c>
      <c r="B121" s="3" t="s">
        <v>174</v>
      </c>
      <c r="C121" s="8" t="s">
        <v>2</v>
      </c>
      <c r="D121" s="41">
        <v>449.08465223449241</v>
      </c>
      <c r="E121" s="42">
        <v>557.17909911329275</v>
      </c>
      <c r="F121" s="48">
        <v>751.07773778869694</v>
      </c>
      <c r="G121" s="33"/>
      <c r="H121" s="42">
        <v>39.278316831683171</v>
      </c>
      <c r="I121" s="42">
        <v>54.013366336633666</v>
      </c>
      <c r="J121" s="48">
        <v>56.804257425742577</v>
      </c>
      <c r="K121" s="33"/>
      <c r="L121" s="42">
        <v>98.415650343005453</v>
      </c>
      <c r="M121" s="42">
        <v>100.66937586226508</v>
      </c>
      <c r="N121" s="48">
        <v>110.45630512640177</v>
      </c>
      <c r="O121" s="38"/>
      <c r="P121" s="40">
        <v>0.15</v>
      </c>
      <c r="Q121" s="14"/>
      <c r="Z121" s="14"/>
      <c r="AA121" s="14"/>
      <c r="AB121" s="14"/>
      <c r="AC121" s="14"/>
      <c r="AD121" s="14"/>
      <c r="AE121" s="14"/>
      <c r="AF121" s="14"/>
    </row>
    <row r="122" spans="1:32" x14ac:dyDescent="0.25">
      <c r="A122" s="3" t="s">
        <v>172</v>
      </c>
      <c r="B122" s="3" t="s">
        <v>175</v>
      </c>
      <c r="C122" s="8" t="s">
        <v>2</v>
      </c>
      <c r="D122" s="41">
        <v>449.08465223449241</v>
      </c>
      <c r="E122" s="42">
        <v>557.17909911329275</v>
      </c>
      <c r="F122" s="48">
        <v>751.07773778869694</v>
      </c>
      <c r="G122" s="33"/>
      <c r="H122" s="42">
        <v>39.278316831683171</v>
      </c>
      <c r="I122" s="42">
        <v>54.013366336633666</v>
      </c>
      <c r="J122" s="48">
        <v>56.804257425742577</v>
      </c>
      <c r="K122" s="33"/>
      <c r="L122" s="42">
        <v>98.415650343005453</v>
      </c>
      <c r="M122" s="42">
        <v>100.66937586226508</v>
      </c>
      <c r="N122" s="48">
        <v>110.45630512640177</v>
      </c>
      <c r="O122" s="38"/>
      <c r="P122" s="40">
        <v>0.15</v>
      </c>
      <c r="Q122" s="14"/>
      <c r="Z122" s="14"/>
      <c r="AA122" s="14"/>
      <c r="AB122" s="14"/>
      <c r="AC122" s="14"/>
      <c r="AD122" s="14"/>
      <c r="AE122" s="14"/>
      <c r="AF122" s="14"/>
    </row>
    <row r="123" spans="1:32" x14ac:dyDescent="0.25">
      <c r="A123" s="3" t="s">
        <v>172</v>
      </c>
      <c r="B123" s="3" t="s">
        <v>176</v>
      </c>
      <c r="C123" s="8" t="s">
        <v>2</v>
      </c>
      <c r="D123" s="41">
        <v>444.68186152631114</v>
      </c>
      <c r="E123" s="42">
        <v>551.71655892590752</v>
      </c>
      <c r="F123" s="48">
        <v>743.71423055547439</v>
      </c>
      <c r="G123" s="33"/>
      <c r="H123" s="42">
        <v>38.893235294117652</v>
      </c>
      <c r="I123" s="42">
        <v>53.483823529411772</v>
      </c>
      <c r="J123" s="48">
        <v>56.247352941176473</v>
      </c>
      <c r="K123" s="33"/>
      <c r="L123" s="42">
        <v>97.450791025917169</v>
      </c>
      <c r="M123" s="42">
        <v>99.682421196948752</v>
      </c>
      <c r="N123" s="48">
        <v>109.37340017418215</v>
      </c>
      <c r="O123" s="38"/>
      <c r="P123" s="40">
        <v>0.15</v>
      </c>
      <c r="Q123" s="14"/>
      <c r="Z123" s="14"/>
      <c r="AA123" s="14"/>
      <c r="AB123" s="14"/>
      <c r="AC123" s="14"/>
      <c r="AD123" s="14"/>
      <c r="AE123" s="14"/>
      <c r="AF123" s="14"/>
    </row>
    <row r="124" spans="1:32" x14ac:dyDescent="0.25">
      <c r="A124" s="3" t="s">
        <v>172</v>
      </c>
      <c r="B124" s="3" t="s">
        <v>177</v>
      </c>
      <c r="C124" s="8" t="s">
        <v>2</v>
      </c>
      <c r="D124" s="41">
        <v>489.86153865738436</v>
      </c>
      <c r="E124" s="42">
        <v>607.77096131277983</v>
      </c>
      <c r="F124" s="48">
        <v>819.27559637991067</v>
      </c>
      <c r="G124" s="33"/>
      <c r="H124" s="42">
        <v>42.844788000000008</v>
      </c>
      <c r="I124" s="42">
        <v>58.917780000000015</v>
      </c>
      <c r="J124" s="48">
        <v>61.962084000000004</v>
      </c>
      <c r="K124" s="33"/>
      <c r="L124" s="42">
        <v>107.35179139415035</v>
      </c>
      <c r="M124" s="42">
        <v>109.81015519055876</v>
      </c>
      <c r="N124" s="48">
        <v>120.48573763187906</v>
      </c>
      <c r="O124" s="38"/>
      <c r="P124" s="40">
        <v>0.15</v>
      </c>
      <c r="Q124" s="14"/>
      <c r="Z124" s="14"/>
      <c r="AA124" s="14"/>
      <c r="AB124" s="14"/>
      <c r="AC124" s="14"/>
      <c r="AD124" s="14"/>
      <c r="AE124" s="14"/>
      <c r="AF124" s="14"/>
    </row>
    <row r="125" spans="1:32" x14ac:dyDescent="0.25">
      <c r="A125" s="3" t="s">
        <v>172</v>
      </c>
      <c r="B125" s="3" t="s">
        <v>178</v>
      </c>
      <c r="C125" s="8" t="s">
        <v>2</v>
      </c>
      <c r="D125" s="41">
        <v>476.25427369467923</v>
      </c>
      <c r="E125" s="42">
        <v>590.88843460964699</v>
      </c>
      <c r="F125" s="48">
        <v>796.51794092491309</v>
      </c>
      <c r="G125" s="33"/>
      <c r="H125" s="42">
        <v>41.654655000000005</v>
      </c>
      <c r="I125" s="42">
        <v>57.281175000000012</v>
      </c>
      <c r="J125" s="48">
        <v>60.240915000000008</v>
      </c>
      <c r="K125" s="33"/>
      <c r="L125" s="42">
        <v>104.36979718875729</v>
      </c>
      <c r="M125" s="42">
        <v>106.75987310193211</v>
      </c>
      <c r="N125" s="48">
        <v>117.13891158654909</v>
      </c>
      <c r="O125" s="38"/>
      <c r="P125" s="40">
        <v>0.15</v>
      </c>
      <c r="Q125" s="14"/>
      <c r="Z125" s="14"/>
      <c r="AA125" s="14"/>
      <c r="AB125" s="14"/>
      <c r="AC125" s="14"/>
      <c r="AD125" s="14"/>
      <c r="AE125" s="14"/>
      <c r="AF125" s="14"/>
    </row>
    <row r="126" spans="1:32" x14ac:dyDescent="0.25">
      <c r="A126" s="3" t="s">
        <v>172</v>
      </c>
      <c r="B126" s="3" t="s">
        <v>179</v>
      </c>
      <c r="C126" s="8" t="s">
        <v>2</v>
      </c>
      <c r="D126" s="41">
        <v>449.08465223449241</v>
      </c>
      <c r="E126" s="42">
        <v>557.17909911329275</v>
      </c>
      <c r="F126" s="48">
        <v>751.07773778869694</v>
      </c>
      <c r="G126" s="33"/>
      <c r="H126" s="42">
        <v>39.278316831683171</v>
      </c>
      <c r="I126" s="42">
        <v>54.013366336633666</v>
      </c>
      <c r="J126" s="48">
        <v>56.804257425742577</v>
      </c>
      <c r="K126" s="33"/>
      <c r="L126" s="42">
        <v>98.415650343005453</v>
      </c>
      <c r="M126" s="42">
        <v>100.66937586226508</v>
      </c>
      <c r="N126" s="48">
        <v>110.45630512640177</v>
      </c>
      <c r="O126" s="38"/>
      <c r="P126" s="40">
        <v>0.15</v>
      </c>
      <c r="Q126" s="14"/>
      <c r="Z126" s="14"/>
      <c r="AA126" s="14"/>
      <c r="AB126" s="14"/>
      <c r="AC126" s="14"/>
      <c r="AD126" s="14"/>
      <c r="AE126" s="14"/>
      <c r="AF126" s="14"/>
    </row>
    <row r="127" spans="1:32" x14ac:dyDescent="0.25">
      <c r="A127" s="3" t="s">
        <v>180</v>
      </c>
      <c r="B127" s="3" t="s">
        <v>181</v>
      </c>
      <c r="C127" s="1" t="s">
        <v>2</v>
      </c>
      <c r="D127" s="41">
        <v>782.91969863669817</v>
      </c>
      <c r="E127" s="42">
        <v>998.33313265742413</v>
      </c>
      <c r="F127" s="48">
        <v>1254.9884853987865</v>
      </c>
      <c r="G127" s="33"/>
      <c r="H127" s="42">
        <v>69.057100000000005</v>
      </c>
      <c r="I127" s="42">
        <v>94.963499999999996</v>
      </c>
      <c r="J127" s="48">
        <v>99.8703</v>
      </c>
      <c r="K127" s="33"/>
      <c r="L127" s="42">
        <v>167.04576</v>
      </c>
      <c r="M127" s="42">
        <v>170.87111999999999</v>
      </c>
      <c r="N127" s="48">
        <v>187.48295999999999</v>
      </c>
      <c r="O127" s="33"/>
      <c r="P127" s="40">
        <v>0.10500000000000001</v>
      </c>
      <c r="Q127" s="14"/>
      <c r="Z127" s="14"/>
      <c r="AA127" s="14"/>
      <c r="AB127" s="14"/>
      <c r="AC127" s="14"/>
      <c r="AD127" s="14"/>
      <c r="AE127" s="14"/>
      <c r="AF127" s="14"/>
    </row>
    <row r="128" spans="1:32" x14ac:dyDescent="0.25">
      <c r="A128" s="3" t="s">
        <v>182</v>
      </c>
      <c r="B128" s="3" t="s">
        <v>183</v>
      </c>
      <c r="C128" s="1" t="s">
        <v>2</v>
      </c>
      <c r="D128" s="41">
        <v>1776.8153242168075</v>
      </c>
      <c r="E128" s="42">
        <v>2284.4697821979116</v>
      </c>
      <c r="F128" s="48">
        <v>2721.0351150671308</v>
      </c>
      <c r="G128" s="33"/>
      <c r="H128" s="42">
        <v>157.84652289553566</v>
      </c>
      <c r="I128" s="42">
        <v>217.0617978019668</v>
      </c>
      <c r="J128" s="48">
        <v>228.2774630781486</v>
      </c>
      <c r="K128" s="33"/>
      <c r="L128" s="42">
        <v>378.09763145775258</v>
      </c>
      <c r="M128" s="42">
        <v>386.7560945966747</v>
      </c>
      <c r="N128" s="48">
        <v>424.35595560574887</v>
      </c>
      <c r="O128" s="33"/>
      <c r="P128" s="40">
        <v>0.26500000000000001</v>
      </c>
      <c r="Q128" s="14"/>
      <c r="Z128" s="14"/>
      <c r="AA128" s="14"/>
      <c r="AB128" s="14"/>
      <c r="AC128" s="14"/>
      <c r="AD128" s="14"/>
      <c r="AE128" s="14"/>
      <c r="AF128" s="14"/>
    </row>
    <row r="129" spans="1:32" ht="14.15" customHeight="1" x14ac:dyDescent="0.25">
      <c r="A129" s="3" t="s">
        <v>184</v>
      </c>
      <c r="B129" s="3" t="s">
        <v>185</v>
      </c>
      <c r="C129" s="1" t="s">
        <v>2</v>
      </c>
      <c r="D129" s="41">
        <v>775.03335156638479</v>
      </c>
      <c r="E129" s="42">
        <v>1050.0586872202884</v>
      </c>
      <c r="F129" s="48">
        <v>1484.9770412729983</v>
      </c>
      <c r="G129" s="33"/>
      <c r="H129" s="42">
        <v>68.851454625286422</v>
      </c>
      <c r="I129" s="42">
        <v>94.680707867958347</v>
      </c>
      <c r="J129" s="48">
        <v>99.572895891425233</v>
      </c>
      <c r="K129" s="33"/>
      <c r="L129" s="42">
        <v>167.38485765203467</v>
      </c>
      <c r="M129" s="42">
        <v>171.21798301282078</v>
      </c>
      <c r="N129" s="48">
        <v>187.86354452685367</v>
      </c>
      <c r="O129" s="33"/>
      <c r="P129" s="40">
        <v>0.08</v>
      </c>
      <c r="Q129" s="14"/>
      <c r="Z129" s="14"/>
      <c r="AA129" s="14"/>
      <c r="AB129" s="14"/>
      <c r="AC129" s="14"/>
      <c r="AD129" s="14"/>
      <c r="AE129" s="14"/>
      <c r="AF129" s="14"/>
    </row>
    <row r="130" spans="1:32" x14ac:dyDescent="0.25">
      <c r="A130" s="3" t="s">
        <v>186</v>
      </c>
      <c r="B130" s="3" t="s">
        <v>187</v>
      </c>
      <c r="C130" s="1" t="s">
        <v>2</v>
      </c>
      <c r="D130" s="41">
        <v>1048.590775733466</v>
      </c>
      <c r="E130" s="42">
        <v>1495.5901491795128</v>
      </c>
      <c r="F130" s="48">
        <v>1911.2608453505718</v>
      </c>
      <c r="G130" s="33"/>
      <c r="H130" s="42">
        <v>93.153410843536633</v>
      </c>
      <c r="I130" s="42">
        <v>128.09941237961326</v>
      </c>
      <c r="J130" s="48">
        <v>134.71835751815897</v>
      </c>
      <c r="K130" s="33"/>
      <c r="L130" s="42">
        <v>234.23624455159489</v>
      </c>
      <c r="M130" s="42">
        <v>239.60027151317649</v>
      </c>
      <c r="N130" s="48">
        <v>262.89385895108552</v>
      </c>
      <c r="O130" s="33"/>
      <c r="P130" s="40">
        <v>0.15</v>
      </c>
      <c r="Q130" s="14"/>
      <c r="Z130" s="14"/>
      <c r="AA130" s="14"/>
      <c r="AB130" s="14"/>
      <c r="AC130" s="14"/>
      <c r="AD130" s="14"/>
      <c r="AE130" s="14"/>
      <c r="AF130" s="14"/>
    </row>
    <row r="131" spans="1:32" x14ac:dyDescent="0.25">
      <c r="A131" s="3" t="s">
        <v>188</v>
      </c>
      <c r="B131" s="3" t="s">
        <v>189</v>
      </c>
      <c r="C131" s="1" t="s">
        <v>2</v>
      </c>
      <c r="D131" s="41">
        <v>781.64635573097951</v>
      </c>
      <c r="E131" s="42">
        <v>837.30437823222269</v>
      </c>
      <c r="F131" s="48">
        <v>891.45326199651902</v>
      </c>
      <c r="G131" s="33"/>
      <c r="H131" s="42">
        <v>51.4255</v>
      </c>
      <c r="I131" s="42">
        <v>70.717500000000001</v>
      </c>
      <c r="J131" s="48">
        <v>74.371499999999997</v>
      </c>
      <c r="K131" s="33"/>
      <c r="L131" s="42">
        <v>127.6044</v>
      </c>
      <c r="M131" s="42">
        <v>130.52654999999999</v>
      </c>
      <c r="N131" s="48">
        <v>143.21615</v>
      </c>
      <c r="O131" s="33"/>
      <c r="P131" s="40">
        <v>0.05</v>
      </c>
      <c r="Q131" s="14"/>
      <c r="Z131" s="14"/>
      <c r="AA131" s="14"/>
      <c r="AB131" s="14"/>
      <c r="AC131" s="14"/>
      <c r="AD131" s="14"/>
      <c r="AE131" s="14"/>
      <c r="AF131" s="14"/>
    </row>
    <row r="132" spans="1:32" x14ac:dyDescent="0.25">
      <c r="A132" s="3" t="s">
        <v>190</v>
      </c>
      <c r="B132" s="3" t="s">
        <v>191</v>
      </c>
      <c r="C132" s="1" t="s">
        <v>2</v>
      </c>
      <c r="D132" s="41">
        <v>828.97673316757823</v>
      </c>
      <c r="E132" s="42">
        <v>1204.377152759821</v>
      </c>
      <c r="F132" s="48">
        <v>1547.1323937344603</v>
      </c>
      <c r="G132" s="33"/>
      <c r="H132" s="42">
        <v>73.465000000000003</v>
      </c>
      <c r="I132" s="42">
        <v>101.02500000000001</v>
      </c>
      <c r="J132" s="48">
        <v>106.245</v>
      </c>
      <c r="K132" s="33"/>
      <c r="L132" s="42">
        <v>180.93309600000003</v>
      </c>
      <c r="M132" s="42">
        <v>185.07647700000001</v>
      </c>
      <c r="N132" s="48">
        <v>203.06934100000004</v>
      </c>
      <c r="O132" s="33"/>
      <c r="P132" s="40">
        <v>0.10999999999999999</v>
      </c>
      <c r="Q132" s="14"/>
      <c r="Z132" s="14"/>
      <c r="AA132" s="14"/>
      <c r="AB132" s="14"/>
      <c r="AC132" s="14"/>
      <c r="AD132" s="14"/>
      <c r="AE132" s="14"/>
      <c r="AF132" s="14"/>
    </row>
    <row r="133" spans="1:32" x14ac:dyDescent="0.25">
      <c r="A133" s="3" t="s">
        <v>192</v>
      </c>
      <c r="B133" s="3" t="s">
        <v>192</v>
      </c>
      <c r="C133" s="1" t="s">
        <v>2</v>
      </c>
      <c r="D133" s="41">
        <v>1323.1459055196422</v>
      </c>
      <c r="E133" s="42">
        <v>2024.6085012431624</v>
      </c>
      <c r="F133" s="48">
        <v>2400.2929965191447</v>
      </c>
      <c r="G133" s="33"/>
      <c r="H133" s="42">
        <v>132.23700000000002</v>
      </c>
      <c r="I133" s="42">
        <v>181.84500000000003</v>
      </c>
      <c r="J133" s="48">
        <v>191.24100000000001</v>
      </c>
      <c r="K133" s="33"/>
      <c r="L133" s="42">
        <v>319.17671999999999</v>
      </c>
      <c r="M133" s="42">
        <v>326.48589000000004</v>
      </c>
      <c r="N133" s="48">
        <v>358.22637000000003</v>
      </c>
      <c r="O133" s="33"/>
      <c r="P133" s="40">
        <v>0.24000000000000002</v>
      </c>
      <c r="Q133" s="14"/>
      <c r="Z133" s="14"/>
      <c r="AA133" s="14"/>
      <c r="AB133" s="14"/>
      <c r="AC133" s="14"/>
      <c r="AD133" s="14"/>
      <c r="AE133" s="14"/>
      <c r="AF133" s="14"/>
    </row>
    <row r="134" spans="1:32" x14ac:dyDescent="0.25">
      <c r="A134" s="3" t="s">
        <v>193</v>
      </c>
      <c r="B134" s="3" t="s">
        <v>194</v>
      </c>
      <c r="C134" s="1" t="s">
        <v>2</v>
      </c>
      <c r="D134" s="41">
        <v>850.50802821979119</v>
      </c>
      <c r="E134" s="42">
        <v>1451.4087023122827</v>
      </c>
      <c r="F134" s="48">
        <v>1585.8698882705121</v>
      </c>
      <c r="G134" s="33"/>
      <c r="H134" s="42">
        <v>88.158000000000001</v>
      </c>
      <c r="I134" s="42">
        <v>121.23</v>
      </c>
      <c r="J134" s="48">
        <v>127.494</v>
      </c>
      <c r="K134" s="33"/>
      <c r="L134" s="42">
        <v>191.77118400000001</v>
      </c>
      <c r="M134" s="42">
        <v>196.162758</v>
      </c>
      <c r="N134" s="48">
        <v>215.23341400000001</v>
      </c>
      <c r="O134" s="33"/>
      <c r="P134" s="40">
        <v>0.12</v>
      </c>
      <c r="Q134" s="14"/>
      <c r="Z134" s="14"/>
      <c r="AA134" s="14"/>
      <c r="AB134" s="14"/>
      <c r="AC134" s="14"/>
      <c r="AD134" s="14"/>
      <c r="AE134" s="14"/>
      <c r="AF134" s="14"/>
    </row>
    <row r="135" spans="1:32" x14ac:dyDescent="0.25">
      <c r="A135" s="3" t="s">
        <v>195</v>
      </c>
      <c r="B135" s="3" t="s">
        <v>196</v>
      </c>
      <c r="C135" s="1" t="s">
        <v>2</v>
      </c>
      <c r="D135" s="41">
        <v>835.39582815514666</v>
      </c>
      <c r="E135" s="42">
        <v>1257.1376777424166</v>
      </c>
      <c r="F135" s="48">
        <v>1731.7612144604673</v>
      </c>
      <c r="G135" s="33"/>
      <c r="H135" s="42">
        <v>76.403600000000012</v>
      </c>
      <c r="I135" s="42">
        <v>105.066</v>
      </c>
      <c r="J135" s="48">
        <v>110.49480000000001</v>
      </c>
      <c r="K135" s="33"/>
      <c r="L135" s="42">
        <v>183.78220319467542</v>
      </c>
      <c r="M135" s="42">
        <v>187.99082895574099</v>
      </c>
      <c r="N135" s="48">
        <v>206.26702198403123</v>
      </c>
      <c r="O135" s="33"/>
      <c r="P135" s="40">
        <v>0.14000000000000001</v>
      </c>
      <c r="Q135" s="14"/>
      <c r="Z135" s="14"/>
      <c r="AA135" s="14"/>
      <c r="AB135" s="14"/>
      <c r="AC135" s="14"/>
      <c r="AD135" s="14"/>
      <c r="AE135" s="14"/>
      <c r="AF135" s="14"/>
    </row>
    <row r="136" spans="1:32" x14ac:dyDescent="0.25">
      <c r="A136" s="3" t="s">
        <v>197</v>
      </c>
      <c r="B136" s="3" t="s">
        <v>198</v>
      </c>
      <c r="C136" s="1" t="s">
        <v>2</v>
      </c>
      <c r="D136" s="41">
        <v>520.38490104425659</v>
      </c>
      <c r="E136" s="42">
        <v>830.9091059174541</v>
      </c>
      <c r="F136" s="48">
        <v>1167.4521193436103</v>
      </c>
      <c r="G136" s="33"/>
      <c r="H136" s="42">
        <v>46.229310428409178</v>
      </c>
      <c r="I136" s="42">
        <v>63.571987831348771</v>
      </c>
      <c r="J136" s="48">
        <v>66.856776512166789</v>
      </c>
      <c r="K136" s="33"/>
      <c r="L136" s="42">
        <v>110.73536785143243</v>
      </c>
      <c r="M136" s="42">
        <v>113.27121579372175</v>
      </c>
      <c r="N136" s="48">
        <v>124.28327747723374</v>
      </c>
      <c r="O136" s="33"/>
      <c r="P136" s="40">
        <v>0.09</v>
      </c>
      <c r="Q136" s="14"/>
      <c r="Z136" s="14"/>
      <c r="AA136" s="14"/>
      <c r="AB136" s="14"/>
      <c r="AC136" s="14"/>
      <c r="AD136" s="14"/>
      <c r="AE136" s="14"/>
      <c r="AF136" s="14"/>
    </row>
    <row r="137" spans="1:32" x14ac:dyDescent="0.25">
      <c r="A137" s="3" t="s">
        <v>199</v>
      </c>
      <c r="B137" s="3" t="s">
        <v>200</v>
      </c>
      <c r="C137" s="1" t="s">
        <v>2</v>
      </c>
      <c r="D137" s="41">
        <v>612.14130537792141</v>
      </c>
      <c r="E137" s="42">
        <v>768.30720191645946</v>
      </c>
      <c r="F137" s="48">
        <v>986.16239814619598</v>
      </c>
      <c r="G137" s="33"/>
      <c r="H137" s="7">
        <v>54.380652427809096</v>
      </c>
      <c r="I137" s="7">
        <v>74.781261982160402</v>
      </c>
      <c r="J137" s="4">
        <v>78.64523810239676</v>
      </c>
      <c r="K137" s="33"/>
      <c r="L137" s="6">
        <v>134.14906158745211</v>
      </c>
      <c r="M137" s="6">
        <v>137.22108481171216</v>
      </c>
      <c r="N137" s="39">
        <v>150.5615176801723</v>
      </c>
      <c r="O137" s="33"/>
      <c r="P137" s="40">
        <v>0.14500000000000002</v>
      </c>
      <c r="Q137" s="14"/>
      <c r="Z137" s="14"/>
      <c r="AA137" s="14"/>
      <c r="AB137" s="14"/>
      <c r="AC137" s="14"/>
      <c r="AD137" s="14"/>
      <c r="AE137" s="14"/>
      <c r="AF137" s="14"/>
    </row>
    <row r="138" spans="1:32" x14ac:dyDescent="0.25">
      <c r="A138" s="3" t="s">
        <v>201</v>
      </c>
      <c r="B138" s="3" t="s">
        <v>202</v>
      </c>
      <c r="C138" s="8" t="s">
        <v>1</v>
      </c>
      <c r="D138" s="41">
        <v>1565.342282446544</v>
      </c>
      <c r="E138" s="42">
        <v>2132.8762705121831</v>
      </c>
      <c r="F138" s="48">
        <v>2999.4348184982596</v>
      </c>
      <c r="G138" s="33"/>
      <c r="H138" s="4">
        <v>238.96080000000001</v>
      </c>
      <c r="I138" s="4">
        <v>335.24280000000005</v>
      </c>
      <c r="J138" s="4">
        <v>394.05960000000005</v>
      </c>
      <c r="K138" s="33"/>
      <c r="L138" s="4">
        <v>353.64648</v>
      </c>
      <c r="M138" s="4">
        <v>361.74500999999998</v>
      </c>
      <c r="N138" s="4">
        <v>396.91332999999997</v>
      </c>
      <c r="O138" s="33"/>
      <c r="P138" s="40">
        <v>0.15</v>
      </c>
      <c r="Q138" s="14"/>
      <c r="Z138" s="14"/>
      <c r="AA138" s="14"/>
      <c r="AB138" s="14"/>
      <c r="AC138" s="14"/>
      <c r="AD138" s="14"/>
      <c r="AE138" s="14"/>
      <c r="AF138" s="14"/>
    </row>
    <row r="139" spans="1:32" x14ac:dyDescent="0.25">
      <c r="A139" s="3" t="s">
        <v>203</v>
      </c>
      <c r="B139" s="3" t="s">
        <v>204</v>
      </c>
      <c r="C139" s="8" t="s">
        <v>1</v>
      </c>
      <c r="D139" s="26">
        <v>945.77247523620099</v>
      </c>
      <c r="E139" s="7">
        <v>1309.8001444057684</v>
      </c>
      <c r="F139" s="4">
        <v>2093.1230985082052</v>
      </c>
      <c r="G139" s="33"/>
      <c r="H139" s="4">
        <v>144.37899610505198</v>
      </c>
      <c r="I139" s="4">
        <v>202.55212953524901</v>
      </c>
      <c r="J139" s="4">
        <v>238.08896460657292</v>
      </c>
      <c r="K139" s="33"/>
      <c r="L139" s="4">
        <v>206.81856000000002</v>
      </c>
      <c r="M139" s="4">
        <v>211.55471999999997</v>
      </c>
      <c r="N139" s="4">
        <v>232.12175999999999</v>
      </c>
      <c r="O139" s="33"/>
      <c r="P139" s="40">
        <v>0.16</v>
      </c>
      <c r="Q139" s="14"/>
      <c r="Z139" s="14"/>
      <c r="AA139" s="14"/>
      <c r="AB139" s="14"/>
      <c r="AC139" s="14"/>
      <c r="AD139" s="14"/>
      <c r="AE139" s="14"/>
      <c r="AF139" s="14"/>
    </row>
    <row r="140" spans="1:32" x14ac:dyDescent="0.25">
      <c r="A140" s="13"/>
      <c r="B140" s="3"/>
      <c r="C140" s="1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</row>
    <row r="141" spans="1:32" x14ac:dyDescent="0.25">
      <c r="A141" s="13"/>
      <c r="B141" s="3"/>
      <c r="C141" s="1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</row>
    <row r="142" spans="1:32" x14ac:dyDescent="0.25">
      <c r="A142" s="13"/>
      <c r="B142" s="3"/>
      <c r="C142" s="1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</row>
    <row r="143" spans="1:32" x14ac:dyDescent="0.25">
      <c r="A143" s="13"/>
      <c r="B143" s="3"/>
      <c r="C143" s="1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</row>
    <row r="144" spans="1:32" x14ac:dyDescent="0.25">
      <c r="A144" s="13"/>
      <c r="B144" s="3"/>
      <c r="C144" s="1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</row>
    <row r="145" spans="1:16" x14ac:dyDescent="0.25">
      <c r="A145" s="13"/>
      <c r="B145" s="3"/>
      <c r="C145" s="1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</row>
    <row r="146" spans="1:16" x14ac:dyDescent="0.25">
      <c r="A146" s="13"/>
      <c r="B146" s="3"/>
      <c r="C146" s="1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</row>
    <row r="147" spans="1:16" x14ac:dyDescent="0.25">
      <c r="A147" s="13"/>
      <c r="B147" s="3"/>
      <c r="C147" s="1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</row>
    <row r="148" spans="1:16" x14ac:dyDescent="0.25">
      <c r="A148" s="13"/>
      <c r="B148" s="3"/>
      <c r="C148" s="1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</row>
    <row r="149" spans="1:16" x14ac:dyDescent="0.25">
      <c r="A149" s="13"/>
      <c r="B149" s="3"/>
      <c r="C149" s="1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</row>
    <row r="150" spans="1:16" x14ac:dyDescent="0.25">
      <c r="A150" s="13"/>
      <c r="B150" s="3"/>
      <c r="C150" s="1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</row>
    <row r="151" spans="1:16" x14ac:dyDescent="0.25">
      <c r="A151" s="13"/>
      <c r="B151" s="3"/>
      <c r="C151" s="1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</row>
    <row r="152" spans="1:16" x14ac:dyDescent="0.25">
      <c r="A152" s="13"/>
      <c r="B152" s="3"/>
      <c r="C152" s="1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</row>
    <row r="153" spans="1:16" x14ac:dyDescent="0.25">
      <c r="A153" s="13"/>
      <c r="B153" s="3"/>
      <c r="C153" s="1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</row>
    <row r="154" spans="1:16" x14ac:dyDescent="0.25">
      <c r="A154" s="13"/>
      <c r="B154" s="3"/>
      <c r="C154" s="1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</row>
    <row r="155" spans="1:16" x14ac:dyDescent="0.25">
      <c r="A155" s="13"/>
      <c r="B155" s="3"/>
      <c r="C155" s="1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</row>
    <row r="156" spans="1:16" x14ac:dyDescent="0.25">
      <c r="A156" s="13"/>
      <c r="B156" s="3"/>
      <c r="C156" s="1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</row>
    <row r="157" spans="1:16" x14ac:dyDescent="0.25">
      <c r="A157" s="13"/>
      <c r="B157" s="3"/>
      <c r="C157" s="1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</row>
    <row r="158" spans="1:16" x14ac:dyDescent="0.25">
      <c r="A158" s="13"/>
      <c r="B158" s="3"/>
      <c r="C158" s="1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</row>
    <row r="159" spans="1:16" x14ac:dyDescent="0.25">
      <c r="A159" s="13"/>
      <c r="B159" s="3"/>
      <c r="C159" s="1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</row>
  </sheetData>
  <autoFilter ref="A5:C139" xr:uid="{B593B8AD-AE04-4543-B232-6D3D3239B900}">
    <sortState xmlns:xlrd2="http://schemas.microsoft.com/office/spreadsheetml/2017/richdata2" ref="A69:C139">
      <sortCondition ref="A5:A139"/>
    </sortState>
  </autoFilter>
  <mergeCells count="8">
    <mergeCell ref="D1:P1"/>
    <mergeCell ref="H2:J2"/>
    <mergeCell ref="H3:J3"/>
    <mergeCell ref="L3:N3"/>
    <mergeCell ref="L2:N2"/>
    <mergeCell ref="D2:F2"/>
    <mergeCell ref="D3:F3"/>
    <mergeCell ref="P2:P4"/>
  </mergeCells>
  <pageMargins left="0.70866141732283472" right="0.70866141732283472" top="0.74803149606299213" bottom="0.74803149606299213" header="0.31496062992125984" footer="0.31496062992125984"/>
  <pageSetup paperSize="8" scale="70" orientation="landscape" horizontalDpi="1200" verticalDpi="1200" r:id="rId1"/>
  <colBreaks count="1" manualBreakCount="1">
    <brk id="1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45F5D-804D-425F-A3F3-7168E3FB54A8}">
  <sheetPr>
    <tabColor theme="6" tint="0.39997558519241921"/>
  </sheetPr>
  <dimension ref="A1:AH159"/>
  <sheetViews>
    <sheetView view="pageBreakPreview" zoomScaleNormal="100" zoomScaleSheetLayoutView="100" workbookViewId="0">
      <selection activeCell="A2" sqref="A2"/>
    </sheetView>
  </sheetViews>
  <sheetFormatPr defaultColWidth="8.83203125" defaultRowHeight="13.5" x14ac:dyDescent="0.25"/>
  <cols>
    <col min="1" max="1" width="21" customWidth="1"/>
    <col min="2" max="2" width="14.58203125" customWidth="1"/>
    <col min="3" max="3" width="10.08203125" bestFit="1" customWidth="1"/>
    <col min="4" max="4" width="11" style="4" bestFit="1" customWidth="1"/>
    <col min="5" max="5" width="11" bestFit="1" customWidth="1"/>
    <col min="6" max="6" width="8.83203125" bestFit="1" customWidth="1"/>
    <col min="7" max="7" width="2.83203125" customWidth="1"/>
    <col min="8" max="10" width="11" customWidth="1"/>
    <col min="11" max="11" width="4" customWidth="1"/>
    <col min="12" max="14" width="10.83203125" customWidth="1"/>
    <col min="15" max="15" width="3.1640625" customWidth="1"/>
    <col min="16" max="16" width="12" customWidth="1"/>
    <col min="17" max="34" width="6" customWidth="1"/>
  </cols>
  <sheetData>
    <row r="1" spans="1:34" ht="18.5" thickBot="1" x14ac:dyDescent="0.35">
      <c r="D1" s="59" t="s">
        <v>206</v>
      </c>
      <c r="E1" s="60"/>
      <c r="F1" s="60"/>
      <c r="G1" s="61"/>
      <c r="H1" s="61"/>
      <c r="I1" s="61"/>
      <c r="J1" s="61"/>
      <c r="K1" s="61"/>
      <c r="L1" s="61"/>
      <c r="M1" s="61"/>
      <c r="N1" s="61"/>
      <c r="O1" s="61"/>
      <c r="P1" s="61"/>
      <c r="Q1" s="34"/>
    </row>
    <row r="2" spans="1:34" ht="17.5" customHeight="1" x14ac:dyDescent="0.25">
      <c r="A2" s="11"/>
      <c r="B2" s="2"/>
      <c r="C2" s="19"/>
      <c r="D2" s="70" t="s">
        <v>218</v>
      </c>
      <c r="E2" s="71"/>
      <c r="F2" s="72"/>
      <c r="G2" s="35"/>
      <c r="H2" s="62" t="s">
        <v>219</v>
      </c>
      <c r="I2" s="63"/>
      <c r="J2" s="64"/>
      <c r="K2" s="35"/>
      <c r="L2" s="68" t="s">
        <v>220</v>
      </c>
      <c r="M2" s="69"/>
      <c r="N2" s="73"/>
      <c r="O2" s="36"/>
      <c r="P2" s="62" t="s">
        <v>223</v>
      </c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</row>
    <row r="3" spans="1:34" ht="13.5" customHeight="1" x14ac:dyDescent="0.25">
      <c r="A3" s="12"/>
      <c r="B3" s="1"/>
      <c r="C3" s="1"/>
      <c r="D3" s="65"/>
      <c r="E3" s="58"/>
      <c r="F3" s="66"/>
      <c r="G3" s="17"/>
      <c r="H3" s="65"/>
      <c r="I3" s="58"/>
      <c r="J3" s="66"/>
      <c r="K3" s="17"/>
      <c r="L3" s="65"/>
      <c r="M3" s="58"/>
      <c r="N3" s="66"/>
      <c r="O3" s="37"/>
      <c r="P3" s="7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</row>
    <row r="4" spans="1:34" ht="13.5" customHeight="1" x14ac:dyDescent="0.25">
      <c r="A4" s="12"/>
      <c r="B4" s="1"/>
      <c r="C4" s="1"/>
      <c r="D4" s="20" t="s">
        <v>3</v>
      </c>
      <c r="E4" s="5" t="s">
        <v>4</v>
      </c>
      <c r="F4" s="21" t="s">
        <v>5</v>
      </c>
      <c r="G4" s="17"/>
      <c r="H4" s="29" t="s">
        <v>3</v>
      </c>
      <c r="I4" s="17" t="s">
        <v>4</v>
      </c>
      <c r="J4" s="30" t="s">
        <v>5</v>
      </c>
      <c r="K4" s="17"/>
      <c r="L4" s="29" t="s">
        <v>3</v>
      </c>
      <c r="M4" s="17" t="s">
        <v>4</v>
      </c>
      <c r="N4" s="30" t="s">
        <v>5</v>
      </c>
      <c r="O4" s="37"/>
      <c r="P4" s="75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</row>
    <row r="5" spans="1:34" ht="13.5" customHeight="1" x14ac:dyDescent="0.25">
      <c r="A5" s="9" t="s">
        <v>6</v>
      </c>
      <c r="B5" s="9" t="s">
        <v>7</v>
      </c>
      <c r="C5" s="18" t="s">
        <v>8</v>
      </c>
      <c r="D5" s="22"/>
      <c r="E5" s="10"/>
      <c r="F5" s="23"/>
      <c r="G5" s="18"/>
      <c r="H5" s="31"/>
      <c r="I5" s="18"/>
      <c r="J5" s="32"/>
      <c r="K5" s="18"/>
      <c r="L5" s="31"/>
      <c r="M5" s="18"/>
      <c r="N5" s="32"/>
      <c r="O5" s="49"/>
      <c r="P5" s="17" t="s">
        <v>208</v>
      </c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</row>
    <row r="6" spans="1:34" x14ac:dyDescent="0.25">
      <c r="A6" s="3" t="s">
        <v>9</v>
      </c>
      <c r="B6" s="3" t="s">
        <v>10</v>
      </c>
      <c r="C6" s="1" t="s">
        <v>11</v>
      </c>
      <c r="D6" s="50">
        <v>168.4092966959864</v>
      </c>
      <c r="E6" s="51">
        <v>245.3482334244955</v>
      </c>
      <c r="F6" s="52">
        <v>293.56133121442826</v>
      </c>
      <c r="G6" s="48"/>
      <c r="H6" s="47">
        <v>17.465748407454715</v>
      </c>
      <c r="I6" s="48">
        <v>23.080301434738399</v>
      </c>
      <c r="J6" s="43">
        <v>26.718342807256018</v>
      </c>
      <c r="K6" s="48"/>
      <c r="L6" s="47">
        <v>38.343304224021395</v>
      </c>
      <c r="M6" s="48">
        <v>39.214742956385514</v>
      </c>
      <c r="N6" s="43">
        <v>43.073971628283772</v>
      </c>
      <c r="O6" s="53"/>
      <c r="P6" s="54">
        <v>0.19499999999999998</v>
      </c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</row>
    <row r="7" spans="1:34" x14ac:dyDescent="0.25">
      <c r="A7" s="3" t="s">
        <v>9</v>
      </c>
      <c r="B7" s="3" t="s">
        <v>12</v>
      </c>
      <c r="C7" s="1" t="s">
        <v>11</v>
      </c>
      <c r="D7" s="41">
        <v>157.31248614088253</v>
      </c>
      <c r="E7" s="42">
        <v>229.11135338901616</v>
      </c>
      <c r="F7" s="43">
        <v>274.10340749501069</v>
      </c>
      <c r="G7" s="48"/>
      <c r="H7" s="47">
        <v>16.314896850663843</v>
      </c>
      <c r="I7" s="48">
        <v>21.559496244046763</v>
      </c>
      <c r="J7" s="43">
        <v>24.957820114653931</v>
      </c>
      <c r="K7" s="48"/>
      <c r="L7" s="47">
        <v>35.8167905969336</v>
      </c>
      <c r="M7" s="48">
        <v>36.630808565045733</v>
      </c>
      <c r="N7" s="43">
        <v>40.235745280970868</v>
      </c>
      <c r="O7" s="53"/>
      <c r="P7" s="54">
        <v>0.19499999999999998</v>
      </c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</row>
    <row r="8" spans="1:34" x14ac:dyDescent="0.25">
      <c r="A8" s="3" t="s">
        <v>9</v>
      </c>
      <c r="B8" s="3" t="s">
        <v>209</v>
      </c>
      <c r="C8" s="1" t="s">
        <v>11</v>
      </c>
      <c r="D8" s="41">
        <v>157.31248614088253</v>
      </c>
      <c r="E8" s="42">
        <v>229.11135338901616</v>
      </c>
      <c r="F8" s="43">
        <v>274.10340749501069</v>
      </c>
      <c r="G8" s="48"/>
      <c r="H8" s="47">
        <v>16.314896850663843</v>
      </c>
      <c r="I8" s="48">
        <v>21.559496244046763</v>
      </c>
      <c r="J8" s="43">
        <v>24.957820114653931</v>
      </c>
      <c r="K8" s="48"/>
      <c r="L8" s="47">
        <v>35.8167905969336</v>
      </c>
      <c r="M8" s="48">
        <v>36.630808565045733</v>
      </c>
      <c r="N8" s="43">
        <v>40.235745280970868</v>
      </c>
      <c r="O8" s="53"/>
      <c r="P8" s="54">
        <v>0.19499999999999998</v>
      </c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</row>
    <row r="9" spans="1:34" x14ac:dyDescent="0.25">
      <c r="A9" s="3" t="s">
        <v>9</v>
      </c>
      <c r="B9" s="3" t="s">
        <v>13</v>
      </c>
      <c r="C9" s="1" t="s">
        <v>11</v>
      </c>
      <c r="D9" s="41">
        <v>206.10304715795698</v>
      </c>
      <c r="E9" s="42">
        <v>300.50225441643875</v>
      </c>
      <c r="F9" s="43">
        <v>359.65657106955427</v>
      </c>
      <c r="G9" s="48"/>
      <c r="H9" s="47">
        <v>21.374971799620621</v>
      </c>
      <c r="I9" s="48">
        <v>28.246186810048709</v>
      </c>
      <c r="J9" s="43">
        <v>32.698502847661302</v>
      </c>
      <c r="K9" s="48"/>
      <c r="L9" s="47">
        <v>46.925389475031949</v>
      </c>
      <c r="M9" s="48">
        <v>47.991875599464485</v>
      </c>
      <c r="N9" s="43">
        <v>52.714885579094329</v>
      </c>
      <c r="O9" s="53"/>
      <c r="P9" s="54">
        <v>0.19499999999999998</v>
      </c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</row>
    <row r="10" spans="1:34" x14ac:dyDescent="0.25">
      <c r="A10" s="3" t="s">
        <v>9</v>
      </c>
      <c r="B10" s="3" t="s">
        <v>14</v>
      </c>
      <c r="C10" s="1" t="s">
        <v>11</v>
      </c>
      <c r="D10" s="41">
        <v>163.34928671742182</v>
      </c>
      <c r="E10" s="42">
        <v>237.51113349101928</v>
      </c>
      <c r="F10" s="43">
        <v>285.31936026313844</v>
      </c>
      <c r="G10" s="48"/>
      <c r="H10" s="47">
        <v>16.940974164234891</v>
      </c>
      <c r="I10" s="48">
        <v>22.386832856344661</v>
      </c>
      <c r="J10" s="43">
        <v>25.915565978020279</v>
      </c>
      <c r="K10" s="48"/>
      <c r="L10" s="47">
        <v>37.191244891246384</v>
      </c>
      <c r="M10" s="48">
        <v>38.036500456956531</v>
      </c>
      <c r="N10" s="43">
        <v>41.779775105101457</v>
      </c>
      <c r="O10" s="53"/>
      <c r="P10" s="54">
        <v>0.19499999999999998</v>
      </c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</row>
    <row r="11" spans="1:34" x14ac:dyDescent="0.25">
      <c r="A11" s="3" t="s">
        <v>9</v>
      </c>
      <c r="B11" s="3" t="s">
        <v>15</v>
      </c>
      <c r="C11" s="1" t="s">
        <v>11</v>
      </c>
      <c r="D11" s="41">
        <v>200.64273967033779</v>
      </c>
      <c r="E11" s="42">
        <v>292.51265799393894</v>
      </c>
      <c r="F11" s="43">
        <v>350.0819997782541</v>
      </c>
      <c r="G11" s="48"/>
      <c r="H11" s="47">
        <v>20.80868265361072</v>
      </c>
      <c r="I11" s="48">
        <v>27.497857916020298</v>
      </c>
      <c r="J11" s="43">
        <v>31.832218324482046</v>
      </c>
      <c r="K11" s="48"/>
      <c r="L11" s="47">
        <v>45.682190701199204</v>
      </c>
      <c r="M11" s="48">
        <v>46.72042230804464</v>
      </c>
      <c r="N11" s="43">
        <v>51.318305138360145</v>
      </c>
      <c r="O11" s="53"/>
      <c r="P11" s="54">
        <v>0.19499999999999998</v>
      </c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</row>
    <row r="12" spans="1:34" x14ac:dyDescent="0.25">
      <c r="A12" s="3" t="s">
        <v>9</v>
      </c>
      <c r="B12" s="3" t="s">
        <v>16</v>
      </c>
      <c r="C12" s="1" t="s">
        <v>11</v>
      </c>
      <c r="D12" s="41">
        <v>164.0479710252051</v>
      </c>
      <c r="E12" s="42">
        <v>239.01789674033557</v>
      </c>
      <c r="F12" s="43">
        <v>287.29636336758074</v>
      </c>
      <c r="G12" s="48"/>
      <c r="H12" s="47">
        <v>17.013434797794858</v>
      </c>
      <c r="I12" s="48">
        <v>22.482586741360112</v>
      </c>
      <c r="J12" s="43">
        <v>26.026413105914315</v>
      </c>
      <c r="K12" s="48"/>
      <c r="L12" s="47">
        <v>37.350320818142784</v>
      </c>
      <c r="M12" s="48">
        <v>38.199191745827846</v>
      </c>
      <c r="N12" s="43">
        <v>41.958477282718839</v>
      </c>
      <c r="O12" s="53"/>
      <c r="P12" s="54">
        <v>0.19499999999999998</v>
      </c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</row>
    <row r="13" spans="1:34" x14ac:dyDescent="0.25">
      <c r="A13" s="3" t="s">
        <v>9</v>
      </c>
      <c r="B13" s="3" t="s">
        <v>17</v>
      </c>
      <c r="C13" s="1" t="s">
        <v>11</v>
      </c>
      <c r="D13" s="41">
        <v>159.58829181757704</v>
      </c>
      <c r="E13" s="42">
        <v>232.01811848621477</v>
      </c>
      <c r="F13" s="43">
        <v>278.70980855939092</v>
      </c>
      <c r="G13" s="48"/>
      <c r="H13" s="47">
        <v>16.550920931004004</v>
      </c>
      <c r="I13" s="48">
        <v>21.871392808283467</v>
      </c>
      <c r="J13" s="43">
        <v>25.318879494543094</v>
      </c>
      <c r="K13" s="48"/>
      <c r="L13" s="47">
        <v>36.334944351674224</v>
      </c>
      <c r="M13" s="48">
        <v>37.160738541485003</v>
      </c>
      <c r="N13" s="43">
        <v>40.817827096361313</v>
      </c>
      <c r="O13" s="53"/>
      <c r="P13" s="54">
        <v>0.19499999999999998</v>
      </c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</row>
    <row r="14" spans="1:34" x14ac:dyDescent="0.25">
      <c r="A14" s="3" t="s">
        <v>9</v>
      </c>
      <c r="B14" s="3" t="s">
        <v>18</v>
      </c>
      <c r="C14" s="1" t="s">
        <v>11</v>
      </c>
      <c r="D14" s="41">
        <v>149.78324340306008</v>
      </c>
      <c r="E14" s="42">
        <v>215.79648347993199</v>
      </c>
      <c r="F14" s="43">
        <v>259.74762547120997</v>
      </c>
      <c r="G14" s="48"/>
      <c r="H14" s="47">
        <v>15.534038181116317</v>
      </c>
      <c r="I14" s="48">
        <v>20.527622141051364</v>
      </c>
      <c r="J14" s="43">
        <v>23.763296460111661</v>
      </c>
      <c r="K14" s="48"/>
      <c r="L14" s="47">
        <v>34.102538174194827</v>
      </c>
      <c r="M14" s="48">
        <v>34.877595859971976</v>
      </c>
      <c r="N14" s="43">
        <v>38.309994182699377</v>
      </c>
      <c r="O14" s="53"/>
      <c r="P14" s="54">
        <v>0.19499999999999998</v>
      </c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</row>
    <row r="15" spans="1:34" x14ac:dyDescent="0.25">
      <c r="A15" s="3" t="s">
        <v>9</v>
      </c>
      <c r="B15" s="3" t="s">
        <v>19</v>
      </c>
      <c r="C15" s="1" t="s">
        <v>11</v>
      </c>
      <c r="D15" s="41">
        <v>158.04969879518072</v>
      </c>
      <c r="E15" s="42">
        <v>234.00320607583708</v>
      </c>
      <c r="F15" s="43">
        <v>280.56817761844923</v>
      </c>
      <c r="G15" s="48"/>
      <c r="H15" s="47">
        <v>16.391353263672965</v>
      </c>
      <c r="I15" s="48">
        <v>21.660530394871714</v>
      </c>
      <c r="J15" s="43">
        <v>25.074779812282404</v>
      </c>
      <c r="K15" s="48"/>
      <c r="L15" s="47">
        <v>35.984638629293606</v>
      </c>
      <c r="M15" s="48">
        <v>36.802471325413919</v>
      </c>
      <c r="N15" s="43">
        <v>40.424301836803863</v>
      </c>
      <c r="O15" s="53"/>
      <c r="P15" s="54">
        <v>0.19499999999999998</v>
      </c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</row>
    <row r="16" spans="1:34" x14ac:dyDescent="0.25">
      <c r="A16" s="3" t="s">
        <v>9</v>
      </c>
      <c r="B16" s="3" t="s">
        <v>20</v>
      </c>
      <c r="C16" s="1" t="s">
        <v>11</v>
      </c>
      <c r="D16" s="41">
        <v>150.527662798433</v>
      </c>
      <c r="E16" s="42">
        <v>218.78487877891934</v>
      </c>
      <c r="F16" s="43">
        <v>262.78679133712762</v>
      </c>
      <c r="G16" s="48"/>
      <c r="H16" s="47">
        <v>15.611242006108734</v>
      </c>
      <c r="I16" s="48">
        <v>20.629643967495355</v>
      </c>
      <c r="J16" s="43">
        <v>23.881399516107724</v>
      </c>
      <c r="K16" s="48"/>
      <c r="L16" s="47">
        <v>34.272027032037229</v>
      </c>
      <c r="M16" s="48">
        <v>35.050936737310799</v>
      </c>
      <c r="N16" s="43">
        <v>38.500394003522338</v>
      </c>
      <c r="O16" s="53"/>
      <c r="P16" s="54">
        <v>0.19499999999999998</v>
      </c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</row>
    <row r="17" spans="1:34" x14ac:dyDescent="0.25">
      <c r="A17" s="3" t="s">
        <v>9</v>
      </c>
      <c r="B17" s="3" t="s">
        <v>21</v>
      </c>
      <c r="C17" s="1" t="s">
        <v>11</v>
      </c>
      <c r="D17" s="41">
        <v>160.78498041244731</v>
      </c>
      <c r="E17" s="42">
        <v>233.76589178801092</v>
      </c>
      <c r="F17" s="43">
        <v>280.81283723852465</v>
      </c>
      <c r="G17" s="48"/>
      <c r="H17" s="47">
        <v>16.675029649050639</v>
      </c>
      <c r="I17" s="48">
        <v>22.035397611076387</v>
      </c>
      <c r="J17" s="43">
        <v>25.50873561732589</v>
      </c>
      <c r="K17" s="48"/>
      <c r="L17" s="47">
        <v>36.60740552664938</v>
      </c>
      <c r="M17" s="48">
        <v>37.439392015891407</v>
      </c>
      <c r="N17" s="43">
        <v>41.12390361110613</v>
      </c>
      <c r="O17" s="53"/>
      <c r="P17" s="54">
        <v>0.19499999999999998</v>
      </c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</row>
    <row r="18" spans="1:34" x14ac:dyDescent="0.25">
      <c r="A18" s="3" t="s">
        <v>9</v>
      </c>
      <c r="B18" s="3" t="s">
        <v>22</v>
      </c>
      <c r="C18" s="1" t="s">
        <v>11</v>
      </c>
      <c r="D18" s="41">
        <v>168.81989614901323</v>
      </c>
      <c r="E18" s="42">
        <v>245.50100709586812</v>
      </c>
      <c r="F18" s="43">
        <v>294.93329144800055</v>
      </c>
      <c r="G18" s="48"/>
      <c r="H18" s="47">
        <v>17.508331726092706</v>
      </c>
      <c r="I18" s="48">
        <v>23.13657362000799</v>
      </c>
      <c r="J18" s="43">
        <v>26.78348491732757</v>
      </c>
      <c r="K18" s="48"/>
      <c r="L18" s="47">
        <v>38.436789204070003</v>
      </c>
      <c r="M18" s="48">
        <v>39.310352595071599</v>
      </c>
      <c r="N18" s="43">
        <v>43.178990469507212</v>
      </c>
      <c r="O18" s="53"/>
      <c r="P18" s="54">
        <v>0.19499999999999998</v>
      </c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</row>
    <row r="19" spans="1:34" x14ac:dyDescent="0.25">
      <c r="A19" s="3" t="s">
        <v>9</v>
      </c>
      <c r="B19" s="3" t="s">
        <v>23</v>
      </c>
      <c r="C19" s="1" t="s">
        <v>11</v>
      </c>
      <c r="D19" s="41">
        <v>149.50199571291299</v>
      </c>
      <c r="E19" s="42">
        <v>217.28684677359743</v>
      </c>
      <c r="F19" s="43">
        <v>260.98413593022394</v>
      </c>
      <c r="G19" s="48"/>
      <c r="H19" s="47">
        <v>15.504869949357982</v>
      </c>
      <c r="I19" s="48">
        <v>20.489077466892805</v>
      </c>
      <c r="J19" s="43">
        <v>23.718676166894333</v>
      </c>
      <c r="K19" s="48"/>
      <c r="L19" s="47">
        <v>34.038503907932899</v>
      </c>
      <c r="M19" s="48">
        <v>34.812106269476836</v>
      </c>
      <c r="N19" s="43">
        <v>38.238059584885661</v>
      </c>
      <c r="O19" s="53"/>
      <c r="P19" s="54">
        <v>0.19499999999999998</v>
      </c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</row>
    <row r="20" spans="1:34" x14ac:dyDescent="0.25">
      <c r="A20" s="3" t="s">
        <v>9</v>
      </c>
      <c r="B20" s="3" t="s">
        <v>24</v>
      </c>
      <c r="C20" s="1" t="s">
        <v>11</v>
      </c>
      <c r="D20" s="41">
        <v>158.90448296252492</v>
      </c>
      <c r="E20" s="42">
        <v>231.01938428560868</v>
      </c>
      <c r="F20" s="43">
        <v>277.50808448517995</v>
      </c>
      <c r="G20" s="48"/>
      <c r="H20" s="47">
        <v>16.480003032435199</v>
      </c>
      <c r="I20" s="48">
        <v>21.77767758704579</v>
      </c>
      <c r="J20" s="43">
        <v>25.210392375587297</v>
      </c>
      <c r="K20" s="48"/>
      <c r="L20" s="47">
        <v>36.179255256863293</v>
      </c>
      <c r="M20" s="48">
        <v>37.001511058155643</v>
      </c>
      <c r="N20" s="43">
        <v>40.64292960673604</v>
      </c>
      <c r="O20" s="53"/>
      <c r="P20" s="54">
        <v>0.19499999999999998</v>
      </c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</row>
    <row r="21" spans="1:34" x14ac:dyDescent="0.25">
      <c r="A21" s="3" t="s">
        <v>9</v>
      </c>
      <c r="B21" s="3" t="s">
        <v>25</v>
      </c>
      <c r="C21" s="1" t="s">
        <v>11</v>
      </c>
      <c r="D21" s="41">
        <v>166.93939869909084</v>
      </c>
      <c r="E21" s="42">
        <v>242.75445339640771</v>
      </c>
      <c r="F21" s="43">
        <v>291.6285386946559</v>
      </c>
      <c r="G21" s="48"/>
      <c r="H21" s="47">
        <v>17.313305109477263</v>
      </c>
      <c r="I21" s="48">
        <v>22.878853595977393</v>
      </c>
      <c r="J21" s="43">
        <v>26.485141675588981</v>
      </c>
      <c r="K21" s="48"/>
      <c r="L21" s="47">
        <v>38.008638934283915</v>
      </c>
      <c r="M21" s="48">
        <v>38.872471637335821</v>
      </c>
      <c r="N21" s="43">
        <v>42.698016465137137</v>
      </c>
      <c r="O21" s="53"/>
      <c r="P21" s="54">
        <v>0.19499999999999998</v>
      </c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</row>
    <row r="22" spans="1:34" x14ac:dyDescent="0.25">
      <c r="A22" s="3" t="s">
        <v>9</v>
      </c>
      <c r="B22" s="3" t="s">
        <v>26</v>
      </c>
      <c r="C22" s="1" t="s">
        <v>11</v>
      </c>
      <c r="D22" s="41">
        <v>197.02740409490721</v>
      </c>
      <c r="E22" s="42">
        <v>286.69861963190181</v>
      </c>
      <c r="F22" s="43">
        <v>344.50504471875229</v>
      </c>
      <c r="G22" s="48"/>
      <c r="H22" s="47">
        <v>20.433735766426814</v>
      </c>
      <c r="I22" s="48">
        <v>27.002380311720916</v>
      </c>
      <c r="J22" s="43">
        <v>31.258640872626771</v>
      </c>
      <c r="K22" s="48"/>
      <c r="L22" s="47">
        <v>44.859053768973261</v>
      </c>
      <c r="M22" s="48">
        <v>45.878577718268112</v>
      </c>
      <c r="N22" s="43">
        <v>50.393612350859577</v>
      </c>
      <c r="O22" s="53"/>
      <c r="P22" s="54">
        <v>0.19499999999999998</v>
      </c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</row>
    <row r="23" spans="1:34" x14ac:dyDescent="0.25">
      <c r="A23" s="3" t="s">
        <v>9</v>
      </c>
      <c r="B23" s="3" t="s">
        <v>27</v>
      </c>
      <c r="C23" s="1" t="s">
        <v>11</v>
      </c>
      <c r="D23" s="41">
        <v>154.28870389533594</v>
      </c>
      <c r="E23" s="42">
        <v>224.27789378372384</v>
      </c>
      <c r="F23" s="43">
        <v>269.39634304087514</v>
      </c>
      <c r="G23" s="48"/>
      <c r="H23" s="47">
        <v>16.001300030442078</v>
      </c>
      <c r="I23" s="48">
        <v>21.14509034681052</v>
      </c>
      <c r="J23" s="43">
        <v>24.478093328805215</v>
      </c>
      <c r="K23" s="48"/>
      <c r="L23" s="47">
        <v>35.128338089721446</v>
      </c>
      <c r="M23" s="48">
        <v>35.92670940994239</v>
      </c>
      <c r="N23" s="43">
        <v>39.462353828063712</v>
      </c>
      <c r="O23" s="53"/>
      <c r="P23" s="54">
        <v>0.19499999999999998</v>
      </c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</row>
    <row r="24" spans="1:34" x14ac:dyDescent="0.25">
      <c r="A24" s="3" t="s">
        <v>9</v>
      </c>
      <c r="B24" s="3" t="s">
        <v>28</v>
      </c>
      <c r="C24" s="1" t="s">
        <v>11</v>
      </c>
      <c r="D24" s="41">
        <v>181.29952324635966</v>
      </c>
      <c r="E24" s="42">
        <v>263.72782541207772</v>
      </c>
      <c r="F24" s="43">
        <v>316.86506763249315</v>
      </c>
      <c r="G24" s="48"/>
      <c r="H24" s="47">
        <v>18.802595352729547</v>
      </c>
      <c r="I24" s="48">
        <v>24.846892235730525</v>
      </c>
      <c r="J24" s="43">
        <v>28.763393161321623</v>
      </c>
      <c r="K24" s="48"/>
      <c r="L24" s="47">
        <v>41.27814147964957</v>
      </c>
      <c r="M24" s="48">
        <v>42.216281058732513</v>
      </c>
      <c r="N24" s="43">
        <v>46.370899194671267</v>
      </c>
      <c r="O24" s="53"/>
      <c r="P24" s="54">
        <v>0.19499999999999998</v>
      </c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</row>
    <row r="25" spans="1:34" x14ac:dyDescent="0.25">
      <c r="A25" s="3" t="s">
        <v>9</v>
      </c>
      <c r="B25" s="3" t="s">
        <v>29</v>
      </c>
      <c r="C25" s="1" t="s">
        <v>11</v>
      </c>
      <c r="D25" s="41">
        <v>153.77587035257594</v>
      </c>
      <c r="E25" s="42">
        <v>223.52885468253379</v>
      </c>
      <c r="F25" s="43">
        <v>268.49508463301055</v>
      </c>
      <c r="G25" s="48"/>
      <c r="H25" s="47">
        <v>15.948114002066699</v>
      </c>
      <c r="I25" s="48">
        <v>21.07480709650924</v>
      </c>
      <c r="J25" s="43">
        <v>24.396731654198518</v>
      </c>
      <c r="K25" s="48"/>
      <c r="L25" s="47">
        <v>35.011576527669291</v>
      </c>
      <c r="M25" s="48">
        <v>35.807294176025408</v>
      </c>
      <c r="N25" s="43">
        <v>39.331186618745377</v>
      </c>
      <c r="O25" s="53"/>
      <c r="P25" s="54">
        <v>0.19499999999999998</v>
      </c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</row>
    <row r="26" spans="1:34" x14ac:dyDescent="0.25">
      <c r="A26" s="3" t="s">
        <v>9</v>
      </c>
      <c r="B26" s="3" t="s">
        <v>30</v>
      </c>
      <c r="C26" s="1" t="s">
        <v>11</v>
      </c>
      <c r="D26" s="41">
        <v>213.86533880922462</v>
      </c>
      <c r="E26" s="42">
        <v>311.92699063123661</v>
      </c>
      <c r="F26" s="43">
        <v>375.07572483184271</v>
      </c>
      <c r="G26" s="48"/>
      <c r="H26" s="47">
        <v>22.18</v>
      </c>
      <c r="I26" s="48">
        <v>29.31</v>
      </c>
      <c r="J26" s="43">
        <v>33.93</v>
      </c>
      <c r="K26" s="48"/>
      <c r="L26" s="47">
        <v>48.692702302170133</v>
      </c>
      <c r="M26" s="48">
        <v>49.799354627219451</v>
      </c>
      <c r="N26" s="43">
        <v>54.700243495295013</v>
      </c>
      <c r="O26" s="53"/>
      <c r="P26" s="54">
        <v>0.19499999999999998</v>
      </c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</row>
    <row r="27" spans="1:34" x14ac:dyDescent="0.25">
      <c r="A27" s="3" t="s">
        <v>9</v>
      </c>
      <c r="B27" s="3" t="s">
        <v>31</v>
      </c>
      <c r="C27" s="1" t="s">
        <v>11</v>
      </c>
      <c r="D27" s="41">
        <v>197.88218826225145</v>
      </c>
      <c r="E27" s="42">
        <v>287.94709512898214</v>
      </c>
      <c r="F27" s="43">
        <v>346.00718826225142</v>
      </c>
      <c r="G27" s="48"/>
      <c r="H27" s="47">
        <v>20.522385535189049</v>
      </c>
      <c r="I27" s="48">
        <v>27.119527503894997</v>
      </c>
      <c r="J27" s="43">
        <v>31.39425343593167</v>
      </c>
      <c r="K27" s="48"/>
      <c r="L27" s="47">
        <v>45.053670396542955</v>
      </c>
      <c r="M27" s="48">
        <v>46.077617451009843</v>
      </c>
      <c r="N27" s="43">
        <v>50.612240120791768</v>
      </c>
      <c r="O27" s="53"/>
      <c r="P27" s="54">
        <v>0.19499999999999998</v>
      </c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</row>
    <row r="28" spans="1:34" x14ac:dyDescent="0.25">
      <c r="A28" s="3" t="s">
        <v>9</v>
      </c>
      <c r="B28" s="3" t="s">
        <v>32</v>
      </c>
      <c r="C28" s="1" t="s">
        <v>11</v>
      </c>
      <c r="D28" s="41">
        <v>205.404178061941</v>
      </c>
      <c r="E28" s="42">
        <v>298.93312513859115</v>
      </c>
      <c r="F28" s="43">
        <v>359.22633786680461</v>
      </c>
      <c r="G28" s="48"/>
      <c r="H28" s="47">
        <v>21.302492001650826</v>
      </c>
      <c r="I28" s="48">
        <v>28.150407600017388</v>
      </c>
      <c r="J28" s="43">
        <v>32.587626402886045</v>
      </c>
      <c r="K28" s="48"/>
      <c r="L28" s="47">
        <v>46.766271475687269</v>
      </c>
      <c r="M28" s="48">
        <v>47.829141281952893</v>
      </c>
      <c r="N28" s="43">
        <v>52.53613613827207</v>
      </c>
      <c r="O28" s="53"/>
      <c r="P28" s="54">
        <v>0.19499999999999998</v>
      </c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</row>
    <row r="29" spans="1:34" x14ac:dyDescent="0.25">
      <c r="A29" s="3" t="s">
        <v>9</v>
      </c>
      <c r="B29" s="3" t="s">
        <v>33</v>
      </c>
      <c r="C29" s="1" t="s">
        <v>11</v>
      </c>
      <c r="D29" s="41">
        <v>154.45963301056989</v>
      </c>
      <c r="E29" s="42">
        <v>224.52763508019808</v>
      </c>
      <c r="F29" s="43">
        <v>269.69676251016335</v>
      </c>
      <c r="G29" s="48"/>
      <c r="H29" s="47">
        <v>16.019027109533052</v>
      </c>
      <c r="I29" s="48">
        <v>21.168515986492956</v>
      </c>
      <c r="J29" s="43">
        <v>24.505211443934016</v>
      </c>
      <c r="K29" s="48"/>
      <c r="L29" s="47">
        <v>35.167255104368152</v>
      </c>
      <c r="M29" s="48">
        <v>35.966510902194699</v>
      </c>
      <c r="N29" s="43">
        <v>39.506072292569421</v>
      </c>
      <c r="O29" s="53"/>
      <c r="P29" s="54">
        <v>0.19499999999999998</v>
      </c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</row>
    <row r="30" spans="1:34" x14ac:dyDescent="0.25">
      <c r="A30" s="3" t="s">
        <v>9</v>
      </c>
      <c r="B30" s="3" t="s">
        <v>34</v>
      </c>
      <c r="C30" s="1" t="s">
        <v>11</v>
      </c>
      <c r="D30" s="41">
        <v>153.61328812181239</v>
      </c>
      <c r="E30" s="42">
        <v>223.74642296178578</v>
      </c>
      <c r="F30" s="43">
        <v>268.91013794441568</v>
      </c>
      <c r="G30" s="48"/>
      <c r="H30" s="47">
        <v>15.931252579367662</v>
      </c>
      <c r="I30" s="48">
        <v>21.052525387793786</v>
      </c>
      <c r="J30" s="43">
        <v>24.370937782594446</v>
      </c>
      <c r="K30" s="48"/>
      <c r="L30" s="47">
        <v>34.974559925510803</v>
      </c>
      <c r="M30" s="48">
        <v>35.769436287454226</v>
      </c>
      <c r="N30" s="43">
        <v>39.28960303320369</v>
      </c>
      <c r="O30" s="53"/>
      <c r="P30" s="54">
        <v>0.19499999999999998</v>
      </c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</row>
    <row r="31" spans="1:34" x14ac:dyDescent="0.25">
      <c r="A31" s="3" t="s">
        <v>9</v>
      </c>
      <c r="B31" s="3" t="s">
        <v>35</v>
      </c>
      <c r="C31" s="1" t="s">
        <v>11</v>
      </c>
      <c r="D31" s="41">
        <v>193.8374445635302</v>
      </c>
      <c r="E31" s="42">
        <v>282.61557164239781</v>
      </c>
      <c r="F31" s="43">
        <v>339.786044330697</v>
      </c>
      <c r="G31" s="48"/>
      <c r="H31" s="47">
        <v>20.102904679912807</v>
      </c>
      <c r="I31" s="48">
        <v>26.565200007585407</v>
      </c>
      <c r="J31" s="43">
        <v>30.752549855249843</v>
      </c>
      <c r="K31" s="48"/>
      <c r="L31" s="47">
        <v>44.132766140121589</v>
      </c>
      <c r="M31" s="48">
        <v>45.135783552397079</v>
      </c>
      <c r="N31" s="43">
        <v>49.577717806759971</v>
      </c>
      <c r="O31" s="53"/>
      <c r="P31" s="54">
        <v>0.19499999999999998</v>
      </c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</row>
    <row r="32" spans="1:34" x14ac:dyDescent="0.25">
      <c r="A32" s="3" t="s">
        <v>9</v>
      </c>
      <c r="B32" s="3" t="s">
        <v>36</v>
      </c>
      <c r="C32" s="1" t="s">
        <v>11</v>
      </c>
      <c r="D32" s="41">
        <v>158.22067410747283</v>
      </c>
      <c r="E32" s="42">
        <v>230.02060388794439</v>
      </c>
      <c r="F32" s="43">
        <v>276.30636041096903</v>
      </c>
      <c r="G32" s="48"/>
      <c r="H32" s="47">
        <v>16.409085133866395</v>
      </c>
      <c r="I32" s="48">
        <v>21.683962365808114</v>
      </c>
      <c r="J32" s="43">
        <v>25.101905256631504</v>
      </c>
      <c r="K32" s="48"/>
      <c r="L32" s="47">
        <v>36.023566162052383</v>
      </c>
      <c r="M32" s="48">
        <v>36.842283574826297</v>
      </c>
      <c r="N32" s="43">
        <v>40.468032117110788</v>
      </c>
      <c r="O32" s="53"/>
      <c r="P32" s="54">
        <v>0.19499999999999998</v>
      </c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</row>
    <row r="33" spans="1:34" x14ac:dyDescent="0.25">
      <c r="A33" s="3" t="s">
        <v>9</v>
      </c>
      <c r="B33" s="3" t="s">
        <v>37</v>
      </c>
      <c r="C33" s="1" t="s">
        <v>11</v>
      </c>
      <c r="D33" s="41">
        <v>166.40420901396999</v>
      </c>
      <c r="E33" s="42">
        <v>242.46634913888681</v>
      </c>
      <c r="F33" s="43">
        <v>291.44810869243844</v>
      </c>
      <c r="G33" s="48"/>
      <c r="H33" s="47">
        <v>17.257800522889863</v>
      </c>
      <c r="I33" s="48">
        <v>22.805506461943274</v>
      </c>
      <c r="J33" s="43">
        <v>26.400233171400046</v>
      </c>
      <c r="K33" s="48"/>
      <c r="L33" s="47">
        <v>37.886787342259332</v>
      </c>
      <c r="M33" s="48">
        <v>38.747850690947047</v>
      </c>
      <c r="N33" s="43">
        <v>42.561131235135484</v>
      </c>
      <c r="O33" s="53"/>
      <c r="P33" s="54">
        <v>0.19499999999999998</v>
      </c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</row>
    <row r="34" spans="1:34" x14ac:dyDescent="0.25">
      <c r="A34" s="3" t="s">
        <v>9</v>
      </c>
      <c r="B34" s="3" t="s">
        <v>38</v>
      </c>
      <c r="C34" s="1" t="s">
        <v>11</v>
      </c>
      <c r="D34" s="41">
        <v>191.38586554808188</v>
      </c>
      <c r="E34" s="42">
        <v>278.45914332175323</v>
      </c>
      <c r="F34" s="43">
        <v>334.59069406460196</v>
      </c>
      <c r="G34" s="48"/>
      <c r="H34" s="47">
        <v>19.848651125478028</v>
      </c>
      <c r="I34" s="48">
        <v>26.229213908375154</v>
      </c>
      <c r="J34" s="43">
        <v>30.36360381819069</v>
      </c>
      <c r="K34" s="48"/>
      <c r="L34" s="47">
        <v>43.574592441502951</v>
      </c>
      <c r="M34" s="48">
        <v>44.564924087900749</v>
      </c>
      <c r="N34" s="43">
        <v>48.95067852194812</v>
      </c>
      <c r="O34" s="53"/>
      <c r="P34" s="54">
        <v>0.19499999999999998</v>
      </c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</row>
    <row r="35" spans="1:34" x14ac:dyDescent="0.25">
      <c r="A35" s="3" t="s">
        <v>9</v>
      </c>
      <c r="B35" s="3" t="s">
        <v>210</v>
      </c>
      <c r="C35" s="1" t="s">
        <v>11</v>
      </c>
      <c r="D35" s="41">
        <v>192.49106086924382</v>
      </c>
      <c r="E35" s="42">
        <v>280.64504074580532</v>
      </c>
      <c r="F35" s="43">
        <v>337.41363829551329</v>
      </c>
      <c r="G35" s="48"/>
      <c r="H35" s="47">
        <v>19.963271065108536</v>
      </c>
      <c r="I35" s="48">
        <v>26.380679662684006</v>
      </c>
      <c r="J35" s="43">
        <v>30.538944420159275</v>
      </c>
      <c r="K35" s="48"/>
      <c r="L35" s="47">
        <v>43.826222495530061</v>
      </c>
      <c r="M35" s="48">
        <v>44.822273006792102</v>
      </c>
      <c r="N35" s="43">
        <v>49.23335384238117</v>
      </c>
      <c r="O35" s="53"/>
      <c r="P35" s="54">
        <v>0.19499999999999998</v>
      </c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</row>
    <row r="36" spans="1:34" x14ac:dyDescent="0.25">
      <c r="A36" s="3" t="s">
        <v>9</v>
      </c>
      <c r="B36" s="3" t="s">
        <v>39</v>
      </c>
      <c r="C36" s="1" t="s">
        <v>11</v>
      </c>
      <c r="D36" s="41">
        <v>156.97933928967404</v>
      </c>
      <c r="E36" s="42">
        <v>228.6727266427674</v>
      </c>
      <c r="F36" s="43">
        <v>274.8411754379481</v>
      </c>
      <c r="G36" s="48"/>
      <c r="H36" s="47">
        <v>16.280346150672219</v>
      </c>
      <c r="I36" s="48">
        <v>21.513838849242685</v>
      </c>
      <c r="J36" s="43">
        <v>24.904965955469272</v>
      </c>
      <c r="K36" s="48"/>
      <c r="L36" s="47">
        <v>35.740939968032627</v>
      </c>
      <c r="M36" s="48">
        <v>36.553234058215189</v>
      </c>
      <c r="N36" s="43">
        <v>40.150536457595095</v>
      </c>
      <c r="O36" s="53"/>
      <c r="P36" s="54">
        <v>0.19499999999999998</v>
      </c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</row>
    <row r="37" spans="1:34" x14ac:dyDescent="0.25">
      <c r="A37" s="3" t="s">
        <v>9</v>
      </c>
      <c r="B37" s="3" t="s">
        <v>40</v>
      </c>
      <c r="C37" s="1" t="s">
        <v>11</v>
      </c>
      <c r="D37" s="41">
        <v>190.87303200532187</v>
      </c>
      <c r="E37" s="42">
        <v>277.71010422056321</v>
      </c>
      <c r="F37" s="43">
        <v>333.68938945967921</v>
      </c>
      <c r="G37" s="48"/>
      <c r="H37" s="47">
        <v>19.79546509710265</v>
      </c>
      <c r="I37" s="48">
        <v>26.158930658073881</v>
      </c>
      <c r="J37" s="43">
        <v>30.282242143583993</v>
      </c>
      <c r="K37" s="48"/>
      <c r="L37" s="47">
        <v>43.457830879450796</v>
      </c>
      <c r="M37" s="48">
        <v>44.445508853983767</v>
      </c>
      <c r="N37" s="43">
        <v>48.819511312629785</v>
      </c>
      <c r="O37" s="53"/>
      <c r="P37" s="54">
        <v>0.19499999999999998</v>
      </c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</row>
    <row r="38" spans="1:34" x14ac:dyDescent="0.25">
      <c r="A38" s="3" t="s">
        <v>9</v>
      </c>
      <c r="B38" s="3" t="s">
        <v>41</v>
      </c>
      <c r="C38" s="1" t="s">
        <v>11</v>
      </c>
      <c r="D38" s="41">
        <v>213.19219362111019</v>
      </c>
      <c r="E38" s="42">
        <v>310.94170254638186</v>
      </c>
      <c r="F38" s="43">
        <v>373.88954514376525</v>
      </c>
      <c r="G38" s="48"/>
      <c r="H38" s="47">
        <v>22.110188031611347</v>
      </c>
      <c r="I38" s="48">
        <v>29.217746222115803</v>
      </c>
      <c r="J38" s="43">
        <v>33.823204684967223</v>
      </c>
      <c r="K38" s="48"/>
      <c r="L38" s="47">
        <v>48.53944110316754</v>
      </c>
      <c r="M38" s="48">
        <v>49.642610219148622</v>
      </c>
      <c r="N38" s="43">
        <v>54.528073447064841</v>
      </c>
      <c r="O38" s="53"/>
      <c r="P38" s="54">
        <v>0.19499999999999998</v>
      </c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</row>
    <row r="39" spans="1:34" x14ac:dyDescent="0.25">
      <c r="A39" s="3" t="s">
        <v>9</v>
      </c>
      <c r="B39" s="3" t="s">
        <v>42</v>
      </c>
      <c r="C39" s="1" t="s">
        <v>11</v>
      </c>
      <c r="D39" s="41">
        <v>211.90050077611056</v>
      </c>
      <c r="E39" s="42">
        <v>308.42107694582006</v>
      </c>
      <c r="F39" s="43">
        <v>370.64287826151229</v>
      </c>
      <c r="G39" s="48"/>
      <c r="H39" s="47">
        <v>21.976226411361846</v>
      </c>
      <c r="I39" s="48">
        <v>29.040721195537227</v>
      </c>
      <c r="J39" s="43">
        <v>33.618276020627029</v>
      </c>
      <c r="K39" s="48"/>
      <c r="L39" s="47">
        <v>48.245349430727273</v>
      </c>
      <c r="M39" s="48">
        <v>49.341834645061986</v>
      </c>
      <c r="N39" s="43">
        <v>54.19769773711571</v>
      </c>
      <c r="O39" s="53"/>
      <c r="P39" s="54">
        <v>0.19499999999999998</v>
      </c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4"/>
    </row>
    <row r="40" spans="1:34" x14ac:dyDescent="0.25">
      <c r="A40" s="3" t="s">
        <v>9</v>
      </c>
      <c r="B40" s="3" t="s">
        <v>43</v>
      </c>
      <c r="C40" s="1" t="s">
        <v>11</v>
      </c>
      <c r="D40" s="41">
        <v>179.19517656515632</v>
      </c>
      <c r="E40" s="42">
        <v>261.1862291189297</v>
      </c>
      <c r="F40" s="43">
        <v>313.9859865843743</v>
      </c>
      <c r="G40" s="48"/>
      <c r="H40" s="47">
        <v>18.584353305425541</v>
      </c>
      <c r="I40" s="48">
        <v>24.558493930659271</v>
      </c>
      <c r="J40" s="43">
        <v>28.429535962718155</v>
      </c>
      <c r="K40" s="48"/>
      <c r="L40" s="47">
        <v>40.799025382301046</v>
      </c>
      <c r="M40" s="48">
        <v>41.726275959171531</v>
      </c>
      <c r="N40" s="43">
        <v>45.8326713710265</v>
      </c>
      <c r="O40" s="53"/>
      <c r="P40" s="54">
        <v>0.19499999999999998</v>
      </c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</row>
    <row r="41" spans="1:34" x14ac:dyDescent="0.25">
      <c r="A41" s="3" t="s">
        <v>9</v>
      </c>
      <c r="B41" s="3" t="s">
        <v>44</v>
      </c>
      <c r="C41" s="1" t="s">
        <v>11</v>
      </c>
      <c r="D41" s="41">
        <v>165.05782531968362</v>
      </c>
      <c r="E41" s="42">
        <v>240.49581824229429</v>
      </c>
      <c r="F41" s="43">
        <v>289.07565646019657</v>
      </c>
      <c r="G41" s="48"/>
      <c r="H41" s="47">
        <v>17.118166908085595</v>
      </c>
      <c r="I41" s="48">
        <v>22.620986117041873</v>
      </c>
      <c r="J41" s="43">
        <v>26.186627736309479</v>
      </c>
      <c r="K41" s="48"/>
      <c r="L41" s="47">
        <v>37.580243697667797</v>
      </c>
      <c r="M41" s="48">
        <v>38.43434014534207</v>
      </c>
      <c r="N41" s="43">
        <v>42.216767270756684</v>
      </c>
      <c r="O41" s="53"/>
      <c r="P41" s="54">
        <v>0.19499999999999998</v>
      </c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</row>
    <row r="42" spans="1:34" x14ac:dyDescent="0.25">
      <c r="A42" s="3" t="s">
        <v>9</v>
      </c>
      <c r="B42" s="3" t="s">
        <v>211</v>
      </c>
      <c r="C42" s="1" t="s">
        <v>11</v>
      </c>
      <c r="D42" s="41">
        <v>186.09555399512158</v>
      </c>
      <c r="E42" s="42">
        <v>271.28510098676918</v>
      </c>
      <c r="F42" s="43">
        <v>326.14465315248725</v>
      </c>
      <c r="G42" s="48"/>
      <c r="H42" s="47">
        <v>19.299992278289469</v>
      </c>
      <c r="I42" s="48">
        <v>25.504182762699024</v>
      </c>
      <c r="J42" s="43">
        <v>29.524289359890066</v>
      </c>
      <c r="K42" s="48"/>
      <c r="L42" s="47">
        <v>42.370098216453165</v>
      </c>
      <c r="M42" s="48">
        <v>43.333054994099825</v>
      </c>
      <c r="N42" s="43">
        <v>47.597577866535048</v>
      </c>
      <c r="O42" s="53"/>
      <c r="P42" s="54">
        <v>0.19499999999999998</v>
      </c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</row>
    <row r="43" spans="1:34" x14ac:dyDescent="0.25">
      <c r="A43" s="3" t="s">
        <v>9</v>
      </c>
      <c r="B43" s="3" t="s">
        <v>45</v>
      </c>
      <c r="C43" s="1" t="s">
        <v>11</v>
      </c>
      <c r="D43" s="41">
        <v>151.42539128908268</v>
      </c>
      <c r="E43" s="42">
        <v>220.54433947446225</v>
      </c>
      <c r="F43" s="43">
        <v>265.05496110207702</v>
      </c>
      <c r="G43" s="48"/>
      <c r="H43" s="47">
        <v>15.704345535803986</v>
      </c>
      <c r="I43" s="48">
        <v>20.752676630045755</v>
      </c>
      <c r="J43" s="43">
        <v>24.023825249316015</v>
      </c>
      <c r="K43" s="48"/>
      <c r="L43" s="47">
        <v>34.47642119140297</v>
      </c>
      <c r="M43" s="48">
        <v>35.259976218480311</v>
      </c>
      <c r="N43" s="43">
        <v>38.730005624108529</v>
      </c>
      <c r="O43" s="53"/>
      <c r="P43" s="54">
        <v>0.19499999999999998</v>
      </c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</row>
    <row r="44" spans="1:34" x14ac:dyDescent="0.25">
      <c r="A44" s="3" t="s">
        <v>9</v>
      </c>
      <c r="B44" s="3" t="s">
        <v>46</v>
      </c>
      <c r="C44" s="1" t="s">
        <v>11</v>
      </c>
      <c r="D44" s="41">
        <v>167.24572169044274</v>
      </c>
      <c r="E44" s="42">
        <v>243.69790172961783</v>
      </c>
      <c r="F44" s="43">
        <v>292.93083330253529</v>
      </c>
      <c r="G44" s="48"/>
      <c r="H44" s="47">
        <v>17.345073903738246</v>
      </c>
      <c r="I44" s="48">
        <v>22.920834811477363</v>
      </c>
      <c r="J44" s="43">
        <v>26.5337401962957</v>
      </c>
      <c r="K44" s="48"/>
      <c r="L44" s="47">
        <v>38.0783823265945</v>
      </c>
      <c r="M44" s="48">
        <v>38.943800106744376</v>
      </c>
      <c r="N44" s="43">
        <v>42.776364561693825</v>
      </c>
      <c r="O44" s="53"/>
      <c r="P44" s="54">
        <v>0.19499999999999998</v>
      </c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</row>
    <row r="45" spans="1:34" x14ac:dyDescent="0.25">
      <c r="A45" s="3" t="s">
        <v>9</v>
      </c>
      <c r="B45" s="3" t="s">
        <v>47</v>
      </c>
      <c r="C45" s="1" t="s">
        <v>11</v>
      </c>
      <c r="D45" s="41">
        <v>146.03971838273338</v>
      </c>
      <c r="E45" s="42">
        <v>212.662262547121</v>
      </c>
      <c r="F45" s="43">
        <v>255.56529215019586</v>
      </c>
      <c r="G45" s="48"/>
      <c r="H45" s="47">
        <v>15.145796751190575</v>
      </c>
      <c r="I45" s="48">
        <v>20.014576319990791</v>
      </c>
      <c r="J45" s="43">
        <v>23.169381594585044</v>
      </c>
      <c r="K45" s="48"/>
      <c r="L45" s="47">
        <v>33.250215163881791</v>
      </c>
      <c r="M45" s="48">
        <v>34.005901872151831</v>
      </c>
      <c r="N45" s="43">
        <v>37.352514437347729</v>
      </c>
      <c r="O45" s="53"/>
      <c r="P45" s="54">
        <v>0.19499999999999998</v>
      </c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</row>
    <row r="46" spans="1:34" x14ac:dyDescent="0.25">
      <c r="A46" s="3" t="s">
        <v>48</v>
      </c>
      <c r="B46" s="3" t="s">
        <v>49</v>
      </c>
      <c r="C46" s="8" t="s">
        <v>212</v>
      </c>
      <c r="D46" s="41">
        <v>143.09</v>
      </c>
      <c r="E46" s="42">
        <v>207.92</v>
      </c>
      <c r="F46" s="43">
        <v>249.72</v>
      </c>
      <c r="G46" s="48"/>
      <c r="H46" s="47">
        <v>5.4684998163412306</v>
      </c>
      <c r="I46" s="48">
        <v>7.2264080079784243</v>
      </c>
      <c r="J46" s="43">
        <v>8.3654733439340827</v>
      </c>
      <c r="K46" s="48"/>
      <c r="L46" s="47">
        <v>12.284422880711018</v>
      </c>
      <c r="M46" s="48">
        <v>12.563614309818085</v>
      </c>
      <c r="N46" s="43">
        <v>13.800033495863675</v>
      </c>
      <c r="O46" s="53"/>
      <c r="P46" s="54">
        <v>0.19499999999999998</v>
      </c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</row>
    <row r="47" spans="1:34" x14ac:dyDescent="0.25">
      <c r="A47" s="3" t="s">
        <v>50</v>
      </c>
      <c r="B47" s="3" t="s">
        <v>51</v>
      </c>
      <c r="C47" s="8" t="s">
        <v>212</v>
      </c>
      <c r="D47" s="41">
        <v>156.46</v>
      </c>
      <c r="E47" s="42">
        <v>227.45</v>
      </c>
      <c r="F47" s="43">
        <v>273.22000000000003</v>
      </c>
      <c r="G47" s="48"/>
      <c r="H47" s="47">
        <v>16.165296439569111</v>
      </c>
      <c r="I47" s="48">
        <v>21.361805168790379</v>
      </c>
      <c r="J47" s="43">
        <v>24.728967907780881</v>
      </c>
      <c r="K47" s="48"/>
      <c r="L47" s="47">
        <v>36.313677265254533</v>
      </c>
      <c r="M47" s="48">
        <v>37.138988112192138</v>
      </c>
      <c r="N47" s="43">
        <v>40.793936148630095</v>
      </c>
      <c r="O47" s="53"/>
      <c r="P47" s="54">
        <v>0.19499999999999998</v>
      </c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</row>
    <row r="48" spans="1:34" x14ac:dyDescent="0.25">
      <c r="A48" s="3" t="s">
        <v>52</v>
      </c>
      <c r="B48" s="3" t="s">
        <v>53</v>
      </c>
      <c r="C48" s="8" t="s">
        <v>212</v>
      </c>
      <c r="D48" s="41">
        <v>151.46</v>
      </c>
      <c r="E48" s="42">
        <v>220.15</v>
      </c>
      <c r="F48" s="43">
        <v>264.43</v>
      </c>
      <c r="G48" s="48"/>
      <c r="H48" s="47">
        <v>7.8238914698216044</v>
      </c>
      <c r="I48" s="48">
        <v>10.338965688930173</v>
      </c>
      <c r="J48" s="43">
        <v>11.96864912403278</v>
      </c>
      <c r="K48" s="48"/>
      <c r="L48" s="47">
        <v>17.575568184325409</v>
      </c>
      <c r="M48" s="48">
        <v>17.975012915787349</v>
      </c>
      <c r="N48" s="43">
        <v>19.74398244083309</v>
      </c>
      <c r="O48" s="53"/>
      <c r="P48" s="54">
        <v>0.19499999999999998</v>
      </c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</row>
    <row r="49" spans="1:34" x14ac:dyDescent="0.25">
      <c r="A49" s="3" t="s">
        <v>54</v>
      </c>
      <c r="B49" s="3" t="s">
        <v>55</v>
      </c>
      <c r="C49" s="8" t="s">
        <v>212</v>
      </c>
      <c r="D49" s="41">
        <v>151.46</v>
      </c>
      <c r="E49" s="42">
        <v>220.15</v>
      </c>
      <c r="F49" s="43">
        <v>264.43</v>
      </c>
      <c r="G49" s="48"/>
      <c r="H49" s="47">
        <v>7.8238914698216044</v>
      </c>
      <c r="I49" s="48">
        <v>10.338965688930173</v>
      </c>
      <c r="J49" s="43">
        <v>11.96864912403278</v>
      </c>
      <c r="K49" s="48"/>
      <c r="L49" s="47">
        <v>17.575568184325409</v>
      </c>
      <c r="M49" s="48">
        <v>17.975012915787349</v>
      </c>
      <c r="N49" s="43">
        <v>19.74398244083309</v>
      </c>
      <c r="O49" s="53"/>
      <c r="P49" s="54">
        <v>0.19499999999999998</v>
      </c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</row>
    <row r="50" spans="1:34" x14ac:dyDescent="0.25">
      <c r="A50" s="3" t="s">
        <v>56</v>
      </c>
      <c r="B50" s="3" t="s">
        <v>57</v>
      </c>
      <c r="C50" s="8" t="s">
        <v>212</v>
      </c>
      <c r="D50" s="41">
        <v>187.48</v>
      </c>
      <c r="E50" s="42">
        <v>272.75</v>
      </c>
      <c r="F50" s="43">
        <v>327.72</v>
      </c>
      <c r="G50" s="48"/>
      <c r="H50" s="47">
        <v>19.365790749732081</v>
      </c>
      <c r="I50" s="48">
        <v>25.591132861796542</v>
      </c>
      <c r="J50" s="43">
        <v>29.624945001731721</v>
      </c>
      <c r="K50" s="48"/>
      <c r="L50" s="47">
        <v>43.503258842246602</v>
      </c>
      <c r="M50" s="48">
        <v>44.491969270479473</v>
      </c>
      <c r="N50" s="43">
        <v>48.870544024082221</v>
      </c>
      <c r="O50" s="53"/>
      <c r="P50" s="54">
        <v>0.19499999999999998</v>
      </c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</row>
    <row r="51" spans="1:34" x14ac:dyDescent="0.25">
      <c r="A51" s="3" t="s">
        <v>58</v>
      </c>
      <c r="B51" s="3" t="s">
        <v>59</v>
      </c>
      <c r="C51" s="8" t="s">
        <v>212</v>
      </c>
      <c r="D51" s="41">
        <v>187.73</v>
      </c>
      <c r="E51" s="42">
        <v>273.13</v>
      </c>
      <c r="F51" s="43">
        <v>328.17</v>
      </c>
      <c r="G51" s="48"/>
      <c r="H51" s="47">
        <v>16.093404584228701</v>
      </c>
      <c r="I51" s="48">
        <v>21.26680290188202</v>
      </c>
      <c r="J51" s="43">
        <v>24.618990872086556</v>
      </c>
      <c r="K51" s="48"/>
      <c r="L51" s="47">
        <v>36.152179600018918</v>
      </c>
      <c r="M51" s="48">
        <v>36.973820045473893</v>
      </c>
      <c r="N51" s="43">
        <v>40.612513446774493</v>
      </c>
      <c r="O51" s="53"/>
      <c r="P51" s="54">
        <v>0.19499999999999998</v>
      </c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4"/>
    </row>
    <row r="52" spans="1:34" x14ac:dyDescent="0.25">
      <c r="A52" s="3" t="s">
        <v>60</v>
      </c>
      <c r="B52" s="3" t="s">
        <v>61</v>
      </c>
      <c r="C52" s="8" t="s">
        <v>212</v>
      </c>
      <c r="D52" s="41">
        <v>99.74</v>
      </c>
      <c r="E52" s="42">
        <v>144.6</v>
      </c>
      <c r="F52" s="43">
        <v>173.53</v>
      </c>
      <c r="G52" s="48"/>
      <c r="H52" s="47">
        <v>3.8127158918789181</v>
      </c>
      <c r="I52" s="48">
        <v>5.038354499142069</v>
      </c>
      <c r="J52" s="43">
        <v>5.8325270609310955</v>
      </c>
      <c r="K52" s="48"/>
      <c r="L52" s="47">
        <v>8.5648744468980897</v>
      </c>
      <c r="M52" s="48">
        <v>8.7595306843275917</v>
      </c>
      <c r="N52" s="43">
        <v>9.6215797358011006</v>
      </c>
      <c r="O52" s="53"/>
      <c r="P52" s="54">
        <v>0.19499999999999998</v>
      </c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4"/>
    </row>
    <row r="53" spans="1:34" x14ac:dyDescent="0.25">
      <c r="A53" s="3" t="s">
        <v>62</v>
      </c>
      <c r="B53" s="3" t="s">
        <v>63</v>
      </c>
      <c r="C53" s="8" t="s">
        <v>212</v>
      </c>
      <c r="D53" s="41">
        <v>188.42</v>
      </c>
      <c r="E53" s="42">
        <v>274.13</v>
      </c>
      <c r="F53" s="43">
        <v>329.38</v>
      </c>
      <c r="G53" s="48"/>
      <c r="H53" s="47">
        <v>9.7306020301698322</v>
      </c>
      <c r="I53" s="48">
        <v>12.858608904611261</v>
      </c>
      <c r="J53" s="43">
        <v>14.885452068695328</v>
      </c>
      <c r="K53" s="48"/>
      <c r="L53" s="47">
        <v>21.85879751980821</v>
      </c>
      <c r="M53" s="48">
        <v>22.355588372531123</v>
      </c>
      <c r="N53" s="43">
        <v>24.555662148875459</v>
      </c>
      <c r="O53" s="53"/>
      <c r="P53" s="54">
        <v>0.19499999999999998</v>
      </c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  <c r="AF53" s="14"/>
      <c r="AG53" s="14"/>
      <c r="AH53" s="14"/>
    </row>
    <row r="54" spans="1:34" x14ac:dyDescent="0.25">
      <c r="A54" s="3" t="s">
        <v>64</v>
      </c>
      <c r="B54" s="3" t="s">
        <v>65</v>
      </c>
      <c r="C54" s="8" t="s">
        <v>212</v>
      </c>
      <c r="D54" s="41">
        <v>157.30000000000001</v>
      </c>
      <c r="E54" s="42">
        <v>228.68</v>
      </c>
      <c r="F54" s="43">
        <v>274.69</v>
      </c>
      <c r="G54" s="48"/>
      <c r="H54" s="47">
        <v>9.0967050333267299</v>
      </c>
      <c r="I54" s="48">
        <v>12.020938887592715</v>
      </c>
      <c r="J54" s="43">
        <v>13.915743993722991</v>
      </c>
      <c r="K54" s="48"/>
      <c r="L54" s="47">
        <v>20.434813057238831</v>
      </c>
      <c r="M54" s="48">
        <v>20.899240626721536</v>
      </c>
      <c r="N54" s="43">
        <v>22.955991291573493</v>
      </c>
      <c r="O54" s="53"/>
      <c r="P54" s="54">
        <v>0.19499999999999998</v>
      </c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4"/>
      <c r="AH54" s="14"/>
    </row>
    <row r="55" spans="1:34" x14ac:dyDescent="0.25">
      <c r="A55" s="3" t="s">
        <v>66</v>
      </c>
      <c r="B55" s="3" t="s">
        <v>67</v>
      </c>
      <c r="C55" s="8" t="s">
        <v>212</v>
      </c>
      <c r="D55" s="41">
        <v>165.13</v>
      </c>
      <c r="E55" s="42">
        <v>240.11</v>
      </c>
      <c r="F55" s="43">
        <v>288.45</v>
      </c>
      <c r="G55" s="48"/>
      <c r="H55" s="47">
        <v>2.5585805210264305</v>
      </c>
      <c r="I55" s="48">
        <v>3.381063799426721</v>
      </c>
      <c r="J55" s="43">
        <v>3.9140052785584665</v>
      </c>
      <c r="K55" s="48"/>
      <c r="L55" s="47">
        <v>5.7475882143610821</v>
      </c>
      <c r="M55" s="48">
        <v>5.8782152192329242</v>
      </c>
      <c r="N55" s="43">
        <v>6.4567062408082281</v>
      </c>
      <c r="O55" s="53"/>
      <c r="P55" s="54">
        <v>0.19499999999999998</v>
      </c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4"/>
      <c r="AH55" s="14"/>
    </row>
    <row r="56" spans="1:34" x14ac:dyDescent="0.25">
      <c r="A56" s="3" t="s">
        <v>68</v>
      </c>
      <c r="B56" s="3" t="s">
        <v>69</v>
      </c>
      <c r="C56" s="8" t="s">
        <v>212</v>
      </c>
      <c r="D56" s="41">
        <v>171.38</v>
      </c>
      <c r="E56" s="42">
        <v>249.24</v>
      </c>
      <c r="F56" s="43">
        <v>299.43</v>
      </c>
      <c r="G56" s="48"/>
      <c r="H56" s="47">
        <v>17.701243320110706</v>
      </c>
      <c r="I56" s="48">
        <v>23.391498724636822</v>
      </c>
      <c r="J56" s="43">
        <v>27.07859268942093</v>
      </c>
      <c r="K56" s="48"/>
      <c r="L56" s="47">
        <v>39.764024094653514</v>
      </c>
      <c r="M56" s="48">
        <v>40.667751914986546</v>
      </c>
      <c r="N56" s="43">
        <v>44.669975119318558</v>
      </c>
      <c r="O56" s="53"/>
      <c r="P56" s="54">
        <v>0.19499999999999998</v>
      </c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  <c r="AE56" s="14"/>
      <c r="AF56" s="14"/>
      <c r="AG56" s="14"/>
      <c r="AH56" s="14"/>
    </row>
    <row r="57" spans="1:34" x14ac:dyDescent="0.25">
      <c r="A57" s="3" t="s">
        <v>70</v>
      </c>
      <c r="B57" s="3" t="s">
        <v>71</v>
      </c>
      <c r="C57" s="8" t="s">
        <v>212</v>
      </c>
      <c r="D57" s="41">
        <v>135.19</v>
      </c>
      <c r="E57" s="42">
        <v>196.39</v>
      </c>
      <c r="F57" s="43">
        <v>235.84</v>
      </c>
      <c r="G57" s="48"/>
      <c r="H57" s="47">
        <v>17.199771471978973</v>
      </c>
      <c r="I57" s="48">
        <v>22.728823347326589</v>
      </c>
      <c r="J57" s="43">
        <v>26.311462851408773</v>
      </c>
      <c r="K57" s="48"/>
      <c r="L57" s="47">
        <v>38.637519120325194</v>
      </c>
      <c r="M57" s="48">
        <v>39.515644554878037</v>
      </c>
      <c r="N57" s="43">
        <v>43.40448576504064</v>
      </c>
      <c r="O57" s="53"/>
      <c r="P57" s="54">
        <v>0.19499999999999998</v>
      </c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  <c r="AE57" s="14"/>
      <c r="AF57" s="14"/>
      <c r="AG57" s="14"/>
      <c r="AH57" s="14"/>
    </row>
    <row r="58" spans="1:34" x14ac:dyDescent="0.25">
      <c r="A58" s="3" t="s">
        <v>70</v>
      </c>
      <c r="B58" s="3" t="s">
        <v>72</v>
      </c>
      <c r="C58" s="8" t="s">
        <v>212</v>
      </c>
      <c r="D58" s="41">
        <v>165.84467778611449</v>
      </c>
      <c r="E58" s="42">
        <v>225.97369393733365</v>
      </c>
      <c r="F58" s="43">
        <v>317.78372474346304</v>
      </c>
      <c r="G58" s="48"/>
      <c r="H58" s="47">
        <v>17.199771471978973</v>
      </c>
      <c r="I58" s="48">
        <v>22.728823347326589</v>
      </c>
      <c r="J58" s="43">
        <v>26.311462851408773</v>
      </c>
      <c r="K58" s="48"/>
      <c r="L58" s="47">
        <v>38.637519120325194</v>
      </c>
      <c r="M58" s="48">
        <v>39.515644554878037</v>
      </c>
      <c r="N58" s="43">
        <v>43.40448576504064</v>
      </c>
      <c r="O58" s="53"/>
      <c r="P58" s="54">
        <v>0.19499999999999998</v>
      </c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  <c r="AE58" s="14"/>
      <c r="AF58" s="14"/>
      <c r="AG58" s="14"/>
      <c r="AH58" s="14"/>
    </row>
    <row r="59" spans="1:34" x14ac:dyDescent="0.25">
      <c r="A59" s="3" t="s">
        <v>73</v>
      </c>
      <c r="B59" s="3" t="s">
        <v>74</v>
      </c>
      <c r="C59" s="8" t="s">
        <v>212</v>
      </c>
      <c r="D59" s="41">
        <v>99.313864661098364</v>
      </c>
      <c r="E59" s="42">
        <v>135.32132086628721</v>
      </c>
      <c r="F59" s="43">
        <v>190.30052849434549</v>
      </c>
      <c r="G59" s="48"/>
      <c r="H59" s="47">
        <v>10.299852844074561</v>
      </c>
      <c r="I59" s="48">
        <v>13.610851526592667</v>
      </c>
      <c r="J59" s="43">
        <v>15.756267222698369</v>
      </c>
      <c r="K59" s="48"/>
      <c r="L59" s="47">
        <v>21.812409756097555</v>
      </c>
      <c r="M59" s="48">
        <v>22.308146341463413</v>
      </c>
      <c r="N59" s="43">
        <v>24.503551219512193</v>
      </c>
      <c r="O59" s="53"/>
      <c r="P59" s="54">
        <v>0.19499999999999998</v>
      </c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/>
      <c r="AE59" s="14"/>
      <c r="AF59" s="14"/>
      <c r="AG59" s="14"/>
      <c r="AH59" s="14"/>
    </row>
    <row r="60" spans="1:34" x14ac:dyDescent="0.25">
      <c r="A60" s="3" t="s">
        <v>73</v>
      </c>
      <c r="B60" s="3" t="s">
        <v>75</v>
      </c>
      <c r="C60" s="8" t="s">
        <v>212</v>
      </c>
      <c r="D60" s="41">
        <v>99.313864661098364</v>
      </c>
      <c r="E60" s="42">
        <v>135.32132086628721</v>
      </c>
      <c r="F60" s="43">
        <v>190.30052849434549</v>
      </c>
      <c r="G60" s="48"/>
      <c r="H60" s="47">
        <v>10.299852844074561</v>
      </c>
      <c r="I60" s="48">
        <v>13.610851526592667</v>
      </c>
      <c r="J60" s="43">
        <v>15.756267222698369</v>
      </c>
      <c r="K60" s="48"/>
      <c r="L60" s="47">
        <v>21.812409756097555</v>
      </c>
      <c r="M60" s="48">
        <v>22.308146341463413</v>
      </c>
      <c r="N60" s="43">
        <v>24.503551219512193</v>
      </c>
      <c r="O60" s="53"/>
      <c r="P60" s="54">
        <v>0.19499999999999998</v>
      </c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  <c r="AE60" s="14"/>
      <c r="AF60" s="14"/>
      <c r="AG60" s="14"/>
      <c r="AH60" s="14"/>
    </row>
    <row r="61" spans="1:34" s="16" customFormat="1" x14ac:dyDescent="0.25">
      <c r="A61" s="3" t="s">
        <v>73</v>
      </c>
      <c r="B61" s="3" t="s">
        <v>76</v>
      </c>
      <c r="C61" s="8" t="s">
        <v>212</v>
      </c>
      <c r="D61" s="41">
        <v>99.313864661098364</v>
      </c>
      <c r="E61" s="42">
        <v>135.32132086628721</v>
      </c>
      <c r="F61" s="43">
        <v>190.30052849434549</v>
      </c>
      <c r="G61" s="48"/>
      <c r="H61" s="47">
        <v>10.299852844074561</v>
      </c>
      <c r="I61" s="48">
        <v>13.610851526592667</v>
      </c>
      <c r="J61" s="43">
        <v>15.756267222698369</v>
      </c>
      <c r="K61" s="48"/>
      <c r="L61" s="47">
        <v>21.812409756097555</v>
      </c>
      <c r="M61" s="48">
        <v>22.308146341463413</v>
      </c>
      <c r="N61" s="43">
        <v>24.503551219512193</v>
      </c>
      <c r="O61" s="53"/>
      <c r="P61" s="54">
        <v>0.19499999999999998</v>
      </c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5"/>
      <c r="AH61" s="15"/>
    </row>
    <row r="62" spans="1:34" x14ac:dyDescent="0.25">
      <c r="A62" s="3" t="s">
        <v>77</v>
      </c>
      <c r="B62" s="3" t="s">
        <v>78</v>
      </c>
      <c r="C62" s="8" t="s">
        <v>212</v>
      </c>
      <c r="D62" s="41">
        <v>100.42</v>
      </c>
      <c r="E62" s="42">
        <v>145.61000000000001</v>
      </c>
      <c r="F62" s="43">
        <v>174.73</v>
      </c>
      <c r="G62" s="48"/>
      <c r="H62" s="47">
        <v>12.264521449486464</v>
      </c>
      <c r="I62" s="48">
        <v>16.207084025448523</v>
      </c>
      <c r="J62" s="43">
        <v>18.761731865693225</v>
      </c>
      <c r="K62" s="48"/>
      <c r="L62" s="47">
        <v>26.173437748243902</v>
      </c>
      <c r="M62" s="48">
        <v>26.768288606158535</v>
      </c>
      <c r="N62" s="43">
        <v>29.402628119780488</v>
      </c>
      <c r="O62" s="53"/>
      <c r="P62" s="54">
        <v>0.19499999999999998</v>
      </c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</row>
    <row r="63" spans="1:34" x14ac:dyDescent="0.25">
      <c r="A63" s="3" t="s">
        <v>79</v>
      </c>
      <c r="B63" s="3" t="s">
        <v>80</v>
      </c>
      <c r="C63" s="8" t="s">
        <v>212</v>
      </c>
      <c r="D63" s="41">
        <v>88.71</v>
      </c>
      <c r="E63" s="42">
        <v>128.49</v>
      </c>
      <c r="F63" s="43">
        <v>154.13999999999999</v>
      </c>
      <c r="G63" s="48"/>
      <c r="H63" s="47">
        <v>12.264521449486464</v>
      </c>
      <c r="I63" s="48">
        <v>16.207084025448523</v>
      </c>
      <c r="J63" s="43">
        <v>18.761731865693225</v>
      </c>
      <c r="K63" s="48"/>
      <c r="L63" s="47">
        <v>24.139499999999998</v>
      </c>
      <c r="M63" s="48">
        <v>24.688124999999999</v>
      </c>
      <c r="N63" s="43">
        <v>27.117750000000001</v>
      </c>
      <c r="O63" s="53"/>
      <c r="P63" s="54">
        <v>0.19499999999999998</v>
      </c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</row>
    <row r="64" spans="1:34" x14ac:dyDescent="0.25">
      <c r="A64" s="3" t="s">
        <v>81</v>
      </c>
      <c r="B64" s="3" t="s">
        <v>42</v>
      </c>
      <c r="C64" s="8" t="s">
        <v>212</v>
      </c>
      <c r="D64" s="41">
        <v>83.63</v>
      </c>
      <c r="E64" s="42">
        <v>121.08</v>
      </c>
      <c r="F64" s="43">
        <v>145.22999999999999</v>
      </c>
      <c r="G64" s="48"/>
      <c r="H64" s="47">
        <v>14.827357442102276</v>
      </c>
      <c r="I64" s="48">
        <v>19.593771263661754</v>
      </c>
      <c r="J64" s="43">
        <v>22.682246979735357</v>
      </c>
      <c r="K64" s="48"/>
      <c r="L64" s="47">
        <v>27.8124</v>
      </c>
      <c r="M64" s="48">
        <v>28.444500000000001</v>
      </c>
      <c r="N64" s="43">
        <v>31.2438</v>
      </c>
      <c r="O64" s="53"/>
      <c r="P64" s="54">
        <v>0.19499999999999998</v>
      </c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4"/>
      <c r="AH64" s="14"/>
    </row>
    <row r="65" spans="1:34" x14ac:dyDescent="0.25">
      <c r="A65" s="3" t="s">
        <v>82</v>
      </c>
      <c r="B65" s="3" t="s">
        <v>83</v>
      </c>
      <c r="C65" s="8" t="s">
        <v>212</v>
      </c>
      <c r="D65" s="41">
        <v>103.59092265044072</v>
      </c>
      <c r="E65" s="42">
        <v>141.14907853652338</v>
      </c>
      <c r="F65" s="43">
        <v>198.49602464737785</v>
      </c>
      <c r="G65" s="48"/>
      <c r="H65" s="47">
        <v>10.743427042361251</v>
      </c>
      <c r="I65" s="48">
        <v>14.197017430640589</v>
      </c>
      <c r="J65" s="43">
        <v>16.434827752358757</v>
      </c>
      <c r="K65" s="48"/>
      <c r="L65" s="47">
        <v>22.927304587804876</v>
      </c>
      <c r="M65" s="48">
        <v>23.448379692073171</v>
      </c>
      <c r="N65" s="43">
        <v>25.75599801097561</v>
      </c>
      <c r="O65" s="53"/>
      <c r="P65" s="54">
        <v>0.19499999999999998</v>
      </c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</row>
    <row r="66" spans="1:34" x14ac:dyDescent="0.25">
      <c r="A66" s="3" t="s">
        <v>82</v>
      </c>
      <c r="B66" s="3" t="s">
        <v>84</v>
      </c>
      <c r="C66" s="8" t="s">
        <v>212</v>
      </c>
      <c r="D66" s="41">
        <v>103.59092265044072</v>
      </c>
      <c r="E66" s="42">
        <v>141.14907853652338</v>
      </c>
      <c r="F66" s="43">
        <v>198.49602464737785</v>
      </c>
      <c r="G66" s="48"/>
      <c r="H66" s="47">
        <v>10.743427042361251</v>
      </c>
      <c r="I66" s="48">
        <v>14.197017430640589</v>
      </c>
      <c r="J66" s="43">
        <v>16.434827752358757</v>
      </c>
      <c r="K66" s="48"/>
      <c r="L66" s="47">
        <v>22.927304587804876</v>
      </c>
      <c r="M66" s="48">
        <v>23.448379692073171</v>
      </c>
      <c r="N66" s="43">
        <v>25.75599801097561</v>
      </c>
      <c r="O66" s="53"/>
      <c r="P66" s="54">
        <v>0.19499999999999998</v>
      </c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14"/>
    </row>
    <row r="67" spans="1:34" x14ac:dyDescent="0.25">
      <c r="A67" s="3" t="s">
        <v>82</v>
      </c>
      <c r="B67" s="3" t="s">
        <v>85</v>
      </c>
      <c r="C67" s="8" t="s">
        <v>212</v>
      </c>
      <c r="D67" s="41">
        <v>103.59092265044072</v>
      </c>
      <c r="E67" s="42">
        <v>141.14907853652338</v>
      </c>
      <c r="F67" s="43">
        <v>198.49602464737785</v>
      </c>
      <c r="G67" s="48"/>
      <c r="H67" s="47">
        <v>10.743427042361251</v>
      </c>
      <c r="I67" s="48">
        <v>14.197017430640589</v>
      </c>
      <c r="J67" s="43">
        <v>16.434827752358757</v>
      </c>
      <c r="K67" s="48"/>
      <c r="L67" s="47">
        <v>22.927304587804876</v>
      </c>
      <c r="M67" s="48">
        <v>23.448379692073171</v>
      </c>
      <c r="N67" s="43">
        <v>25.75599801097561</v>
      </c>
      <c r="O67" s="53"/>
      <c r="P67" s="54">
        <v>0.19499999999999998</v>
      </c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4"/>
      <c r="AH67" s="14"/>
    </row>
    <row r="68" spans="1:34" x14ac:dyDescent="0.25">
      <c r="A68" s="3" t="s">
        <v>82</v>
      </c>
      <c r="B68" s="3" t="s">
        <v>86</v>
      </c>
      <c r="C68" s="8" t="s">
        <v>212</v>
      </c>
      <c r="D68" s="44">
        <v>103.59092265044072</v>
      </c>
      <c r="E68" s="45">
        <v>141.14907853652338</v>
      </c>
      <c r="F68" s="46">
        <v>198.49602464737785</v>
      </c>
      <c r="G68" s="48"/>
      <c r="H68" s="47">
        <v>10.743427042361251</v>
      </c>
      <c r="I68" s="48">
        <v>14.197017430640589</v>
      </c>
      <c r="J68" s="43">
        <v>16.434827752358757</v>
      </c>
      <c r="K68" s="48"/>
      <c r="L68" s="47">
        <v>22.927304587804876</v>
      </c>
      <c r="M68" s="48">
        <v>23.448379692073171</v>
      </c>
      <c r="N68" s="43">
        <v>25.75599801097561</v>
      </c>
      <c r="O68" s="53"/>
      <c r="P68" s="54">
        <v>0.19499999999999998</v>
      </c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4"/>
      <c r="AH68" s="14"/>
    </row>
    <row r="69" spans="1:34" x14ac:dyDescent="0.25">
      <c r="A69" s="3" t="s">
        <v>87</v>
      </c>
      <c r="B69" s="3" t="s">
        <v>88</v>
      </c>
      <c r="C69" s="8" t="s">
        <v>212</v>
      </c>
      <c r="D69" s="47">
        <v>120.04</v>
      </c>
      <c r="E69" s="48">
        <v>174.26</v>
      </c>
      <c r="F69" s="43">
        <v>209.21</v>
      </c>
      <c r="G69" s="48"/>
      <c r="H69" s="47">
        <v>24.887428682926824</v>
      </c>
      <c r="I69" s="48">
        <v>34.910186926829262</v>
      </c>
      <c r="J69" s="43">
        <v>41.071520195121941</v>
      </c>
      <c r="K69" s="48"/>
      <c r="L69" s="47">
        <v>36.247092682926827</v>
      </c>
      <c r="M69" s="48">
        <v>37.070890243902433</v>
      </c>
      <c r="N69" s="43">
        <v>40.719136585365852</v>
      </c>
      <c r="O69" s="53"/>
      <c r="P69" s="54">
        <v>0.19499999999999998</v>
      </c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</row>
    <row r="70" spans="1:34" x14ac:dyDescent="0.25">
      <c r="A70" s="3" t="s">
        <v>213</v>
      </c>
      <c r="B70" s="3" t="s">
        <v>214</v>
      </c>
      <c r="C70" s="1" t="s">
        <v>11</v>
      </c>
      <c r="D70" s="47">
        <v>128.02000000000001</v>
      </c>
      <c r="E70" s="48">
        <v>202.76</v>
      </c>
      <c r="F70" s="43">
        <v>272.32</v>
      </c>
      <c r="G70" s="48"/>
      <c r="H70" s="47">
        <v>13.308</v>
      </c>
      <c r="I70" s="48">
        <v>17.585999999999999</v>
      </c>
      <c r="J70" s="43">
        <v>20.358000000000001</v>
      </c>
      <c r="K70" s="48"/>
      <c r="L70" s="47">
        <v>28.025535999999999</v>
      </c>
      <c r="M70" s="48">
        <v>28.662479999999999</v>
      </c>
      <c r="N70" s="43">
        <v>31.483232000000001</v>
      </c>
      <c r="O70" s="53"/>
      <c r="P70" s="54">
        <v>0.19499999999999998</v>
      </c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</row>
    <row r="71" spans="1:34" x14ac:dyDescent="0.25">
      <c r="A71" s="3" t="s">
        <v>213</v>
      </c>
      <c r="B71" s="3" t="s">
        <v>215</v>
      </c>
      <c r="C71" s="1" t="s">
        <v>11</v>
      </c>
      <c r="D71" s="47">
        <f t="shared" ref="D71:F72" si="0">D$25*0.58</f>
        <v>89.190004804494038</v>
      </c>
      <c r="E71" s="48">
        <f t="shared" si="0"/>
        <v>129.6467357158696</v>
      </c>
      <c r="F71" s="43">
        <f t="shared" si="0"/>
        <v>155.7271490871461</v>
      </c>
      <c r="G71" s="48"/>
      <c r="H71" s="47">
        <v>12.8644</v>
      </c>
      <c r="I71" s="48">
        <v>16.999799999999997</v>
      </c>
      <c r="J71" s="43">
        <v>19.679399999999998</v>
      </c>
      <c r="K71" s="48"/>
      <c r="L71" s="47">
        <v>27.164639464797641</v>
      </c>
      <c r="M71" s="48">
        <v>27.782017634452135</v>
      </c>
      <c r="N71" s="43">
        <v>30.51612095720774</v>
      </c>
      <c r="O71" s="53"/>
      <c r="P71" s="54">
        <v>0.19499999999999998</v>
      </c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  <c r="AC71" s="14"/>
      <c r="AD71" s="14"/>
      <c r="AE71" s="14"/>
      <c r="AF71" s="14"/>
      <c r="AG71" s="14"/>
      <c r="AH71" s="14"/>
    </row>
    <row r="72" spans="1:34" x14ac:dyDescent="0.25">
      <c r="A72" s="3" t="s">
        <v>213</v>
      </c>
      <c r="B72" s="3" t="s">
        <v>216</v>
      </c>
      <c r="C72" s="1" t="s">
        <v>11</v>
      </c>
      <c r="D72" s="47">
        <f t="shared" si="0"/>
        <v>89.190004804494038</v>
      </c>
      <c r="E72" s="48">
        <f t="shared" si="0"/>
        <v>129.6467357158696</v>
      </c>
      <c r="F72" s="43">
        <f t="shared" si="0"/>
        <v>155.7271490871461</v>
      </c>
      <c r="G72" s="48"/>
      <c r="H72" s="47">
        <v>12.8644</v>
      </c>
      <c r="I72" s="48">
        <v>16.999799999999997</v>
      </c>
      <c r="J72" s="43">
        <v>19.679399999999998</v>
      </c>
      <c r="K72" s="48"/>
      <c r="L72" s="47">
        <v>27.164639464797641</v>
      </c>
      <c r="M72" s="48">
        <v>27.782017634452135</v>
      </c>
      <c r="N72" s="43">
        <v>30.51612095720774</v>
      </c>
      <c r="O72" s="53"/>
      <c r="P72" s="54">
        <v>0.19499999999999998</v>
      </c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  <c r="AD72" s="14"/>
      <c r="AE72" s="14"/>
      <c r="AF72" s="14"/>
      <c r="AG72" s="14"/>
      <c r="AH72" s="14"/>
    </row>
    <row r="73" spans="1:34" x14ac:dyDescent="0.25">
      <c r="A73" s="3" t="s">
        <v>213</v>
      </c>
      <c r="B73" s="3" t="s">
        <v>217</v>
      </c>
      <c r="C73" s="1" t="s">
        <v>11</v>
      </c>
      <c r="D73" s="47">
        <f t="shared" ref="D73:F73" si="1">D$25*0.59</f>
        <v>90.727763508019791</v>
      </c>
      <c r="E73" s="48">
        <f t="shared" si="1"/>
        <v>131.88202426269493</v>
      </c>
      <c r="F73" s="43">
        <f t="shared" si="1"/>
        <v>158.41209993347621</v>
      </c>
      <c r="G73" s="48"/>
      <c r="H73" s="47">
        <v>13.0862</v>
      </c>
      <c r="I73" s="48">
        <v>17.292899999999999</v>
      </c>
      <c r="J73" s="43">
        <v>20.018699999999999</v>
      </c>
      <c r="K73" s="48"/>
      <c r="L73" s="47">
        <v>27.632995317638979</v>
      </c>
      <c r="M73" s="48">
        <v>28.261017938494412</v>
      </c>
      <c r="N73" s="43">
        <v>31.042260973711322</v>
      </c>
      <c r="O73" s="53"/>
      <c r="P73" s="54">
        <v>0.19499999999999998</v>
      </c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  <c r="AD73" s="14"/>
      <c r="AE73" s="14"/>
      <c r="AF73" s="14"/>
      <c r="AG73" s="14"/>
      <c r="AH73" s="14"/>
    </row>
    <row r="74" spans="1:34" x14ac:dyDescent="0.25">
      <c r="A74" s="3" t="s">
        <v>89</v>
      </c>
      <c r="B74" s="3" t="s">
        <v>90</v>
      </c>
      <c r="C74" s="1" t="s">
        <v>1</v>
      </c>
      <c r="D74" s="41">
        <v>81.173121165644176</v>
      </c>
      <c r="E74" s="42">
        <v>109.01079763840639</v>
      </c>
      <c r="F74" s="43">
        <v>131.09358600044348</v>
      </c>
      <c r="G74" s="48"/>
      <c r="H74" s="47">
        <v>12.394339942478487</v>
      </c>
      <c r="I74" s="48">
        <v>17.385834822036944</v>
      </c>
      <c r="J74" s="43">
        <v>20.454277930364547</v>
      </c>
      <c r="K74" s="48"/>
      <c r="L74" s="47">
        <v>18.395476074737026</v>
      </c>
      <c r="M74" s="48">
        <v>18.813555076435595</v>
      </c>
      <c r="N74" s="43">
        <v>20.665047798243538</v>
      </c>
      <c r="O74" s="53"/>
      <c r="P74" s="54">
        <v>0.24200000000000002</v>
      </c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  <c r="AC74" s="14"/>
      <c r="AD74" s="14"/>
      <c r="AE74" s="14"/>
      <c r="AF74" s="14"/>
      <c r="AG74" s="14"/>
      <c r="AH74" s="14"/>
    </row>
    <row r="75" spans="1:34" x14ac:dyDescent="0.25">
      <c r="A75" s="3" t="s">
        <v>91</v>
      </c>
      <c r="B75" s="3" t="s">
        <v>92</v>
      </c>
      <c r="C75" s="1" t="s">
        <v>1</v>
      </c>
      <c r="D75" s="41">
        <v>84.845190886244367</v>
      </c>
      <c r="E75" s="42">
        <v>121.02669635597606</v>
      </c>
      <c r="F75" s="43">
        <v>150.54462635819351</v>
      </c>
      <c r="G75" s="48"/>
      <c r="H75" s="47">
        <v>12.955028995160408</v>
      </c>
      <c r="I75" s="48">
        <v>18.172326664417618</v>
      </c>
      <c r="J75" s="43">
        <v>21.379578492499643</v>
      </c>
      <c r="K75" s="48"/>
      <c r="L75" s="47">
        <v>19.317490363784458</v>
      </c>
      <c r="M75" s="48">
        <v>19.756524235688648</v>
      </c>
      <c r="N75" s="43">
        <v>21.700817096978643</v>
      </c>
      <c r="O75" s="53"/>
      <c r="P75" s="54">
        <v>0.26</v>
      </c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4"/>
      <c r="AD75" s="14"/>
      <c r="AE75" s="14"/>
      <c r="AF75" s="14"/>
      <c r="AG75" s="14"/>
      <c r="AH75" s="14"/>
    </row>
    <row r="76" spans="1:34" x14ac:dyDescent="0.25">
      <c r="A76" s="3" t="s">
        <v>93</v>
      </c>
      <c r="B76" s="3" t="s">
        <v>94</v>
      </c>
      <c r="C76" s="1" t="s">
        <v>1</v>
      </c>
      <c r="D76" s="41">
        <v>79.983356632049663</v>
      </c>
      <c r="E76" s="42">
        <v>117.8682502402247</v>
      </c>
      <c r="F76" s="43">
        <v>159.473849277478</v>
      </c>
      <c r="G76" s="48"/>
      <c r="H76" s="47">
        <v>12.212674560279082</v>
      </c>
      <c r="I76" s="48">
        <v>17.131008478523768</v>
      </c>
      <c r="J76" s="43">
        <v>20.154477034546169</v>
      </c>
      <c r="K76" s="48"/>
      <c r="L76" s="47">
        <v>17.787050335036813</v>
      </c>
      <c r="M76" s="48">
        <v>18.191301479014921</v>
      </c>
      <c r="N76" s="43">
        <v>19.981556545203695</v>
      </c>
      <c r="O76" s="53"/>
      <c r="P76" s="54">
        <v>0.16</v>
      </c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  <c r="AB76" s="14"/>
      <c r="AC76" s="14"/>
      <c r="AD76" s="14"/>
      <c r="AE76" s="14"/>
      <c r="AF76" s="14"/>
      <c r="AG76" s="14"/>
      <c r="AH76" s="14"/>
    </row>
    <row r="77" spans="1:34" x14ac:dyDescent="0.25">
      <c r="A77" s="3" t="s">
        <v>95</v>
      </c>
      <c r="B77" s="3" t="s">
        <v>96</v>
      </c>
      <c r="C77" s="1" t="s">
        <v>1</v>
      </c>
      <c r="D77" s="41">
        <v>89.864500000000007</v>
      </c>
      <c r="E77" s="42">
        <v>150.76600000000002</v>
      </c>
      <c r="F77" s="43">
        <v>188.79300000000001</v>
      </c>
      <c r="G77" s="48"/>
      <c r="H77" s="47">
        <v>13.721428297526991</v>
      </c>
      <c r="I77" s="48">
        <v>19.247373156647782</v>
      </c>
      <c r="J77" s="43">
        <v>22.644360998788464</v>
      </c>
      <c r="K77" s="48"/>
      <c r="L77" s="47">
        <v>19.984462419928253</v>
      </c>
      <c r="M77" s="48">
        <v>20.438654747653896</v>
      </c>
      <c r="N77" s="43">
        <v>22.450077913296024</v>
      </c>
      <c r="O77" s="53"/>
      <c r="P77" s="54">
        <v>0.15</v>
      </c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4"/>
      <c r="AC77" s="14"/>
      <c r="AD77" s="14"/>
      <c r="AE77" s="14"/>
      <c r="AF77" s="14"/>
      <c r="AG77" s="14"/>
      <c r="AH77" s="14"/>
    </row>
    <row r="78" spans="1:34" x14ac:dyDescent="0.25">
      <c r="A78" s="3" t="s">
        <v>97</v>
      </c>
      <c r="B78" s="3" t="s">
        <v>98</v>
      </c>
      <c r="C78" s="1" t="s">
        <v>1</v>
      </c>
      <c r="D78" s="41">
        <v>98.322300000000013</v>
      </c>
      <c r="E78" s="42">
        <v>164.96189999999999</v>
      </c>
      <c r="F78" s="43">
        <v>206.57420000000002</v>
      </c>
      <c r="G78" s="48"/>
      <c r="H78" s="47">
        <v>15.012851454110779</v>
      </c>
      <c r="I78" s="48">
        <v>21.058883070844107</v>
      </c>
      <c r="J78" s="43">
        <v>24.775586081613753</v>
      </c>
      <c r="K78" s="48"/>
      <c r="L78" s="47">
        <v>21.865345151766402</v>
      </c>
      <c r="M78" s="48">
        <v>22.362284814306548</v>
      </c>
      <c r="N78" s="43">
        <v>24.563017605555764</v>
      </c>
      <c r="O78" s="53"/>
      <c r="P78" s="54">
        <v>0.15</v>
      </c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/>
      <c r="AE78" s="14"/>
      <c r="AF78" s="14"/>
      <c r="AG78" s="14"/>
      <c r="AH78" s="14"/>
    </row>
    <row r="79" spans="1:34" x14ac:dyDescent="0.25">
      <c r="A79" s="3" t="s">
        <v>99</v>
      </c>
      <c r="B79" s="3" t="s">
        <v>100</v>
      </c>
      <c r="C79" s="1" t="s">
        <v>1</v>
      </c>
      <c r="D79" s="41">
        <v>46.89343641436912</v>
      </c>
      <c r="E79" s="42">
        <v>78.428530425382505</v>
      </c>
      <c r="F79" s="43">
        <v>107.28729437689405</v>
      </c>
      <c r="G79" s="48"/>
      <c r="H79" s="47">
        <v>7.1601680906743717</v>
      </c>
      <c r="I79" s="48">
        <v>10.043737730303933</v>
      </c>
      <c r="J79" s="43">
        <v>11.816366892829837</v>
      </c>
      <c r="K79" s="48"/>
      <c r="L79" s="47">
        <v>10.676662950453435</v>
      </c>
      <c r="M79" s="48">
        <v>10.919314381145558</v>
      </c>
      <c r="N79" s="43">
        <v>11.993913574210678</v>
      </c>
      <c r="O79" s="53"/>
      <c r="P79" s="54">
        <v>0.192</v>
      </c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  <c r="AD79" s="14"/>
      <c r="AE79" s="14"/>
      <c r="AF79" s="14"/>
      <c r="AG79" s="14"/>
      <c r="AH79" s="14"/>
    </row>
    <row r="80" spans="1:34" x14ac:dyDescent="0.25">
      <c r="A80" s="3" t="s">
        <v>101</v>
      </c>
      <c r="B80" s="3" t="s">
        <v>102</v>
      </c>
      <c r="C80" s="1" t="s">
        <v>1</v>
      </c>
      <c r="D80" s="41">
        <v>125.1153702384692</v>
      </c>
      <c r="E80" s="42">
        <v>170.47747783372756</v>
      </c>
      <c r="F80" s="43">
        <v>239.74015270068003</v>
      </c>
      <c r="G80" s="48"/>
      <c r="H80" s="47">
        <v>19.103890653658535</v>
      </c>
      <c r="I80" s="48">
        <v>26.797480858536584</v>
      </c>
      <c r="J80" s="43">
        <v>31.526994643902437</v>
      </c>
      <c r="K80" s="48"/>
      <c r="L80" s="47">
        <v>27.823705853658534</v>
      </c>
      <c r="M80" s="48">
        <v>28.456062804878048</v>
      </c>
      <c r="N80" s="43">
        <v>31.256500731707316</v>
      </c>
      <c r="O80" s="53"/>
      <c r="P80" s="54">
        <v>0.24</v>
      </c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  <c r="AD80" s="14"/>
      <c r="AE80" s="14"/>
      <c r="AF80" s="14"/>
      <c r="AG80" s="14"/>
      <c r="AH80" s="14"/>
    </row>
    <row r="81" spans="1:34" x14ac:dyDescent="0.25">
      <c r="A81" s="3" t="s">
        <v>103</v>
      </c>
      <c r="B81" s="3" t="s">
        <v>104</v>
      </c>
      <c r="C81" s="1" t="s">
        <v>1</v>
      </c>
      <c r="D81" s="41">
        <v>76.985970230615706</v>
      </c>
      <c r="E81" s="42">
        <v>106.6178590435361</v>
      </c>
      <c r="F81" s="43">
        <v>170.3804217791411</v>
      </c>
      <c r="G81" s="48"/>
      <c r="H81" s="47">
        <v>11.755003037183101</v>
      </c>
      <c r="I81" s="48">
        <v>16.489021770056453</v>
      </c>
      <c r="J81" s="43">
        <v>19.399185459709273</v>
      </c>
      <c r="K81" s="48"/>
      <c r="L81" s="47">
        <v>16.957426200058055</v>
      </c>
      <c r="M81" s="48">
        <v>17.342822250059374</v>
      </c>
      <c r="N81" s="43">
        <v>19.049576185779504</v>
      </c>
      <c r="O81" s="53"/>
      <c r="P81" s="54">
        <v>0.16</v>
      </c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14"/>
      <c r="AD81" s="14"/>
      <c r="AE81" s="14"/>
      <c r="AF81" s="14"/>
      <c r="AG81" s="14"/>
      <c r="AH81" s="14"/>
    </row>
    <row r="82" spans="1:34" x14ac:dyDescent="0.25">
      <c r="A82" s="3" t="s">
        <v>105</v>
      </c>
      <c r="B82" s="3" t="s">
        <v>106</v>
      </c>
      <c r="C82" s="1" t="s">
        <v>1</v>
      </c>
      <c r="D82" s="41">
        <v>114.93156103301241</v>
      </c>
      <c r="E82" s="42">
        <v>156.60140405656367</v>
      </c>
      <c r="F82" s="43">
        <v>220.22641934132233</v>
      </c>
      <c r="G82" s="48"/>
      <c r="H82" s="47">
        <v>17.548922809756093</v>
      </c>
      <c r="I82" s="48">
        <v>24.616290556097557</v>
      </c>
      <c r="J82" s="43">
        <v>28.960843917073166</v>
      </c>
      <c r="K82" s="48"/>
      <c r="L82" s="47">
        <v>25.558985609756103</v>
      </c>
      <c r="M82" s="48">
        <v>26.139871646341465</v>
      </c>
      <c r="N82" s="43">
        <v>28.712366951219515</v>
      </c>
      <c r="O82" s="53"/>
      <c r="P82" s="54">
        <v>0.185</v>
      </c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  <c r="AC82" s="14"/>
      <c r="AD82" s="14"/>
      <c r="AE82" s="14"/>
      <c r="AF82" s="14"/>
      <c r="AG82" s="14"/>
      <c r="AH82" s="14"/>
    </row>
    <row r="83" spans="1:34" x14ac:dyDescent="0.25">
      <c r="A83" s="3" t="s">
        <v>107</v>
      </c>
      <c r="B83" s="3" t="s">
        <v>108</v>
      </c>
      <c r="C83" s="1" t="s">
        <v>1</v>
      </c>
      <c r="D83" s="41">
        <v>122.20571046548156</v>
      </c>
      <c r="E83" s="42">
        <v>166.51288532596644</v>
      </c>
      <c r="F83" s="43">
        <v>234.16480031229207</v>
      </c>
      <c r="G83" s="48"/>
      <c r="H83" s="47">
        <v>18.659614126829268</v>
      </c>
      <c r="I83" s="48">
        <v>26.174283629268295</v>
      </c>
      <c r="J83" s="43">
        <v>30.793808721951223</v>
      </c>
      <c r="K83" s="48"/>
      <c r="L83" s="47">
        <v>27.176642926829274</v>
      </c>
      <c r="M83" s="48">
        <v>27.79429390243903</v>
      </c>
      <c r="N83" s="43">
        <v>30.529605365853662</v>
      </c>
      <c r="O83" s="53"/>
      <c r="P83" s="54">
        <v>0.19</v>
      </c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4"/>
      <c r="AD83" s="14"/>
      <c r="AE83" s="14"/>
      <c r="AF83" s="14"/>
      <c r="AG83" s="14"/>
      <c r="AH83" s="14"/>
    </row>
    <row r="84" spans="1:34" x14ac:dyDescent="0.25">
      <c r="A84" s="3" t="s">
        <v>109</v>
      </c>
      <c r="B84" s="3" t="s">
        <v>110</v>
      </c>
      <c r="C84" s="1" t="s">
        <v>1</v>
      </c>
      <c r="D84" s="41">
        <v>113.21014625988617</v>
      </c>
      <c r="E84" s="42">
        <v>132.76894587552664</v>
      </c>
      <c r="F84" s="43">
        <v>159.87890134156257</v>
      </c>
      <c r="G84" s="48"/>
      <c r="H84" s="47">
        <v>17.286079647219665</v>
      </c>
      <c r="I84" s="48">
        <v>24.247594213317857</v>
      </c>
      <c r="J84" s="43">
        <v>28.527075993684981</v>
      </c>
      <c r="K84" s="48"/>
      <c r="L84" s="47">
        <v>25.775602442690005</v>
      </c>
      <c r="M84" s="48">
        <v>26.361411589114777</v>
      </c>
      <c r="N84" s="43">
        <v>28.955709237567348</v>
      </c>
      <c r="O84" s="53"/>
      <c r="P84" s="54">
        <v>0.26</v>
      </c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4"/>
      <c r="AD84" s="14"/>
      <c r="AE84" s="14"/>
      <c r="AF84" s="14"/>
      <c r="AG84" s="14"/>
      <c r="AH84" s="14"/>
    </row>
    <row r="85" spans="1:34" x14ac:dyDescent="0.25">
      <c r="A85" s="3" t="s">
        <v>111</v>
      </c>
      <c r="B85" s="3" t="s">
        <v>112</v>
      </c>
      <c r="C85" s="1" t="s">
        <v>1</v>
      </c>
      <c r="D85" s="41">
        <v>88.674836092837609</v>
      </c>
      <c r="E85" s="42">
        <v>130.35301796141621</v>
      </c>
      <c r="F85" s="43">
        <v>175.68696780988986</v>
      </c>
      <c r="G85" s="48"/>
      <c r="H85" s="47">
        <v>13.539778279997437</v>
      </c>
      <c r="I85" s="48">
        <v>18.992568365521695</v>
      </c>
      <c r="J85" s="43">
        <v>22.344585459159195</v>
      </c>
      <c r="K85" s="48"/>
      <c r="L85" s="47">
        <v>19.532091163391605</v>
      </c>
      <c r="M85" s="48">
        <v>19.97600232619596</v>
      </c>
      <c r="N85" s="43">
        <v>21.941894618615244</v>
      </c>
      <c r="O85" s="53"/>
      <c r="P85" s="54">
        <v>0.16</v>
      </c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4"/>
      <c r="AC85" s="14"/>
      <c r="AD85" s="14"/>
      <c r="AE85" s="14"/>
      <c r="AF85" s="14"/>
      <c r="AG85" s="14"/>
      <c r="AH85" s="14"/>
    </row>
    <row r="86" spans="1:34" x14ac:dyDescent="0.25">
      <c r="A86" s="3" t="s">
        <v>113</v>
      </c>
      <c r="B86" s="3" t="s">
        <v>114</v>
      </c>
      <c r="C86" s="1" t="s">
        <v>1</v>
      </c>
      <c r="D86" s="41">
        <v>90.255160728804782</v>
      </c>
      <c r="E86" s="42">
        <v>117.27672278069331</v>
      </c>
      <c r="F86" s="43">
        <v>131.21421250646756</v>
      </c>
      <c r="G86" s="48"/>
      <c r="H86" s="47">
        <v>13.781078361556219</v>
      </c>
      <c r="I86" s="48">
        <v>19.331045717280222</v>
      </c>
      <c r="J86" s="43">
        <v>22.742801012042921</v>
      </c>
      <c r="K86" s="48"/>
      <c r="L86" s="47">
        <v>20.071339269560102</v>
      </c>
      <c r="M86" s="48">
        <v>20.527506071141012</v>
      </c>
      <c r="N86" s="43">
        <v>22.547673335285047</v>
      </c>
      <c r="O86" s="53"/>
      <c r="P86" s="54">
        <v>0.23</v>
      </c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  <c r="AC86" s="14"/>
      <c r="AD86" s="14"/>
      <c r="AE86" s="14"/>
      <c r="AF86" s="14"/>
      <c r="AG86" s="14"/>
      <c r="AH86" s="14"/>
    </row>
    <row r="87" spans="1:34" x14ac:dyDescent="0.25">
      <c r="A87" s="3" t="s">
        <v>115</v>
      </c>
      <c r="B87" s="3" t="s">
        <v>116</v>
      </c>
      <c r="C87" s="1" t="s">
        <v>1</v>
      </c>
      <c r="D87" s="41">
        <v>107.07948481040727</v>
      </c>
      <c r="E87" s="42">
        <v>146.45961129795253</v>
      </c>
      <c r="F87" s="43">
        <v>186.32109542464335</v>
      </c>
      <c r="G87" s="48"/>
      <c r="H87" s="47">
        <v>16.349987736671697</v>
      </c>
      <c r="I87" s="48">
        <v>22.934515871868275</v>
      </c>
      <c r="J87" s="43">
        <v>26.982251162707719</v>
      </c>
      <c r="K87" s="48"/>
      <c r="L87" s="47">
        <v>24.266383658026754</v>
      </c>
      <c r="M87" s="48">
        <v>24.817892377527361</v>
      </c>
      <c r="N87" s="43">
        <v>27.260288135315768</v>
      </c>
      <c r="O87" s="53"/>
      <c r="P87" s="54">
        <v>9.1000000000000011E-2</v>
      </c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  <c r="AB87" s="14"/>
      <c r="AC87" s="14"/>
      <c r="AD87" s="14"/>
      <c r="AE87" s="14"/>
      <c r="AF87" s="14"/>
      <c r="AG87" s="14"/>
      <c r="AH87" s="14"/>
    </row>
    <row r="88" spans="1:34" x14ac:dyDescent="0.25">
      <c r="A88" s="3" t="s">
        <v>117</v>
      </c>
      <c r="B88" s="3" t="s">
        <v>118</v>
      </c>
      <c r="C88" s="1" t="s">
        <v>1</v>
      </c>
      <c r="D88" s="41">
        <v>108.78660000000001</v>
      </c>
      <c r="E88" s="42">
        <v>146.8246</v>
      </c>
      <c r="F88" s="43">
        <v>157.53919999999999</v>
      </c>
      <c r="G88" s="48"/>
      <c r="H88" s="47">
        <v>16.610647492967185</v>
      </c>
      <c r="I88" s="48">
        <v>23.300149498889773</v>
      </c>
      <c r="J88" s="43">
        <v>27.412415828617544</v>
      </c>
      <c r="K88" s="48"/>
      <c r="L88" s="47">
        <v>25.021897331332003</v>
      </c>
      <c r="M88" s="48">
        <v>25.590576816135002</v>
      </c>
      <c r="N88" s="43">
        <v>28.10901453454829</v>
      </c>
      <c r="O88" s="53"/>
      <c r="P88" s="54">
        <v>0.17</v>
      </c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  <c r="AC88" s="14"/>
      <c r="AD88" s="14"/>
      <c r="AE88" s="14"/>
      <c r="AF88" s="14"/>
      <c r="AG88" s="14"/>
      <c r="AH88" s="14"/>
    </row>
    <row r="89" spans="1:34" x14ac:dyDescent="0.25">
      <c r="A89" s="3" t="s">
        <v>119</v>
      </c>
      <c r="B89" s="3" t="s">
        <v>120</v>
      </c>
      <c r="C89" s="1" t="s">
        <v>1</v>
      </c>
      <c r="D89" s="41">
        <v>71.145825633823634</v>
      </c>
      <c r="E89" s="42">
        <v>119.5462917621406</v>
      </c>
      <c r="F89" s="43">
        <v>140.78529547638405</v>
      </c>
      <c r="G89" s="48"/>
      <c r="H89" s="47">
        <v>10.863270202392142</v>
      </c>
      <c r="I89" s="48">
        <v>15.238166957052014</v>
      </c>
      <c r="J89" s="43">
        <v>17.927566048986645</v>
      </c>
      <c r="K89" s="48"/>
      <c r="L89" s="47">
        <v>16.198429006395184</v>
      </c>
      <c r="M89" s="48">
        <v>16.566575120176896</v>
      </c>
      <c r="N89" s="43">
        <v>18.196936481210177</v>
      </c>
      <c r="O89" s="53"/>
      <c r="P89" s="54">
        <v>0.13999999999999999</v>
      </c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  <c r="AB89" s="14"/>
      <c r="AC89" s="14"/>
      <c r="AD89" s="14"/>
      <c r="AE89" s="14"/>
      <c r="AF89" s="14"/>
      <c r="AG89" s="14"/>
      <c r="AH89" s="14"/>
    </row>
    <row r="90" spans="1:34" x14ac:dyDescent="0.25">
      <c r="A90" s="3" t="s">
        <v>121</v>
      </c>
      <c r="B90" s="3" t="s">
        <v>122</v>
      </c>
      <c r="C90" s="1" t="s">
        <v>1</v>
      </c>
      <c r="D90" s="41">
        <v>69.323902071476084</v>
      </c>
      <c r="E90" s="42">
        <v>101.81565200680021</v>
      </c>
      <c r="F90" s="43">
        <v>136.37263415625694</v>
      </c>
      <c r="G90" s="48"/>
      <c r="H90" s="47">
        <v>10.585080332929486</v>
      </c>
      <c r="I90" s="48">
        <v>14.847943424206537</v>
      </c>
      <c r="J90" s="43">
        <v>17.468471580559214</v>
      </c>
      <c r="K90" s="48"/>
      <c r="L90" s="47">
        <v>15.269729663153791</v>
      </c>
      <c r="M90" s="48">
        <v>15.616768973680015</v>
      </c>
      <c r="N90" s="43">
        <v>17.153657348867572</v>
      </c>
      <c r="O90" s="53"/>
      <c r="P90" s="54">
        <v>0.16</v>
      </c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  <c r="AB90" s="14"/>
      <c r="AC90" s="14"/>
      <c r="AD90" s="14"/>
      <c r="AE90" s="14"/>
      <c r="AF90" s="14"/>
      <c r="AG90" s="14"/>
      <c r="AH90" s="14"/>
    </row>
    <row r="91" spans="1:34" x14ac:dyDescent="0.25">
      <c r="A91" s="3" t="s">
        <v>123</v>
      </c>
      <c r="B91" s="3" t="s">
        <v>123</v>
      </c>
      <c r="C91" s="1" t="s">
        <v>1</v>
      </c>
      <c r="D91" s="41">
        <v>93.773930076132743</v>
      </c>
      <c r="E91" s="42">
        <v>130.32518109246803</v>
      </c>
      <c r="F91" s="43">
        <v>155.06980375489687</v>
      </c>
      <c r="G91" s="48"/>
      <c r="H91" s="47">
        <v>14.318359949890835</v>
      </c>
      <c r="I91" s="48">
        <v>20.084703353835202</v>
      </c>
      <c r="J91" s="43">
        <v>23.62947242703288</v>
      </c>
      <c r="K91" s="48"/>
      <c r="L91" s="47">
        <v>20.853858660265782</v>
      </c>
      <c r="M91" s="48">
        <v>21.327809993453641</v>
      </c>
      <c r="N91" s="43">
        <v>23.426737326142728</v>
      </c>
      <c r="O91" s="53"/>
      <c r="P91" s="54">
        <v>0.22</v>
      </c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  <c r="AB91" s="14"/>
      <c r="AC91" s="14"/>
      <c r="AD91" s="14"/>
      <c r="AE91" s="14"/>
      <c r="AF91" s="14"/>
      <c r="AG91" s="14"/>
      <c r="AH91" s="14"/>
    </row>
    <row r="92" spans="1:34" x14ac:dyDescent="0.25">
      <c r="A92" s="3" t="s">
        <v>124</v>
      </c>
      <c r="B92" s="3" t="s">
        <v>125</v>
      </c>
      <c r="C92" s="1" t="s">
        <v>1</v>
      </c>
      <c r="D92" s="41">
        <v>114.6924510807617</v>
      </c>
      <c r="E92" s="42">
        <v>156.27560186689703</v>
      </c>
      <c r="F92" s="43">
        <v>219.76824816414737</v>
      </c>
      <c r="G92" s="48"/>
      <c r="H92" s="47">
        <v>17.512413063804878</v>
      </c>
      <c r="I92" s="48">
        <v>24.565077468878052</v>
      </c>
      <c r="J92" s="43">
        <v>28.900592181658538</v>
      </c>
      <c r="K92" s="48"/>
      <c r="L92" s="47">
        <v>25.262898799349596</v>
      </c>
      <c r="M92" s="48">
        <v>25.837055590243903</v>
      </c>
      <c r="N92" s="43">
        <v>28.3797499499187</v>
      </c>
      <c r="O92" s="53"/>
      <c r="P92" s="54">
        <v>0.16</v>
      </c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  <c r="AB92" s="14"/>
      <c r="AC92" s="14"/>
      <c r="AD92" s="14"/>
      <c r="AE92" s="14"/>
      <c r="AF92" s="14"/>
      <c r="AG92" s="14"/>
      <c r="AH92" s="14"/>
    </row>
    <row r="93" spans="1:34" x14ac:dyDescent="0.25">
      <c r="A93" s="3" t="s">
        <v>126</v>
      </c>
      <c r="B93" s="3" t="s">
        <v>127</v>
      </c>
      <c r="C93" s="1" t="s">
        <v>1</v>
      </c>
      <c r="D93" s="41">
        <v>69.868779566117226</v>
      </c>
      <c r="E93" s="42">
        <v>99.046130996378139</v>
      </c>
      <c r="F93" s="43">
        <v>129.70527108433734</v>
      </c>
      <c r="G93" s="48"/>
      <c r="H93" s="47">
        <v>10.668277785468083</v>
      </c>
      <c r="I93" s="48">
        <v>14.964646465607952</v>
      </c>
      <c r="J93" s="43">
        <v>17.605771656660121</v>
      </c>
      <c r="K93" s="48"/>
      <c r="L93" s="47">
        <v>15.611715411127317</v>
      </c>
      <c r="M93" s="48">
        <v>15.966527125016574</v>
      </c>
      <c r="N93" s="43">
        <v>17.537836143668997</v>
      </c>
      <c r="O93" s="53"/>
      <c r="P93" s="54">
        <v>0.17499999999999999</v>
      </c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  <c r="AB93" s="14"/>
      <c r="AC93" s="14"/>
      <c r="AD93" s="14"/>
      <c r="AE93" s="14"/>
      <c r="AF93" s="14"/>
      <c r="AG93" s="14"/>
      <c r="AH93" s="14"/>
    </row>
    <row r="94" spans="1:34" x14ac:dyDescent="0.25">
      <c r="A94" s="3" t="s">
        <v>128</v>
      </c>
      <c r="B94" s="3" t="s">
        <v>129</v>
      </c>
      <c r="C94" s="1" t="s">
        <v>1</v>
      </c>
      <c r="D94" s="41">
        <v>89.496096071402164</v>
      </c>
      <c r="E94" s="42">
        <v>130.39105286791334</v>
      </c>
      <c r="F94" s="43">
        <v>185.13892538251162</v>
      </c>
      <c r="G94" s="48"/>
      <c r="H94" s="47">
        <v>13.665176628728048</v>
      </c>
      <c r="I94" s="48">
        <v>19.168467605667168</v>
      </c>
      <c r="J94" s="43">
        <v>22.551529329413558</v>
      </c>
      <c r="K94" s="48"/>
      <c r="L94" s="47">
        <v>19.712987181664182</v>
      </c>
      <c r="M94" s="48">
        <v>20.161009617611096</v>
      </c>
      <c r="N94" s="43">
        <v>22.145108976804568</v>
      </c>
      <c r="O94" s="53"/>
      <c r="P94" s="54">
        <v>0.16</v>
      </c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  <c r="AB94" s="14"/>
      <c r="AC94" s="14"/>
      <c r="AD94" s="14"/>
      <c r="AE94" s="14"/>
      <c r="AF94" s="14"/>
      <c r="AG94" s="14"/>
      <c r="AH94" s="14"/>
    </row>
    <row r="95" spans="1:34" x14ac:dyDescent="0.25">
      <c r="A95" s="3" t="s">
        <v>130</v>
      </c>
      <c r="B95" s="3" t="s">
        <v>131</v>
      </c>
      <c r="C95" s="1" t="s">
        <v>1</v>
      </c>
      <c r="D95" s="41">
        <v>116.02696931406608</v>
      </c>
      <c r="E95" s="42">
        <v>158.09396600635671</v>
      </c>
      <c r="F95" s="43">
        <v>222.32538886096532</v>
      </c>
      <c r="G95" s="48"/>
      <c r="H95" s="47">
        <v>17.716180917073171</v>
      </c>
      <c r="I95" s="48">
        <v>24.850907473170732</v>
      </c>
      <c r="J95" s="43">
        <v>29.236868604878051</v>
      </c>
      <c r="K95" s="48"/>
      <c r="L95" s="47">
        <v>25.802587317073176</v>
      </c>
      <c r="M95" s="48">
        <v>26.389009756097561</v>
      </c>
      <c r="N95" s="43">
        <v>28.98602341463415</v>
      </c>
      <c r="O95" s="53"/>
      <c r="P95" s="54">
        <v>0.185</v>
      </c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  <c r="AB95" s="14"/>
      <c r="AC95" s="14"/>
      <c r="AD95" s="14"/>
      <c r="AE95" s="14"/>
      <c r="AF95" s="14"/>
      <c r="AG95" s="14"/>
      <c r="AH95" s="14"/>
    </row>
    <row r="96" spans="1:34" x14ac:dyDescent="0.25">
      <c r="A96" s="3" t="s">
        <v>132</v>
      </c>
      <c r="B96" s="3" t="s">
        <v>133</v>
      </c>
      <c r="C96" s="1" t="s">
        <v>1</v>
      </c>
      <c r="D96" s="41">
        <v>93.141873013526478</v>
      </c>
      <c r="E96" s="42">
        <v>128.33688003547934</v>
      </c>
      <c r="F96" s="43">
        <v>152.34733535368466</v>
      </c>
      <c r="G96" s="48"/>
      <c r="H96" s="47">
        <v>14.221851031858717</v>
      </c>
      <c r="I96" s="48">
        <v>19.949328003832949</v>
      </c>
      <c r="J96" s="43">
        <v>23.470204548198751</v>
      </c>
      <c r="K96" s="48"/>
      <c r="L96" s="47">
        <v>21.206472819608468</v>
      </c>
      <c r="M96" s="48">
        <v>21.688438110963208</v>
      </c>
      <c r="N96" s="43">
        <v>23.8228558298199</v>
      </c>
      <c r="O96" s="53"/>
      <c r="P96" s="54">
        <v>0.14000000000000001</v>
      </c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  <c r="AB96" s="14"/>
      <c r="AC96" s="14"/>
      <c r="AD96" s="14"/>
      <c r="AE96" s="14"/>
      <c r="AF96" s="14"/>
      <c r="AG96" s="14"/>
      <c r="AH96" s="14"/>
    </row>
    <row r="97" spans="1:34" x14ac:dyDescent="0.25">
      <c r="A97" s="3" t="s">
        <v>134</v>
      </c>
      <c r="B97" s="3" t="s">
        <v>135</v>
      </c>
      <c r="C97" s="1" t="s">
        <v>1</v>
      </c>
      <c r="D97" s="41">
        <v>73.505463264099333</v>
      </c>
      <c r="E97" s="42">
        <v>126.47446965777219</v>
      </c>
      <c r="F97" s="43">
        <v>157.50306378889789</v>
      </c>
      <c r="G97" s="48"/>
      <c r="H97" s="47">
        <v>11.223563739350281</v>
      </c>
      <c r="I97" s="48">
        <v>15.743559253057496</v>
      </c>
      <c r="J97" s="43">
        <v>18.522155528995867</v>
      </c>
      <c r="K97" s="48"/>
      <c r="L97" s="47">
        <v>16.424308264269346</v>
      </c>
      <c r="M97" s="48">
        <v>16.797587997548195</v>
      </c>
      <c r="N97" s="43">
        <v>18.45068395921167</v>
      </c>
      <c r="O97" s="53"/>
      <c r="P97" s="54">
        <v>0.19</v>
      </c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  <c r="AB97" s="14"/>
      <c r="AC97" s="14"/>
      <c r="AD97" s="14"/>
      <c r="AE97" s="14"/>
      <c r="AF97" s="14"/>
      <c r="AG97" s="14"/>
      <c r="AH97" s="14"/>
    </row>
    <row r="98" spans="1:34" x14ac:dyDescent="0.25">
      <c r="A98" s="3" t="s">
        <v>136</v>
      </c>
      <c r="B98" s="3" t="s">
        <v>137</v>
      </c>
      <c r="C98" s="1" t="s">
        <v>1</v>
      </c>
      <c r="D98" s="41">
        <v>76.70103026138294</v>
      </c>
      <c r="E98" s="42">
        <v>118.04733077001255</v>
      </c>
      <c r="F98" s="43">
        <v>159.42147196023353</v>
      </c>
      <c r="G98" s="48"/>
      <c r="H98" s="47">
        <v>11.711495496864877</v>
      </c>
      <c r="I98" s="48">
        <v>16.427992710582835</v>
      </c>
      <c r="J98" s="43">
        <v>19.327385321431194</v>
      </c>
      <c r="K98" s="48"/>
      <c r="L98" s="47">
        <v>16.894663485173286</v>
      </c>
      <c r="M98" s="48">
        <v>17.278633109836314</v>
      </c>
      <c r="N98" s="43">
        <v>18.979070019058302</v>
      </c>
      <c r="O98" s="53"/>
      <c r="P98" s="54">
        <v>0.16</v>
      </c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  <c r="AB98" s="14"/>
      <c r="AC98" s="14"/>
      <c r="AD98" s="14"/>
      <c r="AE98" s="14"/>
      <c r="AF98" s="14"/>
      <c r="AG98" s="14"/>
      <c r="AH98" s="14"/>
    </row>
    <row r="99" spans="1:34" x14ac:dyDescent="0.25">
      <c r="A99" s="3" t="s">
        <v>138</v>
      </c>
      <c r="B99" s="3" t="s">
        <v>139</v>
      </c>
      <c r="C99" s="1" t="s">
        <v>1</v>
      </c>
      <c r="D99" s="41">
        <v>89.259096533372755</v>
      </c>
      <c r="E99" s="42">
        <v>123.61490790154483</v>
      </c>
      <c r="F99" s="43">
        <v>197.54251822011975</v>
      </c>
      <c r="G99" s="48"/>
      <c r="H99" s="47">
        <v>13.628989122342126</v>
      </c>
      <c r="I99" s="48">
        <v>19.117706531534385</v>
      </c>
      <c r="J99" s="43">
        <v>22.491809383320447</v>
      </c>
      <c r="K99" s="48"/>
      <c r="L99" s="47">
        <v>19.660784135270887</v>
      </c>
      <c r="M99" s="48">
        <v>20.107620138345226</v>
      </c>
      <c r="N99" s="43">
        <v>22.086465294817298</v>
      </c>
      <c r="O99" s="53"/>
      <c r="P99" s="54">
        <v>0.16</v>
      </c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  <c r="AB99" s="14"/>
      <c r="AC99" s="14"/>
      <c r="AD99" s="14"/>
      <c r="AE99" s="14"/>
      <c r="AF99" s="14"/>
      <c r="AG99" s="14"/>
      <c r="AH99" s="14"/>
    </row>
    <row r="100" spans="1:34" x14ac:dyDescent="0.25">
      <c r="A100" s="3" t="s">
        <v>140</v>
      </c>
      <c r="B100" s="3" t="s">
        <v>141</v>
      </c>
      <c r="C100" s="1" t="s">
        <v>1</v>
      </c>
      <c r="D100" s="41">
        <v>86.010651999999993</v>
      </c>
      <c r="E100" s="42">
        <v>146.28104400000001</v>
      </c>
      <c r="F100" s="43">
        <v>182.81608800000001</v>
      </c>
      <c r="G100" s="48"/>
      <c r="H100" s="47">
        <v>13.132983483372701</v>
      </c>
      <c r="I100" s="48">
        <v>18.421947648855483</v>
      </c>
      <c r="J100" s="43">
        <v>21.673255330293568</v>
      </c>
      <c r="K100" s="48"/>
      <c r="L100" s="47">
        <v>19.127426765936789</v>
      </c>
      <c r="M100" s="48">
        <v>19.562141010617172</v>
      </c>
      <c r="N100" s="43">
        <v>21.487304094201718</v>
      </c>
      <c r="O100" s="53"/>
      <c r="P100" s="54">
        <v>0.15</v>
      </c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  <c r="AB100" s="14"/>
      <c r="AC100" s="14"/>
      <c r="AD100" s="14"/>
      <c r="AE100" s="14"/>
      <c r="AF100" s="14"/>
      <c r="AG100" s="14"/>
      <c r="AH100" s="14"/>
    </row>
    <row r="101" spans="1:34" x14ac:dyDescent="0.25">
      <c r="A101" s="3" t="s">
        <v>142</v>
      </c>
      <c r="B101" s="3" t="s">
        <v>143</v>
      </c>
      <c r="C101" s="1" t="s">
        <v>1</v>
      </c>
      <c r="D101" s="41">
        <v>134.013070995639</v>
      </c>
      <c r="E101" s="42">
        <v>154.62361085446079</v>
      </c>
      <c r="F101" s="43">
        <v>167.32906996082491</v>
      </c>
      <c r="G101" s="48"/>
      <c r="H101" s="47">
        <v>20.462482343951777</v>
      </c>
      <c r="I101" s="48">
        <v>28.703209669239751</v>
      </c>
      <c r="J101" s="43">
        <v>33.769067409060497</v>
      </c>
      <c r="K101" s="48"/>
      <c r="L101" s="47">
        <v>32.924573478919378</v>
      </c>
      <c r="M101" s="48">
        <v>33.672859239803913</v>
      </c>
      <c r="N101" s="43">
        <v>36.98669618086398</v>
      </c>
      <c r="O101" s="53"/>
      <c r="P101" s="54">
        <v>0.192</v>
      </c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</row>
    <row r="102" spans="1:34" x14ac:dyDescent="0.25">
      <c r="A102" s="3" t="s">
        <v>144</v>
      </c>
      <c r="B102" s="3" t="s">
        <v>145</v>
      </c>
      <c r="C102" s="1" t="s">
        <v>1</v>
      </c>
      <c r="D102" s="41">
        <v>105.70530000000001</v>
      </c>
      <c r="E102" s="42">
        <v>177.33109999999999</v>
      </c>
      <c r="F102" s="43">
        <v>222.06780000000001</v>
      </c>
      <c r="G102" s="48"/>
      <c r="H102" s="47">
        <v>16.140163185891868</v>
      </c>
      <c r="I102" s="48">
        <v>22.640189994217973</v>
      </c>
      <c r="J102" s="43">
        <v>26.635979421075444</v>
      </c>
      <c r="K102" s="48"/>
      <c r="L102" s="47">
        <v>23.507209136391367</v>
      </c>
      <c r="M102" s="48">
        <v>24.041463889491173</v>
      </c>
      <c r="N102" s="43">
        <v>26.407449224647447</v>
      </c>
      <c r="O102" s="53"/>
      <c r="P102" s="54">
        <v>0.15</v>
      </c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</row>
    <row r="103" spans="1:34" x14ac:dyDescent="0.25">
      <c r="A103" s="3" t="s">
        <v>146</v>
      </c>
      <c r="B103" s="3" t="s">
        <v>147</v>
      </c>
      <c r="C103" s="1" t="s">
        <v>1</v>
      </c>
      <c r="D103" s="41">
        <v>71.320130275704031</v>
      </c>
      <c r="E103" s="42">
        <v>101.11821383694284</v>
      </c>
      <c r="F103" s="43">
        <v>126.02343692253677</v>
      </c>
      <c r="G103" s="48"/>
      <c r="H103" s="47">
        <v>10.88988481267193</v>
      </c>
      <c r="I103" s="48">
        <v>15.275499902600121</v>
      </c>
      <c r="J103" s="43">
        <v>17.971487922857907</v>
      </c>
      <c r="K103" s="48"/>
      <c r="L103" s="47">
        <v>15.709431758876786</v>
      </c>
      <c r="M103" s="48">
        <v>16.066464298851258</v>
      </c>
      <c r="N103" s="43">
        <v>17.647608404452495</v>
      </c>
      <c r="O103" s="53"/>
      <c r="P103" s="54">
        <v>0.16</v>
      </c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</row>
    <row r="104" spans="1:34" x14ac:dyDescent="0.25">
      <c r="A104" s="3" t="s">
        <v>148</v>
      </c>
      <c r="B104" s="3" t="s">
        <v>149</v>
      </c>
      <c r="C104" s="1" t="s">
        <v>1</v>
      </c>
      <c r="D104" s="41">
        <v>63.7364868985143</v>
      </c>
      <c r="E104" s="42">
        <v>108.03572464705447</v>
      </c>
      <c r="F104" s="43">
        <v>154.26845018109245</v>
      </c>
      <c r="G104" s="48"/>
      <c r="H104" s="47">
        <v>9.7319368039017888</v>
      </c>
      <c r="I104" s="48">
        <v>13.651218746329166</v>
      </c>
      <c r="J104" s="43">
        <v>16.060535785816523</v>
      </c>
      <c r="K104" s="48"/>
      <c r="L104" s="47">
        <v>15.658895289748303</v>
      </c>
      <c r="M104" s="48">
        <v>16.014779273606219</v>
      </c>
      <c r="N104" s="43">
        <v>17.590836916405564</v>
      </c>
      <c r="O104" s="53"/>
      <c r="P104" s="54">
        <v>0.18</v>
      </c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</row>
    <row r="105" spans="1:34" x14ac:dyDescent="0.25">
      <c r="A105" s="3" t="s">
        <v>150</v>
      </c>
      <c r="B105" s="3" t="s">
        <v>151</v>
      </c>
      <c r="C105" s="1" t="s">
        <v>1</v>
      </c>
      <c r="D105" s="41">
        <v>115.90779267647275</v>
      </c>
      <c r="E105" s="42">
        <v>157.93158042131719</v>
      </c>
      <c r="F105" s="43">
        <v>222.09702822677215</v>
      </c>
      <c r="G105" s="48"/>
      <c r="H105" s="47">
        <v>17.697983812682928</v>
      </c>
      <c r="I105" s="48">
        <v>24.82538196292683</v>
      </c>
      <c r="J105" s="43">
        <v>29.206838072195126</v>
      </c>
      <c r="K105" s="48"/>
      <c r="L105" s="47">
        <v>26.389800585365855</v>
      </c>
      <c r="M105" s="48">
        <v>26.989568780487804</v>
      </c>
      <c r="N105" s="43">
        <v>29.645685073170732</v>
      </c>
      <c r="O105" s="53"/>
      <c r="P105" s="54">
        <v>0.16</v>
      </c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</row>
    <row r="106" spans="1:34" x14ac:dyDescent="0.25">
      <c r="A106" s="3" t="s">
        <v>152</v>
      </c>
      <c r="B106" s="3" t="s">
        <v>153</v>
      </c>
      <c r="C106" s="1" t="s">
        <v>1</v>
      </c>
      <c r="D106" s="41">
        <v>120.63383842116934</v>
      </c>
      <c r="E106" s="42">
        <v>165.55108701677878</v>
      </c>
      <c r="F106" s="43">
        <v>203.90414480005916</v>
      </c>
      <c r="G106" s="48"/>
      <c r="H106" s="47">
        <v>18.419604673163835</v>
      </c>
      <c r="I106" s="48">
        <v>25.837616671889357</v>
      </c>
      <c r="J106" s="43">
        <v>30.397723081733904</v>
      </c>
      <c r="K106" s="48"/>
      <c r="L106" s="47">
        <v>26.31609105470212</v>
      </c>
      <c r="M106" s="48">
        <v>26.914184033218074</v>
      </c>
      <c r="N106" s="43">
        <v>29.562881509503029</v>
      </c>
      <c r="O106" s="53"/>
      <c r="P106" s="54">
        <v>0.29000000000000004</v>
      </c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4"/>
      <c r="AB106" s="14"/>
      <c r="AC106" s="14"/>
      <c r="AD106" s="14"/>
      <c r="AE106" s="14"/>
      <c r="AF106" s="14"/>
      <c r="AG106" s="14"/>
      <c r="AH106" s="14"/>
    </row>
    <row r="107" spans="1:34" x14ac:dyDescent="0.25">
      <c r="A107" s="3" t="s">
        <v>152</v>
      </c>
      <c r="B107" s="3" t="s">
        <v>154</v>
      </c>
      <c r="C107" s="1" t="s">
        <v>1</v>
      </c>
      <c r="D107" s="41">
        <v>186.22413701077318</v>
      </c>
      <c r="E107" s="42">
        <v>253.74197533723856</v>
      </c>
      <c r="F107" s="43">
        <v>356.83388026923654</v>
      </c>
      <c r="G107" s="48"/>
      <c r="H107" s="47">
        <v>28.434600351219515</v>
      </c>
      <c r="I107" s="48">
        <v>39.885888819512203</v>
      </c>
      <c r="J107" s="43">
        <v>46.925388614634151</v>
      </c>
      <c r="K107" s="48"/>
      <c r="L107" s="47">
        <v>40.624516390243905</v>
      </c>
      <c r="M107" s="48">
        <v>41.547800853658543</v>
      </c>
      <c r="N107" s="43">
        <v>45.636632048780498</v>
      </c>
      <c r="O107" s="53"/>
      <c r="P107" s="54">
        <v>0.29000000000000004</v>
      </c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  <c r="AB107" s="14"/>
      <c r="AC107" s="14"/>
      <c r="AD107" s="14"/>
      <c r="AE107" s="14"/>
      <c r="AF107" s="14"/>
      <c r="AG107" s="14"/>
      <c r="AH107" s="14"/>
    </row>
    <row r="108" spans="1:34" x14ac:dyDescent="0.25">
      <c r="A108" s="3" t="s">
        <v>155</v>
      </c>
      <c r="B108" s="3" t="s">
        <v>156</v>
      </c>
      <c r="C108" s="1" t="s">
        <v>1</v>
      </c>
      <c r="D108" s="41">
        <v>101.41187005206409</v>
      </c>
      <c r="E108" s="42">
        <v>138.17998376958752</v>
      </c>
      <c r="F108" s="43">
        <v>194.32062715878851</v>
      </c>
      <c r="G108" s="48"/>
      <c r="H108" s="47">
        <v>15.484598517073172</v>
      </c>
      <c r="I108" s="48">
        <v>21.720613873170731</v>
      </c>
      <c r="J108" s="43">
        <v>25.554106404878052</v>
      </c>
      <c r="K108" s="48"/>
      <c r="L108" s="47">
        <v>32.217739024390248</v>
      </c>
      <c r="M108" s="48">
        <v>32.949960365853656</v>
      </c>
      <c r="N108" s="43">
        <v>36.192654878048785</v>
      </c>
      <c r="O108" s="53"/>
      <c r="P108" s="54">
        <v>0.10999999999999999</v>
      </c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  <c r="AB108" s="14"/>
      <c r="AC108" s="14"/>
      <c r="AD108" s="14"/>
      <c r="AE108" s="14"/>
      <c r="AF108" s="14"/>
      <c r="AG108" s="14"/>
      <c r="AH108" s="14"/>
    </row>
    <row r="109" spans="1:34" x14ac:dyDescent="0.25">
      <c r="A109" s="3" t="s">
        <v>157</v>
      </c>
      <c r="B109" s="3" t="s">
        <v>158</v>
      </c>
      <c r="C109" s="1" t="s">
        <v>1</v>
      </c>
      <c r="D109" s="41">
        <v>139.3408990432589</v>
      </c>
      <c r="E109" s="42">
        <v>189.86064607971764</v>
      </c>
      <c r="F109" s="43">
        <v>266.99843792501292</v>
      </c>
      <c r="G109" s="48"/>
      <c r="H109" s="47">
        <v>12.378474271393646</v>
      </c>
      <c r="I109" s="48">
        <v>17.021535683081225</v>
      </c>
      <c r="J109" s="43">
        <v>17.901178177092348</v>
      </c>
      <c r="K109" s="48"/>
      <c r="L109" s="47">
        <v>29.954333414634139</v>
      </c>
      <c r="M109" s="48">
        <v>30.635113719512187</v>
      </c>
      <c r="N109" s="43">
        <v>33.649997926829258</v>
      </c>
      <c r="O109" s="53"/>
      <c r="P109" s="54">
        <v>0.12</v>
      </c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  <c r="AB109" s="14"/>
      <c r="AC109" s="14"/>
      <c r="AD109" s="14"/>
      <c r="AE109" s="14"/>
      <c r="AF109" s="14"/>
      <c r="AG109" s="14"/>
      <c r="AH109" s="14"/>
    </row>
    <row r="110" spans="1:34" x14ac:dyDescent="0.25">
      <c r="A110" s="3" t="s">
        <v>157</v>
      </c>
      <c r="B110" s="3" t="s">
        <v>159</v>
      </c>
      <c r="C110" s="1" t="s">
        <v>1</v>
      </c>
      <c r="D110" s="41">
        <v>139.3408990432589</v>
      </c>
      <c r="E110" s="42">
        <v>189.86064607971764</v>
      </c>
      <c r="F110" s="43">
        <v>266.99843792501292</v>
      </c>
      <c r="G110" s="48"/>
      <c r="H110" s="47">
        <v>12.378474271393646</v>
      </c>
      <c r="I110" s="48">
        <v>17.021535683081225</v>
      </c>
      <c r="J110" s="43">
        <v>17.901178177092348</v>
      </c>
      <c r="K110" s="48"/>
      <c r="L110" s="47">
        <v>29.954333414634139</v>
      </c>
      <c r="M110" s="48">
        <v>30.635113719512187</v>
      </c>
      <c r="N110" s="43">
        <v>33.649997926829258</v>
      </c>
      <c r="O110" s="53"/>
      <c r="P110" s="54">
        <v>0.12</v>
      </c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  <c r="AB110" s="14"/>
      <c r="AC110" s="14"/>
      <c r="AD110" s="14"/>
      <c r="AE110" s="14"/>
      <c r="AF110" s="14"/>
      <c r="AG110" s="14"/>
      <c r="AH110" s="14"/>
    </row>
    <row r="111" spans="1:34" x14ac:dyDescent="0.25">
      <c r="A111" s="3" t="s">
        <v>160</v>
      </c>
      <c r="B111" s="3" t="s">
        <v>161</v>
      </c>
      <c r="C111" s="1" t="s">
        <v>1</v>
      </c>
      <c r="D111" s="41">
        <v>87.864423077278431</v>
      </c>
      <c r="E111" s="42">
        <v>121.68342496350432</v>
      </c>
      <c r="F111" s="43">
        <v>194.4559163708515</v>
      </c>
      <c r="G111" s="48"/>
      <c r="H111" s="47">
        <v>13.416036156195737</v>
      </c>
      <c r="I111" s="48">
        <v>18.818992351395188</v>
      </c>
      <c r="J111" s="43">
        <v>22.140374843371664</v>
      </c>
      <c r="K111" s="48"/>
      <c r="L111" s="47">
        <v>19.353584367130615</v>
      </c>
      <c r="M111" s="48">
        <v>19.793438557292671</v>
      </c>
      <c r="N111" s="43">
        <v>21.741364256581797</v>
      </c>
      <c r="O111" s="53"/>
      <c r="P111" s="54">
        <v>0.16</v>
      </c>
      <c r="Q111" s="14"/>
      <c r="R111" s="14"/>
      <c r="S111" s="14"/>
      <c r="T111" s="14"/>
      <c r="U111" s="14"/>
      <c r="V111" s="14"/>
      <c r="W111" s="14"/>
      <c r="X111" s="14"/>
      <c r="Y111" s="14"/>
      <c r="Z111" s="14"/>
      <c r="AA111" s="14"/>
      <c r="AB111" s="14"/>
      <c r="AC111" s="14"/>
      <c r="AD111" s="14"/>
      <c r="AE111" s="14"/>
      <c r="AF111" s="14"/>
      <c r="AG111" s="14"/>
      <c r="AH111" s="14"/>
    </row>
    <row r="112" spans="1:34" x14ac:dyDescent="0.25">
      <c r="A112" s="3" t="s">
        <v>162</v>
      </c>
      <c r="B112" s="3" t="s">
        <v>163</v>
      </c>
      <c r="C112" s="1" t="s">
        <v>2</v>
      </c>
      <c r="D112" s="41">
        <v>91.738579494697433</v>
      </c>
      <c r="E112" s="42">
        <v>138.15761811971188</v>
      </c>
      <c r="F112" s="43">
        <v>179.07107352301497</v>
      </c>
      <c r="G112" s="48"/>
      <c r="H112" s="47">
        <v>8.8725000000000005</v>
      </c>
      <c r="I112" s="48">
        <v>12.2005</v>
      </c>
      <c r="J112" s="43">
        <v>12.831</v>
      </c>
      <c r="K112" s="48"/>
      <c r="L112" s="47">
        <v>19.034400000000002</v>
      </c>
      <c r="M112" s="48">
        <v>19.466999999999999</v>
      </c>
      <c r="N112" s="43">
        <v>21.382800000000003</v>
      </c>
      <c r="O112" s="53"/>
      <c r="P112" s="54">
        <v>0.14000000000000001</v>
      </c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  <c r="AB112" s="14"/>
      <c r="AC112" s="14"/>
      <c r="AD112" s="14"/>
      <c r="AE112" s="14"/>
      <c r="AF112" s="14"/>
      <c r="AG112" s="14"/>
      <c r="AH112" s="14"/>
    </row>
    <row r="113" spans="1:34" x14ac:dyDescent="0.25">
      <c r="A113" s="3" t="s">
        <v>164</v>
      </c>
      <c r="B113" s="3" t="s">
        <v>165</v>
      </c>
      <c r="C113" s="1" t="s">
        <v>2</v>
      </c>
      <c r="D113" s="41">
        <v>115.24927173254947</v>
      </c>
      <c r="E113" s="42">
        <v>166.68263236135516</v>
      </c>
      <c r="F113" s="43">
        <v>204.49848411981762</v>
      </c>
      <c r="G113" s="48"/>
      <c r="H113" s="47">
        <v>10.238179635844116</v>
      </c>
      <c r="I113" s="48">
        <v>14.078434561523371</v>
      </c>
      <c r="J113" s="43">
        <v>14.80598285798995</v>
      </c>
      <c r="K113" s="48"/>
      <c r="L113" s="47">
        <v>25.694592000000004</v>
      </c>
      <c r="M113" s="48">
        <v>26.278560000000002</v>
      </c>
      <c r="N113" s="43">
        <v>28.864704000000003</v>
      </c>
      <c r="O113" s="53"/>
      <c r="P113" s="54">
        <v>0.185</v>
      </c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</row>
    <row r="114" spans="1:34" x14ac:dyDescent="0.25">
      <c r="A114" s="3" t="s">
        <v>164</v>
      </c>
      <c r="B114" s="3" t="s">
        <v>166</v>
      </c>
      <c r="C114" s="1" t="s">
        <v>2</v>
      </c>
      <c r="D114" s="41">
        <v>117.55425716720048</v>
      </c>
      <c r="E114" s="42">
        <v>170.01628500858229</v>
      </c>
      <c r="F114" s="43">
        <v>208.58845380221399</v>
      </c>
      <c r="G114" s="48"/>
      <c r="H114" s="47">
        <v>10.5105</v>
      </c>
      <c r="I114" s="48">
        <v>14.4529</v>
      </c>
      <c r="J114" s="43">
        <v>15.1998</v>
      </c>
      <c r="K114" s="48"/>
      <c r="L114" s="47">
        <v>26.208483840000003</v>
      </c>
      <c r="M114" s="48">
        <v>26.804131200000004</v>
      </c>
      <c r="N114" s="43">
        <v>29.441998080000005</v>
      </c>
      <c r="O114" s="53"/>
      <c r="P114" s="54">
        <v>0.185</v>
      </c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</row>
    <row r="115" spans="1:34" x14ac:dyDescent="0.25">
      <c r="A115" s="3" t="s">
        <v>164</v>
      </c>
      <c r="B115" s="3" t="s">
        <v>167</v>
      </c>
      <c r="C115" s="1" t="s">
        <v>2</v>
      </c>
      <c r="D115" s="41">
        <v>119.85924260185146</v>
      </c>
      <c r="E115" s="42">
        <v>173.34993765580938</v>
      </c>
      <c r="F115" s="43">
        <v>212.67842348461033</v>
      </c>
      <c r="G115" s="48"/>
      <c r="H115" s="47">
        <v>10.647</v>
      </c>
      <c r="I115" s="48">
        <v>14.640600000000001</v>
      </c>
      <c r="J115" s="43">
        <v>15.3972</v>
      </c>
      <c r="K115" s="48"/>
      <c r="L115" s="47">
        <v>26.722375680000006</v>
      </c>
      <c r="M115" s="48">
        <v>27.329702400000002</v>
      </c>
      <c r="N115" s="43">
        <v>30.019292160000003</v>
      </c>
      <c r="O115" s="53"/>
      <c r="P115" s="54">
        <v>0.185</v>
      </c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  <c r="AB115" s="14"/>
      <c r="AC115" s="14"/>
      <c r="AD115" s="14"/>
      <c r="AE115" s="14"/>
      <c r="AF115" s="14"/>
      <c r="AG115" s="14"/>
      <c r="AH115" s="14"/>
    </row>
    <row r="116" spans="1:34" x14ac:dyDescent="0.25">
      <c r="A116" s="3" t="s">
        <v>164</v>
      </c>
      <c r="B116" s="3" t="s">
        <v>168</v>
      </c>
      <c r="C116" s="1" t="s">
        <v>2</v>
      </c>
      <c r="D116" s="41">
        <v>118.70674988452596</v>
      </c>
      <c r="E116" s="42">
        <v>171.68311133219581</v>
      </c>
      <c r="F116" s="43">
        <v>210.63343864341218</v>
      </c>
      <c r="G116" s="48"/>
      <c r="H116" s="47">
        <v>10.5105</v>
      </c>
      <c r="I116" s="48">
        <v>14.4529</v>
      </c>
      <c r="J116" s="43">
        <v>15.1998</v>
      </c>
      <c r="K116" s="48"/>
      <c r="L116" s="47">
        <v>26.465429760000003</v>
      </c>
      <c r="M116" s="48">
        <v>27.066916800000005</v>
      </c>
      <c r="N116" s="43">
        <v>29.730645120000005</v>
      </c>
      <c r="O116" s="53"/>
      <c r="P116" s="54">
        <v>0.185</v>
      </c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  <c r="AC116" s="14"/>
      <c r="AD116" s="14"/>
      <c r="AE116" s="14"/>
      <c r="AF116" s="14"/>
      <c r="AG116" s="14"/>
      <c r="AH116" s="14"/>
    </row>
    <row r="117" spans="1:34" x14ac:dyDescent="0.25">
      <c r="A117" s="3" t="s">
        <v>162</v>
      </c>
      <c r="B117" s="3" t="s">
        <v>169</v>
      </c>
      <c r="C117" s="1" t="s">
        <v>2</v>
      </c>
      <c r="D117" s="41">
        <v>75.461429839272185</v>
      </c>
      <c r="E117" s="42">
        <v>113.28964745244075</v>
      </c>
      <c r="F117" s="43">
        <v>154.04797731615093</v>
      </c>
      <c r="G117" s="48"/>
      <c r="H117" s="47">
        <v>8.463000000000001</v>
      </c>
      <c r="I117" s="48">
        <v>11.6374</v>
      </c>
      <c r="J117" s="43">
        <v>12.238799999999999</v>
      </c>
      <c r="K117" s="48"/>
      <c r="L117" s="47">
        <v>18.22128</v>
      </c>
      <c r="M117" s="48">
        <v>18.635400000000001</v>
      </c>
      <c r="N117" s="43">
        <v>20.469359999999998</v>
      </c>
      <c r="O117" s="53"/>
      <c r="P117" s="54">
        <v>0.15</v>
      </c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14"/>
      <c r="AB117" s="14"/>
      <c r="AC117" s="14"/>
      <c r="AD117" s="14"/>
      <c r="AE117" s="14"/>
      <c r="AF117" s="14"/>
      <c r="AG117" s="14"/>
      <c r="AH117" s="14"/>
    </row>
    <row r="118" spans="1:34" x14ac:dyDescent="0.25">
      <c r="A118" s="3" t="s">
        <v>162</v>
      </c>
      <c r="B118" s="3" t="s">
        <v>170</v>
      </c>
      <c r="C118" s="1" t="s">
        <v>2</v>
      </c>
      <c r="D118" s="41">
        <v>71.714925822394477</v>
      </c>
      <c r="E118" s="42">
        <v>107.83410912543928</v>
      </c>
      <c r="F118" s="43">
        <v>146.68603028016523</v>
      </c>
      <c r="G118" s="48"/>
      <c r="H118" s="47">
        <v>8.19</v>
      </c>
      <c r="I118" s="48">
        <v>11.261999999999999</v>
      </c>
      <c r="J118" s="43">
        <v>11.843999999999999</v>
      </c>
      <c r="K118" s="48"/>
      <c r="L118" s="47">
        <v>17.907119999999999</v>
      </c>
      <c r="M118" s="48">
        <v>18.3141</v>
      </c>
      <c r="N118" s="43">
        <v>20.116439999999997</v>
      </c>
      <c r="O118" s="53"/>
      <c r="P118" s="54">
        <v>0.15</v>
      </c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  <c r="AB118" s="14"/>
      <c r="AC118" s="14"/>
      <c r="AD118" s="14"/>
      <c r="AE118" s="14"/>
      <c r="AF118" s="14"/>
      <c r="AG118" s="14"/>
      <c r="AH118" s="14"/>
    </row>
    <row r="119" spans="1:34" x14ac:dyDescent="0.25">
      <c r="A119" s="3" t="s">
        <v>162</v>
      </c>
      <c r="B119" s="3" t="s">
        <v>171</v>
      </c>
      <c r="C119" s="1" t="s">
        <v>2</v>
      </c>
      <c r="D119" s="41">
        <v>75.19460808759213</v>
      </c>
      <c r="E119" s="42">
        <v>113.03177782972736</v>
      </c>
      <c r="F119" s="43">
        <v>153.82277191904177</v>
      </c>
      <c r="G119" s="48"/>
      <c r="H119" s="47">
        <v>8.463000000000001</v>
      </c>
      <c r="I119" s="48">
        <v>11.6374</v>
      </c>
      <c r="J119" s="43">
        <v>12.238799999999999</v>
      </c>
      <c r="K119" s="48"/>
      <c r="L119" s="47">
        <v>17.592960000000001</v>
      </c>
      <c r="M119" s="48">
        <v>17.992800000000003</v>
      </c>
      <c r="N119" s="43">
        <v>19.763520000000003</v>
      </c>
      <c r="O119" s="53"/>
      <c r="P119" s="54">
        <v>0.15</v>
      </c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  <c r="AB119" s="14"/>
      <c r="AC119" s="14"/>
      <c r="AD119" s="14"/>
      <c r="AE119" s="14"/>
      <c r="AF119" s="14"/>
      <c r="AG119" s="14"/>
      <c r="AH119" s="14"/>
    </row>
    <row r="120" spans="1:34" x14ac:dyDescent="0.25">
      <c r="A120" s="3" t="s">
        <v>172</v>
      </c>
      <c r="B120" s="3" t="s">
        <v>173</v>
      </c>
      <c r="C120" s="1" t="s">
        <v>2</v>
      </c>
      <c r="D120" s="41">
        <v>42.138583483387748</v>
      </c>
      <c r="E120" s="42">
        <v>52.281319048339888</v>
      </c>
      <c r="F120" s="43">
        <v>70.475247370059549</v>
      </c>
      <c r="G120" s="48"/>
      <c r="H120" s="47">
        <v>3.6855000000000002</v>
      </c>
      <c r="I120" s="48">
        <v>5.0678999999999998</v>
      </c>
      <c r="J120" s="43">
        <v>5.3297999999999996</v>
      </c>
      <c r="K120" s="48"/>
      <c r="L120" s="47">
        <v>9.237008360095988</v>
      </c>
      <c r="M120" s="48">
        <v>9.4469403682799875</v>
      </c>
      <c r="N120" s="43">
        <v>10.376639261666272</v>
      </c>
      <c r="O120" s="53"/>
      <c r="P120" s="54">
        <v>0.15</v>
      </c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  <c r="AB120" s="14"/>
      <c r="AC120" s="14"/>
      <c r="AD120" s="14"/>
      <c r="AE120" s="14"/>
      <c r="AF120" s="14"/>
      <c r="AG120" s="14"/>
      <c r="AH120" s="14"/>
    </row>
    <row r="121" spans="1:34" x14ac:dyDescent="0.25">
      <c r="A121" s="3" t="s">
        <v>172</v>
      </c>
      <c r="B121" s="3" t="s">
        <v>174</v>
      </c>
      <c r="C121" s="1" t="s">
        <v>2</v>
      </c>
      <c r="D121" s="41">
        <v>41.721369785532424</v>
      </c>
      <c r="E121" s="42">
        <v>51.763682226079098</v>
      </c>
      <c r="F121" s="43">
        <v>69.777472643623312</v>
      </c>
      <c r="G121" s="48"/>
      <c r="H121" s="47">
        <v>3.6855000000000002</v>
      </c>
      <c r="I121" s="48">
        <v>5.0678999999999998</v>
      </c>
      <c r="J121" s="43">
        <v>5.3297999999999996</v>
      </c>
      <c r="K121" s="48"/>
      <c r="L121" s="47">
        <v>9.1455528317782058</v>
      </c>
      <c r="M121" s="48">
        <v>9.3534063052277094</v>
      </c>
      <c r="N121" s="43">
        <v>10.273900259075516</v>
      </c>
      <c r="O121" s="53"/>
      <c r="P121" s="54">
        <v>0.15</v>
      </c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  <c r="AB121" s="14"/>
      <c r="AC121" s="14"/>
      <c r="AD121" s="14"/>
      <c r="AE121" s="14"/>
      <c r="AF121" s="14"/>
      <c r="AG121" s="14"/>
      <c r="AH121" s="14"/>
    </row>
    <row r="122" spans="1:34" x14ac:dyDescent="0.25">
      <c r="A122" s="3" t="s">
        <v>172</v>
      </c>
      <c r="B122" s="3" t="s">
        <v>175</v>
      </c>
      <c r="C122" s="1" t="s">
        <v>2</v>
      </c>
      <c r="D122" s="41">
        <v>41.721369785532424</v>
      </c>
      <c r="E122" s="42">
        <v>51.763682226079098</v>
      </c>
      <c r="F122" s="43">
        <v>69.777472643623312</v>
      </c>
      <c r="G122" s="48"/>
      <c r="H122" s="47">
        <v>3.6855000000000002</v>
      </c>
      <c r="I122" s="48">
        <v>5.0678999999999998</v>
      </c>
      <c r="J122" s="43">
        <v>5.3297999999999996</v>
      </c>
      <c r="K122" s="48"/>
      <c r="L122" s="47">
        <v>9.1455528317782058</v>
      </c>
      <c r="M122" s="48">
        <v>9.3534063052277094</v>
      </c>
      <c r="N122" s="43">
        <v>10.273900259075516</v>
      </c>
      <c r="O122" s="53"/>
      <c r="P122" s="54">
        <v>0.15</v>
      </c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  <c r="AB122" s="14"/>
      <c r="AC122" s="14"/>
      <c r="AD122" s="14"/>
      <c r="AE122" s="14"/>
      <c r="AF122" s="14"/>
      <c r="AG122" s="14"/>
      <c r="AH122" s="14"/>
    </row>
    <row r="123" spans="1:34" x14ac:dyDescent="0.25">
      <c r="A123" s="3" t="s">
        <v>172</v>
      </c>
      <c r="B123" s="3" t="s">
        <v>176</v>
      </c>
      <c r="C123" s="1" t="s">
        <v>2</v>
      </c>
      <c r="D123" s="41">
        <v>41.312336748419362</v>
      </c>
      <c r="E123" s="42">
        <v>51.256195145431263</v>
      </c>
      <c r="F123" s="43">
        <v>69.093379774568177</v>
      </c>
      <c r="G123" s="48"/>
      <c r="H123" s="47">
        <v>3.6855000000000002</v>
      </c>
      <c r="I123" s="48">
        <v>5.0678999999999998</v>
      </c>
      <c r="J123" s="43">
        <v>5.3297999999999996</v>
      </c>
      <c r="K123" s="48"/>
      <c r="L123" s="47">
        <v>9.0558905491137143</v>
      </c>
      <c r="M123" s="48">
        <v>9.2617062434117514</v>
      </c>
      <c r="N123" s="43">
        <v>10.173175746731639</v>
      </c>
      <c r="O123" s="53"/>
      <c r="P123" s="54">
        <v>0.15</v>
      </c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  <c r="AB123" s="14"/>
      <c r="AC123" s="14"/>
      <c r="AD123" s="14"/>
      <c r="AE123" s="14"/>
      <c r="AF123" s="14"/>
      <c r="AG123" s="14"/>
      <c r="AH123" s="14"/>
    </row>
    <row r="124" spans="1:34" x14ac:dyDescent="0.25">
      <c r="A124" s="3" t="s">
        <v>172</v>
      </c>
      <c r="B124" s="3" t="s">
        <v>177</v>
      </c>
      <c r="C124" s="1" t="s">
        <v>2</v>
      </c>
      <c r="D124" s="41">
        <v>45.509670162058768</v>
      </c>
      <c r="E124" s="42">
        <v>56.463824572207088</v>
      </c>
      <c r="F124" s="43">
        <v>76.113267159664318</v>
      </c>
      <c r="G124" s="48"/>
      <c r="H124" s="47">
        <v>4.0949999999999998</v>
      </c>
      <c r="I124" s="48">
        <v>5.6309999999999993</v>
      </c>
      <c r="J124" s="43">
        <v>5.9219999999999997</v>
      </c>
      <c r="K124" s="48"/>
      <c r="L124" s="47">
        <v>9.975969028903668</v>
      </c>
      <c r="M124" s="48">
        <v>10.202695597742387</v>
      </c>
      <c r="N124" s="43">
        <v>11.206770402599574</v>
      </c>
      <c r="O124" s="53"/>
      <c r="P124" s="54">
        <v>0.15</v>
      </c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4"/>
      <c r="AB124" s="14"/>
      <c r="AC124" s="14"/>
      <c r="AD124" s="14"/>
      <c r="AE124" s="14"/>
      <c r="AF124" s="14"/>
      <c r="AG124" s="14"/>
      <c r="AH124" s="14"/>
    </row>
    <row r="125" spans="1:34" x14ac:dyDescent="0.25">
      <c r="A125" s="3" t="s">
        <v>172</v>
      </c>
      <c r="B125" s="3" t="s">
        <v>178</v>
      </c>
      <c r="C125" s="1" t="s">
        <v>2</v>
      </c>
      <c r="D125" s="41">
        <v>44.245512657557136</v>
      </c>
      <c r="E125" s="42">
        <v>54.895385000756882</v>
      </c>
      <c r="F125" s="43">
        <v>73.999009738562521</v>
      </c>
      <c r="G125" s="48"/>
      <c r="H125" s="47">
        <v>3.9584999999999999</v>
      </c>
      <c r="I125" s="48">
        <v>5.4432999999999998</v>
      </c>
      <c r="J125" s="43">
        <v>5.7245999999999988</v>
      </c>
      <c r="K125" s="48"/>
      <c r="L125" s="47">
        <v>9.6988587781007887</v>
      </c>
      <c r="M125" s="48">
        <v>9.9192873866939877</v>
      </c>
      <c r="N125" s="43">
        <v>10.895471224749587</v>
      </c>
      <c r="O125" s="53"/>
      <c r="P125" s="54">
        <v>0.15</v>
      </c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  <c r="AB125" s="14"/>
      <c r="AC125" s="14"/>
      <c r="AD125" s="14"/>
      <c r="AE125" s="14"/>
      <c r="AF125" s="14"/>
      <c r="AG125" s="14"/>
      <c r="AH125" s="14"/>
    </row>
    <row r="126" spans="1:34" x14ac:dyDescent="0.25">
      <c r="A126" s="3" t="s">
        <v>172</v>
      </c>
      <c r="B126" s="3" t="s">
        <v>179</v>
      </c>
      <c r="C126" s="1" t="s">
        <v>2</v>
      </c>
      <c r="D126" s="41">
        <v>41.721369785532424</v>
      </c>
      <c r="E126" s="42">
        <v>51.763682226079098</v>
      </c>
      <c r="F126" s="43">
        <v>69.777472643623312</v>
      </c>
      <c r="G126" s="48"/>
      <c r="H126" s="47">
        <v>3.6855000000000002</v>
      </c>
      <c r="I126" s="48">
        <v>5.0678999999999998</v>
      </c>
      <c r="J126" s="43">
        <v>5.3297999999999996</v>
      </c>
      <c r="K126" s="48"/>
      <c r="L126" s="47">
        <v>9.1455528317782058</v>
      </c>
      <c r="M126" s="48">
        <v>9.3534063052277094</v>
      </c>
      <c r="N126" s="43">
        <v>10.273900259075516</v>
      </c>
      <c r="O126" s="53"/>
      <c r="P126" s="54">
        <v>0.15</v>
      </c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  <c r="AB126" s="14"/>
      <c r="AC126" s="14"/>
      <c r="AD126" s="14"/>
      <c r="AE126" s="14"/>
      <c r="AF126" s="14"/>
      <c r="AG126" s="14"/>
      <c r="AH126" s="14"/>
    </row>
    <row r="127" spans="1:34" x14ac:dyDescent="0.25">
      <c r="A127" s="3" t="s">
        <v>180</v>
      </c>
      <c r="B127" s="3" t="s">
        <v>181</v>
      </c>
      <c r="C127" s="1" t="s">
        <v>2</v>
      </c>
      <c r="D127" s="41">
        <v>72.735690468761149</v>
      </c>
      <c r="E127" s="42">
        <v>92.748272713182416</v>
      </c>
      <c r="F127" s="43">
        <v>116.59235829009806</v>
      </c>
      <c r="G127" s="48"/>
      <c r="H127" s="47">
        <v>6.4154999999999998</v>
      </c>
      <c r="I127" s="48">
        <v>8.8218999999999994</v>
      </c>
      <c r="J127" s="43">
        <v>9.2777999999999992</v>
      </c>
      <c r="K127" s="48"/>
      <c r="L127" s="47">
        <v>15.523199999999999</v>
      </c>
      <c r="M127" s="48">
        <v>15.875999999999999</v>
      </c>
      <c r="N127" s="43">
        <v>17.438400000000001</v>
      </c>
      <c r="O127" s="53"/>
      <c r="P127" s="54">
        <v>0.10500000000000001</v>
      </c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  <c r="AB127" s="14"/>
      <c r="AC127" s="14"/>
      <c r="AD127" s="14"/>
      <c r="AE127" s="14"/>
      <c r="AF127" s="14"/>
      <c r="AG127" s="14"/>
      <c r="AH127" s="14"/>
    </row>
    <row r="128" spans="1:34" x14ac:dyDescent="0.25">
      <c r="A128" s="3" t="s">
        <v>182</v>
      </c>
      <c r="B128" s="3" t="s">
        <v>183</v>
      </c>
      <c r="C128" s="1" t="s">
        <v>2</v>
      </c>
      <c r="D128" s="41">
        <v>165.07170488547902</v>
      </c>
      <c r="E128" s="42">
        <v>212.23439294288426</v>
      </c>
      <c r="F128" s="43">
        <v>252.7926787750844</v>
      </c>
      <c r="G128" s="48"/>
      <c r="H128" s="47">
        <v>14.664160059375634</v>
      </c>
      <c r="I128" s="48">
        <v>20.164562953441806</v>
      </c>
      <c r="J128" s="43">
        <v>21.206631470481682</v>
      </c>
      <c r="K128" s="48"/>
      <c r="L128" s="47">
        <v>35.135792447799844</v>
      </c>
      <c r="M128" s="48">
        <v>35.934333185249841</v>
      </c>
      <c r="N128" s="43">
        <v>39.470727879671259</v>
      </c>
      <c r="O128" s="53"/>
      <c r="P128" s="54">
        <v>0.26500000000000001</v>
      </c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  <c r="AB128" s="14"/>
      <c r="AC128" s="14"/>
      <c r="AD128" s="14"/>
      <c r="AE128" s="14"/>
      <c r="AF128" s="14"/>
      <c r="AG128" s="14"/>
      <c r="AH128" s="14"/>
    </row>
    <row r="129" spans="1:34" x14ac:dyDescent="0.25">
      <c r="A129" s="3" t="s">
        <v>184</v>
      </c>
      <c r="B129" s="3" t="s">
        <v>185</v>
      </c>
      <c r="C129" s="1" t="s">
        <v>2</v>
      </c>
      <c r="D129" s="41">
        <v>72.003024142400506</v>
      </c>
      <c r="E129" s="42">
        <v>97.553738628219179</v>
      </c>
      <c r="F129" s="43">
        <v>137.959014973476</v>
      </c>
      <c r="G129" s="48"/>
      <c r="H129" s="47">
        <v>6.396395260567342</v>
      </c>
      <c r="I129" s="48">
        <v>8.7956292337618311</v>
      </c>
      <c r="J129" s="43">
        <v>9.250171607589694</v>
      </c>
      <c r="K129" s="48"/>
      <c r="L129" s="47">
        <v>15.554711608987052</v>
      </c>
      <c r="M129" s="48">
        <v>15.908227781918574</v>
      </c>
      <c r="N129" s="43">
        <v>17.473799404901037</v>
      </c>
      <c r="O129" s="53"/>
      <c r="P129" s="54">
        <v>0.08</v>
      </c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4"/>
      <c r="AB129" s="14"/>
      <c r="AC129" s="14"/>
      <c r="AD129" s="14"/>
      <c r="AE129" s="14"/>
      <c r="AF129" s="14"/>
      <c r="AG129" s="14"/>
      <c r="AH129" s="14"/>
    </row>
    <row r="130" spans="1:34" x14ac:dyDescent="0.25">
      <c r="A130" s="3" t="s">
        <v>186</v>
      </c>
      <c r="B130" s="3" t="s">
        <v>187</v>
      </c>
      <c r="C130" s="1" t="s">
        <v>2</v>
      </c>
      <c r="D130" s="41">
        <v>97.417365056667748</v>
      </c>
      <c r="E130" s="42">
        <v>138.94500591602605</v>
      </c>
      <c r="F130" s="43">
        <v>177.56211460070904</v>
      </c>
      <c r="G130" s="48"/>
      <c r="H130" s="47">
        <v>8.65408056907558</v>
      </c>
      <c r="I130" s="48">
        <v>11.900153280699532</v>
      </c>
      <c r="J130" s="43">
        <v>12.515131899893914</v>
      </c>
      <c r="K130" s="48"/>
      <c r="L130" s="47">
        <v>21.767065931055768</v>
      </c>
      <c r="M130" s="48">
        <v>22.261771974943393</v>
      </c>
      <c r="N130" s="43">
        <v>24.452613026445764</v>
      </c>
      <c r="O130" s="53"/>
      <c r="P130" s="54">
        <v>0.15</v>
      </c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  <c r="AB130" s="14"/>
      <c r="AC130" s="14"/>
      <c r="AD130" s="14"/>
      <c r="AE130" s="14"/>
      <c r="AF130" s="14"/>
      <c r="AG130" s="14"/>
      <c r="AH130" s="14"/>
    </row>
    <row r="131" spans="1:34" x14ac:dyDescent="0.25">
      <c r="A131" s="3" t="s">
        <v>188</v>
      </c>
      <c r="B131" s="3" t="s">
        <v>189</v>
      </c>
      <c r="C131" s="1" t="s">
        <v>2</v>
      </c>
      <c r="D131" s="41">
        <v>72.617392927375718</v>
      </c>
      <c r="E131" s="42">
        <v>77.788197422144648</v>
      </c>
      <c r="F131" s="43">
        <v>82.818798204788138</v>
      </c>
      <c r="G131" s="48"/>
      <c r="H131" s="47">
        <v>4.7774999999999999</v>
      </c>
      <c r="I131" s="48">
        <v>6.5694999999999997</v>
      </c>
      <c r="J131" s="43">
        <v>6.9089999999999989</v>
      </c>
      <c r="K131" s="48"/>
      <c r="L131" s="47">
        <v>11.858000000000001</v>
      </c>
      <c r="M131" s="48">
        <v>12.1275</v>
      </c>
      <c r="N131" s="43">
        <v>13.321</v>
      </c>
      <c r="O131" s="53"/>
      <c r="P131" s="54">
        <v>0.05</v>
      </c>
      <c r="Q131" s="14"/>
      <c r="R131" s="14"/>
      <c r="S131" s="14"/>
      <c r="T131" s="14"/>
      <c r="U131" s="14"/>
      <c r="V131" s="14"/>
      <c r="W131" s="14"/>
      <c r="X131" s="14"/>
      <c r="Y131" s="14"/>
      <c r="Z131" s="14"/>
      <c r="AA131" s="14"/>
      <c r="AB131" s="14"/>
      <c r="AC131" s="14"/>
      <c r="AD131" s="14"/>
      <c r="AE131" s="14"/>
      <c r="AF131" s="14"/>
      <c r="AG131" s="14"/>
      <c r="AH131" s="14"/>
    </row>
    <row r="132" spans="1:34" x14ac:dyDescent="0.25">
      <c r="A132" s="3" t="s">
        <v>190</v>
      </c>
      <c r="B132" s="3" t="s">
        <v>191</v>
      </c>
      <c r="C132" s="1" t="s">
        <v>2</v>
      </c>
      <c r="D132" s="41">
        <v>77.014533130889205</v>
      </c>
      <c r="E132" s="42">
        <v>111.89040707920188</v>
      </c>
      <c r="F132" s="43">
        <v>143.73344175758419</v>
      </c>
      <c r="G132" s="48"/>
      <c r="H132" s="47">
        <v>6.8250000000000002</v>
      </c>
      <c r="I132" s="48">
        <v>9.3849999999999998</v>
      </c>
      <c r="J132" s="43">
        <v>9.8699999999999992</v>
      </c>
      <c r="K132" s="48"/>
      <c r="L132" s="47">
        <v>16.813720000000004</v>
      </c>
      <c r="M132" s="48">
        <v>17.19585</v>
      </c>
      <c r="N132" s="43">
        <v>18.88814</v>
      </c>
      <c r="O132" s="53"/>
      <c r="P132" s="54">
        <v>0.10999999999999999</v>
      </c>
      <c r="Q132" s="14"/>
      <c r="R132" s="14"/>
      <c r="S132" s="14"/>
      <c r="T132" s="14"/>
      <c r="U132" s="14"/>
      <c r="V132" s="14"/>
      <c r="W132" s="14"/>
      <c r="X132" s="14"/>
      <c r="Y132" s="14"/>
      <c r="Z132" s="14"/>
      <c r="AA132" s="14"/>
      <c r="AB132" s="14"/>
      <c r="AC132" s="14"/>
      <c r="AD132" s="14"/>
      <c r="AE132" s="14"/>
      <c r="AF132" s="14"/>
      <c r="AG132" s="14"/>
      <c r="AH132" s="14"/>
    </row>
    <row r="133" spans="1:34" x14ac:dyDescent="0.25">
      <c r="A133" s="3" t="s">
        <v>192</v>
      </c>
      <c r="B133" s="3" t="s">
        <v>192</v>
      </c>
      <c r="C133" s="1" t="s">
        <v>2</v>
      </c>
      <c r="D133" s="41">
        <v>122.92439594567418</v>
      </c>
      <c r="E133" s="42">
        <v>188.09246660068956</v>
      </c>
      <c r="F133" s="43">
        <v>222.99473206915195</v>
      </c>
      <c r="G133" s="48"/>
      <c r="H133" s="47">
        <v>12.285</v>
      </c>
      <c r="I133" s="48">
        <v>16.893000000000001</v>
      </c>
      <c r="J133" s="43">
        <v>17.765999999999998</v>
      </c>
      <c r="K133" s="48"/>
      <c r="L133" s="47">
        <v>29.660400000000003</v>
      </c>
      <c r="M133" s="48">
        <v>30.334500000000002</v>
      </c>
      <c r="N133" s="43">
        <v>33.319800000000001</v>
      </c>
      <c r="O133" s="53"/>
      <c r="P133" s="54">
        <v>0.24000000000000002</v>
      </c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4"/>
      <c r="AB133" s="14"/>
      <c r="AC133" s="14"/>
      <c r="AD133" s="14"/>
      <c r="AE133" s="14"/>
      <c r="AF133" s="14"/>
      <c r="AG133" s="14"/>
      <c r="AH133" s="14"/>
    </row>
    <row r="134" spans="1:34" x14ac:dyDescent="0.25">
      <c r="A134" s="3" t="s">
        <v>193</v>
      </c>
      <c r="B134" s="3" t="s">
        <v>194</v>
      </c>
      <c r="C134" s="1" t="s">
        <v>2</v>
      </c>
      <c r="D134" s="41">
        <v>79.014857832178976</v>
      </c>
      <c r="E134" s="42">
        <v>134.84041121826502</v>
      </c>
      <c r="F134" s="43">
        <v>147.33227624471726</v>
      </c>
      <c r="G134" s="48"/>
      <c r="H134" s="47">
        <v>8.19</v>
      </c>
      <c r="I134" s="48">
        <v>11.261999999999999</v>
      </c>
      <c r="J134" s="43">
        <v>11.843999999999999</v>
      </c>
      <c r="K134" s="48"/>
      <c r="L134" s="47">
        <v>17.820880000000002</v>
      </c>
      <c r="M134" s="48">
        <v>18.225900000000003</v>
      </c>
      <c r="N134" s="43">
        <v>20.019560000000002</v>
      </c>
      <c r="O134" s="53"/>
      <c r="P134" s="54">
        <v>0.12</v>
      </c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14"/>
      <c r="AB134" s="14"/>
      <c r="AC134" s="14"/>
      <c r="AD134" s="14"/>
      <c r="AE134" s="14"/>
      <c r="AF134" s="14"/>
      <c r="AG134" s="14"/>
      <c r="AH134" s="14"/>
    </row>
    <row r="135" spans="1:34" x14ac:dyDescent="0.25">
      <c r="A135" s="3" t="s">
        <v>195</v>
      </c>
      <c r="B135" s="3" t="s">
        <v>196</v>
      </c>
      <c r="C135" s="1" t="s">
        <v>2</v>
      </c>
      <c r="D135" s="41">
        <v>77.610887146401083</v>
      </c>
      <c r="E135" s="42">
        <v>116.79202498559228</v>
      </c>
      <c r="F135" s="43">
        <v>160.88603707396643</v>
      </c>
      <c r="G135" s="48"/>
      <c r="H135" s="47">
        <v>7.0980000000000008</v>
      </c>
      <c r="I135" s="48">
        <v>9.7604000000000006</v>
      </c>
      <c r="J135" s="43">
        <v>10.264799999999999</v>
      </c>
      <c r="K135" s="48"/>
      <c r="L135" s="47">
        <v>17.078481349251756</v>
      </c>
      <c r="M135" s="48">
        <v>17.466628652643845</v>
      </c>
      <c r="N135" s="43">
        <v>19.18556671052308</v>
      </c>
      <c r="O135" s="53"/>
      <c r="P135" s="54">
        <v>0.14000000000000001</v>
      </c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  <c r="AB135" s="14"/>
      <c r="AC135" s="14"/>
      <c r="AD135" s="14"/>
      <c r="AE135" s="14"/>
      <c r="AF135" s="14"/>
      <c r="AG135" s="14"/>
      <c r="AH135" s="14"/>
    </row>
    <row r="136" spans="1:34" x14ac:dyDescent="0.25">
      <c r="A136" s="3" t="s">
        <v>197</v>
      </c>
      <c r="B136" s="3" t="s">
        <v>198</v>
      </c>
      <c r="C136" s="1" t="s">
        <v>2</v>
      </c>
      <c r="D136" s="41">
        <v>48.345386063067906</v>
      </c>
      <c r="E136" s="42">
        <v>77.194056607498595</v>
      </c>
      <c r="F136" s="43">
        <v>108.45995590293577</v>
      </c>
      <c r="G136" s="48"/>
      <c r="H136" s="47">
        <v>4.2947668096902287</v>
      </c>
      <c r="I136" s="48">
        <v>5.9056976569879547</v>
      </c>
      <c r="J136" s="43">
        <v>6.2108935401674064</v>
      </c>
      <c r="K136" s="48"/>
      <c r="L136" s="47">
        <v>10.290397446971154</v>
      </c>
      <c r="M136" s="48">
        <v>10.524270116220498</v>
      </c>
      <c r="N136" s="43">
        <v>11.559991937181881</v>
      </c>
      <c r="O136" s="53"/>
      <c r="P136" s="54">
        <v>0.09</v>
      </c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  <c r="AB136" s="14"/>
      <c r="AC136" s="14"/>
      <c r="AD136" s="14"/>
      <c r="AE136" s="14"/>
      <c r="AF136" s="14"/>
      <c r="AG136" s="14"/>
      <c r="AH136" s="14"/>
    </row>
    <row r="137" spans="1:34" x14ac:dyDescent="0.25">
      <c r="A137" s="3" t="s">
        <v>199</v>
      </c>
      <c r="B137" s="3" t="s">
        <v>200</v>
      </c>
      <c r="C137" s="1" t="s">
        <v>2</v>
      </c>
      <c r="D137" s="41">
        <v>56.869843214626805</v>
      </c>
      <c r="E137" s="42">
        <v>71.378143787703294</v>
      </c>
      <c r="F137" s="43">
        <v>91.617573383828912</v>
      </c>
      <c r="G137" s="48"/>
      <c r="H137" s="47">
        <v>5.0520377434124697</v>
      </c>
      <c r="I137" s="48">
        <v>6.947014538011139</v>
      </c>
      <c r="J137" s="43">
        <v>7.3060238135503397</v>
      </c>
      <c r="K137" s="48"/>
      <c r="L137" s="47">
        <v>12.466181199895983</v>
      </c>
      <c r="M137" s="48">
        <v>12.749503499893619</v>
      </c>
      <c r="N137" s="43">
        <v>14.004216542740293</v>
      </c>
      <c r="O137" s="53"/>
      <c r="P137" s="54">
        <v>0.14500000000000002</v>
      </c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  <c r="AB137" s="14"/>
      <c r="AC137" s="14"/>
      <c r="AD137" s="14"/>
      <c r="AE137" s="14"/>
      <c r="AF137" s="14"/>
      <c r="AG137" s="14"/>
      <c r="AH137" s="14"/>
    </row>
    <row r="138" spans="1:34" x14ac:dyDescent="0.25">
      <c r="A138" s="3" t="s">
        <v>201</v>
      </c>
      <c r="B138" s="3" t="s">
        <v>202</v>
      </c>
      <c r="C138" s="1" t="s">
        <v>1</v>
      </c>
      <c r="D138" s="41">
        <v>145.4238732537512</v>
      </c>
      <c r="E138" s="42">
        <v>198.14907698277773</v>
      </c>
      <c r="F138" s="43">
        <v>278.65434529529159</v>
      </c>
      <c r="G138" s="48"/>
      <c r="H138" s="47">
        <v>22.204799999999999</v>
      </c>
      <c r="I138" s="48">
        <v>31.147200000000002</v>
      </c>
      <c r="J138" s="43">
        <v>36.644400000000005</v>
      </c>
      <c r="K138" s="48"/>
      <c r="L138" s="47">
        <v>32.863599999999998</v>
      </c>
      <c r="M138" s="48">
        <v>33.610500000000002</v>
      </c>
      <c r="N138" s="43">
        <v>36.918199999999999</v>
      </c>
      <c r="O138" s="53"/>
      <c r="P138" s="54">
        <v>0.15</v>
      </c>
      <c r="Q138" s="14"/>
      <c r="R138" s="14"/>
      <c r="S138" s="14"/>
      <c r="T138" s="14"/>
      <c r="U138" s="14"/>
      <c r="V138" s="14"/>
      <c r="W138" s="14"/>
      <c r="X138" s="14"/>
      <c r="Y138" s="14"/>
      <c r="Z138" s="14"/>
      <c r="AA138" s="14"/>
      <c r="AB138" s="14"/>
      <c r="AC138" s="14"/>
      <c r="AD138" s="14"/>
      <c r="AE138" s="14"/>
      <c r="AF138" s="14"/>
      <c r="AG138" s="14"/>
      <c r="AH138" s="14"/>
    </row>
    <row r="139" spans="1:34" x14ac:dyDescent="0.25">
      <c r="A139" s="3" t="s">
        <v>203</v>
      </c>
      <c r="B139" s="3" t="s">
        <v>204</v>
      </c>
      <c r="C139" s="1" t="s">
        <v>1</v>
      </c>
      <c r="D139" s="41">
        <v>87.864423077278431</v>
      </c>
      <c r="E139" s="42">
        <v>121.68342497597753</v>
      </c>
      <c r="F139" s="43">
        <v>194.45591650805676</v>
      </c>
      <c r="G139" s="48"/>
      <c r="H139" s="47">
        <v>13.416036156195737</v>
      </c>
      <c r="I139" s="48">
        <v>18.818992351395188</v>
      </c>
      <c r="J139" s="43">
        <v>22.140374843371664</v>
      </c>
      <c r="K139" s="48"/>
      <c r="L139" s="47">
        <v>19.219200000000001</v>
      </c>
      <c r="M139" s="48">
        <v>19.655999999999999</v>
      </c>
      <c r="N139" s="43">
        <v>21.590400000000002</v>
      </c>
      <c r="O139" s="53"/>
      <c r="P139" s="54">
        <v>0.16</v>
      </c>
      <c r="Q139" s="14"/>
      <c r="R139" s="14"/>
      <c r="S139" s="14"/>
      <c r="T139" s="14"/>
      <c r="U139" s="14"/>
      <c r="V139" s="14"/>
      <c r="W139" s="14"/>
      <c r="X139" s="14"/>
      <c r="Y139" s="14"/>
      <c r="Z139" s="14"/>
      <c r="AA139" s="14"/>
      <c r="AB139" s="14"/>
      <c r="AC139" s="14"/>
      <c r="AD139" s="14"/>
      <c r="AE139" s="14"/>
      <c r="AF139" s="14"/>
      <c r="AG139" s="14"/>
      <c r="AH139" s="14"/>
    </row>
    <row r="140" spans="1:34" x14ac:dyDescent="0.25">
      <c r="A140" s="13"/>
      <c r="B140" s="3"/>
      <c r="C140" s="1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</row>
    <row r="141" spans="1:34" x14ac:dyDescent="0.25">
      <c r="A141" s="13"/>
      <c r="B141" s="3"/>
      <c r="C141" s="1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</row>
    <row r="142" spans="1:34" x14ac:dyDescent="0.25">
      <c r="A142" s="13"/>
      <c r="B142" s="3"/>
      <c r="C142" s="1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</row>
    <row r="143" spans="1:34" x14ac:dyDescent="0.25">
      <c r="A143" s="13"/>
      <c r="B143" s="3"/>
      <c r="C143" s="1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</row>
    <row r="144" spans="1:34" x14ac:dyDescent="0.25">
      <c r="A144" s="13"/>
      <c r="B144" s="3"/>
      <c r="C144" s="1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</row>
    <row r="145" spans="1:16" x14ac:dyDescent="0.25">
      <c r="A145" s="13"/>
      <c r="B145" s="3"/>
      <c r="C145" s="1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</row>
    <row r="146" spans="1:16" x14ac:dyDescent="0.25">
      <c r="A146" s="13"/>
      <c r="B146" s="3"/>
      <c r="C146" s="1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</row>
    <row r="147" spans="1:16" x14ac:dyDescent="0.25">
      <c r="A147" s="13"/>
      <c r="B147" s="3"/>
      <c r="C147" s="1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</row>
    <row r="148" spans="1:16" x14ac:dyDescent="0.25">
      <c r="A148" s="13"/>
      <c r="B148" s="3"/>
      <c r="C148" s="1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</row>
    <row r="149" spans="1:16" x14ac:dyDescent="0.25">
      <c r="A149" s="13"/>
      <c r="B149" s="3"/>
      <c r="C149" s="1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</row>
    <row r="150" spans="1:16" x14ac:dyDescent="0.25">
      <c r="A150" s="13"/>
      <c r="B150" s="3"/>
      <c r="C150" s="1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</row>
    <row r="151" spans="1:16" x14ac:dyDescent="0.25">
      <c r="A151" s="13"/>
      <c r="B151" s="3"/>
      <c r="C151" s="1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</row>
    <row r="152" spans="1:16" x14ac:dyDescent="0.25">
      <c r="A152" s="13"/>
      <c r="B152" s="3"/>
      <c r="C152" s="1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</row>
    <row r="153" spans="1:16" x14ac:dyDescent="0.25">
      <c r="A153" s="13"/>
      <c r="B153" s="3"/>
      <c r="C153" s="1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</row>
    <row r="154" spans="1:16" x14ac:dyDescent="0.25">
      <c r="A154" s="13"/>
      <c r="B154" s="3"/>
      <c r="C154" s="1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</row>
    <row r="155" spans="1:16" x14ac:dyDescent="0.25">
      <c r="A155" s="13"/>
      <c r="B155" s="3"/>
      <c r="C155" s="1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</row>
    <row r="156" spans="1:16" x14ac:dyDescent="0.25">
      <c r="A156" s="13"/>
      <c r="B156" s="3"/>
      <c r="C156" s="1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</row>
    <row r="157" spans="1:16" x14ac:dyDescent="0.25">
      <c r="A157" s="13"/>
      <c r="B157" s="3"/>
      <c r="C157" s="1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</row>
    <row r="158" spans="1:16" x14ac:dyDescent="0.25">
      <c r="A158" s="13"/>
      <c r="B158" s="3"/>
      <c r="C158" s="1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</row>
    <row r="159" spans="1:16" x14ac:dyDescent="0.25">
      <c r="A159" s="13"/>
      <c r="B159" s="3"/>
      <c r="C159" s="1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</row>
  </sheetData>
  <autoFilter ref="A5:C139" xr:uid="{B593B8AD-AE04-4543-B232-6D3D3239B900}">
    <sortState xmlns:xlrd2="http://schemas.microsoft.com/office/spreadsheetml/2017/richdata2" ref="A69:C139">
      <sortCondition ref="A5:A139"/>
    </sortState>
  </autoFilter>
  <mergeCells count="8">
    <mergeCell ref="D1:P1"/>
    <mergeCell ref="D2:F2"/>
    <mergeCell ref="H2:J2"/>
    <mergeCell ref="L2:N2"/>
    <mergeCell ref="P2:P4"/>
    <mergeCell ref="D3:F3"/>
    <mergeCell ref="H3:J3"/>
    <mergeCell ref="L3:N3"/>
  </mergeCells>
  <pageMargins left="0.70866141732283472" right="0.70866141732283472" top="0.74803149606299213" bottom="0.74803149606299213" header="0.31496062992125984" footer="0.31496062992125984"/>
  <pageSetup paperSize="8" scale="70" orientation="landscape" horizontalDpi="1200" verticalDpi="1200" r:id="rId1"/>
  <colBreaks count="2" manualBreakCount="2">
    <brk id="16" max="1048575" man="1"/>
    <brk id="17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315B6-DBDD-442C-B80C-8756891E5B27}">
  <sheetPr>
    <tabColor theme="8" tint="0.39997558519241921"/>
  </sheetPr>
  <dimension ref="A1:AH159"/>
  <sheetViews>
    <sheetView view="pageBreakPreview" topLeftCell="B1" zoomScaleNormal="100" zoomScaleSheetLayoutView="100" workbookViewId="0"/>
  </sheetViews>
  <sheetFormatPr defaultColWidth="8.83203125" defaultRowHeight="13.5" x14ac:dyDescent="0.25"/>
  <cols>
    <col min="1" max="1" width="21" customWidth="1"/>
    <col min="2" max="2" width="14.58203125" customWidth="1"/>
    <col min="3" max="3" width="10.08203125" bestFit="1" customWidth="1"/>
    <col min="4" max="4" width="11" style="4" bestFit="1" customWidth="1"/>
    <col min="5" max="5" width="11" bestFit="1" customWidth="1"/>
    <col min="6" max="6" width="9.08203125" bestFit="1" customWidth="1"/>
    <col min="7" max="7" width="4.58203125" customWidth="1"/>
    <col min="8" max="10" width="11" customWidth="1"/>
    <col min="11" max="11" width="4" customWidth="1"/>
    <col min="12" max="14" width="10.83203125" customWidth="1"/>
    <col min="15" max="15" width="4.58203125" customWidth="1"/>
    <col min="16" max="16" width="18" customWidth="1"/>
    <col min="17" max="34" width="6" customWidth="1"/>
  </cols>
  <sheetData>
    <row r="1" spans="1:34" ht="18.5" thickBot="1" x14ac:dyDescent="0.35">
      <c r="D1" s="59" t="s">
        <v>221</v>
      </c>
      <c r="E1" s="60"/>
      <c r="F1" s="60"/>
      <c r="G1" s="61"/>
      <c r="H1" s="61"/>
      <c r="I1" s="61"/>
      <c r="J1" s="61"/>
      <c r="K1" s="61"/>
      <c r="L1" s="61"/>
      <c r="M1" s="61"/>
      <c r="N1" s="61"/>
      <c r="O1" s="61"/>
      <c r="P1" s="61"/>
      <c r="Q1" s="34"/>
    </row>
    <row r="2" spans="1:34" ht="17.5" customHeight="1" x14ac:dyDescent="0.25">
      <c r="A2" s="11"/>
      <c r="B2" s="2"/>
      <c r="C2" s="19"/>
      <c r="D2" s="70" t="s">
        <v>0</v>
      </c>
      <c r="E2" s="71"/>
      <c r="F2" s="72"/>
      <c r="G2" s="35"/>
      <c r="H2" s="62" t="s">
        <v>205</v>
      </c>
      <c r="I2" s="63"/>
      <c r="J2" s="64"/>
      <c r="K2" s="35"/>
      <c r="L2" s="68" t="s">
        <v>207</v>
      </c>
      <c r="M2" s="69"/>
      <c r="N2" s="73"/>
      <c r="O2" s="55"/>
      <c r="P2" s="62" t="s">
        <v>223</v>
      </c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</row>
    <row r="3" spans="1:34" x14ac:dyDescent="0.25">
      <c r="A3" s="12"/>
      <c r="B3" s="1"/>
      <c r="C3" s="1"/>
      <c r="D3" s="65"/>
      <c r="E3" s="58"/>
      <c r="F3" s="66"/>
      <c r="G3" s="17"/>
      <c r="H3" s="65"/>
      <c r="I3" s="58"/>
      <c r="J3" s="66"/>
      <c r="K3" s="17"/>
      <c r="L3" s="65"/>
      <c r="M3" s="58"/>
      <c r="N3" s="66"/>
      <c r="O3" s="37"/>
      <c r="P3" s="7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</row>
    <row r="4" spans="1:34" x14ac:dyDescent="0.25">
      <c r="A4" s="12"/>
      <c r="B4" s="1"/>
      <c r="C4" s="1"/>
      <c r="D4" s="20" t="s">
        <v>3</v>
      </c>
      <c r="E4" s="5" t="s">
        <v>4</v>
      </c>
      <c r="F4" s="21" t="s">
        <v>5</v>
      </c>
      <c r="G4" s="17"/>
      <c r="H4" s="29" t="s">
        <v>3</v>
      </c>
      <c r="I4" s="17" t="s">
        <v>4</v>
      </c>
      <c r="J4" s="30" t="s">
        <v>5</v>
      </c>
      <c r="K4" s="17"/>
      <c r="L4" s="29" t="s">
        <v>3</v>
      </c>
      <c r="M4" s="17" t="s">
        <v>4</v>
      </c>
      <c r="N4" s="30" t="s">
        <v>5</v>
      </c>
      <c r="O4" s="37"/>
      <c r="P4" s="75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</row>
    <row r="5" spans="1:34" x14ac:dyDescent="0.25">
      <c r="A5" s="9" t="s">
        <v>6</v>
      </c>
      <c r="B5" s="9" t="s">
        <v>7</v>
      </c>
      <c r="C5" s="18" t="s">
        <v>8</v>
      </c>
      <c r="D5" s="22"/>
      <c r="E5" s="10"/>
      <c r="F5" s="23"/>
      <c r="G5" s="18"/>
      <c r="H5" s="31"/>
      <c r="I5" s="18"/>
      <c r="J5" s="32"/>
      <c r="K5" s="18"/>
      <c r="L5" s="31"/>
      <c r="M5" s="18"/>
      <c r="N5" s="32"/>
      <c r="O5" s="49"/>
      <c r="P5" s="17" t="s">
        <v>208</v>
      </c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</row>
    <row r="6" spans="1:34" x14ac:dyDescent="0.25">
      <c r="A6" s="3" t="s">
        <v>9</v>
      </c>
      <c r="B6" s="3" t="s">
        <v>10</v>
      </c>
      <c r="C6" s="8" t="s">
        <v>11</v>
      </c>
      <c r="D6" s="50">
        <v>1744.1546494281451</v>
      </c>
      <c r="E6" s="51">
        <v>2478.8513177523619</v>
      </c>
      <c r="F6" s="52">
        <v>2933.1367478866237</v>
      </c>
      <c r="G6" s="48"/>
      <c r="H6" s="47">
        <v>150.67948411931741</v>
      </c>
      <c r="I6" s="48">
        <v>242.19748591888398</v>
      </c>
      <c r="J6" s="43">
        <v>289.88575118288117</v>
      </c>
      <c r="K6" s="48"/>
      <c r="L6" s="47">
        <v>412.61379064966394</v>
      </c>
      <c r="M6" s="48">
        <v>422.06267633344061</v>
      </c>
      <c r="N6" s="43">
        <v>463.09499150304276</v>
      </c>
      <c r="O6" s="53"/>
      <c r="P6" s="54">
        <v>0.19499999999999998</v>
      </c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</row>
    <row r="7" spans="1:34" x14ac:dyDescent="0.25">
      <c r="A7" s="3" t="s">
        <v>9</v>
      </c>
      <c r="B7" s="3" t="s">
        <v>12</v>
      </c>
      <c r="C7" s="8" t="s">
        <v>11</v>
      </c>
      <c r="D7" s="41">
        <v>1671.2386872202885</v>
      </c>
      <c r="E7" s="42">
        <v>2376.9915464942815</v>
      </c>
      <c r="F7" s="43">
        <v>2805.8960716061661</v>
      </c>
      <c r="G7" s="48"/>
      <c r="H7" s="47">
        <v>140.75092481400029</v>
      </c>
      <c r="I7" s="48">
        <v>226.23863049407927</v>
      </c>
      <c r="J7" s="43">
        <v>270.78462478065285</v>
      </c>
      <c r="K7" s="48"/>
      <c r="L7" s="47">
        <v>385.42587907297639</v>
      </c>
      <c r="M7" s="48">
        <v>394.25215961293503</v>
      </c>
      <c r="N7" s="43">
        <v>432.58077708290034</v>
      </c>
      <c r="O7" s="53"/>
      <c r="P7" s="54">
        <v>0.19499999999999998</v>
      </c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</row>
    <row r="8" spans="1:34" x14ac:dyDescent="0.25">
      <c r="A8" s="3" t="s">
        <v>9</v>
      </c>
      <c r="B8" s="3" t="s">
        <v>209</v>
      </c>
      <c r="C8" s="8" t="s">
        <v>11</v>
      </c>
      <c r="D8" s="41">
        <v>1671.2386872202885</v>
      </c>
      <c r="E8" s="42">
        <v>2376.9915464942815</v>
      </c>
      <c r="F8" s="43">
        <v>2805.8960716061661</v>
      </c>
      <c r="G8" s="48"/>
      <c r="H8" s="47">
        <v>140.75092481400029</v>
      </c>
      <c r="I8" s="48">
        <v>226.23863049407927</v>
      </c>
      <c r="J8" s="43">
        <v>270.78462478065285</v>
      </c>
      <c r="K8" s="48"/>
      <c r="L8" s="47">
        <v>385.42587907297639</v>
      </c>
      <c r="M8" s="48">
        <v>394.25215961293503</v>
      </c>
      <c r="N8" s="43">
        <v>432.58077708290034</v>
      </c>
      <c r="O8" s="53"/>
      <c r="P8" s="54">
        <v>0.19499999999999998</v>
      </c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</row>
    <row r="9" spans="1:34" x14ac:dyDescent="0.25">
      <c r="A9" s="3" t="s">
        <v>9</v>
      </c>
      <c r="B9" s="3" t="s">
        <v>13</v>
      </c>
      <c r="C9" s="8" t="s">
        <v>11</v>
      </c>
      <c r="D9" s="41">
        <v>2189.4728990551962</v>
      </c>
      <c r="E9" s="42">
        <v>3117.3779214321235</v>
      </c>
      <c r="F9" s="43">
        <v>3681.2884137245151</v>
      </c>
      <c r="G9" s="48"/>
      <c r="H9" s="47">
        <v>184.40490774830505</v>
      </c>
      <c r="I9" s="48">
        <v>296.40667612305293</v>
      </c>
      <c r="J9" s="43">
        <v>354.76863699703966</v>
      </c>
      <c r="K9" s="48"/>
      <c r="L9" s="47">
        <v>504.96594440274635</v>
      </c>
      <c r="M9" s="48">
        <v>516.52970109480771</v>
      </c>
      <c r="N9" s="43">
        <v>566.74596203951728</v>
      </c>
      <c r="O9" s="53"/>
      <c r="P9" s="54">
        <v>0.19499999999999998</v>
      </c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</row>
    <row r="10" spans="1:34" x14ac:dyDescent="0.25">
      <c r="A10" s="3" t="s">
        <v>9</v>
      </c>
      <c r="B10" s="3" t="s">
        <v>14</v>
      </c>
      <c r="C10" s="8" t="s">
        <v>11</v>
      </c>
      <c r="D10" s="41">
        <v>1711.5121829935356</v>
      </c>
      <c r="E10" s="42">
        <v>2430.6210840377921</v>
      </c>
      <c r="F10" s="43">
        <v>2880.7702635504725</v>
      </c>
      <c r="G10" s="48"/>
      <c r="H10" s="47">
        <v>146.15218243130505</v>
      </c>
      <c r="I10" s="48">
        <v>234.92044290774234</v>
      </c>
      <c r="J10" s="43">
        <v>281.17587101351626</v>
      </c>
      <c r="K10" s="48"/>
      <c r="L10" s="47">
        <v>400.21643528424357</v>
      </c>
      <c r="M10" s="48">
        <v>409.38142063244351</v>
      </c>
      <c r="N10" s="43">
        <v>449.18088269788126</v>
      </c>
      <c r="O10" s="53"/>
      <c r="P10" s="54">
        <v>0.19499999999999998</v>
      </c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</row>
    <row r="11" spans="1:34" x14ac:dyDescent="0.25">
      <c r="A11" s="3" t="s">
        <v>9</v>
      </c>
      <c r="B11" s="3" t="s">
        <v>15</v>
      </c>
      <c r="C11" s="8" t="s">
        <v>11</v>
      </c>
      <c r="D11" s="41">
        <v>2131.4758826454499</v>
      </c>
      <c r="E11" s="42">
        <v>3034.5181501740426</v>
      </c>
      <c r="F11" s="43">
        <v>3583.3207359522626</v>
      </c>
      <c r="G11" s="48"/>
      <c r="H11" s="47">
        <v>179.51945111670025</v>
      </c>
      <c r="I11" s="48">
        <v>288.55394606722496</v>
      </c>
      <c r="J11" s="43">
        <v>345.36971800152003</v>
      </c>
      <c r="K11" s="48"/>
      <c r="L11" s="47">
        <v>491.58783396121635</v>
      </c>
      <c r="M11" s="48">
        <v>502.8452309554404</v>
      </c>
      <c r="N11" s="43">
        <v>551.73110775776274</v>
      </c>
      <c r="O11" s="53"/>
      <c r="P11" s="54">
        <v>0.19499999999999998</v>
      </c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</row>
    <row r="12" spans="1:34" x14ac:dyDescent="0.25">
      <c r="A12" s="3" t="s">
        <v>9</v>
      </c>
      <c r="B12" s="3" t="s">
        <v>16</v>
      </c>
      <c r="C12" s="8" t="s">
        <v>11</v>
      </c>
      <c r="D12" s="41">
        <v>1745.531576330184</v>
      </c>
      <c r="E12" s="42">
        <v>2479.1447041273</v>
      </c>
      <c r="F12" s="43">
        <v>2938.3734460467431</v>
      </c>
      <c r="G12" s="48"/>
      <c r="H12" s="47">
        <v>146.77731057520495</v>
      </c>
      <c r="I12" s="48">
        <v>235.92525431730226</v>
      </c>
      <c r="J12" s="43">
        <v>282.37852804834176</v>
      </c>
      <c r="K12" s="48"/>
      <c r="L12" s="47">
        <v>401.92825753133906</v>
      </c>
      <c r="M12" s="48">
        <v>411.13244373295282</v>
      </c>
      <c r="N12" s="43">
        <v>451.10213769938099</v>
      </c>
      <c r="O12" s="53"/>
      <c r="P12" s="54">
        <v>0.19499999999999998</v>
      </c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</row>
    <row r="13" spans="1:34" x14ac:dyDescent="0.25">
      <c r="A13" s="3" t="s">
        <v>9</v>
      </c>
      <c r="B13" s="3" t="s">
        <v>17</v>
      </c>
      <c r="C13" s="8" t="s">
        <v>11</v>
      </c>
      <c r="D13" s="41">
        <v>1672.120835405271</v>
      </c>
      <c r="E13" s="42">
        <v>2374.4356041770266</v>
      </c>
      <c r="F13" s="43">
        <v>2814.0716061660864</v>
      </c>
      <c r="G13" s="48"/>
      <c r="H13" s="47">
        <v>142.78713796878341</v>
      </c>
      <c r="I13" s="48">
        <v>229.51157577767813</v>
      </c>
      <c r="J13" s="43">
        <v>274.70200731877833</v>
      </c>
      <c r="K13" s="48"/>
      <c r="L13" s="47">
        <v>391.00175181554891</v>
      </c>
      <c r="M13" s="48">
        <v>399.95572024506862</v>
      </c>
      <c r="N13" s="43">
        <v>438.83882952530189</v>
      </c>
      <c r="O13" s="53"/>
      <c r="P13" s="54">
        <v>0.19499999999999998</v>
      </c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</row>
    <row r="14" spans="1:34" x14ac:dyDescent="0.25">
      <c r="A14" s="3" t="s">
        <v>9</v>
      </c>
      <c r="B14" s="3" t="s">
        <v>18</v>
      </c>
      <c r="C14" s="8" t="s">
        <v>11</v>
      </c>
      <c r="D14" s="41">
        <v>1649.2710094480358</v>
      </c>
      <c r="E14" s="42">
        <v>2341.8428642466433</v>
      </c>
      <c r="F14" s="43">
        <v>2775.3809050223767</v>
      </c>
      <c r="G14" s="48"/>
      <c r="H14" s="47">
        <v>134.01434652644758</v>
      </c>
      <c r="I14" s="48">
        <v>215.41046543579557</v>
      </c>
      <c r="J14" s="43">
        <v>257.82441278694091</v>
      </c>
      <c r="K14" s="48"/>
      <c r="L14" s="47">
        <v>366.97874196282896</v>
      </c>
      <c r="M14" s="48">
        <v>375.38258172718406</v>
      </c>
      <c r="N14" s="43">
        <v>411.87672647463415</v>
      </c>
      <c r="O14" s="53"/>
      <c r="P14" s="54">
        <v>0.19499999999999998</v>
      </c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</row>
    <row r="15" spans="1:34" x14ac:dyDescent="0.25">
      <c r="A15" s="3" t="s">
        <v>9</v>
      </c>
      <c r="B15" s="3" t="s">
        <v>19</v>
      </c>
      <c r="C15" s="8" t="s">
        <v>11</v>
      </c>
      <c r="D15" s="41">
        <v>1412.245151665838</v>
      </c>
      <c r="E15" s="42">
        <v>2014.3615116857286</v>
      </c>
      <c r="F15" s="43">
        <v>2391.2754848334162</v>
      </c>
      <c r="G15" s="48"/>
      <c r="H15" s="47">
        <v>141.41052511288646</v>
      </c>
      <c r="I15" s="48">
        <v>227.29885136645149</v>
      </c>
      <c r="J15" s="43">
        <v>272.05360130549724</v>
      </c>
      <c r="K15" s="48"/>
      <c r="L15" s="47">
        <v>387.23209828873621</v>
      </c>
      <c r="M15" s="48">
        <v>396.09974137952634</v>
      </c>
      <c r="N15" s="43">
        <v>434.60797804256265</v>
      </c>
      <c r="O15" s="53"/>
      <c r="P15" s="54">
        <v>0.19499999999999998</v>
      </c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</row>
    <row r="16" spans="1:34" x14ac:dyDescent="0.25">
      <c r="A16" s="3" t="s">
        <v>9</v>
      </c>
      <c r="B16" s="3" t="s">
        <v>20</v>
      </c>
      <c r="C16" s="8" t="s">
        <v>11</v>
      </c>
      <c r="D16" s="41">
        <v>1577.2247637991049</v>
      </c>
      <c r="E16" s="42">
        <v>2239.0795624067628</v>
      </c>
      <c r="F16" s="43">
        <v>2653.3893585280953</v>
      </c>
      <c r="G16" s="48"/>
      <c r="H16" s="47">
        <v>134.68039485432399</v>
      </c>
      <c r="I16" s="48">
        <v>216.48105066811826</v>
      </c>
      <c r="J16" s="43">
        <v>259.10579439624922</v>
      </c>
      <c r="K16" s="48"/>
      <c r="L16" s="47">
        <v>368.80261816553303</v>
      </c>
      <c r="M16" s="48">
        <v>377.24822482699932</v>
      </c>
      <c r="N16" s="43">
        <v>413.92374466388077</v>
      </c>
      <c r="O16" s="53"/>
      <c r="P16" s="54">
        <v>0.19499999999999998</v>
      </c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</row>
    <row r="17" spans="1:34" x14ac:dyDescent="0.25">
      <c r="A17" s="3" t="s">
        <v>9</v>
      </c>
      <c r="B17" s="3" t="s">
        <v>21</v>
      </c>
      <c r="C17" s="8" t="s">
        <v>11</v>
      </c>
      <c r="D17" s="41">
        <v>1684.654400795624</v>
      </c>
      <c r="E17" s="42">
        <v>2392.3127797115862</v>
      </c>
      <c r="F17" s="43">
        <v>2835.2938836399803</v>
      </c>
      <c r="G17" s="48"/>
      <c r="H17" s="47">
        <v>143.85784144931651</v>
      </c>
      <c r="I17" s="48">
        <v>231.23259103509943</v>
      </c>
      <c r="J17" s="43">
        <v>276.76188749797171</v>
      </c>
      <c r="K17" s="48"/>
      <c r="L17" s="47">
        <v>393.93371713482702</v>
      </c>
      <c r="M17" s="48">
        <v>402.95482778246554</v>
      </c>
      <c r="N17" s="43">
        <v>442.12950590449037</v>
      </c>
      <c r="O17" s="53"/>
      <c r="P17" s="54">
        <v>0.19499999999999998</v>
      </c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</row>
    <row r="18" spans="1:34" x14ac:dyDescent="0.25">
      <c r="A18" s="3" t="s">
        <v>9</v>
      </c>
      <c r="B18" s="3" t="s">
        <v>22</v>
      </c>
      <c r="C18" s="8" t="s">
        <v>11</v>
      </c>
      <c r="D18" s="41">
        <v>1768.8080556936848</v>
      </c>
      <c r="E18" s="42">
        <v>2512.345599204376</v>
      </c>
      <c r="F18" s="43">
        <v>2977.7861760318251</v>
      </c>
      <c r="G18" s="48"/>
      <c r="H18" s="47">
        <v>151.04685643768437</v>
      </c>
      <c r="I18" s="48">
        <v>242.78798868324319</v>
      </c>
      <c r="J18" s="43">
        <v>290.59252291823753</v>
      </c>
      <c r="K18" s="48"/>
      <c r="L18" s="47">
        <v>413.61978616223905</v>
      </c>
      <c r="M18" s="48">
        <v>423.0917092160991</v>
      </c>
      <c r="N18" s="43">
        <v>464.22406545525973</v>
      </c>
      <c r="O18" s="53"/>
      <c r="P18" s="54">
        <v>0.19499999999999998</v>
      </c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</row>
    <row r="19" spans="1:34" x14ac:dyDescent="0.25">
      <c r="A19" s="3" t="s">
        <v>9</v>
      </c>
      <c r="B19" s="3" t="s">
        <v>23</v>
      </c>
      <c r="C19" s="8" t="s">
        <v>11</v>
      </c>
      <c r="D19" s="41">
        <v>1566.4818498259572</v>
      </c>
      <c r="E19" s="42">
        <v>2223.7563401292891</v>
      </c>
      <c r="F19" s="43">
        <v>2635.1989060169071</v>
      </c>
      <c r="G19" s="48"/>
      <c r="H19" s="47">
        <v>133.76270806175157</v>
      </c>
      <c r="I19" s="48">
        <v>215.00598964490686</v>
      </c>
      <c r="J19" s="43">
        <v>257.34029641375804</v>
      </c>
      <c r="K19" s="48"/>
      <c r="L19" s="47">
        <v>366.28966672874287</v>
      </c>
      <c r="M19" s="48">
        <v>374.67772662034059</v>
      </c>
      <c r="N19" s="43">
        <v>411.10334638675198</v>
      </c>
      <c r="O19" s="53"/>
      <c r="P19" s="54">
        <v>0.19499999999999998</v>
      </c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</row>
    <row r="20" spans="1:34" x14ac:dyDescent="0.25">
      <c r="A20" s="3" t="s">
        <v>9</v>
      </c>
      <c r="B20" s="3" t="s">
        <v>24</v>
      </c>
      <c r="C20" s="8" t="s">
        <v>11</v>
      </c>
      <c r="D20" s="41">
        <v>1664.959224266534</v>
      </c>
      <c r="E20" s="42">
        <v>2364.2202884137246</v>
      </c>
      <c r="F20" s="43">
        <v>2801.9448035803084</v>
      </c>
      <c r="G20" s="48"/>
      <c r="H20" s="47">
        <v>142.17531921805568</v>
      </c>
      <c r="I20" s="48">
        <v>228.52815747006736</v>
      </c>
      <c r="J20" s="43">
        <v>273.52495565060275</v>
      </c>
      <c r="K20" s="48"/>
      <c r="L20" s="47">
        <v>389.32637540047955</v>
      </c>
      <c r="M20" s="48">
        <v>398.24197758877796</v>
      </c>
      <c r="N20" s="43">
        <v>436.9584793182006</v>
      </c>
      <c r="O20" s="53"/>
      <c r="P20" s="54">
        <v>0.19499999999999998</v>
      </c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</row>
    <row r="21" spans="1:34" x14ac:dyDescent="0.25">
      <c r="A21" s="3" t="s">
        <v>9</v>
      </c>
      <c r="B21" s="3" t="s">
        <v>25</v>
      </c>
      <c r="C21" s="8" t="s">
        <v>11</v>
      </c>
      <c r="D21" s="41">
        <v>1749.1123818995525</v>
      </c>
      <c r="E21" s="42">
        <v>2484.2521133764299</v>
      </c>
      <c r="F21" s="43">
        <v>2944.436598707111</v>
      </c>
      <c r="G21" s="48"/>
      <c r="H21" s="47">
        <v>149.36433420642356</v>
      </c>
      <c r="I21" s="48">
        <v>240.08355511821108</v>
      </c>
      <c r="J21" s="43">
        <v>287.35559107086857</v>
      </c>
      <c r="K21" s="48"/>
      <c r="L21" s="47">
        <v>409.01244442789158</v>
      </c>
      <c r="M21" s="48">
        <v>418.37885902241152</v>
      </c>
      <c r="N21" s="43">
        <v>459.05303886896996</v>
      </c>
      <c r="O21" s="53"/>
      <c r="P21" s="54">
        <v>0.19499999999999998</v>
      </c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</row>
    <row r="22" spans="1:34" x14ac:dyDescent="0.25">
      <c r="A22" s="3" t="s">
        <v>9</v>
      </c>
      <c r="B22" s="3" t="s">
        <v>26</v>
      </c>
      <c r="C22" s="8" t="s">
        <v>11</v>
      </c>
      <c r="D22" s="41">
        <v>2064.2401790154154</v>
      </c>
      <c r="E22" s="42">
        <v>2933.7354549975139</v>
      </c>
      <c r="F22" s="43">
        <v>3478.0248632521134</v>
      </c>
      <c r="G22" s="48"/>
      <c r="H22" s="47">
        <v>176.28473124011592</v>
      </c>
      <c r="I22" s="48">
        <v>283.35455859692945</v>
      </c>
      <c r="J22" s="43">
        <v>339.14658014854388</v>
      </c>
      <c r="K22" s="48"/>
      <c r="L22" s="47">
        <v>482.73002536326294</v>
      </c>
      <c r="M22" s="48">
        <v>493.78457789918843</v>
      </c>
      <c r="N22" s="43">
        <v>541.78959128312874</v>
      </c>
      <c r="O22" s="53"/>
      <c r="P22" s="54">
        <v>0.19499999999999998</v>
      </c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</row>
    <row r="23" spans="1:34" x14ac:dyDescent="0.25">
      <c r="A23" s="3" t="s">
        <v>9</v>
      </c>
      <c r="B23" s="3" t="s">
        <v>27</v>
      </c>
      <c r="C23" s="8" t="s">
        <v>11</v>
      </c>
      <c r="D23" s="41">
        <v>1616.6156141223271</v>
      </c>
      <c r="E23" s="42">
        <v>2295.2645450024861</v>
      </c>
      <c r="F23" s="43">
        <v>2720.0875186474391</v>
      </c>
      <c r="G23" s="48"/>
      <c r="H23" s="47">
        <v>138.04548065036482</v>
      </c>
      <c r="I23" s="48">
        <v>221.88998423638728</v>
      </c>
      <c r="J23" s="43">
        <v>265.57973761075937</v>
      </c>
      <c r="K23" s="48"/>
      <c r="L23" s="47">
        <v>378.01741482004144</v>
      </c>
      <c r="M23" s="48">
        <v>386.67404099215133</v>
      </c>
      <c r="N23" s="43">
        <v>424.26592486998317</v>
      </c>
      <c r="O23" s="53"/>
      <c r="P23" s="54">
        <v>0.19499999999999998</v>
      </c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</row>
    <row r="24" spans="1:34" x14ac:dyDescent="0.25">
      <c r="A24" s="3" t="s">
        <v>9</v>
      </c>
      <c r="B24" s="3" t="s">
        <v>28</v>
      </c>
      <c r="C24" s="8" t="s">
        <v>11</v>
      </c>
      <c r="D24" s="41">
        <v>1899.5141720537047</v>
      </c>
      <c r="E24" s="42">
        <v>2698.7782197911488</v>
      </c>
      <c r="F24" s="43">
        <v>3199.1034311287917</v>
      </c>
      <c r="G24" s="48"/>
      <c r="H24" s="47">
        <v>162.21265197226325</v>
      </c>
      <c r="I24" s="48">
        <v>260.73553889265224</v>
      </c>
      <c r="J24" s="43">
        <v>312.07391466187232</v>
      </c>
      <c r="K24" s="48"/>
      <c r="L24" s="47">
        <v>444.19568870178739</v>
      </c>
      <c r="M24" s="48">
        <v>454.36780213784385</v>
      </c>
      <c r="N24" s="43">
        <v>498.54077431866369</v>
      </c>
      <c r="O24" s="53"/>
      <c r="P24" s="54">
        <v>0.19499999999999998</v>
      </c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</row>
    <row r="25" spans="1:34" x14ac:dyDescent="0.25">
      <c r="A25" s="3" t="s">
        <v>9</v>
      </c>
      <c r="B25" s="3" t="s">
        <v>29</v>
      </c>
      <c r="C25" s="8" t="s">
        <v>11</v>
      </c>
      <c r="D25" s="41">
        <v>1611.2446544007955</v>
      </c>
      <c r="E25" s="42">
        <v>2287.6031824962706</v>
      </c>
      <c r="F25" s="43">
        <v>2710.9925410243659</v>
      </c>
      <c r="G25" s="48"/>
      <c r="H25" s="47">
        <v>137.58663725407857</v>
      </c>
      <c r="I25" s="48">
        <v>221.15245372478154</v>
      </c>
      <c r="J25" s="43">
        <v>264.69698861951372</v>
      </c>
      <c r="K25" s="48"/>
      <c r="L25" s="47">
        <v>376.76093910164644</v>
      </c>
      <c r="M25" s="48">
        <v>385.38879188882203</v>
      </c>
      <c r="N25" s="43">
        <v>422.85572573141883</v>
      </c>
      <c r="O25" s="53"/>
      <c r="P25" s="54">
        <v>0.19499999999999998</v>
      </c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</row>
    <row r="26" spans="1:34" x14ac:dyDescent="0.25">
      <c r="A26" s="3" t="s">
        <v>9</v>
      </c>
      <c r="B26" s="3" t="s">
        <v>30</v>
      </c>
      <c r="C26" s="8" t="s">
        <v>11</v>
      </c>
      <c r="D26" s="41">
        <v>2275.5186474390848</v>
      </c>
      <c r="E26" s="42">
        <v>3235.0939830929888</v>
      </c>
      <c r="F26" s="43">
        <v>3835.7707608155147</v>
      </c>
      <c r="G26" s="48"/>
      <c r="H26" s="47">
        <v>191.35</v>
      </c>
      <c r="I26" s="48">
        <v>307.57</v>
      </c>
      <c r="J26" s="43">
        <v>368.13</v>
      </c>
      <c r="K26" s="48"/>
      <c r="L26" s="47">
        <v>523.98406659192426</v>
      </c>
      <c r="M26" s="48">
        <v>535.98333965924473</v>
      </c>
      <c r="N26" s="43">
        <v>588.0908548501385</v>
      </c>
      <c r="O26" s="53"/>
      <c r="P26" s="54">
        <v>0.19499999999999998</v>
      </c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</row>
    <row r="27" spans="1:34" x14ac:dyDescent="0.25">
      <c r="A27" s="3" t="s">
        <v>9</v>
      </c>
      <c r="B27" s="3" t="s">
        <v>31</v>
      </c>
      <c r="C27" s="8" t="s">
        <v>11</v>
      </c>
      <c r="D27" s="41">
        <v>2073.1924415713574</v>
      </c>
      <c r="E27" s="42">
        <v>2946.5052212829437</v>
      </c>
      <c r="F27" s="43">
        <v>3493.1829935355545</v>
      </c>
      <c r="G27" s="48"/>
      <c r="H27" s="47">
        <v>177.04952534528516</v>
      </c>
      <c r="I27" s="48">
        <v>284.58386470054535</v>
      </c>
      <c r="J27" s="43">
        <v>340.61793449364944</v>
      </c>
      <c r="K27" s="48"/>
      <c r="L27" s="47">
        <v>484.82430247500639</v>
      </c>
      <c r="M27" s="48">
        <v>495.92681410844017</v>
      </c>
      <c r="N27" s="43">
        <v>544.1400925587667</v>
      </c>
      <c r="O27" s="53"/>
      <c r="P27" s="54">
        <v>0.19499999999999998</v>
      </c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</row>
    <row r="28" spans="1:34" x14ac:dyDescent="0.25">
      <c r="A28" s="3" t="s">
        <v>9</v>
      </c>
      <c r="B28" s="3" t="s">
        <v>32</v>
      </c>
      <c r="C28" s="8" t="s">
        <v>11</v>
      </c>
      <c r="D28" s="41">
        <v>2151.9741422178022</v>
      </c>
      <c r="E28" s="42">
        <v>3058.8766782695175</v>
      </c>
      <c r="F28" s="43">
        <v>3626.5798110392839</v>
      </c>
      <c r="G28" s="48"/>
      <c r="H28" s="47">
        <v>183.77961427032847</v>
      </c>
      <c r="I28" s="48">
        <v>295.40159896067377</v>
      </c>
      <c r="J28" s="43">
        <v>353.56566188312524</v>
      </c>
      <c r="K28" s="48"/>
      <c r="L28" s="47">
        <v>503.25366941239577</v>
      </c>
      <c r="M28" s="48">
        <v>514.77821488319012</v>
      </c>
      <c r="N28" s="43">
        <v>564.82419890392566</v>
      </c>
      <c r="O28" s="53"/>
      <c r="P28" s="54">
        <v>0.19499999999999998</v>
      </c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</row>
    <row r="29" spans="1:34" x14ac:dyDescent="0.25">
      <c r="A29" s="3" t="s">
        <v>9</v>
      </c>
      <c r="B29" s="3" t="s">
        <v>33</v>
      </c>
      <c r="C29" s="8" t="s">
        <v>11</v>
      </c>
      <c r="D29" s="41">
        <v>1618.4067628045748</v>
      </c>
      <c r="E29" s="42">
        <v>2297.8189955246148</v>
      </c>
      <c r="F29" s="43">
        <v>2723.1188463451022</v>
      </c>
      <c r="G29" s="48"/>
      <c r="H29" s="47">
        <v>138.19841467128717</v>
      </c>
      <c r="I29" s="48">
        <v>222.13580559418759</v>
      </c>
      <c r="J29" s="43">
        <v>265.87396076791714</v>
      </c>
      <c r="K29" s="48"/>
      <c r="L29" s="47">
        <v>378.43620233090201</v>
      </c>
      <c r="M29" s="48">
        <v>387.10241876733551</v>
      </c>
      <c r="N29" s="43">
        <v>424.73594890499709</v>
      </c>
      <c r="O29" s="53"/>
      <c r="P29" s="54">
        <v>0.19499999999999998</v>
      </c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</row>
    <row r="30" spans="1:34" x14ac:dyDescent="0.25">
      <c r="A30" s="3" t="s">
        <v>9</v>
      </c>
      <c r="B30" s="3" t="s">
        <v>34</v>
      </c>
      <c r="C30" s="8" t="s">
        <v>11</v>
      </c>
      <c r="D30" s="41">
        <v>1634.5206364992541</v>
      </c>
      <c r="E30" s="42">
        <v>2320.8040775733466</v>
      </c>
      <c r="F30" s="43">
        <v>2750.4047737444057</v>
      </c>
      <c r="G30" s="48"/>
      <c r="H30" s="47">
        <v>137.44117137339956</v>
      </c>
      <c r="I30" s="48">
        <v>220.91863642182651</v>
      </c>
      <c r="J30" s="43">
        <v>264.41713309479792</v>
      </c>
      <c r="K30" s="48"/>
      <c r="L30" s="47">
        <v>376.36260200361363</v>
      </c>
      <c r="M30" s="48">
        <v>384.98133284240015</v>
      </c>
      <c r="N30" s="43">
        <v>422.40865411333641</v>
      </c>
      <c r="O30" s="53"/>
      <c r="P30" s="54">
        <v>0.19499999999999998</v>
      </c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</row>
    <row r="31" spans="1:34" x14ac:dyDescent="0.25">
      <c r="A31" s="3" t="s">
        <v>9</v>
      </c>
      <c r="B31" s="3" t="s">
        <v>35</v>
      </c>
      <c r="C31" s="8" t="s">
        <v>11</v>
      </c>
      <c r="D31" s="41">
        <v>2062.4500248632521</v>
      </c>
      <c r="E31" s="42">
        <v>2931.1819990054701</v>
      </c>
      <c r="F31" s="43">
        <v>3474.9930382894081</v>
      </c>
      <c r="G31" s="48"/>
      <c r="H31" s="47">
        <v>173.43060462133974</v>
      </c>
      <c r="I31" s="48">
        <v>278.76692481518404</v>
      </c>
      <c r="J31" s="43">
        <v>333.65564922526153</v>
      </c>
      <c r="K31" s="48"/>
      <c r="L31" s="47">
        <v>474.91441589226946</v>
      </c>
      <c r="M31" s="48">
        <v>485.78999040537087</v>
      </c>
      <c r="N31" s="43">
        <v>533.01778170337116</v>
      </c>
      <c r="O31" s="53"/>
      <c r="P31" s="54">
        <v>0.19499999999999998</v>
      </c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</row>
    <row r="32" spans="1:34" x14ac:dyDescent="0.25">
      <c r="A32" s="3" t="s">
        <v>9</v>
      </c>
      <c r="B32" s="3" t="s">
        <v>36</v>
      </c>
      <c r="C32" s="8" t="s">
        <v>11</v>
      </c>
      <c r="D32" s="41">
        <v>1657.7971158627549</v>
      </c>
      <c r="E32" s="42">
        <v>2354.0044753853804</v>
      </c>
      <c r="F32" s="43">
        <v>2789.8180009945299</v>
      </c>
      <c r="G32" s="48"/>
      <c r="H32" s="47">
        <v>141.56350046732797</v>
      </c>
      <c r="I32" s="48">
        <v>227.54473916245658</v>
      </c>
      <c r="J32" s="43">
        <v>272.34790398242723</v>
      </c>
      <c r="K32" s="48"/>
      <c r="L32" s="47">
        <v>387.65099898541041</v>
      </c>
      <c r="M32" s="48">
        <v>396.52823493248758</v>
      </c>
      <c r="N32" s="43">
        <v>435.07812911109949</v>
      </c>
      <c r="O32" s="53"/>
      <c r="P32" s="54">
        <v>0.19499999999999998</v>
      </c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</row>
    <row r="33" spans="1:34" x14ac:dyDescent="0.25">
      <c r="A33" s="3" t="s">
        <v>9</v>
      </c>
      <c r="B33" s="3" t="s">
        <v>37</v>
      </c>
      <c r="C33" s="8" t="s">
        <v>11</v>
      </c>
      <c r="D33" s="41">
        <v>1770.59870711089</v>
      </c>
      <c r="E33" s="42">
        <v>2514.8990551964198</v>
      </c>
      <c r="F33" s="43">
        <v>2980.8180009945299</v>
      </c>
      <c r="G33" s="48"/>
      <c r="H33" s="47">
        <v>148.88548828020626</v>
      </c>
      <c r="I33" s="48">
        <v>239.31387316615127</v>
      </c>
      <c r="J33" s="43">
        <v>286.43436007625991</v>
      </c>
      <c r="K33" s="48"/>
      <c r="L33" s="47">
        <v>407.7011946986504</v>
      </c>
      <c r="M33" s="48">
        <v>417.0375815794215</v>
      </c>
      <c r="N33" s="43">
        <v>457.58136439763149</v>
      </c>
      <c r="O33" s="53"/>
      <c r="P33" s="54">
        <v>0.19499999999999998</v>
      </c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</row>
    <row r="34" spans="1:34" x14ac:dyDescent="0.25">
      <c r="A34" s="3" t="s">
        <v>9</v>
      </c>
      <c r="B34" s="3" t="s">
        <v>38</v>
      </c>
      <c r="C34" s="8" t="s">
        <v>11</v>
      </c>
      <c r="D34" s="41">
        <v>2005.1536548980607</v>
      </c>
      <c r="E34" s="42">
        <v>2849.4574838388862</v>
      </c>
      <c r="F34" s="43">
        <v>3377.9771258080559</v>
      </c>
      <c r="G34" s="48"/>
      <c r="H34" s="47">
        <v>171.23712321281425</v>
      </c>
      <c r="I34" s="48">
        <v>275.24119146362835</v>
      </c>
      <c r="J34" s="43">
        <v>329.43570508666483</v>
      </c>
      <c r="K34" s="48"/>
      <c r="L34" s="47">
        <v>468.90788697440712</v>
      </c>
      <c r="M34" s="48">
        <v>479.64591154034889</v>
      </c>
      <c r="N34" s="43">
        <v>526.27638449073652</v>
      </c>
      <c r="O34" s="53"/>
      <c r="P34" s="54">
        <v>0.19499999999999998</v>
      </c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</row>
    <row r="35" spans="1:34" x14ac:dyDescent="0.25">
      <c r="A35" s="3" t="s">
        <v>9</v>
      </c>
      <c r="B35" s="3" t="s">
        <v>210</v>
      </c>
      <c r="C35" s="8" t="s">
        <v>11</v>
      </c>
      <c r="D35" s="41">
        <v>2048.1253107906514</v>
      </c>
      <c r="E35" s="42">
        <v>2910.7508702138239</v>
      </c>
      <c r="F35" s="43">
        <v>3450.7389358528094</v>
      </c>
      <c r="G35" s="48"/>
      <c r="H35" s="47">
        <v>172.22596565863475</v>
      </c>
      <c r="I35" s="48">
        <v>276.8306258564217</v>
      </c>
      <c r="J35" s="43">
        <v>331.33809635700658</v>
      </c>
      <c r="K35" s="48"/>
      <c r="L35" s="47">
        <v>471.61568778956109</v>
      </c>
      <c r="M35" s="48">
        <v>482.41572119024528</v>
      </c>
      <c r="N35" s="43">
        <v>529.31547097766975</v>
      </c>
      <c r="O35" s="53"/>
      <c r="P35" s="54">
        <v>0.19499999999999998</v>
      </c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</row>
    <row r="36" spans="1:34" x14ac:dyDescent="0.25">
      <c r="A36" s="3" t="s">
        <v>9</v>
      </c>
      <c r="B36" s="3" t="s">
        <v>39</v>
      </c>
      <c r="C36" s="8" t="s">
        <v>11</v>
      </c>
      <c r="D36" s="41">
        <v>1670.3311785181502</v>
      </c>
      <c r="E36" s="42">
        <v>2371.8816509199405</v>
      </c>
      <c r="F36" s="43">
        <v>2811.0397812033816</v>
      </c>
      <c r="G36" s="48"/>
      <c r="H36" s="47">
        <v>140.45285103386516</v>
      </c>
      <c r="I36" s="48">
        <v>225.7595160307599</v>
      </c>
      <c r="J36" s="43">
        <v>270.21117350978199</v>
      </c>
      <c r="K36" s="48"/>
      <c r="L36" s="47">
        <v>384.6096475001537</v>
      </c>
      <c r="M36" s="48">
        <v>393.4172362779903</v>
      </c>
      <c r="N36" s="43">
        <v>431.66468372430063</v>
      </c>
      <c r="O36" s="53"/>
      <c r="P36" s="54">
        <v>0.19499999999999998</v>
      </c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</row>
    <row r="37" spans="1:34" x14ac:dyDescent="0.25">
      <c r="A37" s="3" t="s">
        <v>9</v>
      </c>
      <c r="B37" s="3" t="s">
        <v>40</v>
      </c>
      <c r="C37" s="8" t="s">
        <v>11</v>
      </c>
      <c r="D37" s="41">
        <v>1999.7817006464445</v>
      </c>
      <c r="E37" s="42">
        <v>2841.7956240676281</v>
      </c>
      <c r="F37" s="43">
        <v>3368.8816509199405</v>
      </c>
      <c r="G37" s="48"/>
      <c r="H37" s="47">
        <v>170.77827981652806</v>
      </c>
      <c r="I37" s="48">
        <v>274.50366095202264</v>
      </c>
      <c r="J37" s="43">
        <v>328.55295609541923</v>
      </c>
      <c r="K37" s="48"/>
      <c r="L37" s="47">
        <v>467.65141125601207</v>
      </c>
      <c r="M37" s="48">
        <v>478.36066243701958</v>
      </c>
      <c r="N37" s="43">
        <v>524.86618535217212</v>
      </c>
      <c r="O37" s="53"/>
      <c r="P37" s="54">
        <v>0.19499999999999998</v>
      </c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</row>
    <row r="38" spans="1:34" x14ac:dyDescent="0.25">
      <c r="A38" s="3" t="s">
        <v>9</v>
      </c>
      <c r="B38" s="3" t="s">
        <v>41</v>
      </c>
      <c r="C38" s="8" t="s">
        <v>11</v>
      </c>
      <c r="D38" s="41">
        <v>2268.3570363003482</v>
      </c>
      <c r="E38" s="42">
        <v>3224.8781700646446</v>
      </c>
      <c r="F38" s="43">
        <v>3823.6444554947789</v>
      </c>
      <c r="G38" s="48"/>
      <c r="H38" s="47">
        <v>190.74772226550184</v>
      </c>
      <c r="I38" s="48">
        <v>306.60191762320568</v>
      </c>
      <c r="J38" s="43">
        <v>366.97130388084241</v>
      </c>
      <c r="K38" s="48"/>
      <c r="L38" s="47">
        <v>522.33481685824188</v>
      </c>
      <c r="M38" s="48">
        <v>534.29632198723675</v>
      </c>
      <c r="N38" s="43">
        <v>586.2398277911459</v>
      </c>
      <c r="O38" s="53"/>
      <c r="P38" s="54">
        <v>0.19499999999999998</v>
      </c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</row>
    <row r="39" spans="1:34" x14ac:dyDescent="0.25">
      <c r="A39" s="3" t="s">
        <v>9</v>
      </c>
      <c r="B39" s="3" t="s">
        <v>42</v>
      </c>
      <c r="C39" s="8" t="s">
        <v>11</v>
      </c>
      <c r="D39" s="41">
        <v>2220.0134261561411</v>
      </c>
      <c r="E39" s="42">
        <v>3155.923421183491</v>
      </c>
      <c r="F39" s="43">
        <v>3741.7866732968673</v>
      </c>
      <c r="G39" s="48"/>
      <c r="H39" s="47">
        <v>189.59201640279935</v>
      </c>
      <c r="I39" s="48">
        <v>304.74427219759076</v>
      </c>
      <c r="J39" s="43">
        <v>364.74789129010986</v>
      </c>
      <c r="K39" s="48"/>
      <c r="L39" s="47">
        <v>519.17008491299509</v>
      </c>
      <c r="M39" s="48">
        <v>531.0591174512814</v>
      </c>
      <c r="N39" s="43">
        <v>582.68790697195584</v>
      </c>
      <c r="O39" s="53"/>
      <c r="P39" s="54">
        <v>0.19499999999999998</v>
      </c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4"/>
    </row>
    <row r="40" spans="1:34" x14ac:dyDescent="0.25">
      <c r="A40" s="3" t="s">
        <v>9</v>
      </c>
      <c r="B40" s="3" t="s">
        <v>43</v>
      </c>
      <c r="C40" s="8" t="s">
        <v>11</v>
      </c>
      <c r="D40" s="41">
        <v>1906.6762804574839</v>
      </c>
      <c r="E40" s="42">
        <v>2708.994032819493</v>
      </c>
      <c r="F40" s="43">
        <v>3211.230730979612</v>
      </c>
      <c r="G40" s="48"/>
      <c r="H40" s="47">
        <v>160.32984693386734</v>
      </c>
      <c r="I40" s="48">
        <v>257.70917701306286</v>
      </c>
      <c r="J40" s="43">
        <v>308.45166737269182</v>
      </c>
      <c r="K40" s="48"/>
      <c r="L40" s="47">
        <v>439.03990171135905</v>
      </c>
      <c r="M40" s="48">
        <v>449.09394725199752</v>
      </c>
      <c r="N40" s="43">
        <v>492.75420298578467</v>
      </c>
      <c r="O40" s="53"/>
      <c r="P40" s="54">
        <v>0.19499999999999998</v>
      </c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</row>
    <row r="41" spans="1:34" x14ac:dyDescent="0.25">
      <c r="A41" s="3" t="s">
        <v>9</v>
      </c>
      <c r="B41" s="3" t="s">
        <v>44</v>
      </c>
      <c r="C41" s="8" t="s">
        <v>11</v>
      </c>
      <c r="D41" s="41">
        <v>1756.2744903033317</v>
      </c>
      <c r="E41" s="42">
        <v>2494.4679264047736</v>
      </c>
      <c r="F41" s="43">
        <v>2956.5638985579312</v>
      </c>
      <c r="G41" s="48"/>
      <c r="H41" s="47">
        <v>147.68084931750127</v>
      </c>
      <c r="I41" s="48">
        <v>237.3775742073889</v>
      </c>
      <c r="J41" s="43">
        <v>284.11680720800496</v>
      </c>
      <c r="K41" s="48"/>
      <c r="L41" s="47">
        <v>404.40246659594203</v>
      </c>
      <c r="M41" s="48">
        <v>413.66331236429585</v>
      </c>
      <c r="N41" s="43">
        <v>453.87905367193002</v>
      </c>
      <c r="O41" s="53"/>
      <c r="P41" s="54">
        <v>0.19499999999999998</v>
      </c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</row>
    <row r="42" spans="1:34" x14ac:dyDescent="0.25">
      <c r="A42" s="3" t="s">
        <v>9</v>
      </c>
      <c r="B42" s="3" t="s">
        <v>211</v>
      </c>
      <c r="C42" s="8" t="s">
        <v>11</v>
      </c>
      <c r="D42" s="41">
        <v>1980.0865241173547</v>
      </c>
      <c r="E42" s="42">
        <v>2813.7031327697664</v>
      </c>
      <c r="F42" s="43">
        <v>3335.5325708602686</v>
      </c>
      <c r="G42" s="48"/>
      <c r="H42" s="47">
        <v>166.50376566504463</v>
      </c>
      <c r="I42" s="48">
        <v>267.63294071386349</v>
      </c>
      <c r="J42" s="43">
        <v>320.32940294890454</v>
      </c>
      <c r="K42" s="48"/>
      <c r="L42" s="47">
        <v>455.94627769029989</v>
      </c>
      <c r="M42" s="48">
        <v>466.38748046506868</v>
      </c>
      <c r="N42" s="43">
        <v>511.72898816683158</v>
      </c>
      <c r="O42" s="53"/>
      <c r="P42" s="54">
        <v>0.19499999999999998</v>
      </c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</row>
    <row r="43" spans="1:34" x14ac:dyDescent="0.25">
      <c r="A43" s="3" t="s">
        <v>9</v>
      </c>
      <c r="B43" s="3" t="s">
        <v>45</v>
      </c>
      <c r="C43" s="8" t="s">
        <v>11</v>
      </c>
      <c r="D43" s="41">
        <v>1611.2446544007955</v>
      </c>
      <c r="E43" s="42">
        <v>2287.6031824962706</v>
      </c>
      <c r="F43" s="43">
        <v>2710.9925410243659</v>
      </c>
      <c r="G43" s="48"/>
      <c r="H43" s="47">
        <v>135.48361218557676</v>
      </c>
      <c r="I43" s="48">
        <v>217.77211706254428</v>
      </c>
      <c r="J43" s="43">
        <v>260.6510695263986</v>
      </c>
      <c r="K43" s="48"/>
      <c r="L43" s="47">
        <v>371.0021116778766</v>
      </c>
      <c r="M43" s="48">
        <v>379.49808690004375</v>
      </c>
      <c r="N43" s="43">
        <v>416.39233503214257</v>
      </c>
      <c r="O43" s="53"/>
      <c r="P43" s="54">
        <v>0.19499999999999998</v>
      </c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</row>
    <row r="44" spans="1:34" x14ac:dyDescent="0.25">
      <c r="A44" s="3" t="s">
        <v>9</v>
      </c>
      <c r="B44" s="3" t="s">
        <v>46</v>
      </c>
      <c r="C44" s="8" t="s">
        <v>11</v>
      </c>
      <c r="D44" s="41">
        <v>1779.5509696668323</v>
      </c>
      <c r="E44" s="42">
        <v>2527.6683242168074</v>
      </c>
      <c r="F44" s="43">
        <v>2995.9771258080559</v>
      </c>
      <c r="G44" s="48"/>
      <c r="H44" s="47">
        <v>149.63840809198888</v>
      </c>
      <c r="I44" s="48">
        <v>240.52409290228908</v>
      </c>
      <c r="J44" s="43">
        <v>287.88286998120651</v>
      </c>
      <c r="K44" s="48"/>
      <c r="L44" s="47">
        <v>409.76295578982081</v>
      </c>
      <c r="M44" s="48">
        <v>419.14655714887442</v>
      </c>
      <c r="N44" s="43">
        <v>459.89537148278862</v>
      </c>
      <c r="O44" s="53"/>
      <c r="P44" s="54">
        <v>0.19499999999999998</v>
      </c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</row>
    <row r="45" spans="1:34" x14ac:dyDescent="0.25">
      <c r="A45" s="3" t="s">
        <v>9</v>
      </c>
      <c r="B45" s="3" t="s">
        <v>47</v>
      </c>
      <c r="C45" s="8" t="s">
        <v>11</v>
      </c>
      <c r="D45" s="41">
        <v>1553.9482844356041</v>
      </c>
      <c r="E45" s="42">
        <v>2205.879164594729</v>
      </c>
      <c r="F45" s="43">
        <v>2613.9766285430132</v>
      </c>
      <c r="G45" s="48"/>
      <c r="H45" s="47">
        <v>130.66493274753458</v>
      </c>
      <c r="I45" s="48">
        <v>210.02672257726263</v>
      </c>
      <c r="J45" s="43">
        <v>251.38062028926001</v>
      </c>
      <c r="K45" s="48"/>
      <c r="L45" s="47">
        <v>357.80686084146043</v>
      </c>
      <c r="M45" s="48">
        <v>366.00066386398839</v>
      </c>
      <c r="N45" s="43">
        <v>401.58271229910349</v>
      </c>
      <c r="O45" s="53"/>
      <c r="P45" s="54">
        <v>0.19499999999999998</v>
      </c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</row>
    <row r="46" spans="1:34" x14ac:dyDescent="0.25">
      <c r="A46" s="3" t="s">
        <v>48</v>
      </c>
      <c r="B46" s="3" t="s">
        <v>49</v>
      </c>
      <c r="C46" s="8" t="s">
        <v>212</v>
      </c>
      <c r="D46" s="41">
        <v>1499.3175599999997</v>
      </c>
      <c r="E46" s="42">
        <v>2127.93516</v>
      </c>
      <c r="F46" s="43">
        <v>2521.4669999999996</v>
      </c>
      <c r="G46" s="48"/>
      <c r="H46" s="47">
        <v>47.177522085522739</v>
      </c>
      <c r="I46" s="48">
        <v>75.831672160147534</v>
      </c>
      <c r="J46" s="43">
        <v>90.762796996830346</v>
      </c>
      <c r="K46" s="48"/>
      <c r="L46" s="47">
        <v>132.19315323320973</v>
      </c>
      <c r="M46" s="48">
        <v>135.22038601452778</v>
      </c>
      <c r="N46" s="43">
        <v>148.36631387648347</v>
      </c>
      <c r="O46" s="53"/>
      <c r="P46" s="54">
        <v>0.19499999999999998</v>
      </c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</row>
    <row r="47" spans="1:34" x14ac:dyDescent="0.25">
      <c r="A47" s="3" t="s">
        <v>50</v>
      </c>
      <c r="B47" s="3" t="s">
        <v>51</v>
      </c>
      <c r="C47" s="8" t="s">
        <v>212</v>
      </c>
      <c r="D47" s="41">
        <v>1639.3571999999999</v>
      </c>
      <c r="E47" s="42">
        <v>2327.7149999999997</v>
      </c>
      <c r="F47" s="43">
        <v>2758.5979199999997</v>
      </c>
      <c r="G47" s="48"/>
      <c r="H47" s="47">
        <v>139.46030088870825</v>
      </c>
      <c r="I47" s="48">
        <v>224.16412199811862</v>
      </c>
      <c r="J47" s="43">
        <v>268.30164915683395</v>
      </c>
      <c r="K47" s="48"/>
      <c r="L47" s="47">
        <v>390.77289586999876</v>
      </c>
      <c r="M47" s="48">
        <v>399.72162348179359</v>
      </c>
      <c r="N47" s="43">
        <v>438.58197421759849</v>
      </c>
      <c r="O47" s="53"/>
      <c r="P47" s="54">
        <v>0.19499999999999998</v>
      </c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</row>
    <row r="48" spans="1:34" x14ac:dyDescent="0.25">
      <c r="A48" s="3" t="s">
        <v>52</v>
      </c>
      <c r="B48" s="3" t="s">
        <v>53</v>
      </c>
      <c r="C48" s="8" t="s">
        <v>212</v>
      </c>
      <c r="D48" s="41">
        <v>1587.0441599999999</v>
      </c>
      <c r="E48" s="42">
        <v>2253.0128399999999</v>
      </c>
      <c r="F48" s="43">
        <v>2669.9025599999995</v>
      </c>
      <c r="G48" s="48"/>
      <c r="H48" s="47">
        <v>67.497819330494323</v>
      </c>
      <c r="I48" s="48">
        <v>108.49388184729625</v>
      </c>
      <c r="J48" s="43">
        <v>129.85613916976678</v>
      </c>
      <c r="K48" s="48"/>
      <c r="L48" s="47">
        <v>189.13137399392252</v>
      </c>
      <c r="M48" s="48">
        <v>193.46249615363126</v>
      </c>
      <c r="N48" s="43">
        <v>212.27063665218213</v>
      </c>
      <c r="O48" s="53"/>
      <c r="P48" s="54">
        <v>0.19499999999999998</v>
      </c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</row>
    <row r="49" spans="1:34" x14ac:dyDescent="0.25">
      <c r="A49" s="3" t="s">
        <v>54</v>
      </c>
      <c r="B49" s="3" t="s">
        <v>55</v>
      </c>
      <c r="C49" s="8" t="s">
        <v>212</v>
      </c>
      <c r="D49" s="41">
        <v>1587.0441599999999</v>
      </c>
      <c r="E49" s="42">
        <v>2253.0128399999999</v>
      </c>
      <c r="F49" s="43">
        <v>2669.9025599999995</v>
      </c>
      <c r="G49" s="48"/>
      <c r="H49" s="47">
        <v>67.497819330494323</v>
      </c>
      <c r="I49" s="48">
        <v>108.49388184729625</v>
      </c>
      <c r="J49" s="43">
        <v>129.85613916976678</v>
      </c>
      <c r="K49" s="48"/>
      <c r="L49" s="47">
        <v>189.13137399392252</v>
      </c>
      <c r="M49" s="48">
        <v>193.46249615363126</v>
      </c>
      <c r="N49" s="43">
        <v>212.27063665218213</v>
      </c>
      <c r="O49" s="53"/>
      <c r="P49" s="54">
        <v>0.19499999999999998</v>
      </c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</row>
    <row r="50" spans="1:34" x14ac:dyDescent="0.25">
      <c r="A50" s="3" t="s">
        <v>56</v>
      </c>
      <c r="B50" s="3" t="s">
        <v>57</v>
      </c>
      <c r="C50" s="8" t="s">
        <v>212</v>
      </c>
      <c r="D50" s="41">
        <v>1964.2147199999997</v>
      </c>
      <c r="E50" s="42">
        <v>2791.1052</v>
      </c>
      <c r="F50" s="43">
        <v>3308.6383199999996</v>
      </c>
      <c r="G50" s="48"/>
      <c r="H50" s="47">
        <v>167.07141839320261</v>
      </c>
      <c r="I50" s="48">
        <v>268.54536793936416</v>
      </c>
      <c r="J50" s="43">
        <v>321.42148551392569</v>
      </c>
      <c r="K50" s="48"/>
      <c r="L50" s="47">
        <v>468.14026333357833</v>
      </c>
      <c r="M50" s="48">
        <v>478.86070926256048</v>
      </c>
      <c r="N50" s="43">
        <v>525.4148459976401</v>
      </c>
      <c r="O50" s="53"/>
      <c r="P50" s="54">
        <v>0.19499999999999998</v>
      </c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</row>
    <row r="51" spans="1:34" x14ac:dyDescent="0.25">
      <c r="A51" s="3" t="s">
        <v>58</v>
      </c>
      <c r="B51" s="3" t="s">
        <v>59</v>
      </c>
      <c r="C51" s="8" t="s">
        <v>212</v>
      </c>
      <c r="D51" s="41">
        <v>1966.9057199999997</v>
      </c>
      <c r="E51" s="42">
        <v>2794.8725999999997</v>
      </c>
      <c r="F51" s="43">
        <v>3313.2668399999998</v>
      </c>
      <c r="G51" s="48"/>
      <c r="H51" s="47">
        <v>138.84007967502984</v>
      </c>
      <c r="I51" s="48">
        <v>223.16719783459067</v>
      </c>
      <c r="J51" s="43">
        <v>267.10843235311592</v>
      </c>
      <c r="K51" s="48"/>
      <c r="L51" s="47">
        <v>389.03501320228145</v>
      </c>
      <c r="M51" s="48">
        <v>397.9439431751432</v>
      </c>
      <c r="N51" s="43">
        <v>436.63147043542324</v>
      </c>
      <c r="O51" s="53"/>
      <c r="P51" s="54">
        <v>0.19499999999999998</v>
      </c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4"/>
    </row>
    <row r="52" spans="1:34" x14ac:dyDescent="0.25">
      <c r="A52" s="3" t="s">
        <v>60</v>
      </c>
      <c r="B52" s="3" t="s">
        <v>61</v>
      </c>
      <c r="C52" s="8" t="s">
        <v>212</v>
      </c>
      <c r="D52" s="41">
        <v>1045.29204</v>
      </c>
      <c r="E52" s="42">
        <v>1480.2652800000001</v>
      </c>
      <c r="F52" s="43">
        <v>1752.7021199999999</v>
      </c>
      <c r="G52" s="48"/>
      <c r="H52" s="47">
        <v>32.892839761543328</v>
      </c>
      <c r="I52" s="48">
        <v>52.870920958755583</v>
      </c>
      <c r="J52" s="43">
        <v>63.281113673461959</v>
      </c>
      <c r="K52" s="48"/>
      <c r="L52" s="47">
        <v>92.166947619477355</v>
      </c>
      <c r="M52" s="48">
        <v>94.277577393891534</v>
      </c>
      <c r="N52" s="43">
        <v>103.44310537342923</v>
      </c>
      <c r="O52" s="53"/>
      <c r="P52" s="54">
        <v>0.19499999999999998</v>
      </c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4"/>
    </row>
    <row r="53" spans="1:34" x14ac:dyDescent="0.25">
      <c r="A53" s="3" t="s">
        <v>62</v>
      </c>
      <c r="B53" s="3" t="s">
        <v>63</v>
      </c>
      <c r="C53" s="8" t="s">
        <v>212</v>
      </c>
      <c r="D53" s="41">
        <v>1974.1176</v>
      </c>
      <c r="E53" s="42">
        <v>2805.0983999999999</v>
      </c>
      <c r="F53" s="43">
        <v>3325.3225199999997</v>
      </c>
      <c r="G53" s="48"/>
      <c r="H53" s="47">
        <v>83.947281265689682</v>
      </c>
      <c r="I53" s="48">
        <v>134.93423202972656</v>
      </c>
      <c r="J53" s="43">
        <v>161.50254848360777</v>
      </c>
      <c r="K53" s="48"/>
      <c r="L53" s="47">
        <v>235.22337175211794</v>
      </c>
      <c r="M53" s="48">
        <v>240.61000399807068</v>
      </c>
      <c r="N53" s="43">
        <v>264.0017561491382</v>
      </c>
      <c r="O53" s="53"/>
      <c r="P53" s="54">
        <v>0.19499999999999998</v>
      </c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  <c r="AF53" s="14"/>
      <c r="AG53" s="14"/>
      <c r="AH53" s="14"/>
    </row>
    <row r="54" spans="1:34" x14ac:dyDescent="0.25">
      <c r="A54" s="3" t="s">
        <v>64</v>
      </c>
      <c r="B54" s="3" t="s">
        <v>65</v>
      </c>
      <c r="C54" s="8" t="s">
        <v>212</v>
      </c>
      <c r="D54" s="41">
        <v>1648.1836799999999</v>
      </c>
      <c r="E54" s="42">
        <v>2340.3088799999996</v>
      </c>
      <c r="F54" s="43">
        <v>2773.5598799999998</v>
      </c>
      <c r="G54" s="48"/>
      <c r="H54" s="47">
        <v>78.4785621337723</v>
      </c>
      <c r="I54" s="48">
        <v>126.14398408928324</v>
      </c>
      <c r="J54" s="43">
        <v>150.98151595665325</v>
      </c>
      <c r="K54" s="48"/>
      <c r="L54" s="47">
        <v>219.89981947049475</v>
      </c>
      <c r="M54" s="48">
        <v>224.93554125960003</v>
      </c>
      <c r="N54" s="43">
        <v>246.80344510267122</v>
      </c>
      <c r="O54" s="53"/>
      <c r="P54" s="54">
        <v>0.19499999999999998</v>
      </c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4"/>
      <c r="AH54" s="14"/>
    </row>
    <row r="55" spans="1:34" x14ac:dyDescent="0.25">
      <c r="A55" s="3" t="s">
        <v>66</v>
      </c>
      <c r="B55" s="3" t="s">
        <v>67</v>
      </c>
      <c r="C55" s="8" t="s">
        <v>212</v>
      </c>
      <c r="D55" s="41">
        <v>1730.2053599999999</v>
      </c>
      <c r="E55" s="42">
        <v>2457.2059199999999</v>
      </c>
      <c r="F55" s="43">
        <v>2912.4154799999997</v>
      </c>
      <c r="G55" s="48"/>
      <c r="H55" s="47">
        <v>22.073236370532346</v>
      </c>
      <c r="I55" s="48">
        <v>35.479829163755596</v>
      </c>
      <c r="J55" s="43">
        <v>42.465746041724969</v>
      </c>
      <c r="K55" s="48"/>
      <c r="L55" s="47">
        <v>61.850020706747948</v>
      </c>
      <c r="M55" s="48">
        <v>63.266390659572643</v>
      </c>
      <c r="N55" s="43">
        <v>69.417056488966836</v>
      </c>
      <c r="O55" s="53"/>
      <c r="P55" s="54">
        <v>0.19499999999999998</v>
      </c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4"/>
      <c r="AH55" s="14"/>
    </row>
    <row r="56" spans="1:34" x14ac:dyDescent="0.25">
      <c r="A56" s="3" t="s">
        <v>68</v>
      </c>
      <c r="B56" s="3" t="s">
        <v>69</v>
      </c>
      <c r="C56" s="8" t="s">
        <v>212</v>
      </c>
      <c r="D56" s="41">
        <v>1795.6504799999998</v>
      </c>
      <c r="E56" s="42">
        <v>2550.63744</v>
      </c>
      <c r="F56" s="43">
        <v>3023.17704</v>
      </c>
      <c r="G56" s="48"/>
      <c r="H56" s="47">
        <v>152.71113206957543</v>
      </c>
      <c r="I56" s="48">
        <v>245.46309323563793</v>
      </c>
      <c r="J56" s="43">
        <v>293.79435092120622</v>
      </c>
      <c r="K56" s="48"/>
      <c r="L56" s="47">
        <v>427.9022125302584</v>
      </c>
      <c r="M56" s="48">
        <v>437.70120418215515</v>
      </c>
      <c r="N56" s="43">
        <v>480.25387412240781</v>
      </c>
      <c r="O56" s="53"/>
      <c r="P56" s="54">
        <v>0.19499999999999998</v>
      </c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  <c r="AE56" s="14"/>
      <c r="AF56" s="14"/>
      <c r="AG56" s="14"/>
      <c r="AH56" s="14"/>
    </row>
    <row r="57" spans="1:34" x14ac:dyDescent="0.25">
      <c r="A57" s="3" t="s">
        <v>70</v>
      </c>
      <c r="B57" s="3" t="s">
        <v>71</v>
      </c>
      <c r="C57" s="8" t="s">
        <v>212</v>
      </c>
      <c r="D57" s="41">
        <v>1416.65004</v>
      </c>
      <c r="E57" s="42">
        <v>2009.9617199999998</v>
      </c>
      <c r="F57" s="43">
        <v>2381.4273600000001</v>
      </c>
      <c r="G57" s="48"/>
      <c r="H57" s="47">
        <v>148.38486344288444</v>
      </c>
      <c r="I57" s="48">
        <v>238.50918447414668</v>
      </c>
      <c r="J57" s="43">
        <v>285.47122957527591</v>
      </c>
      <c r="K57" s="48"/>
      <c r="L57" s="47">
        <v>415.77984861170717</v>
      </c>
      <c r="M57" s="48">
        <v>425.30123725207301</v>
      </c>
      <c r="N57" s="43">
        <v>466.64840057044705</v>
      </c>
      <c r="O57" s="53"/>
      <c r="P57" s="54">
        <v>0.19499999999999998</v>
      </c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  <c r="AE57" s="14"/>
      <c r="AF57" s="14"/>
      <c r="AG57" s="14"/>
      <c r="AH57" s="14"/>
    </row>
    <row r="58" spans="1:34" x14ac:dyDescent="0.25">
      <c r="A58" s="3" t="s">
        <v>70</v>
      </c>
      <c r="B58" s="3" t="s">
        <v>72</v>
      </c>
      <c r="C58" s="8" t="s">
        <v>212</v>
      </c>
      <c r="D58" s="41">
        <v>1653.1489384465935</v>
      </c>
      <c r="E58" s="42">
        <v>2258.4410380955492</v>
      </c>
      <c r="F58" s="43">
        <v>2985.2047706226499</v>
      </c>
      <c r="G58" s="48"/>
      <c r="H58" s="47">
        <v>148.38486344288444</v>
      </c>
      <c r="I58" s="48">
        <v>238.50918447414668</v>
      </c>
      <c r="J58" s="43">
        <v>285.47122957527591</v>
      </c>
      <c r="K58" s="48"/>
      <c r="L58" s="47">
        <v>415.77984861170717</v>
      </c>
      <c r="M58" s="48">
        <v>425.30123725207301</v>
      </c>
      <c r="N58" s="43">
        <v>466.64840057044705</v>
      </c>
      <c r="O58" s="53"/>
      <c r="P58" s="54">
        <v>0.19499999999999998</v>
      </c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  <c r="AE58" s="14"/>
      <c r="AF58" s="14"/>
      <c r="AG58" s="14"/>
      <c r="AH58" s="14"/>
    </row>
    <row r="59" spans="1:34" x14ac:dyDescent="0.25">
      <c r="A59" s="3" t="s">
        <v>73</v>
      </c>
      <c r="B59" s="3" t="s">
        <v>74</v>
      </c>
      <c r="C59" s="8" t="s">
        <v>212</v>
      </c>
      <c r="D59" s="41">
        <v>989.96610641471898</v>
      </c>
      <c r="E59" s="42">
        <v>1352.4371755345601</v>
      </c>
      <c r="F59" s="43">
        <v>1787.6499055196418</v>
      </c>
      <c r="G59" s="48"/>
      <c r="H59" s="47">
        <v>88.858288625503477</v>
      </c>
      <c r="I59" s="48">
        <v>142.82803152624041</v>
      </c>
      <c r="J59" s="43">
        <v>170.95062342151343</v>
      </c>
      <c r="K59" s="48"/>
      <c r="L59" s="47">
        <v>234.72419121951214</v>
      </c>
      <c r="M59" s="48">
        <v>240.09939219512191</v>
      </c>
      <c r="N59" s="43">
        <v>263.4415034146341</v>
      </c>
      <c r="O59" s="53"/>
      <c r="P59" s="54">
        <v>0.19499999999999998</v>
      </c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/>
      <c r="AE59" s="14"/>
      <c r="AF59" s="14"/>
      <c r="AG59" s="14"/>
      <c r="AH59" s="14"/>
    </row>
    <row r="60" spans="1:34" x14ac:dyDescent="0.25">
      <c r="A60" s="3" t="s">
        <v>73</v>
      </c>
      <c r="B60" s="3" t="s">
        <v>75</v>
      </c>
      <c r="C60" s="8" t="s">
        <v>212</v>
      </c>
      <c r="D60" s="41">
        <v>989.96610641471898</v>
      </c>
      <c r="E60" s="42">
        <v>1352.4371755345601</v>
      </c>
      <c r="F60" s="43">
        <v>1787.6499055196418</v>
      </c>
      <c r="G60" s="48"/>
      <c r="H60" s="47">
        <v>88.858288625503477</v>
      </c>
      <c r="I60" s="48">
        <v>142.82803152624041</v>
      </c>
      <c r="J60" s="43">
        <v>170.95062342151343</v>
      </c>
      <c r="K60" s="48"/>
      <c r="L60" s="47">
        <v>234.72419121951214</v>
      </c>
      <c r="M60" s="48">
        <v>240.09939219512191</v>
      </c>
      <c r="N60" s="43">
        <v>263.4415034146341</v>
      </c>
      <c r="O60" s="53"/>
      <c r="P60" s="54">
        <v>0.19499999999999998</v>
      </c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  <c r="AE60" s="14"/>
      <c r="AF60" s="14"/>
      <c r="AG60" s="14"/>
      <c r="AH60" s="14"/>
    </row>
    <row r="61" spans="1:34" s="16" customFormat="1" x14ac:dyDescent="0.25">
      <c r="A61" s="3" t="s">
        <v>73</v>
      </c>
      <c r="B61" s="3" t="s">
        <v>76</v>
      </c>
      <c r="C61" s="8" t="s">
        <v>212</v>
      </c>
      <c r="D61" s="41">
        <v>989.96610641471898</v>
      </c>
      <c r="E61" s="42">
        <v>1352.4371755345601</v>
      </c>
      <c r="F61" s="43">
        <v>1787.6499055196418</v>
      </c>
      <c r="G61" s="48"/>
      <c r="H61" s="47">
        <v>105.80776282052457</v>
      </c>
      <c r="I61" s="48">
        <v>170.07208576278413</v>
      </c>
      <c r="J61" s="43">
        <v>203.55898472495275</v>
      </c>
      <c r="K61" s="48"/>
      <c r="L61" s="47">
        <v>234.72419121951214</v>
      </c>
      <c r="M61" s="48">
        <v>240.09939219512191</v>
      </c>
      <c r="N61" s="43">
        <v>263.4415034146341</v>
      </c>
      <c r="O61" s="53"/>
      <c r="P61" s="54">
        <v>0.19499999999999998</v>
      </c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5"/>
      <c r="AH61" s="15"/>
    </row>
    <row r="62" spans="1:34" x14ac:dyDescent="0.25">
      <c r="A62" s="3" t="s">
        <v>77</v>
      </c>
      <c r="B62" s="3" t="s">
        <v>78</v>
      </c>
      <c r="C62" s="8" t="s">
        <v>212</v>
      </c>
      <c r="D62" s="41">
        <v>1052.5039199999999</v>
      </c>
      <c r="E62" s="42">
        <v>1490.5987199999997</v>
      </c>
      <c r="F62" s="43">
        <v>1764.86544</v>
      </c>
      <c r="G62" s="48"/>
      <c r="H62" s="47">
        <v>105.80776282052457</v>
      </c>
      <c r="I62" s="48">
        <v>170.07208576278413</v>
      </c>
      <c r="J62" s="43">
        <v>203.55898472495275</v>
      </c>
      <c r="K62" s="48"/>
      <c r="L62" s="47">
        <v>281.65338335318052</v>
      </c>
      <c r="M62" s="48">
        <v>288.10326622685488</v>
      </c>
      <c r="N62" s="43">
        <v>316.11224376523535</v>
      </c>
      <c r="O62" s="53"/>
      <c r="P62" s="54">
        <v>0.19499999999999998</v>
      </c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</row>
    <row r="63" spans="1:34" x14ac:dyDescent="0.25">
      <c r="A63" s="3" t="s">
        <v>79</v>
      </c>
      <c r="B63" s="3" t="s">
        <v>80</v>
      </c>
      <c r="C63" s="8" t="s">
        <v>212</v>
      </c>
      <c r="D63" s="41">
        <v>929.79431999999986</v>
      </c>
      <c r="E63" s="42">
        <v>1315.5760799999998</v>
      </c>
      <c r="F63" s="43">
        <v>1557.0126</v>
      </c>
      <c r="G63" s="48"/>
      <c r="H63" s="47">
        <v>105.80776282052457</v>
      </c>
      <c r="I63" s="48">
        <v>170.07208576278413</v>
      </c>
      <c r="J63" s="43">
        <v>203.55898472495275</v>
      </c>
      <c r="K63" s="48"/>
      <c r="L63" s="47">
        <v>259.76609999999994</v>
      </c>
      <c r="M63" s="48">
        <v>265.71476249999995</v>
      </c>
      <c r="N63" s="43">
        <v>291.54716250000001</v>
      </c>
      <c r="O63" s="53"/>
      <c r="P63" s="54">
        <v>0.19499999999999998</v>
      </c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</row>
    <row r="64" spans="1:34" x14ac:dyDescent="0.25">
      <c r="A64" s="3" t="s">
        <v>81</v>
      </c>
      <c r="B64" s="3" t="s">
        <v>42</v>
      </c>
      <c r="C64" s="8" t="s">
        <v>212</v>
      </c>
      <c r="D64" s="41">
        <v>876.62015999999994</v>
      </c>
      <c r="E64" s="42">
        <v>1239.7975200000001</v>
      </c>
      <c r="F64" s="43">
        <v>1467.0255599999998</v>
      </c>
      <c r="G64" s="48"/>
      <c r="H64" s="47">
        <v>127.91771174690128</v>
      </c>
      <c r="I64" s="48">
        <v>205.61092553955802</v>
      </c>
      <c r="J64" s="43">
        <v>246.09536046713754</v>
      </c>
      <c r="K64" s="48"/>
      <c r="L64" s="47">
        <v>299.29031999999995</v>
      </c>
      <c r="M64" s="48">
        <v>306.14409000000001</v>
      </c>
      <c r="N64" s="43">
        <v>335.90697</v>
      </c>
      <c r="O64" s="53"/>
      <c r="P64" s="54">
        <v>0.19499999999999998</v>
      </c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4"/>
      <c r="AH64" s="14"/>
    </row>
    <row r="65" spans="1:34" x14ac:dyDescent="0.25">
      <c r="A65" s="3" t="s">
        <v>82</v>
      </c>
      <c r="B65" s="3" t="s">
        <v>83</v>
      </c>
      <c r="C65" s="8" t="s">
        <v>212</v>
      </c>
      <c r="D65" s="41">
        <v>1032.6000574654399</v>
      </c>
      <c r="E65" s="42">
        <v>1410.6813315387865</v>
      </c>
      <c r="F65" s="43">
        <v>1864.6369640400296</v>
      </c>
      <c r="G65" s="48"/>
      <c r="H65" s="47">
        <v>92.68506603047004</v>
      </c>
      <c r="I65" s="48">
        <v>148.97907373395176</v>
      </c>
      <c r="J65" s="43">
        <v>178.31279518054316</v>
      </c>
      <c r="K65" s="48"/>
      <c r="L65" s="47">
        <v>246.72161794097559</v>
      </c>
      <c r="M65" s="48">
        <v>252.37156085725607</v>
      </c>
      <c r="N65" s="43">
        <v>276.90675433823168</v>
      </c>
      <c r="O65" s="53"/>
      <c r="P65" s="54">
        <v>0.19499999999999998</v>
      </c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</row>
    <row r="66" spans="1:34" x14ac:dyDescent="0.25">
      <c r="A66" s="3" t="s">
        <v>82</v>
      </c>
      <c r="B66" s="3" t="s">
        <v>84</v>
      </c>
      <c r="C66" s="8" t="s">
        <v>212</v>
      </c>
      <c r="D66" s="41">
        <v>1032.6000574654399</v>
      </c>
      <c r="E66" s="42">
        <v>1410.6813315387865</v>
      </c>
      <c r="F66" s="43">
        <v>1864.6369640400296</v>
      </c>
      <c r="G66" s="48"/>
      <c r="H66" s="47">
        <v>92.68506603047004</v>
      </c>
      <c r="I66" s="48">
        <v>148.97907373395176</v>
      </c>
      <c r="J66" s="43">
        <v>178.31279518054316</v>
      </c>
      <c r="K66" s="48"/>
      <c r="L66" s="47">
        <v>246.72161794097559</v>
      </c>
      <c r="M66" s="48">
        <v>252.37156085725607</v>
      </c>
      <c r="N66" s="43">
        <v>276.90675433823168</v>
      </c>
      <c r="O66" s="53"/>
      <c r="P66" s="54">
        <v>0.19499999999999998</v>
      </c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14"/>
    </row>
    <row r="67" spans="1:34" x14ac:dyDescent="0.25">
      <c r="A67" s="3" t="s">
        <v>82</v>
      </c>
      <c r="B67" s="3" t="s">
        <v>85</v>
      </c>
      <c r="C67" s="8" t="s">
        <v>212</v>
      </c>
      <c r="D67" s="41">
        <v>1032.6000574654399</v>
      </c>
      <c r="E67" s="42">
        <v>1410.6813315387865</v>
      </c>
      <c r="F67" s="43">
        <v>1864.6369640400296</v>
      </c>
      <c r="G67" s="48"/>
      <c r="H67" s="47">
        <v>92.68506603047004</v>
      </c>
      <c r="I67" s="48">
        <v>148.97907373395176</v>
      </c>
      <c r="J67" s="43">
        <v>178.31279518054316</v>
      </c>
      <c r="K67" s="48"/>
      <c r="L67" s="47">
        <v>246.72161794097559</v>
      </c>
      <c r="M67" s="48">
        <v>252.37156085725607</v>
      </c>
      <c r="N67" s="43">
        <v>276.90675433823168</v>
      </c>
      <c r="O67" s="53"/>
      <c r="P67" s="54">
        <v>0.19499999999999998</v>
      </c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4"/>
      <c r="AH67" s="14"/>
    </row>
    <row r="68" spans="1:34" x14ac:dyDescent="0.25">
      <c r="A68" s="3" t="s">
        <v>82</v>
      </c>
      <c r="B68" s="3" t="s">
        <v>86</v>
      </c>
      <c r="C68" s="8" t="s">
        <v>212</v>
      </c>
      <c r="D68" s="44">
        <v>1032.6000574654399</v>
      </c>
      <c r="E68" s="45">
        <v>1410.6813315387865</v>
      </c>
      <c r="F68" s="46">
        <v>1864.6369640400296</v>
      </c>
      <c r="G68" s="48"/>
      <c r="H68" s="47">
        <v>92.68506603047004</v>
      </c>
      <c r="I68" s="48">
        <v>148.97907373395176</v>
      </c>
      <c r="J68" s="43">
        <v>178.31279518054316</v>
      </c>
      <c r="K68" s="48"/>
      <c r="L68" s="47">
        <v>246.72161794097559</v>
      </c>
      <c r="M68" s="48">
        <v>252.37156085725607</v>
      </c>
      <c r="N68" s="43">
        <v>276.90675433823168</v>
      </c>
      <c r="O68" s="53"/>
      <c r="P68" s="54">
        <v>0.19499999999999998</v>
      </c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4"/>
      <c r="AH68" s="14"/>
    </row>
    <row r="69" spans="1:34" x14ac:dyDescent="0.25">
      <c r="A69" s="3" t="s">
        <v>87</v>
      </c>
      <c r="B69" s="3" t="s">
        <v>88</v>
      </c>
      <c r="C69" s="8" t="s">
        <v>212</v>
      </c>
      <c r="D69" s="41">
        <v>1257.88104</v>
      </c>
      <c r="E69" s="42">
        <v>1783.5947999999999</v>
      </c>
      <c r="F69" s="43">
        <v>2112.6502799999998</v>
      </c>
      <c r="G69" s="48"/>
      <c r="H69" s="47">
        <v>214.04883336585365</v>
      </c>
      <c r="I69" s="48">
        <v>373.52931629268289</v>
      </c>
      <c r="J69" s="43">
        <v>548.50391824390238</v>
      </c>
      <c r="K69" s="48"/>
      <c r="L69" s="47">
        <v>390.0563765853658</v>
      </c>
      <c r="M69" s="48">
        <v>398.98869585365844</v>
      </c>
      <c r="N69" s="43">
        <v>437.77779243902438</v>
      </c>
      <c r="O69" s="53"/>
      <c r="P69" s="54">
        <v>0.19499999999999998</v>
      </c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</row>
    <row r="70" spans="1:34" x14ac:dyDescent="0.25">
      <c r="A70" s="3" t="s">
        <v>213</v>
      </c>
      <c r="B70" s="3" t="s">
        <v>214</v>
      </c>
      <c r="C70" s="8" t="s">
        <v>11</v>
      </c>
      <c r="D70" s="41">
        <v>1421.54</v>
      </c>
      <c r="E70" s="42">
        <v>1787.1</v>
      </c>
      <c r="F70" s="43">
        <v>2432.38</v>
      </c>
      <c r="G70" s="48"/>
      <c r="H70" s="47">
        <v>114.80999999999999</v>
      </c>
      <c r="I70" s="48">
        <v>184.542</v>
      </c>
      <c r="J70" s="43">
        <v>220.87799999999999</v>
      </c>
      <c r="K70" s="48"/>
      <c r="L70" s="47">
        <v>301.58388479999996</v>
      </c>
      <c r="M70" s="48">
        <v>308.49017759999998</v>
      </c>
      <c r="N70" s="43">
        <v>338.48114079999999</v>
      </c>
      <c r="O70" s="53"/>
      <c r="P70" s="54">
        <v>0.19499999999999998</v>
      </c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</row>
    <row r="71" spans="1:34" x14ac:dyDescent="0.25">
      <c r="A71" s="3" t="s">
        <v>213</v>
      </c>
      <c r="B71" s="3" t="s">
        <v>215</v>
      </c>
      <c r="C71" s="8" t="s">
        <v>11</v>
      </c>
      <c r="D71" s="41">
        <f t="shared" ref="D71:F72" si="0">D$25*0.58</f>
        <v>934.52189955246138</v>
      </c>
      <c r="E71" s="42">
        <f t="shared" si="0"/>
        <v>1326.8098458478369</v>
      </c>
      <c r="F71" s="43">
        <f t="shared" si="0"/>
        <v>1572.3756737941321</v>
      </c>
      <c r="G71" s="48"/>
      <c r="H71" s="47">
        <v>110.98299999999999</v>
      </c>
      <c r="I71" s="48">
        <v>178.39059999999998</v>
      </c>
      <c r="J71" s="43">
        <v>213.51539999999997</v>
      </c>
      <c r="K71" s="48"/>
      <c r="L71" s="47">
        <v>292.31974364326396</v>
      </c>
      <c r="M71" s="48">
        <v>299.01388693994619</v>
      </c>
      <c r="N71" s="43">
        <v>328.08357904253489</v>
      </c>
      <c r="O71" s="53"/>
      <c r="P71" s="54">
        <v>0.19499999999999998</v>
      </c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  <c r="AC71" s="14"/>
      <c r="AD71" s="14"/>
      <c r="AE71" s="14"/>
      <c r="AF71" s="14"/>
      <c r="AG71" s="14"/>
      <c r="AH71" s="14"/>
    </row>
    <row r="72" spans="1:34" x14ac:dyDescent="0.25">
      <c r="A72" s="3" t="s">
        <v>213</v>
      </c>
      <c r="B72" s="3" t="s">
        <v>216</v>
      </c>
      <c r="C72" s="8" t="s">
        <v>11</v>
      </c>
      <c r="D72" s="41">
        <f t="shared" si="0"/>
        <v>934.52189955246138</v>
      </c>
      <c r="E72" s="42">
        <f t="shared" si="0"/>
        <v>1326.8098458478369</v>
      </c>
      <c r="F72" s="43">
        <f t="shared" si="0"/>
        <v>1572.3756737941321</v>
      </c>
      <c r="G72" s="48"/>
      <c r="H72" s="47">
        <v>110.98299999999999</v>
      </c>
      <c r="I72" s="48">
        <v>178.39059999999998</v>
      </c>
      <c r="J72" s="43">
        <v>213.51539999999997</v>
      </c>
      <c r="K72" s="48"/>
      <c r="L72" s="47">
        <v>292.31974364326396</v>
      </c>
      <c r="M72" s="48">
        <v>299.01388693994619</v>
      </c>
      <c r="N72" s="43">
        <v>328.08357904253489</v>
      </c>
      <c r="O72" s="53"/>
      <c r="P72" s="54">
        <v>0.19499999999999998</v>
      </c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  <c r="AD72" s="14"/>
      <c r="AE72" s="14"/>
      <c r="AF72" s="14"/>
      <c r="AG72" s="14"/>
      <c r="AH72" s="14"/>
    </row>
    <row r="73" spans="1:34" x14ac:dyDescent="0.25">
      <c r="A73" s="3" t="s">
        <v>213</v>
      </c>
      <c r="B73" s="3" t="s">
        <v>217</v>
      </c>
      <c r="C73" s="8" t="s">
        <v>11</v>
      </c>
      <c r="D73" s="41">
        <f t="shared" ref="D73:F73" si="1">D$25*0.59</f>
        <v>950.63434609646936</v>
      </c>
      <c r="E73" s="42">
        <f t="shared" si="1"/>
        <v>1349.6858776727995</v>
      </c>
      <c r="F73" s="43">
        <f t="shared" si="1"/>
        <v>1599.4855992043758</v>
      </c>
      <c r="G73" s="48"/>
      <c r="H73" s="47">
        <v>112.89649999999999</v>
      </c>
      <c r="I73" s="48">
        <v>181.46629999999999</v>
      </c>
      <c r="J73" s="43">
        <v>217.19669999999999</v>
      </c>
      <c r="K73" s="48"/>
      <c r="L73" s="47">
        <v>297.35973922332028</v>
      </c>
      <c r="M73" s="48">
        <v>304.16929878373844</v>
      </c>
      <c r="N73" s="43">
        <v>333.74019247430272</v>
      </c>
      <c r="O73" s="53"/>
      <c r="P73" s="54">
        <v>0.19499999999999998</v>
      </c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  <c r="AD73" s="14"/>
      <c r="AE73" s="14"/>
      <c r="AF73" s="14"/>
      <c r="AG73" s="14"/>
      <c r="AH73" s="14"/>
    </row>
    <row r="74" spans="1:34" x14ac:dyDescent="0.25">
      <c r="A74" s="3" t="s">
        <v>89</v>
      </c>
      <c r="B74" s="3" t="s">
        <v>90</v>
      </c>
      <c r="C74" s="8" t="s">
        <v>1</v>
      </c>
      <c r="D74" s="41">
        <v>771.91800596718053</v>
      </c>
      <c r="E74" s="42">
        <v>1008.6306315266038</v>
      </c>
      <c r="F74" s="43">
        <v>1222.5923222277474</v>
      </c>
      <c r="G74" s="48"/>
      <c r="H74" s="47">
        <v>106.59976323095675</v>
      </c>
      <c r="I74" s="48">
        <v>186.02360989542856</v>
      </c>
      <c r="J74" s="43">
        <v>273.16377714665742</v>
      </c>
      <c r="K74" s="48"/>
      <c r="L74" s="47">
        <v>197.95443474710518</v>
      </c>
      <c r="M74" s="48">
        <v>202.48760563695106</v>
      </c>
      <c r="N74" s="43">
        <v>222.17315405978655</v>
      </c>
      <c r="O74" s="53"/>
      <c r="P74" s="54">
        <v>0.24200000000000002</v>
      </c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  <c r="AC74" s="14"/>
      <c r="AD74" s="14"/>
      <c r="AE74" s="14"/>
      <c r="AF74" s="14"/>
      <c r="AG74" s="14"/>
      <c r="AH74" s="14"/>
    </row>
    <row r="75" spans="1:34" x14ac:dyDescent="0.25">
      <c r="A75" s="3" t="s">
        <v>91</v>
      </c>
      <c r="B75" s="3" t="s">
        <v>92</v>
      </c>
      <c r="C75" s="8" t="s">
        <v>1</v>
      </c>
      <c r="D75" s="41">
        <v>889.69409249129785</v>
      </c>
      <c r="E75" s="42">
        <v>1329.3587419194432</v>
      </c>
      <c r="F75" s="43">
        <v>1563.1098458478371</v>
      </c>
      <c r="G75" s="48"/>
      <c r="H75" s="47">
        <v>111.42207087617778</v>
      </c>
      <c r="I75" s="48">
        <v>194.43885444195519</v>
      </c>
      <c r="J75" s="43">
        <v>285.52102570899984</v>
      </c>
      <c r="K75" s="48"/>
      <c r="L75" s="47">
        <v>207.8762664341792</v>
      </c>
      <c r="M75" s="48">
        <v>212.6366479881118</v>
      </c>
      <c r="N75" s="43">
        <v>233.3088714423435</v>
      </c>
      <c r="O75" s="53"/>
      <c r="P75" s="54">
        <v>0.26</v>
      </c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4"/>
      <c r="AD75" s="14"/>
      <c r="AE75" s="14"/>
      <c r="AF75" s="14"/>
      <c r="AG75" s="14"/>
      <c r="AH75" s="14"/>
    </row>
    <row r="76" spans="1:34" x14ac:dyDescent="0.25">
      <c r="A76" s="3" t="s">
        <v>93</v>
      </c>
      <c r="B76" s="3" t="s">
        <v>94</v>
      </c>
      <c r="C76" s="8" t="s">
        <v>1</v>
      </c>
      <c r="D76" s="41">
        <v>887.75782794629538</v>
      </c>
      <c r="E76" s="42">
        <v>1222.5156086524119</v>
      </c>
      <c r="F76" s="43">
        <v>1554.3876931874688</v>
      </c>
      <c r="G76" s="48"/>
      <c r="H76" s="47">
        <v>105.03731724193337</v>
      </c>
      <c r="I76" s="48">
        <v>183.29703870675675</v>
      </c>
      <c r="J76" s="43">
        <v>269.15998168770716</v>
      </c>
      <c r="K76" s="48"/>
      <c r="L76" s="47">
        <v>191.40714165729227</v>
      </c>
      <c r="M76" s="48">
        <v>195.79037906128349</v>
      </c>
      <c r="N76" s="43">
        <v>214.82483292630991</v>
      </c>
      <c r="O76" s="53"/>
      <c r="P76" s="54">
        <v>0.16</v>
      </c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  <c r="AB76" s="14"/>
      <c r="AC76" s="14"/>
      <c r="AD76" s="14"/>
      <c r="AE76" s="14"/>
      <c r="AF76" s="14"/>
      <c r="AG76" s="14"/>
      <c r="AH76" s="14"/>
    </row>
    <row r="77" spans="1:34" x14ac:dyDescent="0.25">
      <c r="A77" s="3" t="s">
        <v>95</v>
      </c>
      <c r="B77" s="3" t="s">
        <v>96</v>
      </c>
      <c r="C77" s="8" t="s">
        <v>1</v>
      </c>
      <c r="D77" s="41">
        <v>967.29903033316759</v>
      </c>
      <c r="E77" s="42">
        <v>967.29903033316759</v>
      </c>
      <c r="F77" s="43">
        <v>967.29903033316759</v>
      </c>
      <c r="G77" s="48"/>
      <c r="H77" s="47">
        <v>118.01362674375963</v>
      </c>
      <c r="I77" s="48">
        <v>205.94155369897268</v>
      </c>
      <c r="J77" s="43">
        <v>302.41200410789907</v>
      </c>
      <c r="K77" s="48"/>
      <c r="L77" s="47">
        <v>215.05357871626691</v>
      </c>
      <c r="M77" s="48">
        <v>219.97832124117778</v>
      </c>
      <c r="N77" s="43">
        <v>241.36429141523087</v>
      </c>
      <c r="O77" s="53"/>
      <c r="P77" s="54">
        <v>0.15</v>
      </c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4"/>
      <c r="AC77" s="14"/>
      <c r="AD77" s="14"/>
      <c r="AE77" s="14"/>
      <c r="AF77" s="14"/>
      <c r="AG77" s="14"/>
      <c r="AH77" s="14"/>
    </row>
    <row r="78" spans="1:34" x14ac:dyDescent="0.25">
      <c r="A78" s="3" t="s">
        <v>97</v>
      </c>
      <c r="B78" s="3" t="s">
        <v>98</v>
      </c>
      <c r="C78" s="8" t="s">
        <v>1</v>
      </c>
      <c r="D78" s="41">
        <v>1058.3843013426156</v>
      </c>
      <c r="E78" s="42">
        <v>1058.3843013426156</v>
      </c>
      <c r="F78" s="43">
        <v>1058.3843013426156</v>
      </c>
      <c r="G78" s="48"/>
      <c r="H78" s="47">
        <v>129.12074526412496</v>
      </c>
      <c r="I78" s="48">
        <v>225.32420728159067</v>
      </c>
      <c r="J78" s="43">
        <v>330.87419160511757</v>
      </c>
      <c r="K78" s="48"/>
      <c r="L78" s="47">
        <v>235.29383107472259</v>
      </c>
      <c r="M78" s="48">
        <v>240.68207684426503</v>
      </c>
      <c r="N78" s="43">
        <v>264.08083581186963</v>
      </c>
      <c r="O78" s="53"/>
      <c r="P78" s="54">
        <v>0.15</v>
      </c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/>
      <c r="AE78" s="14"/>
      <c r="AF78" s="14"/>
      <c r="AG78" s="14"/>
      <c r="AH78" s="14"/>
    </row>
    <row r="79" spans="1:34" x14ac:dyDescent="0.25">
      <c r="A79" s="3" t="s">
        <v>99</v>
      </c>
      <c r="B79" s="3" t="s">
        <v>100</v>
      </c>
      <c r="C79" s="8" t="s">
        <v>1</v>
      </c>
      <c r="D79" s="41">
        <v>540.41963799104917</v>
      </c>
      <c r="E79" s="42">
        <v>871.09930283441076</v>
      </c>
      <c r="F79" s="43">
        <v>1113.611070611636</v>
      </c>
      <c r="G79" s="48"/>
      <c r="H79" s="47">
        <v>61.582321180639553</v>
      </c>
      <c r="I79" s="48">
        <v>107.46520765662926</v>
      </c>
      <c r="J79" s="43">
        <v>157.80578632914776</v>
      </c>
      <c r="K79" s="48"/>
      <c r="L79" s="47">
        <v>114.8919859837106</v>
      </c>
      <c r="M79" s="48">
        <v>117.52302078221518</v>
      </c>
      <c r="N79" s="43">
        <v>128.94843671880432</v>
      </c>
      <c r="O79" s="53"/>
      <c r="P79" s="54">
        <v>0.192</v>
      </c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  <c r="AD79" s="14"/>
      <c r="AE79" s="14"/>
      <c r="AF79" s="14"/>
      <c r="AG79" s="14"/>
      <c r="AH79" s="14"/>
    </row>
    <row r="80" spans="1:34" x14ac:dyDescent="0.25">
      <c r="A80" s="3" t="s">
        <v>101</v>
      </c>
      <c r="B80" s="3" t="s">
        <v>102</v>
      </c>
      <c r="C80" s="8" t="s">
        <v>1</v>
      </c>
      <c r="D80" s="41">
        <v>1247.156943799105</v>
      </c>
      <c r="E80" s="42">
        <v>1703.7971336499254</v>
      </c>
      <c r="F80" s="43">
        <v>2252.0770946643461</v>
      </c>
      <c r="G80" s="48"/>
      <c r="H80" s="47">
        <v>164.30646810731707</v>
      </c>
      <c r="I80" s="48">
        <v>286.72561176585367</v>
      </c>
      <c r="J80" s="43">
        <v>421.03822820487807</v>
      </c>
      <c r="K80" s="48"/>
      <c r="L80" s="47">
        <v>299.41198273170727</v>
      </c>
      <c r="M80" s="48">
        <v>306.26853881707314</v>
      </c>
      <c r="N80" s="43">
        <v>336.04351754878047</v>
      </c>
      <c r="O80" s="53"/>
      <c r="P80" s="54">
        <v>0.24</v>
      </c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  <c r="AD80" s="14"/>
      <c r="AE80" s="14"/>
      <c r="AF80" s="14"/>
      <c r="AG80" s="14"/>
      <c r="AH80" s="14"/>
    </row>
    <row r="81" spans="1:34" x14ac:dyDescent="0.25">
      <c r="A81" s="3" t="s">
        <v>103</v>
      </c>
      <c r="B81" s="3" t="s">
        <v>104</v>
      </c>
      <c r="C81" s="8" t="s">
        <v>1</v>
      </c>
      <c r="D81" s="41">
        <v>1016.1419254102436</v>
      </c>
      <c r="E81" s="42">
        <v>1304.4877384385877</v>
      </c>
      <c r="F81" s="43">
        <v>1843.1820537046244</v>
      </c>
      <c r="G81" s="48"/>
      <c r="H81" s="47">
        <v>101.10103049927471</v>
      </c>
      <c r="I81" s="48">
        <v>176.42795900846116</v>
      </c>
      <c r="J81" s="43">
        <v>259.07317734624417</v>
      </c>
      <c r="K81" s="48"/>
      <c r="L81" s="47">
        <v>182.4795240177676</v>
      </c>
      <c r="M81" s="48">
        <v>186.65831833135331</v>
      </c>
      <c r="N81" s="43">
        <v>204.80496662855833</v>
      </c>
      <c r="O81" s="53"/>
      <c r="P81" s="54">
        <v>0.16</v>
      </c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14"/>
      <c r="AD81" s="14"/>
      <c r="AE81" s="14"/>
      <c r="AF81" s="14"/>
      <c r="AG81" s="14"/>
      <c r="AH81" s="14"/>
    </row>
    <row r="82" spans="1:34" x14ac:dyDescent="0.25">
      <c r="A82" s="3" t="s">
        <v>105</v>
      </c>
      <c r="B82" s="3" t="s">
        <v>106</v>
      </c>
      <c r="C82" s="8" t="s">
        <v>1</v>
      </c>
      <c r="D82" s="41">
        <v>1145.6441693038291</v>
      </c>
      <c r="E82" s="42">
        <v>1565.1159716086522</v>
      </c>
      <c r="F82" s="43">
        <v>2068.7684939358528</v>
      </c>
      <c r="G82" s="48"/>
      <c r="H82" s="47">
        <v>150.93268581951219</v>
      </c>
      <c r="I82" s="48">
        <v>263.38748057560969</v>
      </c>
      <c r="J82" s="43">
        <v>386.76767474634141</v>
      </c>
      <c r="K82" s="48"/>
      <c r="L82" s="47">
        <v>275.04123995121955</v>
      </c>
      <c r="M82" s="48">
        <v>281.33970426219514</v>
      </c>
      <c r="N82" s="43">
        <v>308.69113821341466</v>
      </c>
      <c r="O82" s="53"/>
      <c r="P82" s="54">
        <v>0.185</v>
      </c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  <c r="AC82" s="14"/>
      <c r="AD82" s="14"/>
      <c r="AE82" s="14"/>
      <c r="AF82" s="14"/>
      <c r="AG82" s="14"/>
      <c r="AH82" s="14"/>
    </row>
    <row r="83" spans="1:34" x14ac:dyDescent="0.25">
      <c r="A83" s="3" t="s">
        <v>107</v>
      </c>
      <c r="B83" s="3" t="s">
        <v>108</v>
      </c>
      <c r="C83" s="8" t="s">
        <v>1</v>
      </c>
      <c r="D83" s="41">
        <v>1218.1532939433118</v>
      </c>
      <c r="E83" s="42">
        <v>1664.1739444952757</v>
      </c>
      <c r="F83" s="43">
        <v>2199.7032087419193</v>
      </c>
      <c r="G83" s="48"/>
      <c r="H83" s="47">
        <v>160.48538745365857</v>
      </c>
      <c r="I83" s="48">
        <v>280.05757428292685</v>
      </c>
      <c r="J83" s="43">
        <v>411.2466415024391</v>
      </c>
      <c r="K83" s="48"/>
      <c r="L83" s="47">
        <v>292.44891336585368</v>
      </c>
      <c r="M83" s="48">
        <v>299.14601465853656</v>
      </c>
      <c r="N83" s="43">
        <v>328.2285520243903</v>
      </c>
      <c r="O83" s="53"/>
      <c r="P83" s="54">
        <v>0.19</v>
      </c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4"/>
      <c r="AD83" s="14"/>
      <c r="AE83" s="14"/>
      <c r="AF83" s="14"/>
      <c r="AG83" s="14"/>
      <c r="AH83" s="14"/>
    </row>
    <row r="84" spans="1:34" x14ac:dyDescent="0.25">
      <c r="A84" s="3" t="s">
        <v>109</v>
      </c>
      <c r="B84" s="3" t="s">
        <v>110</v>
      </c>
      <c r="C84" s="8" t="s">
        <v>1</v>
      </c>
      <c r="D84" s="41">
        <v>1056.8764047737445</v>
      </c>
      <c r="E84" s="42">
        <v>1265.5226802585778</v>
      </c>
      <c r="F84" s="43">
        <v>1546.8560616608654</v>
      </c>
      <c r="G84" s="48"/>
      <c r="H84" s="47">
        <v>148.67205564289171</v>
      </c>
      <c r="I84" s="48">
        <v>259.44253198147101</v>
      </c>
      <c r="J84" s="43">
        <v>380.9747699681248</v>
      </c>
      <c r="K84" s="48"/>
      <c r="L84" s="47">
        <v>277.37226213003811</v>
      </c>
      <c r="M84" s="48">
        <v>283.72410701770104</v>
      </c>
      <c r="N84" s="43">
        <v>311.30734911221612</v>
      </c>
      <c r="O84" s="53"/>
      <c r="P84" s="54">
        <v>0.26</v>
      </c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4"/>
      <c r="AD84" s="14"/>
      <c r="AE84" s="14"/>
      <c r="AF84" s="14"/>
      <c r="AG84" s="14"/>
      <c r="AH84" s="14"/>
    </row>
    <row r="85" spans="1:34" x14ac:dyDescent="0.25">
      <c r="A85" s="3" t="s">
        <v>111</v>
      </c>
      <c r="B85" s="3" t="s">
        <v>112</v>
      </c>
      <c r="C85" s="8" t="s">
        <v>1</v>
      </c>
      <c r="D85" s="41">
        <v>934.80283441074096</v>
      </c>
      <c r="E85" s="42">
        <v>1306.9535355544506</v>
      </c>
      <c r="F85" s="43">
        <v>1665.6792739930384</v>
      </c>
      <c r="G85" s="48"/>
      <c r="H85" s="47">
        <v>116.45131290135927</v>
      </c>
      <c r="I85" s="48">
        <v>203.21521311486424</v>
      </c>
      <c r="J85" s="43">
        <v>298.40854727700577</v>
      </c>
      <c r="K85" s="48"/>
      <c r="L85" s="47">
        <v>210.18559399982186</v>
      </c>
      <c r="M85" s="48">
        <v>214.99885932222904</v>
      </c>
      <c r="N85" s="43">
        <v>235.90073350227414</v>
      </c>
      <c r="O85" s="53"/>
      <c r="P85" s="54">
        <v>0.16</v>
      </c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4"/>
      <c r="AC85" s="14"/>
      <c r="AD85" s="14"/>
      <c r="AE85" s="14"/>
      <c r="AF85" s="14"/>
      <c r="AG85" s="14"/>
      <c r="AH85" s="14"/>
    </row>
    <row r="86" spans="1:34" x14ac:dyDescent="0.25">
      <c r="A86" s="3" t="s">
        <v>113</v>
      </c>
      <c r="B86" s="3" t="s">
        <v>114</v>
      </c>
      <c r="C86" s="8" t="s">
        <v>1</v>
      </c>
      <c r="D86" s="41">
        <v>947.13959542516159</v>
      </c>
      <c r="E86" s="42">
        <v>1152.0544320238687</v>
      </c>
      <c r="F86" s="43">
        <v>1234.1369499751368</v>
      </c>
      <c r="G86" s="48"/>
      <c r="H86" s="47">
        <v>118.52665791215887</v>
      </c>
      <c r="I86" s="48">
        <v>206.83682688759814</v>
      </c>
      <c r="J86" s="43">
        <v>303.72665554338369</v>
      </c>
      <c r="K86" s="48"/>
      <c r="L86" s="47">
        <v>215.9884638799675</v>
      </c>
      <c r="M86" s="48">
        <v>220.93461534282338</v>
      </c>
      <c r="N86" s="43">
        <v>242.41355502869033</v>
      </c>
      <c r="O86" s="53"/>
      <c r="P86" s="54">
        <v>0.23</v>
      </c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  <c r="AC86" s="14"/>
      <c r="AD86" s="14"/>
      <c r="AE86" s="14"/>
      <c r="AF86" s="14"/>
      <c r="AG86" s="14"/>
      <c r="AH86" s="14"/>
    </row>
    <row r="87" spans="1:34" x14ac:dyDescent="0.25">
      <c r="A87" s="3" t="s">
        <v>115</v>
      </c>
      <c r="B87" s="3" t="s">
        <v>116</v>
      </c>
      <c r="C87" s="8" t="s">
        <v>1</v>
      </c>
      <c r="D87" s="41">
        <v>1141.8405768274492</v>
      </c>
      <c r="E87" s="42">
        <v>1532.6268175037296</v>
      </c>
      <c r="F87" s="43">
        <v>1918.8994778717058</v>
      </c>
      <c r="G87" s="48"/>
      <c r="H87" s="47">
        <v>140.62102779550858</v>
      </c>
      <c r="I87" s="48">
        <v>245.39295796605799</v>
      </c>
      <c r="J87" s="43">
        <v>360.34386882869876</v>
      </c>
      <c r="K87" s="48"/>
      <c r="L87" s="47">
        <v>261.13149998754506</v>
      </c>
      <c r="M87" s="48">
        <v>267.11143024613017</v>
      </c>
      <c r="N87" s="43">
        <v>293.07961223861599</v>
      </c>
      <c r="O87" s="53"/>
      <c r="P87" s="54">
        <v>9.1000000000000011E-2</v>
      </c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  <c r="AB87" s="14"/>
      <c r="AC87" s="14"/>
      <c r="AD87" s="14"/>
      <c r="AE87" s="14"/>
      <c r="AF87" s="14"/>
      <c r="AG87" s="14"/>
      <c r="AH87" s="14"/>
    </row>
    <row r="88" spans="1:34" x14ac:dyDescent="0.25">
      <c r="A88" s="3" t="s">
        <v>117</v>
      </c>
      <c r="B88" s="3" t="s">
        <v>118</v>
      </c>
      <c r="C88" s="8" t="s">
        <v>1</v>
      </c>
      <c r="D88" s="41">
        <v>1170.9677274987569</v>
      </c>
      <c r="E88" s="42">
        <v>1170.9677274987569</v>
      </c>
      <c r="F88" s="43">
        <v>1170.9677274987569</v>
      </c>
      <c r="G88" s="48"/>
      <c r="H88" s="47">
        <v>142.86287919170175</v>
      </c>
      <c r="I88" s="48">
        <v>249.3051363511583</v>
      </c>
      <c r="J88" s="43">
        <v>366.08865265020535</v>
      </c>
      <c r="K88" s="48"/>
      <c r="L88" s="47">
        <v>269.26161206158048</v>
      </c>
      <c r="M88" s="48">
        <v>275.427722475373</v>
      </c>
      <c r="N88" s="43">
        <v>302.20440221695429</v>
      </c>
      <c r="O88" s="53"/>
      <c r="P88" s="54">
        <v>0.17</v>
      </c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  <c r="AC88" s="14"/>
      <c r="AD88" s="14"/>
      <c r="AE88" s="14"/>
      <c r="AF88" s="14"/>
      <c r="AG88" s="14"/>
      <c r="AH88" s="14"/>
    </row>
    <row r="89" spans="1:34" x14ac:dyDescent="0.25">
      <c r="A89" s="3" t="s">
        <v>119</v>
      </c>
      <c r="B89" s="3" t="s">
        <v>120</v>
      </c>
      <c r="C89" s="8" t="s">
        <v>1</v>
      </c>
      <c r="D89" s="41">
        <v>681.51125310790655</v>
      </c>
      <c r="E89" s="42">
        <v>947.87421183490801</v>
      </c>
      <c r="F89" s="43">
        <v>1253.1269617105918</v>
      </c>
      <c r="G89" s="48"/>
      <c r="H89" s="47">
        <v>93.431520908998195</v>
      </c>
      <c r="I89" s="48">
        <v>163.0441594870704</v>
      </c>
      <c r="J89" s="43">
        <v>239.4199234829743</v>
      </c>
      <c r="K89" s="48"/>
      <c r="L89" s="47">
        <v>174.31192564544222</v>
      </c>
      <c r="M89" s="48">
        <v>178.3036813648753</v>
      </c>
      <c r="N89" s="43">
        <v>195.63810409379693</v>
      </c>
      <c r="O89" s="53"/>
      <c r="P89" s="54">
        <v>0.13999999999999999</v>
      </c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  <c r="AB89" s="14"/>
      <c r="AC89" s="14"/>
      <c r="AD89" s="14"/>
      <c r="AE89" s="14"/>
      <c r="AF89" s="14"/>
      <c r="AG89" s="14"/>
      <c r="AH89" s="14"/>
    </row>
    <row r="90" spans="1:34" x14ac:dyDescent="0.25">
      <c r="A90" s="3" t="s">
        <v>121</v>
      </c>
      <c r="B90" s="3" t="s">
        <v>122</v>
      </c>
      <c r="C90" s="8" t="s">
        <v>1</v>
      </c>
      <c r="D90" s="41">
        <v>731.07117941322724</v>
      </c>
      <c r="E90" s="42">
        <v>1020.2901305818002</v>
      </c>
      <c r="F90" s="43">
        <v>1294.1182460467428</v>
      </c>
      <c r="G90" s="48"/>
      <c r="H90" s="47">
        <v>91.038898602719911</v>
      </c>
      <c r="I90" s="48">
        <v>158.86887593070918</v>
      </c>
      <c r="J90" s="43">
        <v>233.28878653989972</v>
      </c>
      <c r="K90" s="48"/>
      <c r="L90" s="47">
        <v>164.3181558297303</v>
      </c>
      <c r="M90" s="48">
        <v>168.08105349672175</v>
      </c>
      <c r="N90" s="43">
        <v>184.42164731807074</v>
      </c>
      <c r="O90" s="53"/>
      <c r="P90" s="54">
        <v>0.16</v>
      </c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  <c r="AB90" s="14"/>
      <c r="AC90" s="14"/>
      <c r="AD90" s="14"/>
      <c r="AE90" s="14"/>
      <c r="AF90" s="14"/>
      <c r="AG90" s="14"/>
      <c r="AH90" s="14"/>
    </row>
    <row r="91" spans="1:34" x14ac:dyDescent="0.25">
      <c r="A91" s="3" t="s">
        <v>123</v>
      </c>
      <c r="B91" s="3" t="s">
        <v>123</v>
      </c>
      <c r="C91" s="8" t="s">
        <v>1</v>
      </c>
      <c r="D91" s="41">
        <v>972.71954251616114</v>
      </c>
      <c r="E91" s="42">
        <v>1430.9517652909001</v>
      </c>
      <c r="F91" s="43">
        <v>1594.3575335653904</v>
      </c>
      <c r="G91" s="48"/>
      <c r="H91" s="47">
        <v>123.1476454250582</v>
      </c>
      <c r="I91" s="48">
        <v>214.90075453975263</v>
      </c>
      <c r="J91" s="43">
        <v>315.56801770885386</v>
      </c>
      <c r="K91" s="48"/>
      <c r="L91" s="47">
        <v>224.40918553111982</v>
      </c>
      <c r="M91" s="48">
        <v>229.54817212954245</v>
      </c>
      <c r="N91" s="43">
        <v>251.86450918935935</v>
      </c>
      <c r="O91" s="53"/>
      <c r="P91" s="54">
        <v>0.22</v>
      </c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  <c r="AB91" s="14"/>
      <c r="AC91" s="14"/>
      <c r="AD91" s="14"/>
      <c r="AE91" s="14"/>
      <c r="AF91" s="14"/>
      <c r="AG91" s="14"/>
      <c r="AH91" s="14"/>
    </row>
    <row r="92" spans="1:34" x14ac:dyDescent="0.25">
      <c r="A92" s="3" t="s">
        <v>124</v>
      </c>
      <c r="B92" s="3" t="s">
        <v>125</v>
      </c>
      <c r="C92" s="8" t="s">
        <v>1</v>
      </c>
      <c r="D92" s="41">
        <v>1143.2607080495277</v>
      </c>
      <c r="E92" s="42">
        <v>1561.859818104127</v>
      </c>
      <c r="F92" s="43">
        <v>2064.4645139728495</v>
      </c>
      <c r="G92" s="48"/>
      <c r="H92" s="47">
        <v>150.61867714360977</v>
      </c>
      <c r="I92" s="48">
        <v>262.83951474848783</v>
      </c>
      <c r="J92" s="43">
        <v>385.96302196507321</v>
      </c>
      <c r="K92" s="48"/>
      <c r="L92" s="47">
        <v>271.8550382485854</v>
      </c>
      <c r="M92" s="48">
        <v>278.08053830985369</v>
      </c>
      <c r="N92" s="43">
        <v>305.11512092110576</v>
      </c>
      <c r="O92" s="53"/>
      <c r="P92" s="54">
        <v>0.16</v>
      </c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  <c r="AB92" s="14"/>
      <c r="AC92" s="14"/>
      <c r="AD92" s="14"/>
      <c r="AE92" s="14"/>
      <c r="AF92" s="14"/>
      <c r="AG92" s="14"/>
      <c r="AH92" s="14"/>
    </row>
    <row r="93" spans="1:34" x14ac:dyDescent="0.25">
      <c r="A93" s="3" t="s">
        <v>126</v>
      </c>
      <c r="B93" s="3" t="s">
        <v>127</v>
      </c>
      <c r="C93" s="8" t="s">
        <v>1</v>
      </c>
      <c r="D93" s="41">
        <v>778.28000994530089</v>
      </c>
      <c r="E93" s="42">
        <v>974.37520139234221</v>
      </c>
      <c r="F93" s="43">
        <v>1199.1065937344606</v>
      </c>
      <c r="G93" s="48"/>
      <c r="H93" s="47">
        <v>91.754453346513685</v>
      </c>
      <c r="I93" s="48">
        <v>160.11756610115472</v>
      </c>
      <c r="J93" s="43">
        <v>235.12240821639844</v>
      </c>
      <c r="K93" s="48"/>
      <c r="L93" s="47">
        <v>167.99827778779343</v>
      </c>
      <c r="M93" s="48">
        <v>171.84545051410694</v>
      </c>
      <c r="N93" s="43">
        <v>188.55201349952114</v>
      </c>
      <c r="O93" s="53"/>
      <c r="P93" s="54">
        <v>0.17499999999999999</v>
      </c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  <c r="AB93" s="14"/>
      <c r="AC93" s="14"/>
      <c r="AD93" s="14"/>
      <c r="AE93" s="14"/>
      <c r="AF93" s="14"/>
      <c r="AG93" s="14"/>
      <c r="AH93" s="14"/>
    </row>
    <row r="94" spans="1:34" x14ac:dyDescent="0.25">
      <c r="A94" s="3" t="s">
        <v>128</v>
      </c>
      <c r="B94" s="3" t="s">
        <v>129</v>
      </c>
      <c r="C94" s="8" t="s">
        <v>1</v>
      </c>
      <c r="D94" s="41">
        <v>939.43483262058669</v>
      </c>
      <c r="E94" s="42">
        <v>1316.8858406762804</v>
      </c>
      <c r="F94" s="43">
        <v>1755.0051246146195</v>
      </c>
      <c r="G94" s="48"/>
      <c r="H94" s="47">
        <v>117.5298240884232</v>
      </c>
      <c r="I94" s="48">
        <v>205.09728619128896</v>
      </c>
      <c r="J94" s="43">
        <v>301.17225125367418</v>
      </c>
      <c r="K94" s="48"/>
      <c r="L94" s="47">
        <v>212.1322231003499</v>
      </c>
      <c r="M94" s="48">
        <v>216.99006637011715</v>
      </c>
      <c r="N94" s="43">
        <v>238.08552278270324</v>
      </c>
      <c r="O94" s="53"/>
      <c r="P94" s="54">
        <v>0.16</v>
      </c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  <c r="AB94" s="14"/>
      <c r="AC94" s="14"/>
      <c r="AD94" s="14"/>
      <c r="AE94" s="14"/>
      <c r="AF94" s="14"/>
      <c r="AG94" s="14"/>
      <c r="AH94" s="14"/>
    </row>
    <row r="95" spans="1:34" x14ac:dyDescent="0.25">
      <c r="A95" s="3" t="s">
        <v>130</v>
      </c>
      <c r="B95" s="3" t="s">
        <v>131</v>
      </c>
      <c r="C95" s="8" t="s">
        <v>1</v>
      </c>
      <c r="D95" s="47">
        <v>1156.5632597513677</v>
      </c>
      <c r="E95" s="48">
        <v>1580.0330316459474</v>
      </c>
      <c r="F95" s="43">
        <v>2088.4858467628046</v>
      </c>
      <c r="G95" s="48"/>
      <c r="H95" s="47">
        <v>152.37121943414638</v>
      </c>
      <c r="I95" s="48">
        <v>265.89781650731709</v>
      </c>
      <c r="J95" s="43">
        <v>390.45394255609762</v>
      </c>
      <c r="K95" s="48"/>
      <c r="L95" s="47">
        <v>277.66264741463419</v>
      </c>
      <c r="M95" s="48">
        <v>284.02114214634145</v>
      </c>
      <c r="N95" s="43">
        <v>311.63326156097565</v>
      </c>
      <c r="O95" s="53"/>
      <c r="P95" s="54">
        <v>0.185</v>
      </c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  <c r="AB95" s="14"/>
      <c r="AC95" s="14"/>
      <c r="AD95" s="14"/>
      <c r="AE95" s="14"/>
      <c r="AF95" s="14"/>
      <c r="AG95" s="14"/>
      <c r="AH95" s="14"/>
    </row>
    <row r="96" spans="1:34" x14ac:dyDescent="0.25">
      <c r="A96" s="3" t="s">
        <v>132</v>
      </c>
      <c r="B96" s="3" t="s">
        <v>133</v>
      </c>
      <c r="C96" s="8" t="s">
        <v>1</v>
      </c>
      <c r="D96" s="41">
        <v>952.93867727498753</v>
      </c>
      <c r="E96" s="42">
        <v>1288.2369368473394</v>
      </c>
      <c r="F96" s="43">
        <v>1490.6664942814518</v>
      </c>
      <c r="G96" s="48"/>
      <c r="H96" s="47">
        <v>122.31760301379268</v>
      </c>
      <c r="I96" s="48">
        <v>213.45227584683673</v>
      </c>
      <c r="J96" s="43">
        <v>313.44101936119364</v>
      </c>
      <c r="K96" s="48"/>
      <c r="L96" s="47">
        <v>228.20368023802047</v>
      </c>
      <c r="M96" s="48">
        <v>233.42956103999541</v>
      </c>
      <c r="N96" s="43">
        <v>256.12324104435567</v>
      </c>
      <c r="O96" s="53"/>
      <c r="P96" s="54">
        <v>0.14000000000000001</v>
      </c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  <c r="AB96" s="14"/>
      <c r="AC96" s="14"/>
      <c r="AD96" s="14"/>
      <c r="AE96" s="14"/>
      <c r="AF96" s="14"/>
      <c r="AG96" s="14"/>
      <c r="AH96" s="14"/>
    </row>
    <row r="97" spans="1:34" x14ac:dyDescent="0.25">
      <c r="A97" s="3" t="s">
        <v>134</v>
      </c>
      <c r="B97" s="3" t="s">
        <v>135</v>
      </c>
      <c r="C97" s="8" t="s">
        <v>1</v>
      </c>
      <c r="D97" s="41">
        <v>760.85922426653406</v>
      </c>
      <c r="E97" s="42">
        <v>1340.9206762804574</v>
      </c>
      <c r="F97" s="43">
        <v>1581.3148184982595</v>
      </c>
      <c r="G97" s="48"/>
      <c r="H97" s="47">
        <v>96.530290662904193</v>
      </c>
      <c r="I97" s="48">
        <v>168.45171686229133</v>
      </c>
      <c r="J97" s="43">
        <v>247.36057573987318</v>
      </c>
      <c r="K97" s="48"/>
      <c r="L97" s="47">
        <v>176.74262113991662</v>
      </c>
      <c r="M97" s="48">
        <v>180.79003996218299</v>
      </c>
      <c r="N97" s="43">
        <v>198.36618283199851</v>
      </c>
      <c r="O97" s="53"/>
      <c r="P97" s="54">
        <v>0.19</v>
      </c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  <c r="AB97" s="14"/>
      <c r="AC97" s="14"/>
      <c r="AD97" s="14"/>
      <c r="AE97" s="14"/>
      <c r="AF97" s="14"/>
      <c r="AG97" s="14"/>
      <c r="AH97" s="14"/>
    </row>
    <row r="98" spans="1:34" x14ac:dyDescent="0.25">
      <c r="A98" s="3" t="s">
        <v>136</v>
      </c>
      <c r="B98" s="3" t="s">
        <v>137</v>
      </c>
      <c r="C98" s="8" t="s">
        <v>1</v>
      </c>
      <c r="D98" s="41">
        <v>866.77743454997506</v>
      </c>
      <c r="E98" s="42">
        <v>1236.1546660815513</v>
      </c>
      <c r="F98" s="43">
        <v>1577.309375743411</v>
      </c>
      <c r="G98" s="48"/>
      <c r="H98" s="47">
        <v>100.72683602678097</v>
      </c>
      <c r="I98" s="48">
        <v>175.77496500109748</v>
      </c>
      <c r="J98" s="43">
        <v>258.11429739758671</v>
      </c>
      <c r="K98" s="48"/>
      <c r="L98" s="47">
        <v>181.80413199759201</v>
      </c>
      <c r="M98" s="48">
        <v>185.96745978500968</v>
      </c>
      <c r="N98" s="43">
        <v>204.04694382628605</v>
      </c>
      <c r="O98" s="53"/>
      <c r="P98" s="54">
        <v>0.16</v>
      </c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  <c r="AB98" s="14"/>
      <c r="AC98" s="14"/>
      <c r="AD98" s="14"/>
      <c r="AE98" s="14"/>
      <c r="AF98" s="14"/>
      <c r="AG98" s="14"/>
      <c r="AH98" s="14"/>
    </row>
    <row r="99" spans="1:34" x14ac:dyDescent="0.25">
      <c r="A99" s="3" t="s">
        <v>138</v>
      </c>
      <c r="B99" s="3" t="s">
        <v>139</v>
      </c>
      <c r="C99" s="8" t="s">
        <v>1</v>
      </c>
      <c r="D99" s="41">
        <v>962.629915464943</v>
      </c>
      <c r="E99" s="42">
        <v>1296.9146542018896</v>
      </c>
      <c r="F99" s="43">
        <v>1922.9498120338144</v>
      </c>
      <c r="G99" s="48"/>
      <c r="H99" s="47">
        <v>117.21858689220616</v>
      </c>
      <c r="I99" s="48">
        <v>204.55415677880998</v>
      </c>
      <c r="J99" s="43">
        <v>300.37470043807821</v>
      </c>
      <c r="K99" s="48"/>
      <c r="L99" s="47">
        <v>211.57046408422676</v>
      </c>
      <c r="M99" s="48">
        <v>216.41544303184705</v>
      </c>
      <c r="N99" s="43">
        <v>237.45503540517592</v>
      </c>
      <c r="O99" s="53"/>
      <c r="P99" s="54">
        <v>0.16</v>
      </c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  <c r="AB99" s="14"/>
      <c r="AC99" s="14"/>
      <c r="AD99" s="14"/>
      <c r="AE99" s="14"/>
      <c r="AF99" s="14"/>
      <c r="AG99" s="14"/>
      <c r="AH99" s="14"/>
    </row>
    <row r="100" spans="1:34" x14ac:dyDescent="0.25">
      <c r="A100" s="3" t="s">
        <v>140</v>
      </c>
      <c r="B100" s="3" t="s">
        <v>141</v>
      </c>
      <c r="C100" s="8" t="s">
        <v>1</v>
      </c>
      <c r="D100" s="41">
        <v>925.81870059671814</v>
      </c>
      <c r="E100" s="42">
        <v>925.81870059671814</v>
      </c>
      <c r="F100" s="43">
        <v>925.81870059671814</v>
      </c>
      <c r="G100" s="48"/>
      <c r="H100" s="47">
        <v>112.95260065003868</v>
      </c>
      <c r="I100" s="48">
        <v>197.10972973244884</v>
      </c>
      <c r="J100" s="43">
        <v>289.4430353025619</v>
      </c>
      <c r="K100" s="48"/>
      <c r="L100" s="47">
        <v>205.83098465266522</v>
      </c>
      <c r="M100" s="48">
        <v>210.54452910569967</v>
      </c>
      <c r="N100" s="43">
        <v>231.0133598266502</v>
      </c>
      <c r="O100" s="53"/>
      <c r="P100" s="54">
        <v>0.15</v>
      </c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  <c r="AB100" s="14"/>
      <c r="AC100" s="14"/>
      <c r="AD100" s="14"/>
      <c r="AE100" s="14"/>
      <c r="AF100" s="14"/>
      <c r="AG100" s="14"/>
      <c r="AH100" s="14"/>
    </row>
    <row r="101" spans="1:34" x14ac:dyDescent="0.25">
      <c r="A101" s="3" t="s">
        <v>142</v>
      </c>
      <c r="B101" s="3" t="s">
        <v>143</v>
      </c>
      <c r="C101" s="8" t="s">
        <v>1</v>
      </c>
      <c r="D101" s="41">
        <v>1440.09070611636</v>
      </c>
      <c r="E101" s="42">
        <v>1682.1240676280459</v>
      </c>
      <c r="F101" s="43">
        <v>1781.2898160119344</v>
      </c>
      <c r="G101" s="48"/>
      <c r="H101" s="47">
        <v>175.99128175491211</v>
      </c>
      <c r="I101" s="48">
        <v>307.11638140547859</v>
      </c>
      <c r="J101" s="43">
        <v>450.98076967484769</v>
      </c>
      <c r="K101" s="48"/>
      <c r="L101" s="47">
        <v>354.30261798224149</v>
      </c>
      <c r="M101" s="48">
        <v>362.41617358954664</v>
      </c>
      <c r="N101" s="43">
        <v>397.64974313062407</v>
      </c>
      <c r="O101" s="53"/>
      <c r="P101" s="54">
        <v>0.192</v>
      </c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</row>
    <row r="102" spans="1:34" x14ac:dyDescent="0.25">
      <c r="A102" s="3" t="s">
        <v>144</v>
      </c>
      <c r="B102" s="3" t="s">
        <v>145</v>
      </c>
      <c r="C102" s="8" t="s">
        <v>1</v>
      </c>
      <c r="D102" s="41">
        <v>1137.7632968672301</v>
      </c>
      <c r="E102" s="42">
        <v>1137.7632968672301</v>
      </c>
      <c r="F102" s="43">
        <v>1137.7632968672301</v>
      </c>
      <c r="G102" s="48"/>
      <c r="H102" s="47">
        <v>138.81639378216241</v>
      </c>
      <c r="I102" s="48">
        <v>242.24375271899382</v>
      </c>
      <c r="J102" s="43">
        <v>355.71946227739215</v>
      </c>
      <c r="K102" s="48"/>
      <c r="L102" s="47">
        <v>252.96199338199852</v>
      </c>
      <c r="M102" s="48">
        <v>258.75484134775212</v>
      </c>
      <c r="N102" s="43">
        <v>283.91060800799431</v>
      </c>
      <c r="O102" s="53"/>
      <c r="P102" s="54">
        <v>0.15</v>
      </c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</row>
    <row r="103" spans="1:34" x14ac:dyDescent="0.25">
      <c r="A103" s="3" t="s">
        <v>146</v>
      </c>
      <c r="B103" s="3" t="s">
        <v>147</v>
      </c>
      <c r="C103" s="8" t="s">
        <v>1</v>
      </c>
      <c r="D103" s="41">
        <v>789.99886623570353</v>
      </c>
      <c r="E103" s="42">
        <v>1107.3345609149676</v>
      </c>
      <c r="F103" s="43">
        <v>1324.5906534062653</v>
      </c>
      <c r="G103" s="48"/>
      <c r="H103" s="47">
        <v>93.660424680193458</v>
      </c>
      <c r="I103" s="48">
        <v>163.44361164855565</v>
      </c>
      <c r="J103" s="43">
        <v>240.0064934419276</v>
      </c>
      <c r="K103" s="48"/>
      <c r="L103" s="47">
        <v>169.04980721305591</v>
      </c>
      <c r="M103" s="48">
        <v>172.92106003935055</v>
      </c>
      <c r="N103" s="43">
        <v>189.73219220729143</v>
      </c>
      <c r="O103" s="53"/>
      <c r="P103" s="54">
        <v>0.16</v>
      </c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</row>
    <row r="104" spans="1:34" x14ac:dyDescent="0.25">
      <c r="A104" s="3" t="s">
        <v>148</v>
      </c>
      <c r="B104" s="3" t="s">
        <v>149</v>
      </c>
      <c r="C104" s="8" t="s">
        <v>1</v>
      </c>
      <c r="D104" s="41">
        <v>681.51125310790655</v>
      </c>
      <c r="E104" s="42">
        <v>947.87421183490801</v>
      </c>
      <c r="F104" s="43">
        <v>1253.1269617105918</v>
      </c>
      <c r="G104" s="48"/>
      <c r="H104" s="47">
        <v>83.70128331877207</v>
      </c>
      <c r="I104" s="48">
        <v>146.06425383988395</v>
      </c>
      <c r="J104" s="43">
        <v>214.48601770194642</v>
      </c>
      <c r="K104" s="48"/>
      <c r="L104" s="47">
        <v>168.50598229981094</v>
      </c>
      <c r="M104" s="48">
        <v>172.3647814962132</v>
      </c>
      <c r="N104" s="43">
        <v>189.12183307900881</v>
      </c>
      <c r="O104" s="53"/>
      <c r="P104" s="54">
        <v>0.18</v>
      </c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</row>
    <row r="105" spans="1:34" x14ac:dyDescent="0.25">
      <c r="A105" s="3" t="s">
        <v>150</v>
      </c>
      <c r="B105" s="3" t="s">
        <v>151</v>
      </c>
      <c r="C105" s="8" t="s">
        <v>1</v>
      </c>
      <c r="D105" s="41">
        <v>1155.3753004236698</v>
      </c>
      <c r="E105" s="42">
        <v>1578.4101070353058</v>
      </c>
      <c r="F105" s="43">
        <v>2086.3406668761809</v>
      </c>
      <c r="G105" s="48"/>
      <c r="H105" s="47">
        <v>152.21471194536588</v>
      </c>
      <c r="I105" s="48">
        <v>265.62470062829271</v>
      </c>
      <c r="J105" s="43">
        <v>390.0528893502439</v>
      </c>
      <c r="K105" s="48"/>
      <c r="L105" s="47">
        <v>283.98167227317072</v>
      </c>
      <c r="M105" s="48">
        <v>290.48487313170727</v>
      </c>
      <c r="N105" s="43">
        <v>318.72538700487803</v>
      </c>
      <c r="O105" s="53"/>
      <c r="P105" s="54">
        <v>0.16</v>
      </c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</row>
    <row r="106" spans="1:34" x14ac:dyDescent="0.25">
      <c r="A106" s="3" t="s">
        <v>152</v>
      </c>
      <c r="B106" s="3" t="s">
        <v>153</v>
      </c>
      <c r="C106" s="8" t="s">
        <v>1</v>
      </c>
      <c r="D106" s="41">
        <v>1192.5263749378419</v>
      </c>
      <c r="E106" s="42">
        <v>1626.9779462953757</v>
      </c>
      <c r="F106" s="43">
        <v>1914.6340875186477</v>
      </c>
      <c r="G106" s="48"/>
      <c r="H106" s="47">
        <v>158.42114272157403</v>
      </c>
      <c r="I106" s="48">
        <v>276.45533122786463</v>
      </c>
      <c r="J106" s="43">
        <v>405.95697789643634</v>
      </c>
      <c r="K106" s="48"/>
      <c r="L106" s="47">
        <v>283.18848114189836</v>
      </c>
      <c r="M106" s="48">
        <v>289.67351786609282</v>
      </c>
      <c r="N106" s="43">
        <v>317.83515296878704</v>
      </c>
      <c r="O106" s="53"/>
      <c r="P106" s="54">
        <v>0.29000000000000004</v>
      </c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4"/>
      <c r="AB106" s="14"/>
      <c r="AC106" s="14"/>
      <c r="AD106" s="14"/>
      <c r="AE106" s="14"/>
      <c r="AF106" s="14"/>
      <c r="AG106" s="14"/>
      <c r="AH106" s="14"/>
    </row>
    <row r="107" spans="1:34" x14ac:dyDescent="0.25">
      <c r="A107" s="3" t="s">
        <v>152</v>
      </c>
      <c r="B107" s="3" t="s">
        <v>154</v>
      </c>
      <c r="C107" s="8" t="s">
        <v>1</v>
      </c>
      <c r="D107" s="41">
        <v>1856.2925173247145</v>
      </c>
      <c r="E107" s="42">
        <v>2535.9646081103933</v>
      </c>
      <c r="F107" s="43">
        <v>3352.0351067677784</v>
      </c>
      <c r="G107" s="48"/>
      <c r="H107" s="47">
        <v>244.5569251024391</v>
      </c>
      <c r="I107" s="48">
        <v>426.76794632195129</v>
      </c>
      <c r="J107" s="43">
        <v>626.68144246829286</v>
      </c>
      <c r="K107" s="48"/>
      <c r="L107" s="47">
        <v>437.16200364878057</v>
      </c>
      <c r="M107" s="48">
        <v>447.17304518780492</v>
      </c>
      <c r="N107" s="43">
        <v>490.64655363658545</v>
      </c>
      <c r="O107" s="53"/>
      <c r="P107" s="54">
        <v>0.29000000000000004</v>
      </c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  <c r="AB107" s="14"/>
      <c r="AC107" s="14"/>
      <c r="AD107" s="14"/>
      <c r="AE107" s="14"/>
      <c r="AF107" s="14"/>
      <c r="AG107" s="14"/>
      <c r="AH107" s="14"/>
    </row>
    <row r="108" spans="1:34" x14ac:dyDescent="0.25">
      <c r="A108" s="3" t="s">
        <v>155</v>
      </c>
      <c r="B108" s="3" t="s">
        <v>156</v>
      </c>
      <c r="C108" s="8" t="s">
        <v>1</v>
      </c>
      <c r="D108" s="41">
        <v>1010.8791404127301</v>
      </c>
      <c r="E108" s="42">
        <v>1381.0074108677277</v>
      </c>
      <c r="F108" s="43">
        <v>1825.4140097737445</v>
      </c>
      <c r="G108" s="48"/>
      <c r="H108" s="47">
        <v>133.17809123414636</v>
      </c>
      <c r="I108" s="48">
        <v>232.40454330731708</v>
      </c>
      <c r="J108" s="43">
        <v>341.27121235609758</v>
      </c>
      <c r="K108" s="48"/>
      <c r="L108" s="47">
        <v>346.69634487804876</v>
      </c>
      <c r="M108" s="48">
        <v>354.63571628048777</v>
      </c>
      <c r="N108" s="43">
        <v>389.11288115853665</v>
      </c>
      <c r="O108" s="53"/>
      <c r="P108" s="54">
        <v>0.10999999999999999</v>
      </c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  <c r="AB108" s="14"/>
      <c r="AC108" s="14"/>
      <c r="AD108" s="14"/>
      <c r="AE108" s="14"/>
      <c r="AF108" s="14"/>
      <c r="AG108" s="14"/>
      <c r="AH108" s="14"/>
    </row>
    <row r="109" spans="1:34" x14ac:dyDescent="0.25">
      <c r="A109" s="3" t="s">
        <v>157</v>
      </c>
      <c r="B109" s="3" t="s">
        <v>158</v>
      </c>
      <c r="C109" s="8" t="s">
        <v>1</v>
      </c>
      <c r="D109" s="41">
        <v>1388.9578032322227</v>
      </c>
      <c r="E109" s="42">
        <v>1897.5176586026853</v>
      </c>
      <c r="F109" s="43">
        <v>2508.1366620835406</v>
      </c>
      <c r="G109" s="48"/>
      <c r="H109" s="47">
        <v>99.735135558085958</v>
      </c>
      <c r="I109" s="48">
        <v>184.04478779335827</v>
      </c>
      <c r="J109" s="43">
        <v>197.66564373155114</v>
      </c>
      <c r="K109" s="48"/>
      <c r="L109" s="47">
        <v>322.3397489268292</v>
      </c>
      <c r="M109" s="48">
        <v>329.72135251829258</v>
      </c>
      <c r="N109" s="43">
        <v>361.77637944512185</v>
      </c>
      <c r="O109" s="53"/>
      <c r="P109" s="54">
        <v>0.12</v>
      </c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  <c r="AB109" s="14"/>
      <c r="AC109" s="14"/>
      <c r="AD109" s="14"/>
      <c r="AE109" s="14"/>
      <c r="AF109" s="14"/>
      <c r="AG109" s="14"/>
      <c r="AH109" s="14"/>
    </row>
    <row r="110" spans="1:34" x14ac:dyDescent="0.25">
      <c r="A110" s="3" t="s">
        <v>157</v>
      </c>
      <c r="B110" s="3" t="s">
        <v>159</v>
      </c>
      <c r="C110" s="8" t="s">
        <v>1</v>
      </c>
      <c r="D110" s="41">
        <v>1388.9578032322227</v>
      </c>
      <c r="E110" s="42">
        <v>1897.5176586026853</v>
      </c>
      <c r="F110" s="43">
        <v>2508.1366620835406</v>
      </c>
      <c r="G110" s="48"/>
      <c r="H110" s="47">
        <v>99.735135558085958</v>
      </c>
      <c r="I110" s="48">
        <v>184.04478779335827</v>
      </c>
      <c r="J110" s="43">
        <v>197.66564373155114</v>
      </c>
      <c r="K110" s="48"/>
      <c r="L110" s="47">
        <v>322.3397489268292</v>
      </c>
      <c r="M110" s="48">
        <v>329.72135251829258</v>
      </c>
      <c r="N110" s="43">
        <v>361.77637944512185</v>
      </c>
      <c r="O110" s="53"/>
      <c r="P110" s="54">
        <v>0.12</v>
      </c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  <c r="AB110" s="14"/>
      <c r="AC110" s="14"/>
      <c r="AD110" s="14"/>
      <c r="AE110" s="14"/>
      <c r="AF110" s="14"/>
      <c r="AG110" s="14"/>
      <c r="AH110" s="14"/>
    </row>
    <row r="111" spans="1:34" x14ac:dyDescent="0.25">
      <c r="A111" s="3" t="s">
        <v>160</v>
      </c>
      <c r="B111" s="3" t="s">
        <v>161</v>
      </c>
      <c r="C111" s="8" t="s">
        <v>1</v>
      </c>
      <c r="D111" s="41">
        <v>932.79404394331186</v>
      </c>
      <c r="E111" s="42">
        <v>1261.8555845101939</v>
      </c>
      <c r="F111" s="43">
        <v>1878.1089415464944</v>
      </c>
      <c r="G111" s="48"/>
      <c r="H111" s="47">
        <v>115.38704637646364</v>
      </c>
      <c r="I111" s="48">
        <v>201.35799791239691</v>
      </c>
      <c r="J111" s="43">
        <v>295.68134549888009</v>
      </c>
      <c r="K111" s="48"/>
      <c r="L111" s="47">
        <v>208.2646754104471</v>
      </c>
      <c r="M111" s="48">
        <v>213.0339515580614</v>
      </c>
      <c r="N111" s="43">
        <v>233.74480028340642</v>
      </c>
      <c r="O111" s="53"/>
      <c r="P111" s="54">
        <v>0.16</v>
      </c>
      <c r="Q111" s="14"/>
      <c r="R111" s="14"/>
      <c r="S111" s="14"/>
      <c r="T111" s="14"/>
      <c r="U111" s="14"/>
      <c r="V111" s="14"/>
      <c r="W111" s="14"/>
      <c r="X111" s="14"/>
      <c r="Y111" s="14"/>
      <c r="Z111" s="14"/>
      <c r="AA111" s="14"/>
      <c r="AB111" s="14"/>
      <c r="AC111" s="14"/>
      <c r="AD111" s="14"/>
      <c r="AE111" s="14"/>
      <c r="AF111" s="14"/>
      <c r="AG111" s="14"/>
      <c r="AH111" s="14"/>
    </row>
    <row r="112" spans="1:34" x14ac:dyDescent="0.25">
      <c r="A112" s="3" t="s">
        <v>162</v>
      </c>
      <c r="B112" s="3" t="s">
        <v>163</v>
      </c>
      <c r="C112" s="8" t="s">
        <v>2</v>
      </c>
      <c r="D112" s="41">
        <v>974.33342839383386</v>
      </c>
      <c r="E112" s="42">
        <v>1340.6164572352063</v>
      </c>
      <c r="F112" s="43">
        <v>1916.1050728493285</v>
      </c>
      <c r="G112" s="48"/>
      <c r="H112" s="47">
        <v>71.487000000000009</v>
      </c>
      <c r="I112" s="48">
        <v>131.91749999999999</v>
      </c>
      <c r="J112" s="43">
        <v>141.68049999999999</v>
      </c>
      <c r="K112" s="48"/>
      <c r="L112" s="47">
        <v>204.82992000000002</v>
      </c>
      <c r="M112" s="48">
        <v>209.52053999999998</v>
      </c>
      <c r="N112" s="43">
        <v>229.88981999999999</v>
      </c>
      <c r="O112" s="53"/>
      <c r="P112" s="54">
        <v>0.14000000000000001</v>
      </c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  <c r="AB112" s="14"/>
      <c r="AC112" s="14"/>
      <c r="AD112" s="14"/>
      <c r="AE112" s="14"/>
      <c r="AF112" s="14"/>
      <c r="AG112" s="14"/>
      <c r="AH112" s="14"/>
    </row>
    <row r="113" spans="1:34" x14ac:dyDescent="0.25">
      <c r="A113" s="3" t="s">
        <v>164</v>
      </c>
      <c r="B113" s="3" t="s">
        <v>165</v>
      </c>
      <c r="C113" s="8" t="s">
        <v>2</v>
      </c>
      <c r="D113" s="41">
        <v>1138.3512282446543</v>
      </c>
      <c r="E113" s="42">
        <v>1628.4400596718051</v>
      </c>
      <c r="F113" s="43">
        <v>2066.7633615116856</v>
      </c>
      <c r="G113" s="48"/>
      <c r="H113" s="47">
        <v>82.490475923086876</v>
      </c>
      <c r="I113" s="48">
        <v>152.2226049153526</v>
      </c>
      <c r="J113" s="43">
        <v>163.488352763732</v>
      </c>
      <c r="K113" s="48"/>
      <c r="L113" s="47">
        <v>276.5005056</v>
      </c>
      <c r="M113" s="48">
        <v>282.83238719999997</v>
      </c>
      <c r="N113" s="43">
        <v>310.32893760000007</v>
      </c>
      <c r="O113" s="53"/>
      <c r="P113" s="54">
        <v>0.185</v>
      </c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</row>
    <row r="114" spans="1:34" x14ac:dyDescent="0.25">
      <c r="A114" s="3" t="s">
        <v>164</v>
      </c>
      <c r="B114" s="3" t="s">
        <v>166</v>
      </c>
      <c r="C114" s="8" t="s">
        <v>2</v>
      </c>
      <c r="D114" s="41">
        <v>1161.1182528095474</v>
      </c>
      <c r="E114" s="42">
        <v>1661.0088608652413</v>
      </c>
      <c r="F114" s="43">
        <v>2108.0986287419196</v>
      </c>
      <c r="G114" s="48"/>
      <c r="H114" s="47">
        <v>84.140285441548613</v>
      </c>
      <c r="I114" s="48">
        <v>155.26705701365967</v>
      </c>
      <c r="J114" s="43">
        <v>166.75811981900665</v>
      </c>
      <c r="K114" s="48"/>
      <c r="L114" s="47">
        <v>282.03051571200001</v>
      </c>
      <c r="M114" s="48">
        <v>288.48903494399997</v>
      </c>
      <c r="N114" s="43">
        <v>316.53551635200006</v>
      </c>
      <c r="O114" s="53"/>
      <c r="P114" s="54">
        <v>0.185</v>
      </c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</row>
    <row r="115" spans="1:34" x14ac:dyDescent="0.25">
      <c r="A115" s="3" t="s">
        <v>164</v>
      </c>
      <c r="B115" s="3" t="s">
        <v>167</v>
      </c>
      <c r="C115" s="8" t="s">
        <v>2</v>
      </c>
      <c r="D115" s="41">
        <v>1183.8852773744404</v>
      </c>
      <c r="E115" s="42">
        <v>1693.5776620586773</v>
      </c>
      <c r="F115" s="43">
        <v>2149.4338959721531</v>
      </c>
      <c r="G115" s="48"/>
      <c r="H115" s="47">
        <v>85.79009496001035</v>
      </c>
      <c r="I115" s="48">
        <v>158.31150911196673</v>
      </c>
      <c r="J115" s="43">
        <v>170.02788687428128</v>
      </c>
      <c r="K115" s="48"/>
      <c r="L115" s="47">
        <v>287.56052582400002</v>
      </c>
      <c r="M115" s="48">
        <v>294.14568268799997</v>
      </c>
      <c r="N115" s="43">
        <v>322.7420951040001</v>
      </c>
      <c r="O115" s="53"/>
      <c r="P115" s="54">
        <v>0.185</v>
      </c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  <c r="AB115" s="14"/>
      <c r="AC115" s="14"/>
      <c r="AD115" s="14"/>
      <c r="AE115" s="14"/>
      <c r="AF115" s="14"/>
      <c r="AG115" s="14"/>
      <c r="AH115" s="14"/>
    </row>
    <row r="116" spans="1:34" x14ac:dyDescent="0.25">
      <c r="A116" s="3" t="s">
        <v>164</v>
      </c>
      <c r="B116" s="3" t="s">
        <v>168</v>
      </c>
      <c r="C116" s="8" t="s">
        <v>2</v>
      </c>
      <c r="D116" s="41">
        <v>1172.501765091994</v>
      </c>
      <c r="E116" s="42">
        <v>1677.2932614619592</v>
      </c>
      <c r="F116" s="43">
        <v>2128.7662623570363</v>
      </c>
      <c r="G116" s="48"/>
      <c r="H116" s="47">
        <v>84.965190200779489</v>
      </c>
      <c r="I116" s="48">
        <v>156.78928306281318</v>
      </c>
      <c r="J116" s="43">
        <v>168.39300334664395</v>
      </c>
      <c r="K116" s="48"/>
      <c r="L116" s="47">
        <v>284.79552076800002</v>
      </c>
      <c r="M116" s="48">
        <v>291.31735881599997</v>
      </c>
      <c r="N116" s="43">
        <v>319.63880572800008</v>
      </c>
      <c r="O116" s="53"/>
      <c r="P116" s="54">
        <v>0.185</v>
      </c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  <c r="AC116" s="14"/>
      <c r="AD116" s="14"/>
      <c r="AE116" s="14"/>
      <c r="AF116" s="14"/>
      <c r="AG116" s="14"/>
      <c r="AH116" s="14"/>
    </row>
    <row r="117" spans="1:34" x14ac:dyDescent="0.25">
      <c r="A117" s="3" t="s">
        <v>162</v>
      </c>
      <c r="B117" s="3" t="s">
        <v>169</v>
      </c>
      <c r="C117" s="8" t="s">
        <v>2</v>
      </c>
      <c r="D117" s="41">
        <v>836.66473224266542</v>
      </c>
      <c r="E117" s="42">
        <v>1313.8716672302337</v>
      </c>
      <c r="F117" s="43">
        <v>1710.136038756837</v>
      </c>
      <c r="G117" s="48"/>
      <c r="H117" s="47">
        <v>68.187600000000003</v>
      </c>
      <c r="I117" s="48">
        <v>125.82899999999999</v>
      </c>
      <c r="J117" s="43">
        <v>135.1414</v>
      </c>
      <c r="K117" s="48"/>
      <c r="L117" s="47">
        <v>196.079904</v>
      </c>
      <c r="M117" s="48">
        <v>200.57014799999996</v>
      </c>
      <c r="N117" s="43">
        <v>220.06928400000001</v>
      </c>
      <c r="O117" s="53"/>
      <c r="P117" s="54">
        <v>0.15</v>
      </c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14"/>
      <c r="AB117" s="14"/>
      <c r="AC117" s="14"/>
      <c r="AD117" s="14"/>
      <c r="AE117" s="14"/>
      <c r="AF117" s="14"/>
      <c r="AG117" s="14"/>
      <c r="AH117" s="14"/>
    </row>
    <row r="118" spans="1:34" x14ac:dyDescent="0.25">
      <c r="A118" s="3" t="s">
        <v>162</v>
      </c>
      <c r="B118" s="3" t="s">
        <v>170</v>
      </c>
      <c r="C118" s="8" t="s">
        <v>2</v>
      </c>
      <c r="D118" s="41">
        <v>805.82636232222785</v>
      </c>
      <c r="E118" s="42">
        <v>1262.8163976131277</v>
      </c>
      <c r="F118" s="43">
        <v>1640.0522896220787</v>
      </c>
      <c r="G118" s="48"/>
      <c r="H118" s="47">
        <v>65.988</v>
      </c>
      <c r="I118" s="48">
        <v>121.76999999999998</v>
      </c>
      <c r="J118" s="43">
        <v>130.78199999999998</v>
      </c>
      <c r="K118" s="48"/>
      <c r="L118" s="47">
        <v>192.69921599999998</v>
      </c>
      <c r="M118" s="48">
        <v>197.11204199999997</v>
      </c>
      <c r="N118" s="43">
        <v>216.27498599999998</v>
      </c>
      <c r="O118" s="53"/>
      <c r="P118" s="54">
        <v>0.15</v>
      </c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  <c r="AB118" s="14"/>
      <c r="AC118" s="14"/>
      <c r="AD118" s="14"/>
      <c r="AE118" s="14"/>
      <c r="AF118" s="14"/>
      <c r="AG118" s="14"/>
      <c r="AH118" s="14"/>
    </row>
    <row r="119" spans="1:34" x14ac:dyDescent="0.25">
      <c r="A119" s="3" t="s">
        <v>162</v>
      </c>
      <c r="B119" s="3" t="s">
        <v>171</v>
      </c>
      <c r="C119" s="8" t="s">
        <v>2</v>
      </c>
      <c r="D119" s="41">
        <v>823.0158639731477</v>
      </c>
      <c r="E119" s="42">
        <v>1192.2828180009944</v>
      </c>
      <c r="F119" s="43">
        <v>1590.3650812779711</v>
      </c>
      <c r="G119" s="48"/>
      <c r="H119" s="47">
        <v>68.187600000000003</v>
      </c>
      <c r="I119" s="48">
        <v>125.82899999999999</v>
      </c>
      <c r="J119" s="43">
        <v>135.1414</v>
      </c>
      <c r="K119" s="48"/>
      <c r="L119" s="47">
        <v>189.31852800000001</v>
      </c>
      <c r="M119" s="48">
        <v>193.65393599999999</v>
      </c>
      <c r="N119" s="43">
        <v>212.48068800000004</v>
      </c>
      <c r="O119" s="53"/>
      <c r="P119" s="54">
        <v>0.15</v>
      </c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  <c r="AB119" s="14"/>
      <c r="AC119" s="14"/>
      <c r="AD119" s="14"/>
      <c r="AE119" s="14"/>
      <c r="AF119" s="14"/>
      <c r="AG119" s="14"/>
      <c r="AH119" s="14"/>
    </row>
    <row r="120" spans="1:34" x14ac:dyDescent="0.25">
      <c r="A120" s="3" t="s">
        <v>172</v>
      </c>
      <c r="B120" s="3" t="s">
        <v>173</v>
      </c>
      <c r="C120" s="8" t="s">
        <v>2</v>
      </c>
      <c r="D120" s="41">
        <v>416.57961810044759</v>
      </c>
      <c r="E120" s="42">
        <v>578.66105818000995</v>
      </c>
      <c r="F120" s="43">
        <v>702.95440278468425</v>
      </c>
      <c r="G120" s="48"/>
      <c r="H120" s="47">
        <v>29.694600000000005</v>
      </c>
      <c r="I120" s="48">
        <v>54.796500000000002</v>
      </c>
      <c r="J120" s="43">
        <v>58.851900000000001</v>
      </c>
      <c r="K120" s="48"/>
      <c r="L120" s="47">
        <v>99.39980684643551</v>
      </c>
      <c r="M120" s="48">
        <v>101.67606962088773</v>
      </c>
      <c r="N120" s="43">
        <v>111.5608681776658</v>
      </c>
      <c r="O120" s="53"/>
      <c r="P120" s="54">
        <v>0.15</v>
      </c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  <c r="AB120" s="14"/>
      <c r="AC120" s="14"/>
      <c r="AD120" s="14"/>
      <c r="AE120" s="14"/>
      <c r="AF120" s="14"/>
      <c r="AG120" s="14"/>
      <c r="AH120" s="14"/>
    </row>
    <row r="121" spans="1:34" x14ac:dyDescent="0.25">
      <c r="A121" s="3" t="s">
        <v>172</v>
      </c>
      <c r="B121" s="3" t="s">
        <v>174</v>
      </c>
      <c r="C121" s="8" t="s">
        <v>2</v>
      </c>
      <c r="D121" s="41">
        <v>412.45506742618574</v>
      </c>
      <c r="E121" s="42">
        <v>572.93174077228707</v>
      </c>
      <c r="F121" s="43">
        <v>695.99445820265771</v>
      </c>
      <c r="G121" s="48"/>
      <c r="H121" s="47">
        <v>29.400594059405947</v>
      </c>
      <c r="I121" s="48">
        <v>54.253960396039602</v>
      </c>
      <c r="J121" s="43">
        <v>58.269207920792077</v>
      </c>
      <c r="K121" s="48"/>
      <c r="L121" s="47">
        <v>98.415650343005453</v>
      </c>
      <c r="M121" s="48">
        <v>100.66937586226508</v>
      </c>
      <c r="N121" s="43">
        <v>110.45630512640177</v>
      </c>
      <c r="O121" s="53"/>
      <c r="P121" s="54">
        <v>0.15</v>
      </c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  <c r="AB121" s="14"/>
      <c r="AC121" s="14"/>
      <c r="AD121" s="14"/>
      <c r="AE121" s="14"/>
      <c r="AF121" s="14"/>
      <c r="AG121" s="14"/>
      <c r="AH121" s="14"/>
    </row>
    <row r="122" spans="1:34" x14ac:dyDescent="0.25">
      <c r="A122" s="3" t="s">
        <v>172</v>
      </c>
      <c r="B122" s="3" t="s">
        <v>175</v>
      </c>
      <c r="C122" s="8" t="s">
        <v>2</v>
      </c>
      <c r="D122" s="41">
        <v>412.45506742618574</v>
      </c>
      <c r="E122" s="42">
        <v>572.93174077228707</v>
      </c>
      <c r="F122" s="43">
        <v>695.99445820265771</v>
      </c>
      <c r="G122" s="48"/>
      <c r="H122" s="47">
        <v>29.400594059405947</v>
      </c>
      <c r="I122" s="48">
        <v>54.253960396039602</v>
      </c>
      <c r="J122" s="43">
        <v>58.269207920792077</v>
      </c>
      <c r="K122" s="48"/>
      <c r="L122" s="47">
        <v>98.415650343005453</v>
      </c>
      <c r="M122" s="48">
        <v>100.66937586226508</v>
      </c>
      <c r="N122" s="43">
        <v>110.45630512640177</v>
      </c>
      <c r="O122" s="53"/>
      <c r="P122" s="54">
        <v>0.15</v>
      </c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  <c r="AB122" s="14"/>
      <c r="AC122" s="14"/>
      <c r="AD122" s="14"/>
      <c r="AE122" s="14"/>
      <c r="AF122" s="14"/>
      <c r="AG122" s="14"/>
      <c r="AH122" s="14"/>
    </row>
    <row r="123" spans="1:34" x14ac:dyDescent="0.25">
      <c r="A123" s="3" t="s">
        <v>172</v>
      </c>
      <c r="B123" s="3" t="s">
        <v>176</v>
      </c>
      <c r="C123" s="8" t="s">
        <v>2</v>
      </c>
      <c r="D123" s="41">
        <v>408.41139029455644</v>
      </c>
      <c r="E123" s="42">
        <v>567.31476292157834</v>
      </c>
      <c r="F123" s="43">
        <v>689.17098312223948</v>
      </c>
      <c r="G123" s="48"/>
      <c r="H123" s="47">
        <v>29.112352941176475</v>
      </c>
      <c r="I123" s="48">
        <v>53.722058823529416</v>
      </c>
      <c r="J123" s="43">
        <v>57.697941176470586</v>
      </c>
      <c r="K123" s="48"/>
      <c r="L123" s="47">
        <v>97.450791025917169</v>
      </c>
      <c r="M123" s="48">
        <v>99.682421196948752</v>
      </c>
      <c r="N123" s="43">
        <v>109.37340017418215</v>
      </c>
      <c r="O123" s="53"/>
      <c r="P123" s="54">
        <v>0.15</v>
      </c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  <c r="AB123" s="14"/>
      <c r="AC123" s="14"/>
      <c r="AD123" s="14"/>
      <c r="AE123" s="14"/>
      <c r="AF123" s="14"/>
      <c r="AG123" s="14"/>
      <c r="AH123" s="14"/>
    </row>
    <row r="124" spans="1:34" x14ac:dyDescent="0.25">
      <c r="A124" s="3" t="s">
        <v>172</v>
      </c>
      <c r="B124" s="3" t="s">
        <v>177</v>
      </c>
      <c r="C124" s="8" t="s">
        <v>2</v>
      </c>
      <c r="D124" s="41">
        <v>449.90598754848344</v>
      </c>
      <c r="E124" s="42">
        <v>624.95394283441078</v>
      </c>
      <c r="F124" s="43">
        <v>759.19075500745907</v>
      </c>
      <c r="G124" s="48"/>
      <c r="H124" s="47">
        <v>32.07016800000001</v>
      </c>
      <c r="I124" s="48">
        <v>59.180220000000006</v>
      </c>
      <c r="J124" s="43">
        <v>63.560052000000006</v>
      </c>
      <c r="K124" s="48"/>
      <c r="L124" s="47">
        <v>107.35179139415035</v>
      </c>
      <c r="M124" s="48">
        <v>109.81015519055876</v>
      </c>
      <c r="N124" s="43">
        <v>120.48573763187906</v>
      </c>
      <c r="O124" s="53"/>
      <c r="P124" s="54">
        <v>0.15</v>
      </c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4"/>
      <c r="AB124" s="14"/>
      <c r="AC124" s="14"/>
      <c r="AD124" s="14"/>
      <c r="AE124" s="14"/>
      <c r="AF124" s="14"/>
      <c r="AG124" s="14"/>
      <c r="AH124" s="14"/>
    </row>
    <row r="125" spans="1:34" x14ac:dyDescent="0.25">
      <c r="A125" s="3" t="s">
        <v>172</v>
      </c>
      <c r="B125" s="3" t="s">
        <v>178</v>
      </c>
      <c r="C125" s="8" t="s">
        <v>2</v>
      </c>
      <c r="D125" s="41">
        <v>437.40859900546997</v>
      </c>
      <c r="E125" s="42">
        <v>607.59411108901043</v>
      </c>
      <c r="F125" s="43">
        <v>738.1021229239185</v>
      </c>
      <c r="G125" s="48"/>
      <c r="H125" s="47">
        <v>31.179330000000007</v>
      </c>
      <c r="I125" s="48">
        <v>57.536325000000005</v>
      </c>
      <c r="J125" s="43">
        <v>61.794495000000005</v>
      </c>
      <c r="K125" s="48"/>
      <c r="L125" s="47">
        <v>104.36979718875729</v>
      </c>
      <c r="M125" s="48">
        <v>106.75987310193211</v>
      </c>
      <c r="N125" s="43">
        <v>117.13891158654909</v>
      </c>
      <c r="O125" s="53"/>
      <c r="P125" s="54">
        <v>0.15</v>
      </c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  <c r="AB125" s="14"/>
      <c r="AC125" s="14"/>
      <c r="AD125" s="14"/>
      <c r="AE125" s="14"/>
      <c r="AF125" s="14"/>
      <c r="AG125" s="14"/>
      <c r="AH125" s="14"/>
    </row>
    <row r="126" spans="1:34" x14ac:dyDescent="0.25">
      <c r="A126" s="3" t="s">
        <v>172</v>
      </c>
      <c r="B126" s="3" t="s">
        <v>179</v>
      </c>
      <c r="C126" s="8" t="s">
        <v>2</v>
      </c>
      <c r="D126" s="41">
        <v>412.45506742618574</v>
      </c>
      <c r="E126" s="42">
        <v>572.93174077228707</v>
      </c>
      <c r="F126" s="43">
        <v>695.99445820265771</v>
      </c>
      <c r="G126" s="48"/>
      <c r="H126" s="47">
        <v>29.400594059405947</v>
      </c>
      <c r="I126" s="48">
        <v>54.253960396039602</v>
      </c>
      <c r="J126" s="43">
        <v>58.269207920792077</v>
      </c>
      <c r="K126" s="48"/>
      <c r="L126" s="47">
        <v>98.415650343005453</v>
      </c>
      <c r="M126" s="48">
        <v>100.66937586226508</v>
      </c>
      <c r="N126" s="43">
        <v>110.45630512640177</v>
      </c>
      <c r="O126" s="53"/>
      <c r="P126" s="54">
        <v>0.15</v>
      </c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  <c r="AB126" s="14"/>
      <c r="AC126" s="14"/>
      <c r="AD126" s="14"/>
      <c r="AE126" s="14"/>
      <c r="AF126" s="14"/>
      <c r="AG126" s="14"/>
      <c r="AH126" s="14"/>
    </row>
    <row r="127" spans="1:34" x14ac:dyDescent="0.25">
      <c r="A127" s="3" t="s">
        <v>180</v>
      </c>
      <c r="B127" s="3" t="s">
        <v>181</v>
      </c>
      <c r="C127" s="8" t="s">
        <v>2</v>
      </c>
      <c r="D127" s="41">
        <v>705.51674946705123</v>
      </c>
      <c r="E127" s="42">
        <v>811.55899723998004</v>
      </c>
      <c r="F127" s="43">
        <v>1082.7055860186574</v>
      </c>
      <c r="G127" s="48"/>
      <c r="H127" s="47">
        <v>51.690599999999996</v>
      </c>
      <c r="I127" s="48">
        <v>95.386499999999984</v>
      </c>
      <c r="J127" s="43">
        <v>102.44589999999999</v>
      </c>
      <c r="K127" s="48"/>
      <c r="L127" s="47">
        <v>167.04576</v>
      </c>
      <c r="M127" s="48">
        <v>170.87111999999999</v>
      </c>
      <c r="N127" s="43">
        <v>187.48295999999999</v>
      </c>
      <c r="O127" s="53"/>
      <c r="P127" s="54">
        <v>0.10500000000000001</v>
      </c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  <c r="AB127" s="14"/>
      <c r="AC127" s="14"/>
      <c r="AD127" s="14"/>
      <c r="AE127" s="14"/>
      <c r="AF127" s="14"/>
      <c r="AG127" s="14"/>
      <c r="AH127" s="14"/>
    </row>
    <row r="128" spans="1:34" x14ac:dyDescent="0.25">
      <c r="A128" s="3" t="s">
        <v>182</v>
      </c>
      <c r="B128" s="3" t="s">
        <v>183</v>
      </c>
      <c r="C128" s="8" t="s">
        <v>2</v>
      </c>
      <c r="D128" s="41">
        <v>1561.5775945300845</v>
      </c>
      <c r="E128" s="42">
        <v>2098.6411864743909</v>
      </c>
      <c r="F128" s="43">
        <v>2413.9908766782696</v>
      </c>
      <c r="G128" s="48"/>
      <c r="H128" s="47">
        <v>118.15123247839796</v>
      </c>
      <c r="I128" s="48">
        <v>218.02866549818935</v>
      </c>
      <c r="J128" s="43">
        <v>234.16461305070379</v>
      </c>
      <c r="K128" s="48"/>
      <c r="L128" s="47">
        <v>378.09763145775258</v>
      </c>
      <c r="M128" s="48">
        <v>386.7560945966747</v>
      </c>
      <c r="N128" s="43">
        <v>424.35595560574887</v>
      </c>
      <c r="O128" s="53"/>
      <c r="P128" s="54">
        <v>0.26500000000000001</v>
      </c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  <c r="AB128" s="14"/>
      <c r="AC128" s="14"/>
      <c r="AD128" s="14"/>
      <c r="AE128" s="14"/>
      <c r="AF128" s="14"/>
      <c r="AG128" s="14"/>
      <c r="AH128" s="14"/>
    </row>
    <row r="129" spans="1:34" x14ac:dyDescent="0.25">
      <c r="A129" s="3" t="s">
        <v>184</v>
      </c>
      <c r="B129" s="3" t="s">
        <v>185</v>
      </c>
      <c r="C129" s="8" t="s">
        <v>2</v>
      </c>
      <c r="D129" s="41">
        <v>689.8920835405271</v>
      </c>
      <c r="E129" s="42">
        <v>983.19264047737431</v>
      </c>
      <c r="F129" s="43">
        <v>1177.3131526603679</v>
      </c>
      <c r="G129" s="48"/>
      <c r="H129" s="47">
        <v>51.536670385142585</v>
      </c>
      <c r="I129" s="48">
        <v>95.102448214808931</v>
      </c>
      <c r="J129" s="43">
        <v>102.14082600335996</v>
      </c>
      <c r="K129" s="48"/>
      <c r="L129" s="47">
        <v>167.38485765203467</v>
      </c>
      <c r="M129" s="48">
        <v>171.21798301282078</v>
      </c>
      <c r="N129" s="43">
        <v>187.86354452685367</v>
      </c>
      <c r="O129" s="53"/>
      <c r="P129" s="54">
        <v>0.08</v>
      </c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4"/>
      <c r="AB129" s="14"/>
      <c r="AC129" s="14"/>
      <c r="AD129" s="14"/>
      <c r="AE129" s="14"/>
      <c r="AF129" s="14"/>
      <c r="AG129" s="14"/>
      <c r="AH129" s="14"/>
    </row>
    <row r="130" spans="1:34" x14ac:dyDescent="0.25">
      <c r="A130" s="3" t="s">
        <v>186</v>
      </c>
      <c r="B130" s="3" t="s">
        <v>187</v>
      </c>
      <c r="C130" s="8" t="s">
        <v>2</v>
      </c>
      <c r="D130" s="41">
        <v>741.19373446046734</v>
      </c>
      <c r="E130" s="42">
        <v>1057.8186573843857</v>
      </c>
      <c r="F130" s="43">
        <v>1359.4351069119841</v>
      </c>
      <c r="G130" s="48"/>
      <c r="H130" s="47">
        <v>69.727163442266104</v>
      </c>
      <c r="I130" s="48">
        <v>128.67001109845339</v>
      </c>
      <c r="J130" s="43">
        <v>138.19266971731898</v>
      </c>
      <c r="K130" s="48"/>
      <c r="L130" s="47">
        <v>234.23624455159489</v>
      </c>
      <c r="M130" s="48">
        <v>239.60027151317649</v>
      </c>
      <c r="N130" s="43">
        <v>262.89385895108552</v>
      </c>
      <c r="O130" s="53"/>
      <c r="P130" s="54">
        <v>0.15</v>
      </c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  <c r="AB130" s="14"/>
      <c r="AC130" s="14"/>
      <c r="AD130" s="14"/>
      <c r="AE130" s="14"/>
      <c r="AF130" s="14"/>
      <c r="AG130" s="14"/>
      <c r="AH130" s="14"/>
    </row>
    <row r="131" spans="1:34" x14ac:dyDescent="0.25">
      <c r="A131" s="3" t="s">
        <v>188</v>
      </c>
      <c r="B131" s="3" t="s">
        <v>189</v>
      </c>
      <c r="C131" s="8" t="s">
        <v>2</v>
      </c>
      <c r="D131" s="41">
        <v>744.78635504724014</v>
      </c>
      <c r="E131" s="42">
        <v>771.44873980606656</v>
      </c>
      <c r="F131" s="43">
        <v>837.44498085529585</v>
      </c>
      <c r="G131" s="48"/>
      <c r="H131" s="47">
        <v>38.493000000000002</v>
      </c>
      <c r="I131" s="48">
        <v>71.032499999999985</v>
      </c>
      <c r="J131" s="43">
        <v>76.28949999999999</v>
      </c>
      <c r="K131" s="48"/>
      <c r="L131" s="47">
        <v>127.6044</v>
      </c>
      <c r="M131" s="48">
        <v>130.52654999999999</v>
      </c>
      <c r="N131" s="43">
        <v>143.21615</v>
      </c>
      <c r="O131" s="53"/>
      <c r="P131" s="54">
        <v>0.05</v>
      </c>
      <c r="Q131" s="14"/>
      <c r="R131" s="14"/>
      <c r="S131" s="14"/>
      <c r="T131" s="14"/>
      <c r="U131" s="14"/>
      <c r="V131" s="14"/>
      <c r="W131" s="14"/>
      <c r="X131" s="14"/>
      <c r="Y131" s="14"/>
      <c r="Z131" s="14"/>
      <c r="AA131" s="14"/>
      <c r="AB131" s="14"/>
      <c r="AC131" s="14"/>
      <c r="AD131" s="14"/>
      <c r="AE131" s="14"/>
      <c r="AF131" s="14"/>
      <c r="AG131" s="14"/>
      <c r="AH131" s="14"/>
    </row>
    <row r="132" spans="1:34" x14ac:dyDescent="0.25">
      <c r="A132" s="3" t="s">
        <v>190</v>
      </c>
      <c r="B132" s="3" t="s">
        <v>191</v>
      </c>
      <c r="C132" s="8" t="s">
        <v>2</v>
      </c>
      <c r="D132" s="41">
        <v>849.3382866235703</v>
      </c>
      <c r="E132" s="42">
        <v>1010.882260069617</v>
      </c>
      <c r="F132" s="43">
        <v>1280.2124815017403</v>
      </c>
      <c r="G132" s="48"/>
      <c r="H132" s="47">
        <v>54.99</v>
      </c>
      <c r="I132" s="48">
        <v>101.47499999999999</v>
      </c>
      <c r="J132" s="43">
        <v>108.985</v>
      </c>
      <c r="K132" s="48"/>
      <c r="L132" s="47">
        <v>180.93309600000003</v>
      </c>
      <c r="M132" s="48">
        <v>185.07647700000001</v>
      </c>
      <c r="N132" s="43">
        <v>203.06934100000004</v>
      </c>
      <c r="O132" s="53"/>
      <c r="P132" s="54">
        <v>0.10999999999999999</v>
      </c>
      <c r="Q132" s="14"/>
      <c r="R132" s="14"/>
      <c r="S132" s="14"/>
      <c r="T132" s="14"/>
      <c r="U132" s="14"/>
      <c r="V132" s="14"/>
      <c r="W132" s="14"/>
      <c r="X132" s="14"/>
      <c r="Y132" s="14"/>
      <c r="Z132" s="14"/>
      <c r="AA132" s="14"/>
      <c r="AB132" s="14"/>
      <c r="AC132" s="14"/>
      <c r="AD132" s="14"/>
      <c r="AE132" s="14"/>
      <c r="AF132" s="14"/>
      <c r="AG132" s="14"/>
      <c r="AH132" s="14"/>
    </row>
    <row r="133" spans="1:34" x14ac:dyDescent="0.25">
      <c r="A133" s="3" t="s">
        <v>192</v>
      </c>
      <c r="B133" s="3" t="s">
        <v>192</v>
      </c>
      <c r="C133" s="8" t="s">
        <v>2</v>
      </c>
      <c r="D133" s="41">
        <v>1220.2865862754848</v>
      </c>
      <c r="E133" s="42">
        <v>1907.1311277971158</v>
      </c>
      <c r="F133" s="43">
        <v>2217.8611939333664</v>
      </c>
      <c r="G133" s="48"/>
      <c r="H133" s="47">
        <v>98.981999999999999</v>
      </c>
      <c r="I133" s="48">
        <v>182.655</v>
      </c>
      <c r="J133" s="43">
        <v>196.173</v>
      </c>
      <c r="K133" s="48"/>
      <c r="L133" s="47">
        <v>319.17671999999999</v>
      </c>
      <c r="M133" s="48">
        <v>326.48589000000004</v>
      </c>
      <c r="N133" s="43">
        <v>358.22637000000003</v>
      </c>
      <c r="O133" s="53"/>
      <c r="P133" s="54">
        <v>0.24000000000000002</v>
      </c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4"/>
      <c r="AB133" s="14"/>
      <c r="AC133" s="14"/>
      <c r="AD133" s="14"/>
      <c r="AE133" s="14"/>
      <c r="AF133" s="14"/>
      <c r="AG133" s="14"/>
      <c r="AH133" s="14"/>
    </row>
    <row r="134" spans="1:34" x14ac:dyDescent="0.25">
      <c r="A134" s="3" t="s">
        <v>193</v>
      </c>
      <c r="B134" s="3" t="s">
        <v>194</v>
      </c>
      <c r="C134" s="8" t="s">
        <v>2</v>
      </c>
      <c r="D134" s="41">
        <v>894.42944076578817</v>
      </c>
      <c r="E134" s="42">
        <v>1243.1706337364496</v>
      </c>
      <c r="F134" s="43">
        <v>1324.9437379890603</v>
      </c>
      <c r="G134" s="48"/>
      <c r="H134" s="47">
        <v>65.988</v>
      </c>
      <c r="I134" s="48">
        <v>121.76999999999998</v>
      </c>
      <c r="J134" s="43">
        <v>130.78199999999998</v>
      </c>
      <c r="K134" s="48"/>
      <c r="L134" s="47">
        <v>191.77118400000001</v>
      </c>
      <c r="M134" s="48">
        <v>196.162758</v>
      </c>
      <c r="N134" s="43">
        <v>215.23341400000001</v>
      </c>
      <c r="O134" s="53"/>
      <c r="P134" s="54">
        <v>0.12</v>
      </c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14"/>
      <c r="AB134" s="14"/>
      <c r="AC134" s="14"/>
      <c r="AD134" s="14"/>
      <c r="AE134" s="14"/>
      <c r="AF134" s="14"/>
      <c r="AG134" s="14"/>
      <c r="AH134" s="14"/>
    </row>
    <row r="135" spans="1:34" x14ac:dyDescent="0.25">
      <c r="A135" s="3" t="s">
        <v>195</v>
      </c>
      <c r="B135" s="3" t="s">
        <v>196</v>
      </c>
      <c r="C135" s="8" t="s">
        <v>2</v>
      </c>
      <c r="D135" s="41">
        <v>807.84112961710582</v>
      </c>
      <c r="E135" s="42">
        <v>1155.7776893088017</v>
      </c>
      <c r="F135" s="43">
        <v>1511.2864640775731</v>
      </c>
      <c r="G135" s="48"/>
      <c r="H135" s="47">
        <v>57.189600000000006</v>
      </c>
      <c r="I135" s="48">
        <v>105.53399999999999</v>
      </c>
      <c r="J135" s="43">
        <v>113.34440000000001</v>
      </c>
      <c r="K135" s="48"/>
      <c r="L135" s="47">
        <v>183.78220319467542</v>
      </c>
      <c r="M135" s="48">
        <v>187.99082895574099</v>
      </c>
      <c r="N135" s="43">
        <v>206.26702198403123</v>
      </c>
      <c r="O135" s="53"/>
      <c r="P135" s="54">
        <v>0.14000000000000001</v>
      </c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  <c r="AB135" s="14"/>
      <c r="AC135" s="14"/>
      <c r="AD135" s="14"/>
      <c r="AE135" s="14"/>
      <c r="AF135" s="14"/>
      <c r="AG135" s="14"/>
      <c r="AH135" s="14"/>
    </row>
    <row r="136" spans="1:34" x14ac:dyDescent="0.25">
      <c r="A136" s="3" t="s">
        <v>197</v>
      </c>
      <c r="B136" s="3" t="s">
        <v>198</v>
      </c>
      <c r="C136" s="8" t="s">
        <v>2</v>
      </c>
      <c r="D136" s="41">
        <v>508.8425519641969</v>
      </c>
      <c r="E136" s="42">
        <v>708.67977722526109</v>
      </c>
      <c r="F136" s="43">
        <v>921.57452610641485</v>
      </c>
      <c r="G136" s="48"/>
      <c r="H136" s="47">
        <v>34.60354972378984</v>
      </c>
      <c r="I136" s="48">
        <v>63.855159269350317</v>
      </c>
      <c r="J136" s="43">
        <v>68.580975934665133</v>
      </c>
      <c r="K136" s="48"/>
      <c r="L136" s="47">
        <v>110.73536785143243</v>
      </c>
      <c r="M136" s="48">
        <v>113.27121579372175</v>
      </c>
      <c r="N136" s="43">
        <v>124.28327747723374</v>
      </c>
      <c r="O136" s="53"/>
      <c r="P136" s="54">
        <v>0.09</v>
      </c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  <c r="AB136" s="14"/>
      <c r="AC136" s="14"/>
      <c r="AD136" s="14"/>
      <c r="AE136" s="14"/>
      <c r="AF136" s="14"/>
      <c r="AG136" s="14"/>
      <c r="AH136" s="14"/>
    </row>
    <row r="137" spans="1:34" x14ac:dyDescent="0.25">
      <c r="A137" s="3" t="s">
        <v>199</v>
      </c>
      <c r="B137" s="3" t="s">
        <v>200</v>
      </c>
      <c r="C137" s="8" t="s">
        <v>2</v>
      </c>
      <c r="D137" s="41">
        <v>558.45171978965686</v>
      </c>
      <c r="E137" s="42">
        <v>699.53923815763301</v>
      </c>
      <c r="F137" s="43">
        <v>863.94799935007461</v>
      </c>
      <c r="G137" s="48"/>
      <c r="H137" s="47">
        <v>40.704989818351898</v>
      </c>
      <c r="I137" s="48">
        <v>75.11436337183595</v>
      </c>
      <c r="J137" s="43">
        <v>80.673455452865639</v>
      </c>
      <c r="K137" s="48"/>
      <c r="L137" s="47">
        <v>134.14906158745211</v>
      </c>
      <c r="M137" s="48">
        <v>137.22108481171216</v>
      </c>
      <c r="N137" s="43">
        <v>150.5615176801723</v>
      </c>
      <c r="O137" s="53"/>
      <c r="P137" s="54">
        <v>0.14500000000000002</v>
      </c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  <c r="AB137" s="14"/>
      <c r="AC137" s="14"/>
      <c r="AD137" s="14"/>
      <c r="AE137" s="14"/>
      <c r="AF137" s="14"/>
      <c r="AG137" s="14"/>
      <c r="AH137" s="14"/>
    </row>
    <row r="138" spans="1:34" x14ac:dyDescent="0.25">
      <c r="A138" s="3" t="s">
        <v>201</v>
      </c>
      <c r="B138" s="3" t="s">
        <v>202</v>
      </c>
      <c r="C138" s="8" t="s">
        <v>1</v>
      </c>
      <c r="D138" s="41">
        <v>1449.5932272501243</v>
      </c>
      <c r="E138" s="42">
        <v>1980.3544356041768</v>
      </c>
      <c r="F138" s="43">
        <v>2617.6302187966185</v>
      </c>
      <c r="G138" s="48"/>
      <c r="H138" s="47">
        <v>190.97640000000001</v>
      </c>
      <c r="I138" s="48">
        <v>333.26640000000003</v>
      </c>
      <c r="J138" s="43">
        <v>489.38040000000001</v>
      </c>
      <c r="K138" s="48"/>
      <c r="L138" s="47">
        <v>353.64648</v>
      </c>
      <c r="M138" s="48">
        <v>361.74500999999998</v>
      </c>
      <c r="N138" s="43">
        <v>396.91332999999997</v>
      </c>
      <c r="O138" s="53"/>
      <c r="P138" s="54">
        <v>0.15</v>
      </c>
      <c r="Q138" s="14"/>
      <c r="R138" s="14"/>
      <c r="S138" s="14"/>
      <c r="T138" s="14"/>
      <c r="U138" s="14"/>
      <c r="V138" s="14"/>
      <c r="W138" s="14"/>
      <c r="X138" s="14"/>
      <c r="Y138" s="14"/>
      <c r="Z138" s="14"/>
      <c r="AA138" s="14"/>
      <c r="AB138" s="14"/>
      <c r="AC138" s="14"/>
      <c r="AD138" s="14"/>
      <c r="AE138" s="14"/>
      <c r="AF138" s="14"/>
      <c r="AG138" s="14"/>
      <c r="AH138" s="14"/>
    </row>
    <row r="139" spans="1:34" x14ac:dyDescent="0.25">
      <c r="A139" s="3" t="s">
        <v>203</v>
      </c>
      <c r="B139" s="3" t="s">
        <v>204</v>
      </c>
      <c r="C139" s="8" t="s">
        <v>1</v>
      </c>
      <c r="D139" s="41">
        <v>960.3429413227251</v>
      </c>
      <c r="E139" s="42">
        <v>1289.4044826951765</v>
      </c>
      <c r="F139" s="43">
        <v>1905.6578397314772</v>
      </c>
      <c r="G139" s="48"/>
      <c r="H139" s="47">
        <v>115.38704637646364</v>
      </c>
      <c r="I139" s="48">
        <v>201.35799791239691</v>
      </c>
      <c r="J139" s="43">
        <v>295.68134549888009</v>
      </c>
      <c r="K139" s="48"/>
      <c r="L139" s="47">
        <v>206.81856000000002</v>
      </c>
      <c r="M139" s="48">
        <v>211.55471999999997</v>
      </c>
      <c r="N139" s="43">
        <v>232.12175999999999</v>
      </c>
      <c r="O139" s="53"/>
      <c r="P139" s="54">
        <v>0.16</v>
      </c>
      <c r="Q139" s="14"/>
      <c r="R139" s="14"/>
      <c r="S139" s="14"/>
      <c r="T139" s="14"/>
      <c r="U139" s="14"/>
      <c r="V139" s="14"/>
      <c r="W139" s="14"/>
      <c r="X139" s="14"/>
      <c r="Y139" s="14"/>
      <c r="Z139" s="14"/>
      <c r="AA139" s="14"/>
      <c r="AB139" s="14"/>
      <c r="AC139" s="14"/>
      <c r="AD139" s="14"/>
      <c r="AE139" s="14"/>
      <c r="AF139" s="14"/>
      <c r="AG139" s="14"/>
      <c r="AH139" s="14"/>
    </row>
    <row r="140" spans="1:34" x14ac:dyDescent="0.25">
      <c r="A140" s="13"/>
      <c r="B140" s="3"/>
      <c r="C140" s="1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</row>
    <row r="141" spans="1:34" x14ac:dyDescent="0.25">
      <c r="A141" s="13"/>
      <c r="B141" s="3"/>
      <c r="C141" s="1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</row>
    <row r="142" spans="1:34" x14ac:dyDescent="0.25">
      <c r="A142" s="13"/>
      <c r="B142" s="3"/>
      <c r="C142" s="1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</row>
    <row r="143" spans="1:34" x14ac:dyDescent="0.25">
      <c r="A143" s="13"/>
      <c r="B143" s="3"/>
      <c r="C143" s="1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</row>
    <row r="144" spans="1:34" x14ac:dyDescent="0.25">
      <c r="A144" s="13"/>
      <c r="B144" s="3"/>
      <c r="C144" s="1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</row>
    <row r="145" spans="1:16" x14ac:dyDescent="0.25">
      <c r="A145" s="13"/>
      <c r="B145" s="3"/>
      <c r="C145" s="1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</row>
    <row r="146" spans="1:16" x14ac:dyDescent="0.25">
      <c r="A146" s="13"/>
      <c r="B146" s="3"/>
      <c r="C146" s="1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</row>
    <row r="147" spans="1:16" x14ac:dyDescent="0.25">
      <c r="A147" s="13"/>
      <c r="B147" s="3"/>
      <c r="C147" s="1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</row>
    <row r="148" spans="1:16" x14ac:dyDescent="0.25">
      <c r="A148" s="13"/>
      <c r="B148" s="3"/>
      <c r="C148" s="1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</row>
    <row r="149" spans="1:16" x14ac:dyDescent="0.25">
      <c r="A149" s="13"/>
      <c r="B149" s="3"/>
      <c r="C149" s="1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</row>
    <row r="150" spans="1:16" x14ac:dyDescent="0.25">
      <c r="A150" s="13"/>
      <c r="B150" s="3"/>
      <c r="C150" s="1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</row>
    <row r="151" spans="1:16" x14ac:dyDescent="0.25">
      <c r="A151" s="13"/>
      <c r="B151" s="3"/>
      <c r="C151" s="1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</row>
    <row r="152" spans="1:16" x14ac:dyDescent="0.25">
      <c r="A152" s="13"/>
      <c r="B152" s="3"/>
      <c r="C152" s="1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</row>
    <row r="153" spans="1:16" x14ac:dyDescent="0.25">
      <c r="A153" s="13"/>
      <c r="B153" s="3"/>
      <c r="C153" s="1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</row>
    <row r="154" spans="1:16" x14ac:dyDescent="0.25">
      <c r="A154" s="13"/>
      <c r="B154" s="3"/>
      <c r="C154" s="1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</row>
    <row r="155" spans="1:16" x14ac:dyDescent="0.25">
      <c r="A155" s="13"/>
      <c r="B155" s="3"/>
      <c r="C155" s="1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</row>
    <row r="156" spans="1:16" x14ac:dyDescent="0.25">
      <c r="A156" s="13"/>
      <c r="B156" s="3"/>
      <c r="C156" s="1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</row>
    <row r="157" spans="1:16" x14ac:dyDescent="0.25">
      <c r="A157" s="13"/>
      <c r="B157" s="3"/>
      <c r="C157" s="1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</row>
    <row r="158" spans="1:16" x14ac:dyDescent="0.25">
      <c r="A158" s="13"/>
      <c r="B158" s="3"/>
      <c r="C158" s="1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</row>
    <row r="159" spans="1:16" x14ac:dyDescent="0.25">
      <c r="A159" s="13"/>
      <c r="B159" s="3"/>
      <c r="C159" s="1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</row>
  </sheetData>
  <autoFilter ref="A5:C139" xr:uid="{B593B8AD-AE04-4543-B232-6D3D3239B900}">
    <sortState xmlns:xlrd2="http://schemas.microsoft.com/office/spreadsheetml/2017/richdata2" ref="A69:C139">
      <sortCondition ref="A5:A139"/>
    </sortState>
  </autoFilter>
  <mergeCells count="8">
    <mergeCell ref="D3:F3"/>
    <mergeCell ref="H3:J3"/>
    <mergeCell ref="L3:N3"/>
    <mergeCell ref="D1:P1"/>
    <mergeCell ref="D2:F2"/>
    <mergeCell ref="H2:J2"/>
    <mergeCell ref="L2:N2"/>
    <mergeCell ref="P2:P4"/>
  </mergeCells>
  <pageMargins left="0.70866141732283472" right="0.70866141732283472" top="0.74803149606299213" bottom="0.74803149606299213" header="0.31496062992125984" footer="0.31496062992125984"/>
  <pageSetup paperSize="8" scale="70" orientation="landscape" horizontalDpi="1200" verticalDpi="1200" r:id="rId1"/>
  <colBreaks count="2" manualBreakCount="2">
    <brk id="16" max="1048575" man="1"/>
    <brk id="17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5E1917-E326-4106-80B6-92A3848F3543}">
  <sheetPr>
    <tabColor rgb="FF002060"/>
  </sheetPr>
  <dimension ref="A1:AH159"/>
  <sheetViews>
    <sheetView view="pageBreakPreview" zoomScaleNormal="100" zoomScaleSheetLayoutView="100" workbookViewId="0">
      <selection activeCell="A2" sqref="A2"/>
    </sheetView>
  </sheetViews>
  <sheetFormatPr defaultColWidth="8.83203125" defaultRowHeight="13.5" x14ac:dyDescent="0.25"/>
  <cols>
    <col min="1" max="1" width="21" customWidth="1"/>
    <col min="2" max="2" width="14.58203125" customWidth="1"/>
    <col min="3" max="3" width="10.08203125" bestFit="1" customWidth="1"/>
    <col min="4" max="4" width="11" style="4" bestFit="1" customWidth="1"/>
    <col min="5" max="5" width="11" bestFit="1" customWidth="1"/>
    <col min="6" max="6" width="8.83203125" bestFit="1" customWidth="1"/>
    <col min="7" max="7" width="2.83203125" customWidth="1"/>
    <col min="8" max="10" width="11" customWidth="1"/>
    <col min="11" max="11" width="4" customWidth="1"/>
    <col min="12" max="14" width="10.83203125" customWidth="1"/>
    <col min="15" max="15" width="3.83203125" customWidth="1"/>
    <col min="16" max="16" width="13.33203125" customWidth="1"/>
    <col min="17" max="34" width="6" customWidth="1"/>
  </cols>
  <sheetData>
    <row r="1" spans="1:34" ht="18.5" thickBot="1" x14ac:dyDescent="0.35">
      <c r="D1" s="59" t="s">
        <v>221</v>
      </c>
      <c r="E1" s="60"/>
      <c r="F1" s="60"/>
      <c r="G1" s="61"/>
      <c r="H1" s="61"/>
      <c r="I1" s="61"/>
      <c r="J1" s="61"/>
      <c r="K1" s="61"/>
      <c r="L1" s="61"/>
      <c r="M1" s="61"/>
      <c r="N1" s="61"/>
      <c r="O1" s="61"/>
      <c r="P1" s="61"/>
      <c r="Q1" s="34"/>
    </row>
    <row r="2" spans="1:34" ht="17.5" customHeight="1" x14ac:dyDescent="0.25">
      <c r="A2" s="11"/>
      <c r="B2" s="2"/>
      <c r="C2" s="19"/>
      <c r="D2" s="70" t="s">
        <v>218</v>
      </c>
      <c r="E2" s="71"/>
      <c r="F2" s="72"/>
      <c r="G2" s="35"/>
      <c r="H2" s="62" t="s">
        <v>219</v>
      </c>
      <c r="I2" s="63"/>
      <c r="J2" s="64"/>
      <c r="K2" s="35"/>
      <c r="L2" s="68" t="s">
        <v>220</v>
      </c>
      <c r="M2" s="69"/>
      <c r="N2" s="73"/>
      <c r="O2" s="36"/>
      <c r="P2" s="62" t="s">
        <v>223</v>
      </c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</row>
    <row r="3" spans="1:34" x14ac:dyDescent="0.25">
      <c r="A3" s="12"/>
      <c r="B3" s="1"/>
      <c r="C3" s="1"/>
      <c r="D3" s="65"/>
      <c r="E3" s="58"/>
      <c r="F3" s="66"/>
      <c r="G3" s="17"/>
      <c r="H3" s="65"/>
      <c r="I3" s="58"/>
      <c r="J3" s="66"/>
      <c r="K3" s="17"/>
      <c r="L3" s="65"/>
      <c r="M3" s="58"/>
      <c r="N3" s="66"/>
      <c r="O3" s="37"/>
      <c r="P3" s="7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</row>
    <row r="4" spans="1:34" x14ac:dyDescent="0.25">
      <c r="A4" s="12"/>
      <c r="B4" s="1"/>
      <c r="C4" s="1"/>
      <c r="D4" s="20" t="s">
        <v>3</v>
      </c>
      <c r="E4" s="5" t="s">
        <v>4</v>
      </c>
      <c r="F4" s="21" t="s">
        <v>5</v>
      </c>
      <c r="G4" s="17"/>
      <c r="H4" s="29" t="s">
        <v>3</v>
      </c>
      <c r="I4" s="17" t="s">
        <v>4</v>
      </c>
      <c r="J4" s="30" t="s">
        <v>5</v>
      </c>
      <c r="K4" s="17"/>
      <c r="L4" s="29" t="s">
        <v>3</v>
      </c>
      <c r="M4" s="17" t="s">
        <v>4</v>
      </c>
      <c r="N4" s="30" t="s">
        <v>5</v>
      </c>
      <c r="O4" s="37"/>
      <c r="P4" s="75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</row>
    <row r="5" spans="1:34" x14ac:dyDescent="0.25">
      <c r="A5" s="9" t="s">
        <v>6</v>
      </c>
      <c r="B5" s="9" t="s">
        <v>7</v>
      </c>
      <c r="C5" s="18" t="s">
        <v>8</v>
      </c>
      <c r="D5" s="22"/>
      <c r="E5" s="10"/>
      <c r="F5" s="23"/>
      <c r="G5" s="18"/>
      <c r="H5" s="31"/>
      <c r="I5" s="18"/>
      <c r="J5" s="32"/>
      <c r="K5" s="18"/>
      <c r="L5" s="31"/>
      <c r="M5" s="18"/>
      <c r="N5" s="32"/>
      <c r="O5" s="49"/>
      <c r="P5" s="17" t="s">
        <v>208</v>
      </c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</row>
    <row r="6" spans="1:34" x14ac:dyDescent="0.25">
      <c r="A6" s="3" t="s">
        <v>9</v>
      </c>
      <c r="B6" s="3" t="s">
        <v>10</v>
      </c>
      <c r="C6" s="8" t="s">
        <v>11</v>
      </c>
      <c r="D6" s="50">
        <v>162.03595055066893</v>
      </c>
      <c r="E6" s="51">
        <v>230.29094907236305</v>
      </c>
      <c r="F6" s="52">
        <v>272.49510311183383</v>
      </c>
      <c r="G6" s="48"/>
      <c r="H6" s="47">
        <v>14.000947100295081</v>
      </c>
      <c r="I6" s="48">
        <v>22.497584851261553</v>
      </c>
      <c r="J6" s="43">
        <v>26.930955614740817</v>
      </c>
      <c r="K6" s="48"/>
      <c r="L6" s="47">
        <v>38.343304224021395</v>
      </c>
      <c r="M6" s="48">
        <v>39.214742956385514</v>
      </c>
      <c r="N6" s="43">
        <v>43.073971628283772</v>
      </c>
      <c r="O6" s="53"/>
      <c r="P6" s="54">
        <v>0.19499999999999998</v>
      </c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</row>
    <row r="7" spans="1:34" x14ac:dyDescent="0.25">
      <c r="A7" s="3" t="s">
        <v>9</v>
      </c>
      <c r="B7" s="3" t="s">
        <v>12</v>
      </c>
      <c r="C7" s="8" t="s">
        <v>11</v>
      </c>
      <c r="D7" s="41">
        <v>155.26189112277328</v>
      </c>
      <c r="E7" s="42">
        <v>220.82794367654665</v>
      </c>
      <c r="F7" s="43">
        <v>260.67415366989428</v>
      </c>
      <c r="G7" s="48"/>
      <c r="H7" s="47">
        <v>13.078397926276066</v>
      </c>
      <c r="I7" s="48">
        <v>21.015175970399728</v>
      </c>
      <c r="J7" s="43">
        <v>25.156423457741365</v>
      </c>
      <c r="K7" s="48"/>
      <c r="L7" s="47">
        <v>35.8167905969336</v>
      </c>
      <c r="M7" s="48">
        <v>36.630808565045733</v>
      </c>
      <c r="N7" s="43">
        <v>40.235745280970868</v>
      </c>
      <c r="O7" s="53"/>
      <c r="P7" s="54">
        <v>0.19499999999999998</v>
      </c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</row>
    <row r="8" spans="1:34" x14ac:dyDescent="0.25">
      <c r="A8" s="3" t="s">
        <v>9</v>
      </c>
      <c r="B8" s="3" t="s">
        <v>209</v>
      </c>
      <c r="C8" s="8" t="s">
        <v>11</v>
      </c>
      <c r="D8" s="41">
        <v>155.26189112277328</v>
      </c>
      <c r="E8" s="42">
        <v>220.82794367654665</v>
      </c>
      <c r="F8" s="43">
        <v>260.67415366989428</v>
      </c>
      <c r="G8" s="48"/>
      <c r="H8" s="47">
        <v>13.078397926276066</v>
      </c>
      <c r="I8" s="48">
        <v>21.015175970399728</v>
      </c>
      <c r="J8" s="43">
        <v>25.156423457741365</v>
      </c>
      <c r="K8" s="48"/>
      <c r="L8" s="47">
        <v>35.8167905969336</v>
      </c>
      <c r="M8" s="48">
        <v>36.630808565045733</v>
      </c>
      <c r="N8" s="43">
        <v>40.235745280970868</v>
      </c>
      <c r="O8" s="53"/>
      <c r="P8" s="54">
        <v>0.19499999999999998</v>
      </c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</row>
    <row r="9" spans="1:34" x14ac:dyDescent="0.25">
      <c r="A9" s="3" t="s">
        <v>9</v>
      </c>
      <c r="B9" s="3" t="s">
        <v>13</v>
      </c>
      <c r="C9" s="8" t="s">
        <v>11</v>
      </c>
      <c r="D9" s="41">
        <v>203.40703304013599</v>
      </c>
      <c r="E9" s="42">
        <v>289.61152893783719</v>
      </c>
      <c r="F9" s="43">
        <v>342.00010163352795</v>
      </c>
      <c r="G9" s="48"/>
      <c r="H9" s="47">
        <v>17.134670811418154</v>
      </c>
      <c r="I9" s="48">
        <v>27.533045280214662</v>
      </c>
      <c r="J9" s="43">
        <v>32.958703135573728</v>
      </c>
      <c r="K9" s="48"/>
      <c r="L9" s="47">
        <v>46.925389475031949</v>
      </c>
      <c r="M9" s="48">
        <v>47.991875599464485</v>
      </c>
      <c r="N9" s="43">
        <v>52.714885579094329</v>
      </c>
      <c r="O9" s="53"/>
      <c r="P9" s="54">
        <v>0.19499999999999998</v>
      </c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</row>
    <row r="10" spans="1:34" x14ac:dyDescent="0.25">
      <c r="A10" s="3" t="s">
        <v>9</v>
      </c>
      <c r="B10" s="3" t="s">
        <v>14</v>
      </c>
      <c r="C10" s="8" t="s">
        <v>11</v>
      </c>
      <c r="D10" s="41">
        <v>159.00339086406976</v>
      </c>
      <c r="E10" s="42">
        <v>225.81025020326703</v>
      </c>
      <c r="F10" s="43">
        <v>267.63013711286862</v>
      </c>
      <c r="G10" s="48"/>
      <c r="H10" s="47">
        <v>13.580275953115256</v>
      </c>
      <c r="I10" s="48">
        <v>21.821624520838178</v>
      </c>
      <c r="J10" s="43">
        <v>26.121790640975352</v>
      </c>
      <c r="K10" s="48"/>
      <c r="L10" s="47">
        <v>37.191244891246384</v>
      </c>
      <c r="M10" s="48">
        <v>38.036500456956531</v>
      </c>
      <c r="N10" s="43">
        <v>41.779775105101457</v>
      </c>
      <c r="O10" s="53"/>
      <c r="P10" s="54">
        <v>0.19499999999999998</v>
      </c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</row>
    <row r="11" spans="1:34" x14ac:dyDescent="0.25">
      <c r="A11" s="3" t="s">
        <v>9</v>
      </c>
      <c r="B11" s="3" t="s">
        <v>15</v>
      </c>
      <c r="C11" s="8" t="s">
        <v>11</v>
      </c>
      <c r="D11" s="41">
        <v>198.01897775149678</v>
      </c>
      <c r="E11" s="42">
        <v>281.91366693768941</v>
      </c>
      <c r="F11" s="43">
        <v>332.89868061201861</v>
      </c>
      <c r="G11" s="48"/>
      <c r="H11" s="47">
        <v>16.680720359837629</v>
      </c>
      <c r="I11" s="48">
        <v>26.803609712067551</v>
      </c>
      <c r="J11" s="43">
        <v>32.085525101599941</v>
      </c>
      <c r="K11" s="48"/>
      <c r="L11" s="47">
        <v>45.682190701199204</v>
      </c>
      <c r="M11" s="48">
        <v>46.72042230804464</v>
      </c>
      <c r="N11" s="43">
        <v>51.318305138360145</v>
      </c>
      <c r="O11" s="53"/>
      <c r="P11" s="54">
        <v>0.19499999999999998</v>
      </c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</row>
    <row r="12" spans="1:34" x14ac:dyDescent="0.25">
      <c r="A12" s="3" t="s">
        <v>9</v>
      </c>
      <c r="B12" s="3" t="s">
        <v>16</v>
      </c>
      <c r="C12" s="8" t="s">
        <v>11</v>
      </c>
      <c r="D12" s="41">
        <v>162.16387020474536</v>
      </c>
      <c r="E12" s="42">
        <v>230.31820533668414</v>
      </c>
      <c r="F12" s="43">
        <v>272.98160433143613</v>
      </c>
      <c r="G12" s="48"/>
      <c r="H12" s="47">
        <v>13.638362069647998</v>
      </c>
      <c r="I12" s="48">
        <v>21.914960873444503</v>
      </c>
      <c r="J12" s="43">
        <v>26.233519841505149</v>
      </c>
      <c r="K12" s="48"/>
      <c r="L12" s="47">
        <v>37.350320818142784</v>
      </c>
      <c r="M12" s="48">
        <v>38.199191745827846</v>
      </c>
      <c r="N12" s="43">
        <v>41.958477282718839</v>
      </c>
      <c r="O12" s="53"/>
      <c r="P12" s="54">
        <v>0.19499999999999998</v>
      </c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</row>
    <row r="13" spans="1:34" x14ac:dyDescent="0.25">
      <c r="A13" s="3" t="s">
        <v>9</v>
      </c>
      <c r="B13" s="3" t="s">
        <v>17</v>
      </c>
      <c r="C13" s="8" t="s">
        <v>11</v>
      </c>
      <c r="D13" s="41">
        <v>155.34384470396924</v>
      </c>
      <c r="E13" s="42">
        <v>220.59049079754601</v>
      </c>
      <c r="F13" s="43">
        <v>261.43367950328923</v>
      </c>
      <c r="G13" s="48"/>
      <c r="H13" s="47">
        <v>13.267600277423409</v>
      </c>
      <c r="I13" s="48">
        <v>21.319197971090368</v>
      </c>
      <c r="J13" s="43">
        <v>25.520355989194634</v>
      </c>
      <c r="K13" s="48"/>
      <c r="L13" s="47">
        <v>36.334944351674224</v>
      </c>
      <c r="M13" s="48">
        <v>37.160738541485003</v>
      </c>
      <c r="N13" s="43">
        <v>40.817827096361313</v>
      </c>
      <c r="O13" s="53"/>
      <c r="P13" s="54">
        <v>0.19499999999999998</v>
      </c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</row>
    <row r="14" spans="1:34" x14ac:dyDescent="0.25">
      <c r="A14" s="3" t="s">
        <v>9</v>
      </c>
      <c r="B14" s="3" t="s">
        <v>18</v>
      </c>
      <c r="C14" s="8" t="s">
        <v>11</v>
      </c>
      <c r="D14" s="41">
        <v>153.22104368393821</v>
      </c>
      <c r="E14" s="42">
        <v>217.56255081676397</v>
      </c>
      <c r="F14" s="43">
        <v>257.83922499815208</v>
      </c>
      <c r="G14" s="48"/>
      <c r="H14" s="47">
        <v>12.452443591535083</v>
      </c>
      <c r="I14" s="48">
        <v>20.009353960076339</v>
      </c>
      <c r="J14" s="43">
        <v>23.952394309926873</v>
      </c>
      <c r="K14" s="48"/>
      <c r="L14" s="47">
        <v>34.102538174194827</v>
      </c>
      <c r="M14" s="48">
        <v>34.877595859971976</v>
      </c>
      <c r="N14" s="43">
        <v>38.309994182699377</v>
      </c>
      <c r="O14" s="53"/>
      <c r="P14" s="54">
        <v>0.19499999999999998</v>
      </c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</row>
    <row r="15" spans="1:34" x14ac:dyDescent="0.25">
      <c r="A15" s="3" t="s">
        <v>9</v>
      </c>
      <c r="B15" s="3" t="s">
        <v>19</v>
      </c>
      <c r="C15" s="8" t="s">
        <v>11</v>
      </c>
      <c r="D15" s="41">
        <v>131.20080013304752</v>
      </c>
      <c r="E15" s="42">
        <v>187.13878520215832</v>
      </c>
      <c r="F15" s="43">
        <v>222.15495417251827</v>
      </c>
      <c r="G15" s="48"/>
      <c r="H15" s="47">
        <v>13.139687151853261</v>
      </c>
      <c r="I15" s="48">
        <v>21.113659276065672</v>
      </c>
      <c r="J15" s="43">
        <v>25.27431386914407</v>
      </c>
      <c r="K15" s="48"/>
      <c r="L15" s="47">
        <v>35.984638629293606</v>
      </c>
      <c r="M15" s="48">
        <v>36.802471325413919</v>
      </c>
      <c r="N15" s="43">
        <v>40.424301836803863</v>
      </c>
      <c r="O15" s="53"/>
      <c r="P15" s="54">
        <v>0.19499999999999998</v>
      </c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</row>
    <row r="16" spans="1:34" x14ac:dyDescent="0.25">
      <c r="A16" s="3" t="s">
        <v>9</v>
      </c>
      <c r="B16" s="3" t="s">
        <v>20</v>
      </c>
      <c r="C16" s="8" t="s">
        <v>11</v>
      </c>
      <c r="D16" s="41">
        <v>146.52778291078423</v>
      </c>
      <c r="E16" s="42">
        <v>208.01560536625027</v>
      </c>
      <c r="F16" s="43">
        <v>246.50593170226918</v>
      </c>
      <c r="G16" s="48"/>
      <c r="H16" s="47">
        <v>12.514331959811241</v>
      </c>
      <c r="I16" s="48">
        <v>20.108800005163506</v>
      </c>
      <c r="J16" s="43">
        <v>24.071437178039616</v>
      </c>
      <c r="K16" s="48"/>
      <c r="L16" s="47">
        <v>34.272027032037229</v>
      </c>
      <c r="M16" s="48">
        <v>35.050936737310799</v>
      </c>
      <c r="N16" s="43">
        <v>38.500394003522338</v>
      </c>
      <c r="O16" s="53"/>
      <c r="P16" s="54">
        <v>0.19499999999999998</v>
      </c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</row>
    <row r="17" spans="1:34" x14ac:dyDescent="0.25">
      <c r="A17" s="3" t="s">
        <v>9</v>
      </c>
      <c r="B17" s="3" t="s">
        <v>21</v>
      </c>
      <c r="C17" s="8" t="s">
        <v>11</v>
      </c>
      <c r="D17" s="41">
        <v>156.50824155517776</v>
      </c>
      <c r="E17" s="42">
        <v>222.25132123586368</v>
      </c>
      <c r="F17" s="43">
        <v>263.40527755192545</v>
      </c>
      <c r="G17" s="48"/>
      <c r="H17" s="47">
        <v>13.367088690717782</v>
      </c>
      <c r="I17" s="48">
        <v>21.479062086265863</v>
      </c>
      <c r="J17" s="43">
        <v>25.711722903405409</v>
      </c>
      <c r="K17" s="48"/>
      <c r="L17" s="47">
        <v>36.60740552664938</v>
      </c>
      <c r="M17" s="48">
        <v>37.439392015891407</v>
      </c>
      <c r="N17" s="43">
        <v>41.12390361110613</v>
      </c>
      <c r="O17" s="53"/>
      <c r="P17" s="54">
        <v>0.19499999999999998</v>
      </c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</row>
    <row r="18" spans="1:34" x14ac:dyDescent="0.25">
      <c r="A18" s="3" t="s">
        <v>9</v>
      </c>
      <c r="B18" s="3" t="s">
        <v>22</v>
      </c>
      <c r="C18" s="8" t="s">
        <v>11</v>
      </c>
      <c r="D18" s="41">
        <v>164.3263083006874</v>
      </c>
      <c r="E18" s="42">
        <v>233.40264431960972</v>
      </c>
      <c r="F18" s="43">
        <v>276.64313696503802</v>
      </c>
      <c r="G18" s="48"/>
      <c r="H18" s="47">
        <v>14.035082871502631</v>
      </c>
      <c r="I18" s="48">
        <v>22.552436312645114</v>
      </c>
      <c r="J18" s="43">
        <v>26.996616097041056</v>
      </c>
      <c r="K18" s="48"/>
      <c r="L18" s="47">
        <v>38.436789204070003</v>
      </c>
      <c r="M18" s="48">
        <v>39.310352595071599</v>
      </c>
      <c r="N18" s="43">
        <v>43.178990469507212</v>
      </c>
      <c r="O18" s="53"/>
      <c r="P18" s="54">
        <v>0.19499999999999998</v>
      </c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</row>
    <row r="19" spans="1:34" x14ac:dyDescent="0.25">
      <c r="A19" s="3" t="s">
        <v>9</v>
      </c>
      <c r="B19" s="3" t="s">
        <v>23</v>
      </c>
      <c r="C19" s="8" t="s">
        <v>11</v>
      </c>
      <c r="D19" s="41">
        <v>145.52974166605068</v>
      </c>
      <c r="E19" s="42">
        <v>206.59204301870056</v>
      </c>
      <c r="F19" s="43">
        <v>244.81599711730357</v>
      </c>
      <c r="G19" s="48"/>
      <c r="H19" s="47">
        <v>12.429061663642242</v>
      </c>
      <c r="I19" s="48">
        <v>19.971782437022433</v>
      </c>
      <c r="J19" s="43">
        <v>23.907418948063256</v>
      </c>
      <c r="K19" s="48"/>
      <c r="L19" s="47">
        <v>34.038503907932899</v>
      </c>
      <c r="M19" s="48">
        <v>34.812106269476836</v>
      </c>
      <c r="N19" s="43">
        <v>38.238059584885661</v>
      </c>
      <c r="O19" s="53"/>
      <c r="P19" s="54">
        <v>0.19499999999999998</v>
      </c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</row>
    <row r="20" spans="1:34" x14ac:dyDescent="0.25">
      <c r="A20" s="3" t="s">
        <v>9</v>
      </c>
      <c r="B20" s="3" t="s">
        <v>24</v>
      </c>
      <c r="C20" s="8" t="s">
        <v>11</v>
      </c>
      <c r="D20" s="41">
        <v>154.67851467218566</v>
      </c>
      <c r="E20" s="42">
        <v>219.64146463153224</v>
      </c>
      <c r="F20" s="43">
        <v>260.30707184566484</v>
      </c>
      <c r="G20" s="48"/>
      <c r="H20" s="47">
        <v>13.210750852871859</v>
      </c>
      <c r="I20" s="48">
        <v>21.227848811391958</v>
      </c>
      <c r="J20" s="43">
        <v>25.411005577515052</v>
      </c>
      <c r="K20" s="48"/>
      <c r="L20" s="47">
        <v>36.179255256863293</v>
      </c>
      <c r="M20" s="48">
        <v>37.001511058155643</v>
      </c>
      <c r="N20" s="43">
        <v>40.64292960673604</v>
      </c>
      <c r="O20" s="53"/>
      <c r="P20" s="54">
        <v>0.19499999999999998</v>
      </c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</row>
    <row r="21" spans="1:34" x14ac:dyDescent="0.25">
      <c r="A21" s="3" t="s">
        <v>9</v>
      </c>
      <c r="B21" s="3" t="s">
        <v>25</v>
      </c>
      <c r="C21" s="8" t="s">
        <v>11</v>
      </c>
      <c r="D21" s="41">
        <v>162.49653522063713</v>
      </c>
      <c r="E21" s="42">
        <v>230.79269532116194</v>
      </c>
      <c r="F21" s="43">
        <v>273.54488506171924</v>
      </c>
      <c r="G21" s="48"/>
      <c r="H21" s="47">
        <v>13.878745033656708</v>
      </c>
      <c r="I21" s="48">
        <v>22.301223037771209</v>
      </c>
      <c r="J21" s="43">
        <v>26.695898771150699</v>
      </c>
      <c r="K21" s="48"/>
      <c r="L21" s="47">
        <v>38.008638934283915</v>
      </c>
      <c r="M21" s="48">
        <v>38.872471637335821</v>
      </c>
      <c r="N21" s="43">
        <v>42.698016465137137</v>
      </c>
      <c r="O21" s="53"/>
      <c r="P21" s="54">
        <v>0.19499999999999998</v>
      </c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</row>
    <row r="22" spans="1:34" x14ac:dyDescent="0.25">
      <c r="A22" s="3" t="s">
        <v>9</v>
      </c>
      <c r="B22" s="3" t="s">
        <v>26</v>
      </c>
      <c r="C22" s="8" t="s">
        <v>11</v>
      </c>
      <c r="D22" s="41">
        <v>191.77262731909229</v>
      </c>
      <c r="E22" s="42">
        <v>272.55072436987211</v>
      </c>
      <c r="F22" s="43">
        <v>323.11645354423825</v>
      </c>
      <c r="G22" s="48"/>
      <c r="H22" s="47">
        <v>16.380154279849808</v>
      </c>
      <c r="I22" s="48">
        <v>26.32064160716024</v>
      </c>
      <c r="J22" s="43">
        <v>31.507383372939454</v>
      </c>
      <c r="K22" s="48"/>
      <c r="L22" s="47">
        <v>44.859053768973261</v>
      </c>
      <c r="M22" s="48">
        <v>45.878577718268112</v>
      </c>
      <c r="N22" s="43">
        <v>50.393612350859577</v>
      </c>
      <c r="O22" s="53"/>
      <c r="P22" s="54">
        <v>0.19499999999999998</v>
      </c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</row>
    <row r="23" spans="1:34" x14ac:dyDescent="0.25">
      <c r="A23" s="3" t="s">
        <v>9</v>
      </c>
      <c r="B23" s="3" t="s">
        <v>27</v>
      </c>
      <c r="C23" s="8" t="s">
        <v>11</v>
      </c>
      <c r="D23" s="41">
        <v>150.18728287382658</v>
      </c>
      <c r="E23" s="42">
        <v>213.23531857491312</v>
      </c>
      <c r="F23" s="43">
        <v>252.70234311479044</v>
      </c>
      <c r="G23" s="48"/>
      <c r="H23" s="47">
        <v>12.827011476161415</v>
      </c>
      <c r="I23" s="48">
        <v>20.611232726317862</v>
      </c>
      <c r="J23" s="43">
        <v>24.672879217363352</v>
      </c>
      <c r="K23" s="48"/>
      <c r="L23" s="47">
        <v>35.128338089721446</v>
      </c>
      <c r="M23" s="48">
        <v>35.92670940994239</v>
      </c>
      <c r="N23" s="43">
        <v>39.462353828063712</v>
      </c>
      <c r="O23" s="53"/>
      <c r="P23" s="54">
        <v>0.19499999999999998</v>
      </c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</row>
    <row r="24" spans="1:34" x14ac:dyDescent="0.25">
      <c r="A24" s="3" t="s">
        <v>9</v>
      </c>
      <c r="B24" s="3" t="s">
        <v>28</v>
      </c>
      <c r="C24" s="8" t="s">
        <v>11</v>
      </c>
      <c r="D24" s="41">
        <v>176.46920504102297</v>
      </c>
      <c r="E24" s="42">
        <v>250.72266058097418</v>
      </c>
      <c r="F24" s="43">
        <v>297.20401544829622</v>
      </c>
      <c r="G24" s="48"/>
      <c r="H24" s="47">
        <v>15.07259447121422</v>
      </c>
      <c r="I24" s="48">
        <v>24.219573905657494</v>
      </c>
      <c r="J24" s="43">
        <v>28.992279579050976</v>
      </c>
      <c r="K24" s="48"/>
      <c r="L24" s="47">
        <v>41.27814147964957</v>
      </c>
      <c r="M24" s="48">
        <v>42.216281058732513</v>
      </c>
      <c r="N24" s="43">
        <v>46.370899194671267</v>
      </c>
      <c r="O24" s="53"/>
      <c r="P24" s="54">
        <v>0.19499999999999998</v>
      </c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</row>
    <row r="25" spans="1:34" x14ac:dyDescent="0.25">
      <c r="A25" s="3" t="s">
        <v>9</v>
      </c>
      <c r="B25" s="3" t="s">
        <v>29</v>
      </c>
      <c r="C25" s="8" t="s">
        <v>11</v>
      </c>
      <c r="D25" s="41">
        <v>149.688308448518</v>
      </c>
      <c r="E25" s="42">
        <v>212.52356049966735</v>
      </c>
      <c r="F25" s="43">
        <v>251.85739892083672</v>
      </c>
      <c r="G25" s="48"/>
      <c r="H25" s="47">
        <v>12.784376328076913</v>
      </c>
      <c r="I25" s="48">
        <v>20.542723942247324</v>
      </c>
      <c r="J25" s="43">
        <v>24.590870102375167</v>
      </c>
      <c r="K25" s="48"/>
      <c r="L25" s="47">
        <v>35.011576527669291</v>
      </c>
      <c r="M25" s="48">
        <v>35.807294176025408</v>
      </c>
      <c r="N25" s="43">
        <v>39.331186618745377</v>
      </c>
      <c r="O25" s="53"/>
      <c r="P25" s="54">
        <v>0.19499999999999998</v>
      </c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</row>
    <row r="26" spans="1:34" x14ac:dyDescent="0.25">
      <c r="A26" s="3" t="s">
        <v>9</v>
      </c>
      <c r="B26" s="3" t="s">
        <v>30</v>
      </c>
      <c r="C26" s="8" t="s">
        <v>11</v>
      </c>
      <c r="D26" s="41">
        <v>211.40087959198758</v>
      </c>
      <c r="E26" s="42">
        <v>300.54761992756301</v>
      </c>
      <c r="F26" s="43">
        <v>356.3518645132678</v>
      </c>
      <c r="G26" s="48"/>
      <c r="H26" s="47">
        <v>17.78</v>
      </c>
      <c r="I26" s="48">
        <v>28.57</v>
      </c>
      <c r="J26" s="43">
        <v>34.200000000000003</v>
      </c>
      <c r="K26" s="48"/>
      <c r="L26" s="47">
        <v>48.692702302170133</v>
      </c>
      <c r="M26" s="48">
        <v>49.799354627219451</v>
      </c>
      <c r="N26" s="43">
        <v>54.700243495295013</v>
      </c>
      <c r="O26" s="53"/>
      <c r="P26" s="54">
        <v>0.19499999999999998</v>
      </c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</row>
    <row r="27" spans="1:34" x14ac:dyDescent="0.25">
      <c r="A27" s="3" t="s">
        <v>9</v>
      </c>
      <c r="B27" s="3" t="s">
        <v>31</v>
      </c>
      <c r="C27" s="8" t="s">
        <v>11</v>
      </c>
      <c r="D27" s="41">
        <v>192.60431295735086</v>
      </c>
      <c r="E27" s="42">
        <v>273.73706482371199</v>
      </c>
      <c r="F27" s="43">
        <v>324.52467846847509</v>
      </c>
      <c r="G27" s="48"/>
      <c r="H27" s="47">
        <v>16.45121798086841</v>
      </c>
      <c r="I27" s="48">
        <v>26.434831142486527</v>
      </c>
      <c r="J27" s="43">
        <v>31.64407508131044</v>
      </c>
      <c r="K27" s="48"/>
      <c r="L27" s="47">
        <v>45.053670396542955</v>
      </c>
      <c r="M27" s="48">
        <v>46.077617451009843</v>
      </c>
      <c r="N27" s="43">
        <v>50.612240120791768</v>
      </c>
      <c r="O27" s="53"/>
      <c r="P27" s="54">
        <v>0.19499999999999998</v>
      </c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</row>
    <row r="28" spans="1:34" x14ac:dyDescent="0.25">
      <c r="A28" s="3" t="s">
        <v>9</v>
      </c>
      <c r="B28" s="3" t="s">
        <v>32</v>
      </c>
      <c r="C28" s="8" t="s">
        <v>11</v>
      </c>
      <c r="D28" s="41">
        <v>199.92331288343556</v>
      </c>
      <c r="E28" s="42">
        <v>284.17662983221226</v>
      </c>
      <c r="F28" s="43">
        <v>336.91754749057577</v>
      </c>
      <c r="G28" s="48"/>
      <c r="H28" s="47">
        <v>17.076569332252106</v>
      </c>
      <c r="I28" s="48">
        <v>27.43968424198215</v>
      </c>
      <c r="J28" s="43">
        <v>32.846944384871875</v>
      </c>
      <c r="K28" s="48"/>
      <c r="L28" s="47">
        <v>46.766271475687269</v>
      </c>
      <c r="M28" s="48">
        <v>47.829141281952893</v>
      </c>
      <c r="N28" s="43">
        <v>52.53613613827207</v>
      </c>
      <c r="O28" s="53"/>
      <c r="P28" s="54">
        <v>0.19499999999999998</v>
      </c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</row>
    <row r="29" spans="1:34" x14ac:dyDescent="0.25">
      <c r="A29" s="3" t="s">
        <v>9</v>
      </c>
      <c r="B29" s="3" t="s">
        <v>33</v>
      </c>
      <c r="C29" s="8" t="s">
        <v>11</v>
      </c>
      <c r="D29" s="41">
        <v>150.35368467735972</v>
      </c>
      <c r="E29" s="42">
        <v>213.47263286273929</v>
      </c>
      <c r="F29" s="43">
        <v>252.98396038140291</v>
      </c>
      <c r="G29" s="48"/>
      <c r="H29" s="47">
        <v>12.841221911970139</v>
      </c>
      <c r="I29" s="48">
        <v>20.634066930539191</v>
      </c>
      <c r="J29" s="43">
        <v>24.700213126511741</v>
      </c>
      <c r="K29" s="48"/>
      <c r="L29" s="47">
        <v>35.167255104368152</v>
      </c>
      <c r="M29" s="48">
        <v>35.966510902194699</v>
      </c>
      <c r="N29" s="43">
        <v>39.506072292569421</v>
      </c>
      <c r="O29" s="53"/>
      <c r="P29" s="54">
        <v>0.19499999999999998</v>
      </c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</row>
    <row r="30" spans="1:34" x14ac:dyDescent="0.25">
      <c r="A30" s="3" t="s">
        <v>9</v>
      </c>
      <c r="B30" s="3" t="s">
        <v>34</v>
      </c>
      <c r="C30" s="8" t="s">
        <v>11</v>
      </c>
      <c r="D30" s="41">
        <v>151.85070034740187</v>
      </c>
      <c r="E30" s="42">
        <v>215.60799948259293</v>
      </c>
      <c r="F30" s="43">
        <v>255.51888535738041</v>
      </c>
      <c r="G30" s="48"/>
      <c r="H30" s="47">
        <v>12.770859822414655</v>
      </c>
      <c r="I30" s="48">
        <v>20.521004787760781</v>
      </c>
      <c r="J30" s="43">
        <v>24.56487097449838</v>
      </c>
      <c r="K30" s="48"/>
      <c r="L30" s="47">
        <v>34.974559925510803</v>
      </c>
      <c r="M30" s="48">
        <v>35.769436287454226</v>
      </c>
      <c r="N30" s="43">
        <v>39.28960303320369</v>
      </c>
      <c r="O30" s="53"/>
      <c r="P30" s="54">
        <v>0.19499999999999998</v>
      </c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</row>
    <row r="31" spans="1:34" x14ac:dyDescent="0.25">
      <c r="A31" s="3" t="s">
        <v>9</v>
      </c>
      <c r="B31" s="3" t="s">
        <v>35</v>
      </c>
      <c r="C31" s="8" t="s">
        <v>11</v>
      </c>
      <c r="D31" s="41">
        <v>191.60631790967551</v>
      </c>
      <c r="E31" s="42">
        <v>272.31350247616228</v>
      </c>
      <c r="F31" s="43">
        <v>322.83479008056764</v>
      </c>
      <c r="G31" s="48"/>
      <c r="H31" s="47">
        <v>16.114952444041919</v>
      </c>
      <c r="I31" s="48">
        <v>25.894498949734395</v>
      </c>
      <c r="J31" s="43">
        <v>30.997265106087376</v>
      </c>
      <c r="K31" s="48"/>
      <c r="L31" s="47">
        <v>44.132766140121589</v>
      </c>
      <c r="M31" s="48">
        <v>45.135783552397079</v>
      </c>
      <c r="N31" s="43">
        <v>49.577717806759971</v>
      </c>
      <c r="O31" s="53"/>
      <c r="P31" s="54">
        <v>0.19499999999999998</v>
      </c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</row>
    <row r="32" spans="1:34" x14ac:dyDescent="0.25">
      <c r="A32" s="3" t="s">
        <v>9</v>
      </c>
      <c r="B32" s="3" t="s">
        <v>36</v>
      </c>
      <c r="C32" s="8" t="s">
        <v>11</v>
      </c>
      <c r="D32" s="41">
        <v>154.01313844334391</v>
      </c>
      <c r="E32" s="42">
        <v>218.69239226846034</v>
      </c>
      <c r="F32" s="43">
        <v>259.1804641880405</v>
      </c>
      <c r="G32" s="48"/>
      <c r="H32" s="47">
        <v>13.153901428320312</v>
      </c>
      <c r="I32" s="48">
        <v>21.136499651693548</v>
      </c>
      <c r="J32" s="43">
        <v>25.30165516583547</v>
      </c>
      <c r="K32" s="48"/>
      <c r="L32" s="47">
        <v>36.023566162052383</v>
      </c>
      <c r="M32" s="48">
        <v>36.842283574826297</v>
      </c>
      <c r="N32" s="43">
        <v>40.468032117110788</v>
      </c>
      <c r="O32" s="53"/>
      <c r="P32" s="54">
        <v>0.19499999999999998</v>
      </c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</row>
    <row r="33" spans="1:34" x14ac:dyDescent="0.25">
      <c r="A33" s="3" t="s">
        <v>9</v>
      </c>
      <c r="B33" s="3" t="s">
        <v>37</v>
      </c>
      <c r="C33" s="8" t="s">
        <v>11</v>
      </c>
      <c r="D33" s="41">
        <v>164.49266390716238</v>
      </c>
      <c r="E33" s="42">
        <v>233.63986621331952</v>
      </c>
      <c r="F33" s="43">
        <v>276.92480042870869</v>
      </c>
      <c r="G33" s="48"/>
      <c r="H33" s="47">
        <v>13.834251275788178</v>
      </c>
      <c r="I33" s="48">
        <v>22.229727724930719</v>
      </c>
      <c r="J33" s="43">
        <v>26.610314602472197</v>
      </c>
      <c r="K33" s="48"/>
      <c r="L33" s="47">
        <v>37.886787342259332</v>
      </c>
      <c r="M33" s="48">
        <v>38.747850690947047</v>
      </c>
      <c r="N33" s="43">
        <v>42.561131235135484</v>
      </c>
      <c r="O33" s="53"/>
      <c r="P33" s="54">
        <v>0.19499999999999998</v>
      </c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</row>
    <row r="34" spans="1:34" x14ac:dyDescent="0.25">
      <c r="A34" s="3" t="s">
        <v>9</v>
      </c>
      <c r="B34" s="3" t="s">
        <v>38</v>
      </c>
      <c r="C34" s="8" t="s">
        <v>11</v>
      </c>
      <c r="D34" s="41">
        <v>186.2833542759997</v>
      </c>
      <c r="E34" s="42">
        <v>264.72110835981965</v>
      </c>
      <c r="F34" s="43">
        <v>313.82179022839824</v>
      </c>
      <c r="G34" s="48"/>
      <c r="H34" s="47">
        <v>15.911136925653713</v>
      </c>
      <c r="I34" s="48">
        <v>25.566995611131976</v>
      </c>
      <c r="J34" s="43">
        <v>30.605224007725365</v>
      </c>
      <c r="K34" s="48"/>
      <c r="L34" s="47">
        <v>43.574592441502951</v>
      </c>
      <c r="M34" s="48">
        <v>44.564924087900749</v>
      </c>
      <c r="N34" s="43">
        <v>48.95067852194812</v>
      </c>
      <c r="O34" s="53"/>
      <c r="P34" s="54">
        <v>0.19499999999999998</v>
      </c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</row>
    <row r="35" spans="1:34" x14ac:dyDescent="0.25">
      <c r="A35" s="3" t="s">
        <v>9</v>
      </c>
      <c r="B35" s="3" t="s">
        <v>210</v>
      </c>
      <c r="C35" s="8" t="s">
        <v>11</v>
      </c>
      <c r="D35" s="41">
        <v>190.27551925493384</v>
      </c>
      <c r="E35" s="42">
        <v>270.41540394707664</v>
      </c>
      <c r="F35" s="43">
        <v>320.58152856826075</v>
      </c>
      <c r="G35" s="48"/>
      <c r="H35" s="47">
        <v>16.003018915132092</v>
      </c>
      <c r="I35" s="48">
        <v>25.714637255642511</v>
      </c>
      <c r="J35" s="43">
        <v>30.781959892998739</v>
      </c>
      <c r="K35" s="48"/>
      <c r="L35" s="47">
        <v>43.826222495530061</v>
      </c>
      <c r="M35" s="48">
        <v>44.822273006792102</v>
      </c>
      <c r="N35" s="43">
        <v>49.23335384238117</v>
      </c>
      <c r="O35" s="53"/>
      <c r="P35" s="54">
        <v>0.19499999999999998</v>
      </c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</row>
    <row r="36" spans="1:34" x14ac:dyDescent="0.25">
      <c r="A36" s="3" t="s">
        <v>9</v>
      </c>
      <c r="B36" s="3" t="s">
        <v>39</v>
      </c>
      <c r="C36" s="8" t="s">
        <v>11</v>
      </c>
      <c r="D36" s="41">
        <v>155.1775814916106</v>
      </c>
      <c r="E36" s="42">
        <v>220.35322270677801</v>
      </c>
      <c r="F36" s="43">
        <v>261.15201603961856</v>
      </c>
      <c r="G36" s="48"/>
      <c r="H36" s="47">
        <v>13.050701287599283</v>
      </c>
      <c r="I36" s="48">
        <v>20.97067130408951</v>
      </c>
      <c r="J36" s="43">
        <v>25.103148708430567</v>
      </c>
      <c r="K36" s="48"/>
      <c r="L36" s="47">
        <v>35.740939968032627</v>
      </c>
      <c r="M36" s="48">
        <v>36.553234058215189</v>
      </c>
      <c r="N36" s="43">
        <v>40.150536457595095</v>
      </c>
      <c r="O36" s="53"/>
      <c r="P36" s="54">
        <v>0.19499999999999998</v>
      </c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</row>
    <row r="37" spans="1:34" x14ac:dyDescent="0.25">
      <c r="A37" s="3" t="s">
        <v>9</v>
      </c>
      <c r="B37" s="3" t="s">
        <v>40</v>
      </c>
      <c r="C37" s="8" t="s">
        <v>11</v>
      </c>
      <c r="D37" s="41">
        <v>185.78428745657476</v>
      </c>
      <c r="E37" s="42">
        <v>264.00930408751572</v>
      </c>
      <c r="F37" s="43">
        <v>312.97679983738635</v>
      </c>
      <c r="G37" s="48"/>
      <c r="H37" s="47">
        <v>15.868501777569215</v>
      </c>
      <c r="I37" s="48">
        <v>25.498486827061441</v>
      </c>
      <c r="J37" s="43">
        <v>30.523214892737183</v>
      </c>
      <c r="K37" s="48"/>
      <c r="L37" s="47">
        <v>43.457830879450796</v>
      </c>
      <c r="M37" s="48">
        <v>44.445508853983767</v>
      </c>
      <c r="N37" s="43">
        <v>48.819511312629785</v>
      </c>
      <c r="O37" s="53"/>
      <c r="P37" s="54">
        <v>0.19499999999999998</v>
      </c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</row>
    <row r="38" spans="1:34" x14ac:dyDescent="0.25">
      <c r="A38" s="3" t="s">
        <v>9</v>
      </c>
      <c r="B38" s="3" t="s">
        <v>41</v>
      </c>
      <c r="C38" s="8" t="s">
        <v>11</v>
      </c>
      <c r="D38" s="41">
        <v>210.73554956020399</v>
      </c>
      <c r="E38" s="42">
        <v>299.59854756449107</v>
      </c>
      <c r="F38" s="43">
        <v>355.22530305270158</v>
      </c>
      <c r="G38" s="48"/>
      <c r="H38" s="47">
        <v>17.724037114609999</v>
      </c>
      <c r="I38" s="48">
        <v>28.48007538607467</v>
      </c>
      <c r="J38" s="43">
        <v>34.092354854874124</v>
      </c>
      <c r="K38" s="48"/>
      <c r="L38" s="47">
        <v>48.53944110316754</v>
      </c>
      <c r="M38" s="48">
        <v>49.642610219148622</v>
      </c>
      <c r="N38" s="43">
        <v>54.528073447064841</v>
      </c>
      <c r="O38" s="53"/>
      <c r="P38" s="54">
        <v>0.19499999999999998</v>
      </c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</row>
    <row r="39" spans="1:34" x14ac:dyDescent="0.25">
      <c r="A39" s="3" t="s">
        <v>9</v>
      </c>
      <c r="B39" s="3" t="s">
        <v>42</v>
      </c>
      <c r="C39" s="8" t="s">
        <v>11</v>
      </c>
      <c r="D39" s="41">
        <v>206.24431776184491</v>
      </c>
      <c r="E39" s="42">
        <v>293.19249390198831</v>
      </c>
      <c r="F39" s="43">
        <v>347.62052812476901</v>
      </c>
      <c r="G39" s="48"/>
      <c r="H39" s="47">
        <v>17.616650387466802</v>
      </c>
      <c r="I39" s="48">
        <v>28.307519773336701</v>
      </c>
      <c r="J39" s="43">
        <v>33.885795458456954</v>
      </c>
      <c r="K39" s="48"/>
      <c r="L39" s="47">
        <v>48.245349430727273</v>
      </c>
      <c r="M39" s="48">
        <v>49.341834645061986</v>
      </c>
      <c r="N39" s="43">
        <v>54.19769773711571</v>
      </c>
      <c r="O39" s="53"/>
      <c r="P39" s="54">
        <v>0.19499999999999998</v>
      </c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4"/>
    </row>
    <row r="40" spans="1:34" x14ac:dyDescent="0.25">
      <c r="A40" s="3" t="s">
        <v>9</v>
      </c>
      <c r="B40" s="3" t="s">
        <v>43</v>
      </c>
      <c r="C40" s="8" t="s">
        <v>11</v>
      </c>
      <c r="D40" s="41">
        <v>177.13458126986473</v>
      </c>
      <c r="E40" s="42">
        <v>251.67173294404611</v>
      </c>
      <c r="F40" s="43">
        <v>298.33066930297878</v>
      </c>
      <c r="G40" s="48"/>
      <c r="H40" s="47">
        <v>14.897646608226609</v>
      </c>
      <c r="I40" s="48">
        <v>23.938456895221268</v>
      </c>
      <c r="J40" s="43">
        <v>28.655765691864456</v>
      </c>
      <c r="K40" s="48"/>
      <c r="L40" s="47">
        <v>40.799025382301046</v>
      </c>
      <c r="M40" s="48">
        <v>41.726275959171531</v>
      </c>
      <c r="N40" s="43">
        <v>45.8326713710265</v>
      </c>
      <c r="O40" s="53"/>
      <c r="P40" s="54">
        <v>0.19499999999999998</v>
      </c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</row>
    <row r="41" spans="1:34" x14ac:dyDescent="0.25">
      <c r="A41" s="3" t="s">
        <v>9</v>
      </c>
      <c r="B41" s="3" t="s">
        <v>44</v>
      </c>
      <c r="C41" s="8" t="s">
        <v>11</v>
      </c>
      <c r="D41" s="41">
        <v>163.16191144947888</v>
      </c>
      <c r="E41" s="42">
        <v>231.74176768423385</v>
      </c>
      <c r="F41" s="43">
        <v>274.6715389164018</v>
      </c>
      <c r="G41" s="48"/>
      <c r="H41" s="47">
        <v>13.722317746878353</v>
      </c>
      <c r="I41" s="48">
        <v>22.049866030838839</v>
      </c>
      <c r="J41" s="43">
        <v>26.39500938938356</v>
      </c>
      <c r="K41" s="48"/>
      <c r="L41" s="47">
        <v>37.580243697667797</v>
      </c>
      <c r="M41" s="48">
        <v>38.43434014534207</v>
      </c>
      <c r="N41" s="43">
        <v>42.216767270756684</v>
      </c>
      <c r="O41" s="53"/>
      <c r="P41" s="54">
        <v>0.19499999999999998</v>
      </c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</row>
    <row r="42" spans="1:34" x14ac:dyDescent="0.25">
      <c r="A42" s="3" t="s">
        <v>9</v>
      </c>
      <c r="B42" s="3" t="s">
        <v>211</v>
      </c>
      <c r="C42" s="8" t="s">
        <v>11</v>
      </c>
      <c r="D42" s="41">
        <v>183.95456057358265</v>
      </c>
      <c r="E42" s="42">
        <v>261.39944748318425</v>
      </c>
      <c r="F42" s="43">
        <v>309.87859413112574</v>
      </c>
      <c r="G42" s="48"/>
      <c r="H42" s="47">
        <v>15.471319328583714</v>
      </c>
      <c r="I42" s="48">
        <v>24.860269584793965</v>
      </c>
      <c r="J42" s="43">
        <v>29.759230654531105</v>
      </c>
      <c r="K42" s="48"/>
      <c r="L42" s="47">
        <v>42.370098216453165</v>
      </c>
      <c r="M42" s="48">
        <v>43.333054994099825</v>
      </c>
      <c r="N42" s="43">
        <v>47.597577866535048</v>
      </c>
      <c r="O42" s="53"/>
      <c r="P42" s="54">
        <v>0.19499999999999998</v>
      </c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</row>
    <row r="43" spans="1:34" x14ac:dyDescent="0.25">
      <c r="A43" s="3" t="s">
        <v>9</v>
      </c>
      <c r="B43" s="3" t="s">
        <v>45</v>
      </c>
      <c r="C43" s="8" t="s">
        <v>11</v>
      </c>
      <c r="D43" s="41">
        <v>149.688308448518</v>
      </c>
      <c r="E43" s="42">
        <v>212.52356049966735</v>
      </c>
      <c r="F43" s="43">
        <v>251.85739892083672</v>
      </c>
      <c r="G43" s="48"/>
      <c r="H43" s="47">
        <v>12.588965898403737</v>
      </c>
      <c r="I43" s="48">
        <v>20.228726418301168</v>
      </c>
      <c r="J43" s="43">
        <v>24.214996272520125</v>
      </c>
      <c r="K43" s="48"/>
      <c r="L43" s="47">
        <v>34.47642119140297</v>
      </c>
      <c r="M43" s="48">
        <v>35.259976218480311</v>
      </c>
      <c r="N43" s="43">
        <v>38.730005624108529</v>
      </c>
      <c r="O43" s="53"/>
      <c r="P43" s="54">
        <v>0.19499999999999998</v>
      </c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</row>
    <row r="44" spans="1:34" x14ac:dyDescent="0.25">
      <c r="A44" s="3" t="s">
        <v>9</v>
      </c>
      <c r="B44" s="3" t="s">
        <v>46</v>
      </c>
      <c r="C44" s="8" t="s">
        <v>11</v>
      </c>
      <c r="D44" s="41">
        <v>165.32434954542094</v>
      </c>
      <c r="E44" s="42">
        <v>234.82616047010126</v>
      </c>
      <c r="F44" s="43">
        <v>278.33311774706186</v>
      </c>
      <c r="G44" s="48"/>
      <c r="H44" s="47">
        <v>13.904211632482689</v>
      </c>
      <c r="I44" s="48">
        <v>22.342144338584387</v>
      </c>
      <c r="J44" s="43">
        <v>26.744884017486385</v>
      </c>
      <c r="K44" s="48"/>
      <c r="L44" s="47">
        <v>38.0783823265945</v>
      </c>
      <c r="M44" s="48">
        <v>38.943800106744376</v>
      </c>
      <c r="N44" s="43">
        <v>42.776364561693825</v>
      </c>
      <c r="O44" s="53"/>
      <c r="P44" s="54">
        <v>0.19499999999999998</v>
      </c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</row>
    <row r="45" spans="1:34" x14ac:dyDescent="0.25">
      <c r="A45" s="3" t="s">
        <v>9</v>
      </c>
      <c r="B45" s="3" t="s">
        <v>47</v>
      </c>
      <c r="C45" s="8" t="s">
        <v>11</v>
      </c>
      <c r="D45" s="41">
        <v>144.36534481484219</v>
      </c>
      <c r="E45" s="42">
        <v>204.93121258038286</v>
      </c>
      <c r="F45" s="43">
        <v>242.84439906866729</v>
      </c>
      <c r="G45" s="48"/>
      <c r="H45" s="47">
        <v>12.141220299196053</v>
      </c>
      <c r="I45" s="48">
        <v>19.509261189428077</v>
      </c>
      <c r="J45" s="43">
        <v>23.353753331411983</v>
      </c>
      <c r="K45" s="48"/>
      <c r="L45" s="47">
        <v>33.250215163881791</v>
      </c>
      <c r="M45" s="48">
        <v>34.005901872151831</v>
      </c>
      <c r="N45" s="43">
        <v>37.352514437347729</v>
      </c>
      <c r="O45" s="53"/>
      <c r="P45" s="54">
        <v>0.19499999999999998</v>
      </c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</row>
    <row r="46" spans="1:34" x14ac:dyDescent="0.25">
      <c r="A46" s="3" t="s">
        <v>48</v>
      </c>
      <c r="B46" s="3" t="s">
        <v>49</v>
      </c>
      <c r="C46" s="8" t="s">
        <v>212</v>
      </c>
      <c r="D46" s="41">
        <v>139.29</v>
      </c>
      <c r="E46" s="42">
        <v>197.69</v>
      </c>
      <c r="F46" s="43">
        <v>234.25</v>
      </c>
      <c r="G46" s="48"/>
      <c r="H46" s="47">
        <v>4.383675686859652</v>
      </c>
      <c r="I46" s="48">
        <v>7.0439603134747051</v>
      </c>
      <c r="J46" s="43">
        <v>8.4320420973340884</v>
      </c>
      <c r="K46" s="48"/>
      <c r="L46" s="47">
        <v>12.284422880711018</v>
      </c>
      <c r="M46" s="48">
        <v>12.563614309818085</v>
      </c>
      <c r="N46" s="43">
        <v>13.800033495863675</v>
      </c>
      <c r="O46" s="53"/>
      <c r="P46" s="54">
        <v>0.19499999999999998</v>
      </c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</row>
    <row r="47" spans="1:34" x14ac:dyDescent="0.25">
      <c r="A47" s="3" t="s">
        <v>50</v>
      </c>
      <c r="B47" s="3" t="s">
        <v>51</v>
      </c>
      <c r="C47" s="8" t="s">
        <v>212</v>
      </c>
      <c r="D47" s="41">
        <v>152.30000000000001</v>
      </c>
      <c r="E47" s="42">
        <v>216.25</v>
      </c>
      <c r="F47" s="43">
        <v>256.27999999999997</v>
      </c>
      <c r="G47" s="48"/>
      <c r="H47" s="47">
        <v>12.958474783387683</v>
      </c>
      <c r="I47" s="48">
        <v>20.822476072068959</v>
      </c>
      <c r="J47" s="43">
        <v>24.925750145773833</v>
      </c>
      <c r="K47" s="48"/>
      <c r="L47" s="47">
        <v>36.313677265254533</v>
      </c>
      <c r="M47" s="48">
        <v>37.138988112192138</v>
      </c>
      <c r="N47" s="43">
        <v>40.793936148630095</v>
      </c>
      <c r="O47" s="53"/>
      <c r="P47" s="54">
        <v>0.19499999999999998</v>
      </c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</row>
    <row r="48" spans="1:34" x14ac:dyDescent="0.25">
      <c r="A48" s="3" t="s">
        <v>52</v>
      </c>
      <c r="B48" s="3" t="s">
        <v>53</v>
      </c>
      <c r="C48" s="8" t="s">
        <v>212</v>
      </c>
      <c r="D48" s="41">
        <v>147.44</v>
      </c>
      <c r="E48" s="42">
        <v>209.31</v>
      </c>
      <c r="F48" s="43">
        <v>248.04</v>
      </c>
      <c r="G48" s="48"/>
      <c r="H48" s="47">
        <v>6.2718120078191228</v>
      </c>
      <c r="I48" s="48">
        <v>10.077934143047937</v>
      </c>
      <c r="J48" s="43">
        <v>12.06389036374657</v>
      </c>
      <c r="K48" s="48"/>
      <c r="L48" s="47">
        <v>17.575568184325409</v>
      </c>
      <c r="M48" s="48">
        <v>17.975012915787349</v>
      </c>
      <c r="N48" s="43">
        <v>19.74398244083309</v>
      </c>
      <c r="O48" s="53"/>
      <c r="P48" s="54">
        <v>0.19499999999999998</v>
      </c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</row>
    <row r="49" spans="1:34" x14ac:dyDescent="0.25">
      <c r="A49" s="3" t="s">
        <v>54</v>
      </c>
      <c r="B49" s="3" t="s">
        <v>55</v>
      </c>
      <c r="C49" s="8" t="s">
        <v>212</v>
      </c>
      <c r="D49" s="41">
        <v>147.44</v>
      </c>
      <c r="E49" s="42">
        <v>209.31</v>
      </c>
      <c r="F49" s="43">
        <v>248.04</v>
      </c>
      <c r="G49" s="48"/>
      <c r="H49" s="47">
        <v>6.2718120078191228</v>
      </c>
      <c r="I49" s="48">
        <v>10.077934143047937</v>
      </c>
      <c r="J49" s="43">
        <v>12.06389036374657</v>
      </c>
      <c r="K49" s="48"/>
      <c r="L49" s="47">
        <v>17.575568184325409</v>
      </c>
      <c r="M49" s="48">
        <v>17.975012915787349</v>
      </c>
      <c r="N49" s="43">
        <v>19.74398244083309</v>
      </c>
      <c r="O49" s="53"/>
      <c r="P49" s="54">
        <v>0.19499999999999998</v>
      </c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</row>
    <row r="50" spans="1:34" x14ac:dyDescent="0.25">
      <c r="A50" s="3" t="s">
        <v>56</v>
      </c>
      <c r="B50" s="3" t="s">
        <v>57</v>
      </c>
      <c r="C50" s="8" t="s">
        <v>212</v>
      </c>
      <c r="D50" s="41">
        <v>182.48</v>
      </c>
      <c r="E50" s="42">
        <v>259.3</v>
      </c>
      <c r="F50" s="43">
        <v>307.38</v>
      </c>
      <c r="G50" s="48"/>
      <c r="H50" s="47">
        <v>15.524064902174771</v>
      </c>
      <c r="I50" s="48">
        <v>24.945024423798269</v>
      </c>
      <c r="J50" s="43">
        <v>29.860687269650011</v>
      </c>
      <c r="K50" s="48"/>
      <c r="L50" s="47">
        <v>43.503258842246602</v>
      </c>
      <c r="M50" s="48">
        <v>44.491969270479473</v>
      </c>
      <c r="N50" s="43">
        <v>48.870544024082221</v>
      </c>
      <c r="O50" s="53"/>
      <c r="P50" s="54">
        <v>0.19499999999999998</v>
      </c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</row>
    <row r="51" spans="1:34" x14ac:dyDescent="0.25">
      <c r="A51" s="3" t="s">
        <v>58</v>
      </c>
      <c r="B51" s="3" t="s">
        <v>59</v>
      </c>
      <c r="C51" s="8" t="s">
        <v>212</v>
      </c>
      <c r="D51" s="41">
        <v>182.73</v>
      </c>
      <c r="E51" s="42">
        <v>259.64999999999998</v>
      </c>
      <c r="F51" s="43">
        <v>307.81</v>
      </c>
      <c r="G51" s="48"/>
      <c r="H51" s="47">
        <v>12.900844612605333</v>
      </c>
      <c r="I51" s="48">
        <v>20.729872361199909</v>
      </c>
      <c r="J51" s="43">
        <v>24.814897961254353</v>
      </c>
      <c r="K51" s="48"/>
      <c r="L51" s="47">
        <v>36.152179600018918</v>
      </c>
      <c r="M51" s="48">
        <v>36.973820045473893</v>
      </c>
      <c r="N51" s="43">
        <v>40.612513446774493</v>
      </c>
      <c r="O51" s="53"/>
      <c r="P51" s="54">
        <v>0.19499999999999998</v>
      </c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4"/>
    </row>
    <row r="52" spans="1:34" x14ac:dyDescent="0.25">
      <c r="A52" s="3" t="s">
        <v>60</v>
      </c>
      <c r="B52" s="3" t="s">
        <v>61</v>
      </c>
      <c r="C52" s="8" t="s">
        <v>212</v>
      </c>
      <c r="D52" s="41">
        <v>97.11</v>
      </c>
      <c r="E52" s="42">
        <v>137.52000000000001</v>
      </c>
      <c r="F52" s="43">
        <v>162.83000000000001</v>
      </c>
      <c r="G52" s="48"/>
      <c r="H52" s="47">
        <v>3.0563610711274651</v>
      </c>
      <c r="I52" s="48">
        <v>4.9111493701975064</v>
      </c>
      <c r="J52" s="43">
        <v>5.8789397431135715</v>
      </c>
      <c r="K52" s="48"/>
      <c r="L52" s="47">
        <v>8.5648744468980897</v>
      </c>
      <c r="M52" s="48">
        <v>8.7595306843275917</v>
      </c>
      <c r="N52" s="43">
        <v>9.6215797358011006</v>
      </c>
      <c r="O52" s="53"/>
      <c r="P52" s="54">
        <v>0.19499999999999998</v>
      </c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4"/>
    </row>
    <row r="53" spans="1:34" x14ac:dyDescent="0.25">
      <c r="A53" s="3" t="s">
        <v>62</v>
      </c>
      <c r="B53" s="3" t="s">
        <v>63</v>
      </c>
      <c r="C53" s="8" t="s">
        <v>212</v>
      </c>
      <c r="D53" s="41">
        <v>183.4</v>
      </c>
      <c r="E53" s="42">
        <v>260.60000000000002</v>
      </c>
      <c r="F53" s="43">
        <v>308.93</v>
      </c>
      <c r="G53" s="48"/>
      <c r="H53" s="47">
        <v>7.8002752072326249</v>
      </c>
      <c r="I53" s="48">
        <v>12.533963029844548</v>
      </c>
      <c r="J53" s="43">
        <v>15.003903941921022</v>
      </c>
      <c r="K53" s="48"/>
      <c r="L53" s="47">
        <v>21.85879751980821</v>
      </c>
      <c r="M53" s="48">
        <v>22.355588372531123</v>
      </c>
      <c r="N53" s="43">
        <v>24.555662148875459</v>
      </c>
      <c r="O53" s="53"/>
      <c r="P53" s="54">
        <v>0.19499999999999998</v>
      </c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  <c r="AF53" s="14"/>
      <c r="AG53" s="14"/>
      <c r="AH53" s="14"/>
    </row>
    <row r="54" spans="1:34" x14ac:dyDescent="0.25">
      <c r="A54" s="3" t="s">
        <v>64</v>
      </c>
      <c r="B54" s="3" t="s">
        <v>65</v>
      </c>
      <c r="C54" s="8" t="s">
        <v>212</v>
      </c>
      <c r="D54" s="41">
        <v>153.12</v>
      </c>
      <c r="E54" s="42">
        <v>217.42</v>
      </c>
      <c r="F54" s="43">
        <v>257.67</v>
      </c>
      <c r="G54" s="48"/>
      <c r="H54" s="47">
        <v>7.2921287417740874</v>
      </c>
      <c r="I54" s="48">
        <v>11.71744196583159</v>
      </c>
      <c r="J54" s="43">
        <v>14.026479357068268</v>
      </c>
      <c r="K54" s="48"/>
      <c r="L54" s="47">
        <v>20.434813057238831</v>
      </c>
      <c r="M54" s="48">
        <v>20.899240626721536</v>
      </c>
      <c r="N54" s="43">
        <v>22.955991291573493</v>
      </c>
      <c r="O54" s="53"/>
      <c r="P54" s="54">
        <v>0.19499999999999998</v>
      </c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4"/>
      <c r="AH54" s="14"/>
    </row>
    <row r="55" spans="1:34" x14ac:dyDescent="0.25">
      <c r="A55" s="3" t="s">
        <v>66</v>
      </c>
      <c r="B55" s="3" t="s">
        <v>67</v>
      </c>
      <c r="C55" s="8" t="s">
        <v>212</v>
      </c>
      <c r="D55" s="41">
        <v>160.74</v>
      </c>
      <c r="E55" s="42">
        <v>228.28</v>
      </c>
      <c r="F55" s="43">
        <v>270.57</v>
      </c>
      <c r="G55" s="48"/>
      <c r="H55" s="47">
        <v>2.0510172075676256</v>
      </c>
      <c r="I55" s="48">
        <v>3.2957008785268314</v>
      </c>
      <c r="J55" s="43">
        <v>3.9451512091570753</v>
      </c>
      <c r="K55" s="48"/>
      <c r="L55" s="47">
        <v>5.7475882143610821</v>
      </c>
      <c r="M55" s="48">
        <v>5.8782152192329242</v>
      </c>
      <c r="N55" s="43">
        <v>6.4567062408082281</v>
      </c>
      <c r="O55" s="53"/>
      <c r="P55" s="54">
        <v>0.19499999999999998</v>
      </c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4"/>
      <c r="AH55" s="14"/>
    </row>
    <row r="56" spans="1:34" x14ac:dyDescent="0.25">
      <c r="A56" s="3" t="s">
        <v>68</v>
      </c>
      <c r="B56" s="3" t="s">
        <v>69</v>
      </c>
      <c r="C56" s="8" t="s">
        <v>212</v>
      </c>
      <c r="D56" s="41">
        <v>166.82</v>
      </c>
      <c r="E56" s="42">
        <v>236.96</v>
      </c>
      <c r="F56" s="43">
        <v>280.86</v>
      </c>
      <c r="G56" s="48"/>
      <c r="H56" s="47">
        <v>14.189725258411558</v>
      </c>
      <c r="I56" s="48">
        <v>22.800925232441969</v>
      </c>
      <c r="J56" s="43">
        <v>27.294072206843378</v>
      </c>
      <c r="K56" s="48"/>
      <c r="L56" s="47">
        <v>39.764024094653514</v>
      </c>
      <c r="M56" s="48">
        <v>40.667751914986546</v>
      </c>
      <c r="N56" s="43">
        <v>44.669975119318558</v>
      </c>
      <c r="O56" s="53"/>
      <c r="P56" s="54">
        <v>0.19499999999999998</v>
      </c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  <c r="AE56" s="14"/>
      <c r="AF56" s="14"/>
      <c r="AG56" s="14"/>
      <c r="AH56" s="14"/>
    </row>
    <row r="57" spans="1:34" x14ac:dyDescent="0.25">
      <c r="A57" s="3" t="s">
        <v>70</v>
      </c>
      <c r="B57" s="3" t="s">
        <v>71</v>
      </c>
      <c r="C57" s="8" t="s">
        <v>212</v>
      </c>
      <c r="D57" s="41">
        <v>131.61000000000001</v>
      </c>
      <c r="E57" s="42">
        <v>186.73</v>
      </c>
      <c r="F57" s="43">
        <v>221.24</v>
      </c>
      <c r="G57" s="48"/>
      <c r="H57" s="47">
        <v>13.787733849043562</v>
      </c>
      <c r="I57" s="48">
        <v>22.154980656196543</v>
      </c>
      <c r="J57" s="43">
        <v>26.520837887361633</v>
      </c>
      <c r="K57" s="48"/>
      <c r="L57" s="47">
        <v>38.637519120325194</v>
      </c>
      <c r="M57" s="48">
        <v>39.515644554878037</v>
      </c>
      <c r="N57" s="43">
        <v>43.40448576504064</v>
      </c>
      <c r="O57" s="53"/>
      <c r="P57" s="54">
        <v>0.19499999999999998</v>
      </c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  <c r="AE57" s="14"/>
      <c r="AF57" s="14"/>
      <c r="AG57" s="14"/>
      <c r="AH57" s="14"/>
    </row>
    <row r="58" spans="1:34" x14ac:dyDescent="0.25">
      <c r="A58" s="3" t="s">
        <v>70</v>
      </c>
      <c r="B58" s="3" t="s">
        <v>72</v>
      </c>
      <c r="C58" s="8" t="s">
        <v>212</v>
      </c>
      <c r="D58" s="41">
        <v>153.5813121450264</v>
      </c>
      <c r="E58" s="42">
        <v>209.81433067901125</v>
      </c>
      <c r="F58" s="43">
        <v>277.33234134646631</v>
      </c>
      <c r="G58" s="48"/>
      <c r="H58" s="47">
        <v>13.787733849043562</v>
      </c>
      <c r="I58" s="48">
        <v>22.154980656196543</v>
      </c>
      <c r="J58" s="43">
        <v>26.520837887361633</v>
      </c>
      <c r="K58" s="48"/>
      <c r="L58" s="47">
        <v>38.637519120325194</v>
      </c>
      <c r="M58" s="48">
        <v>39.515644554878037</v>
      </c>
      <c r="N58" s="43">
        <v>43.40448576504064</v>
      </c>
      <c r="O58" s="53"/>
      <c r="P58" s="54">
        <v>0.19499999999999998</v>
      </c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  <c r="AE58" s="14"/>
      <c r="AF58" s="14"/>
      <c r="AG58" s="14"/>
      <c r="AH58" s="14"/>
    </row>
    <row r="59" spans="1:34" x14ac:dyDescent="0.25">
      <c r="A59" s="3" t="s">
        <v>73</v>
      </c>
      <c r="B59" s="3" t="s">
        <v>74</v>
      </c>
      <c r="C59" s="8" t="s">
        <v>212</v>
      </c>
      <c r="D59" s="41">
        <v>91.970112351245461</v>
      </c>
      <c r="E59" s="42">
        <v>125.6445025500776</v>
      </c>
      <c r="F59" s="43">
        <v>166.07675918397513</v>
      </c>
      <c r="G59" s="48"/>
      <c r="H59" s="47">
        <v>8.2565998001643681</v>
      </c>
      <c r="I59" s="48">
        <v>13.267213514662318</v>
      </c>
      <c r="J59" s="43">
        <v>15.881648659483769</v>
      </c>
      <c r="K59" s="48"/>
      <c r="L59" s="47">
        <v>21.812409756097555</v>
      </c>
      <c r="M59" s="48">
        <v>22.308146341463413</v>
      </c>
      <c r="N59" s="43">
        <v>24.503551219512193</v>
      </c>
      <c r="O59" s="53"/>
      <c r="P59" s="54">
        <v>0.19499999999999998</v>
      </c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/>
      <c r="AE59" s="14"/>
      <c r="AF59" s="14"/>
      <c r="AG59" s="14"/>
      <c r="AH59" s="14"/>
    </row>
    <row r="60" spans="1:34" x14ac:dyDescent="0.25">
      <c r="A60" s="3" t="s">
        <v>73</v>
      </c>
      <c r="B60" s="3" t="s">
        <v>75</v>
      </c>
      <c r="C60" s="8" t="s">
        <v>212</v>
      </c>
      <c r="D60" s="41">
        <v>91.970112351245461</v>
      </c>
      <c r="E60" s="42">
        <v>125.6445025500776</v>
      </c>
      <c r="F60" s="43">
        <v>166.07675918397513</v>
      </c>
      <c r="G60" s="48"/>
      <c r="H60" s="47">
        <v>8.2565998001643681</v>
      </c>
      <c r="I60" s="48">
        <v>13.267213514662318</v>
      </c>
      <c r="J60" s="43">
        <v>15.881648659483769</v>
      </c>
      <c r="K60" s="48"/>
      <c r="L60" s="47">
        <v>21.812409756097555</v>
      </c>
      <c r="M60" s="48">
        <v>22.308146341463413</v>
      </c>
      <c r="N60" s="43">
        <v>24.503551219512193</v>
      </c>
      <c r="O60" s="53"/>
      <c r="P60" s="54">
        <v>0.19499999999999998</v>
      </c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  <c r="AE60" s="14"/>
      <c r="AF60" s="14"/>
      <c r="AG60" s="14"/>
      <c r="AH60" s="14"/>
    </row>
    <row r="61" spans="1:34" s="16" customFormat="1" x14ac:dyDescent="0.25">
      <c r="A61" s="3" t="s">
        <v>73</v>
      </c>
      <c r="B61" s="3" t="s">
        <v>76</v>
      </c>
      <c r="C61" s="8" t="s">
        <v>212</v>
      </c>
      <c r="D61" s="41">
        <v>91.970112351245461</v>
      </c>
      <c r="E61" s="42">
        <v>125.6445025500776</v>
      </c>
      <c r="F61" s="43">
        <v>166.07675918397513</v>
      </c>
      <c r="G61" s="48"/>
      <c r="H61" s="47">
        <v>8.2565998001643681</v>
      </c>
      <c r="I61" s="48">
        <v>13.267213514662318</v>
      </c>
      <c r="J61" s="43">
        <v>15.881648659483769</v>
      </c>
      <c r="K61" s="48"/>
      <c r="L61" s="47">
        <v>21.812409756097555</v>
      </c>
      <c r="M61" s="48">
        <v>22.308146341463413</v>
      </c>
      <c r="N61" s="43">
        <v>24.503551219512193</v>
      </c>
      <c r="O61" s="53"/>
      <c r="P61" s="54">
        <v>0.19499999999999998</v>
      </c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5"/>
      <c r="AH61" s="15"/>
    </row>
    <row r="62" spans="1:34" x14ac:dyDescent="0.25">
      <c r="A62" s="3" t="s">
        <v>77</v>
      </c>
      <c r="B62" s="3" t="s">
        <v>78</v>
      </c>
      <c r="C62" s="8" t="s">
        <v>212</v>
      </c>
      <c r="D62" s="41">
        <v>97.78</v>
      </c>
      <c r="E62" s="42">
        <v>138.47999999999999</v>
      </c>
      <c r="F62" s="43">
        <v>163.96</v>
      </c>
      <c r="G62" s="48"/>
      <c r="H62" s="47">
        <v>9.8315235063962731</v>
      </c>
      <c r="I62" s="48">
        <v>15.797898007746992</v>
      </c>
      <c r="J62" s="43">
        <v>18.911029466746488</v>
      </c>
      <c r="K62" s="48"/>
      <c r="L62" s="47">
        <v>26.173437748243902</v>
      </c>
      <c r="M62" s="48">
        <v>26.768288606158535</v>
      </c>
      <c r="N62" s="43">
        <v>29.402628119780488</v>
      </c>
      <c r="O62" s="53"/>
      <c r="P62" s="54">
        <v>0.19499999999999998</v>
      </c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</row>
    <row r="63" spans="1:34" x14ac:dyDescent="0.25">
      <c r="A63" s="3" t="s">
        <v>79</v>
      </c>
      <c r="B63" s="3" t="s">
        <v>80</v>
      </c>
      <c r="C63" s="8" t="s">
        <v>212</v>
      </c>
      <c r="D63" s="41">
        <v>86.38</v>
      </c>
      <c r="E63" s="42">
        <v>122.22</v>
      </c>
      <c r="F63" s="43">
        <v>144.65</v>
      </c>
      <c r="G63" s="48"/>
      <c r="H63" s="47">
        <v>9.8315235063962731</v>
      </c>
      <c r="I63" s="48">
        <v>15.797898007746992</v>
      </c>
      <c r="J63" s="43">
        <v>18.911029466746488</v>
      </c>
      <c r="K63" s="48"/>
      <c r="L63" s="47">
        <v>24.139499999999998</v>
      </c>
      <c r="M63" s="48">
        <v>24.688124999999999</v>
      </c>
      <c r="N63" s="43">
        <v>27.117750000000001</v>
      </c>
      <c r="O63" s="53"/>
      <c r="P63" s="54">
        <v>0.19499999999999998</v>
      </c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</row>
    <row r="64" spans="1:34" x14ac:dyDescent="0.25">
      <c r="A64" s="3" t="s">
        <v>81</v>
      </c>
      <c r="B64" s="3" t="s">
        <v>42</v>
      </c>
      <c r="C64" s="8" t="s">
        <v>212</v>
      </c>
      <c r="D64" s="41">
        <v>81.44</v>
      </c>
      <c r="E64" s="42">
        <v>115.18</v>
      </c>
      <c r="F64" s="43">
        <v>136.29</v>
      </c>
      <c r="G64" s="48"/>
      <c r="H64" s="47">
        <v>11.885951998222653</v>
      </c>
      <c r="I64" s="48">
        <v>19.099080348100181</v>
      </c>
      <c r="J64" s="43">
        <v>22.862742313791607</v>
      </c>
      <c r="K64" s="48"/>
      <c r="L64" s="47">
        <v>27.8124</v>
      </c>
      <c r="M64" s="48">
        <v>28.444500000000001</v>
      </c>
      <c r="N64" s="43">
        <v>31.2438</v>
      </c>
      <c r="O64" s="53"/>
      <c r="P64" s="54">
        <v>0.19499999999999998</v>
      </c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4"/>
      <c r="AH64" s="14"/>
    </row>
    <row r="65" spans="1:34" x14ac:dyDescent="0.25">
      <c r="A65" s="3" t="s">
        <v>82</v>
      </c>
      <c r="B65" s="3" t="s">
        <v>83</v>
      </c>
      <c r="C65" s="8" t="s">
        <v>212</v>
      </c>
      <c r="D65" s="41">
        <v>95.930903779057928</v>
      </c>
      <c r="E65" s="42">
        <v>131.05551767150655</v>
      </c>
      <c r="F65" s="43">
        <v>173.22903275761786</v>
      </c>
      <c r="G65" s="48"/>
      <c r="H65" s="47">
        <v>8.6121791169153763</v>
      </c>
      <c r="I65" s="48">
        <v>13.838580279542875</v>
      </c>
      <c r="J65" s="43">
        <v>16.565608875056576</v>
      </c>
      <c r="K65" s="48"/>
      <c r="L65" s="47">
        <v>22.927304587804876</v>
      </c>
      <c r="M65" s="48">
        <v>23.448379692073171</v>
      </c>
      <c r="N65" s="43">
        <v>25.75599801097561</v>
      </c>
      <c r="O65" s="53"/>
      <c r="P65" s="54">
        <v>0.19499999999999998</v>
      </c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</row>
    <row r="66" spans="1:34" x14ac:dyDescent="0.25">
      <c r="A66" s="3" t="s">
        <v>82</v>
      </c>
      <c r="B66" s="3" t="s">
        <v>84</v>
      </c>
      <c r="C66" s="8" t="s">
        <v>212</v>
      </c>
      <c r="D66" s="41">
        <v>95.930903779057928</v>
      </c>
      <c r="E66" s="42">
        <v>131.05551767150655</v>
      </c>
      <c r="F66" s="43">
        <v>173.22903275761786</v>
      </c>
      <c r="G66" s="48"/>
      <c r="H66" s="47">
        <v>8.6121791169153763</v>
      </c>
      <c r="I66" s="48">
        <v>13.838580279542875</v>
      </c>
      <c r="J66" s="43">
        <v>16.565608875056576</v>
      </c>
      <c r="K66" s="48"/>
      <c r="L66" s="47">
        <v>22.927304587804876</v>
      </c>
      <c r="M66" s="48">
        <v>23.448379692073171</v>
      </c>
      <c r="N66" s="43">
        <v>25.75599801097561</v>
      </c>
      <c r="O66" s="53"/>
      <c r="P66" s="54">
        <v>0.19499999999999998</v>
      </c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14"/>
    </row>
    <row r="67" spans="1:34" x14ac:dyDescent="0.25">
      <c r="A67" s="3" t="s">
        <v>82</v>
      </c>
      <c r="B67" s="3" t="s">
        <v>85</v>
      </c>
      <c r="C67" s="8" t="s">
        <v>212</v>
      </c>
      <c r="D67" s="41">
        <v>95.930903779057928</v>
      </c>
      <c r="E67" s="42">
        <v>131.05551767150655</v>
      </c>
      <c r="F67" s="43">
        <v>173.22903275761786</v>
      </c>
      <c r="G67" s="48"/>
      <c r="H67" s="47">
        <v>8.6121791169153763</v>
      </c>
      <c r="I67" s="48">
        <v>13.838580279542875</v>
      </c>
      <c r="J67" s="43">
        <v>16.565608875056576</v>
      </c>
      <c r="K67" s="48"/>
      <c r="L67" s="47">
        <v>22.927304587804876</v>
      </c>
      <c r="M67" s="48">
        <v>23.448379692073171</v>
      </c>
      <c r="N67" s="43">
        <v>25.75599801097561</v>
      </c>
      <c r="O67" s="53"/>
      <c r="P67" s="54">
        <v>0.19499999999999998</v>
      </c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4"/>
      <c r="AH67" s="14"/>
    </row>
    <row r="68" spans="1:34" x14ac:dyDescent="0.25">
      <c r="A68" s="3" t="s">
        <v>82</v>
      </c>
      <c r="B68" s="3" t="s">
        <v>86</v>
      </c>
      <c r="C68" s="8" t="s">
        <v>212</v>
      </c>
      <c r="D68" s="44">
        <v>95.930903779057928</v>
      </c>
      <c r="E68" s="45">
        <v>131.05551767150655</v>
      </c>
      <c r="F68" s="46">
        <v>173.22903275761786</v>
      </c>
      <c r="G68" s="48"/>
      <c r="H68" s="47">
        <v>8.6121791169153763</v>
      </c>
      <c r="I68" s="48">
        <v>13.838580279542875</v>
      </c>
      <c r="J68" s="43">
        <v>16.565608875056576</v>
      </c>
      <c r="K68" s="48"/>
      <c r="L68" s="47">
        <v>22.927304587804876</v>
      </c>
      <c r="M68" s="48">
        <v>23.448379692073171</v>
      </c>
      <c r="N68" s="43">
        <v>25.75599801097561</v>
      </c>
      <c r="O68" s="53"/>
      <c r="P68" s="54">
        <v>0.19499999999999998</v>
      </c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4"/>
      <c r="AH68" s="14"/>
    </row>
    <row r="69" spans="1:34" x14ac:dyDescent="0.25">
      <c r="A69" s="3" t="s">
        <v>87</v>
      </c>
      <c r="B69" s="3" t="s">
        <v>88</v>
      </c>
      <c r="C69" s="8" t="s">
        <v>212</v>
      </c>
      <c r="D69" s="41">
        <v>116.86</v>
      </c>
      <c r="E69" s="42">
        <v>165.7</v>
      </c>
      <c r="F69" s="43">
        <v>196.27</v>
      </c>
      <c r="G69" s="48"/>
      <c r="H69" s="47">
        <v>19.888154341463412</v>
      </c>
      <c r="I69" s="48">
        <v>34.704405658536587</v>
      </c>
      <c r="J69" s="43">
        <v>50.96112585365853</v>
      </c>
      <c r="K69" s="48"/>
      <c r="L69" s="47">
        <v>36.247092682926827</v>
      </c>
      <c r="M69" s="48">
        <v>37.070890243902433</v>
      </c>
      <c r="N69" s="43">
        <v>40.719136585365852</v>
      </c>
      <c r="O69" s="53"/>
      <c r="P69" s="54">
        <v>0.19499999999999998</v>
      </c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</row>
    <row r="70" spans="1:34" x14ac:dyDescent="0.25">
      <c r="A70" s="3" t="s">
        <v>213</v>
      </c>
      <c r="B70" s="3" t="s">
        <v>214</v>
      </c>
      <c r="C70" s="8" t="s">
        <v>11</v>
      </c>
      <c r="D70" s="41">
        <v>131.72</v>
      </c>
      <c r="E70" s="42">
        <v>165.76</v>
      </c>
      <c r="F70" s="43">
        <v>225.7</v>
      </c>
      <c r="G70" s="48"/>
      <c r="H70" s="47">
        <v>10.668000000000001</v>
      </c>
      <c r="I70" s="48">
        <v>17.141999999999999</v>
      </c>
      <c r="J70" s="43">
        <v>20.52</v>
      </c>
      <c r="K70" s="48"/>
      <c r="L70" s="47">
        <v>28.025535999999999</v>
      </c>
      <c r="M70" s="48">
        <v>28.662479999999999</v>
      </c>
      <c r="N70" s="43">
        <v>31.483232000000001</v>
      </c>
      <c r="O70" s="53"/>
      <c r="P70" s="54">
        <v>0.19499999999999998</v>
      </c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</row>
    <row r="71" spans="1:34" x14ac:dyDescent="0.25">
      <c r="A71" s="3" t="s">
        <v>213</v>
      </c>
      <c r="B71" s="3" t="s">
        <v>215</v>
      </c>
      <c r="C71" s="8" t="s">
        <v>11</v>
      </c>
      <c r="D71" s="41">
        <f t="shared" ref="D71:F72" si="0">D$25*0.58</f>
        <v>86.819218900140427</v>
      </c>
      <c r="E71" s="42">
        <f t="shared" si="0"/>
        <v>123.26366508980706</v>
      </c>
      <c r="F71" s="43">
        <f t="shared" si="0"/>
        <v>146.07729137408529</v>
      </c>
      <c r="G71" s="48"/>
      <c r="H71" s="47">
        <v>10.3124</v>
      </c>
      <c r="I71" s="48">
        <v>16.570599999999999</v>
      </c>
      <c r="J71" s="43">
        <v>19.835999999999999</v>
      </c>
      <c r="K71" s="48"/>
      <c r="L71" s="47">
        <v>27.164639464797641</v>
      </c>
      <c r="M71" s="48">
        <v>27.782017634452135</v>
      </c>
      <c r="N71" s="43">
        <v>30.51612095720774</v>
      </c>
      <c r="O71" s="53"/>
      <c r="P71" s="54">
        <v>0.19499999999999998</v>
      </c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  <c r="AC71" s="14"/>
      <c r="AD71" s="14"/>
      <c r="AE71" s="14"/>
      <c r="AF71" s="14"/>
      <c r="AG71" s="14"/>
      <c r="AH71" s="14"/>
    </row>
    <row r="72" spans="1:34" x14ac:dyDescent="0.25">
      <c r="A72" s="3" t="s">
        <v>213</v>
      </c>
      <c r="B72" s="3" t="s">
        <v>216</v>
      </c>
      <c r="C72" s="8" t="s">
        <v>11</v>
      </c>
      <c r="D72" s="41">
        <f t="shared" si="0"/>
        <v>86.819218900140427</v>
      </c>
      <c r="E72" s="42">
        <f t="shared" si="0"/>
        <v>123.26366508980706</v>
      </c>
      <c r="F72" s="43">
        <f t="shared" si="0"/>
        <v>146.07729137408529</v>
      </c>
      <c r="G72" s="48"/>
      <c r="H72" s="47">
        <v>10.3124</v>
      </c>
      <c r="I72" s="48">
        <v>16.570599999999999</v>
      </c>
      <c r="J72" s="43">
        <v>19.835999999999999</v>
      </c>
      <c r="K72" s="48"/>
      <c r="L72" s="47">
        <v>27.164639464797641</v>
      </c>
      <c r="M72" s="48">
        <v>27.782017634452135</v>
      </c>
      <c r="N72" s="43">
        <v>30.51612095720774</v>
      </c>
      <c r="O72" s="53"/>
      <c r="P72" s="54">
        <v>0.19499999999999998</v>
      </c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  <c r="AD72" s="14"/>
      <c r="AE72" s="14"/>
      <c r="AF72" s="14"/>
      <c r="AG72" s="14"/>
      <c r="AH72" s="14"/>
    </row>
    <row r="73" spans="1:34" x14ac:dyDescent="0.25">
      <c r="A73" s="3" t="s">
        <v>213</v>
      </c>
      <c r="B73" s="3" t="s">
        <v>217</v>
      </c>
      <c r="C73" s="8" t="s">
        <v>11</v>
      </c>
      <c r="D73" s="41">
        <f t="shared" ref="D73:F73" si="1">D$25*0.59</f>
        <v>88.316101984625618</v>
      </c>
      <c r="E73" s="42">
        <f t="shared" si="1"/>
        <v>125.38890069480374</v>
      </c>
      <c r="F73" s="43">
        <f t="shared" si="1"/>
        <v>148.59586536329365</v>
      </c>
      <c r="G73" s="48"/>
      <c r="H73" s="47">
        <v>10.4902</v>
      </c>
      <c r="I73" s="48">
        <v>16.856300000000001</v>
      </c>
      <c r="J73" s="43">
        <v>20.178000000000001</v>
      </c>
      <c r="K73" s="48"/>
      <c r="L73" s="47">
        <v>27.632995317638979</v>
      </c>
      <c r="M73" s="48">
        <v>28.261017938494412</v>
      </c>
      <c r="N73" s="43">
        <v>31.042260973711322</v>
      </c>
      <c r="O73" s="53"/>
      <c r="P73" s="54">
        <v>0.19499999999999998</v>
      </c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  <c r="AD73" s="14"/>
      <c r="AE73" s="14"/>
      <c r="AF73" s="14"/>
      <c r="AG73" s="14"/>
      <c r="AH73" s="14"/>
    </row>
    <row r="74" spans="1:34" x14ac:dyDescent="0.25">
      <c r="A74" s="3" t="s">
        <v>89</v>
      </c>
      <c r="B74" s="3" t="s">
        <v>90</v>
      </c>
      <c r="C74" s="8" t="s">
        <v>1</v>
      </c>
      <c r="D74" s="41">
        <v>71.712945801611355</v>
      </c>
      <c r="E74" s="42">
        <v>93.704089363589333</v>
      </c>
      <c r="F74" s="43">
        <v>113.5816191144948</v>
      </c>
      <c r="G74" s="48"/>
      <c r="H74" s="47">
        <v>9.9046208781576617</v>
      </c>
      <c r="I74" s="48">
        <v>17.28335243924408</v>
      </c>
      <c r="J74" s="43">
        <v>25.379460679880559</v>
      </c>
      <c r="K74" s="48"/>
      <c r="L74" s="47">
        <v>18.395476074737026</v>
      </c>
      <c r="M74" s="48">
        <v>18.813555076435595</v>
      </c>
      <c r="N74" s="43">
        <v>20.665047798243538</v>
      </c>
      <c r="O74" s="53"/>
      <c r="P74" s="54">
        <v>0.24200000000000002</v>
      </c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  <c r="AC74" s="14"/>
      <c r="AD74" s="14"/>
      <c r="AE74" s="14"/>
      <c r="AF74" s="14"/>
      <c r="AG74" s="14"/>
      <c r="AH74" s="14"/>
    </row>
    <row r="75" spans="1:34" x14ac:dyDescent="0.25">
      <c r="A75" s="3" t="s">
        <v>91</v>
      </c>
      <c r="B75" s="3" t="s">
        <v>92</v>
      </c>
      <c r="C75" s="8" t="s">
        <v>1</v>
      </c>
      <c r="D75" s="41">
        <v>82.65461323822899</v>
      </c>
      <c r="E75" s="42">
        <v>123.50046335649347</v>
      </c>
      <c r="F75" s="43">
        <v>145.21647479488507</v>
      </c>
      <c r="G75" s="48"/>
      <c r="H75" s="47">
        <v>10.352681244673422</v>
      </c>
      <c r="I75" s="48">
        <v>18.065208234010161</v>
      </c>
      <c r="J75" s="43">
        <v>26.527564236199087</v>
      </c>
      <c r="K75" s="48"/>
      <c r="L75" s="47">
        <v>19.317490363784458</v>
      </c>
      <c r="M75" s="48">
        <v>19.756524235688648</v>
      </c>
      <c r="N75" s="43">
        <v>21.700817096978643</v>
      </c>
      <c r="O75" s="53"/>
      <c r="P75" s="54">
        <v>0.26</v>
      </c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4"/>
      <c r="AD75" s="14"/>
      <c r="AE75" s="14"/>
      <c r="AF75" s="14"/>
      <c r="AG75" s="14"/>
      <c r="AH75" s="14"/>
    </row>
    <row r="76" spans="1:34" x14ac:dyDescent="0.25">
      <c r="A76" s="3" t="s">
        <v>93</v>
      </c>
      <c r="B76" s="3" t="s">
        <v>94</v>
      </c>
      <c r="C76" s="8" t="s">
        <v>1</v>
      </c>
      <c r="D76" s="41">
        <v>82.47472983960381</v>
      </c>
      <c r="E76" s="42">
        <v>113.57449224813362</v>
      </c>
      <c r="F76" s="43">
        <v>144.40616689149235</v>
      </c>
      <c r="G76" s="48"/>
      <c r="H76" s="47">
        <v>9.7594476179662113</v>
      </c>
      <c r="I76" s="48">
        <v>17.030028192762707</v>
      </c>
      <c r="J76" s="43">
        <v>25.007470767886641</v>
      </c>
      <c r="K76" s="48"/>
      <c r="L76" s="47">
        <v>17.787050335036813</v>
      </c>
      <c r="M76" s="48">
        <v>18.191301479014921</v>
      </c>
      <c r="N76" s="43">
        <v>19.981556545203695</v>
      </c>
      <c r="O76" s="53"/>
      <c r="P76" s="54">
        <v>0.16</v>
      </c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  <c r="AB76" s="14"/>
      <c r="AC76" s="14"/>
      <c r="AD76" s="14"/>
      <c r="AE76" s="14"/>
      <c r="AF76" s="14"/>
      <c r="AG76" s="14"/>
      <c r="AH76" s="14"/>
    </row>
    <row r="77" spans="1:34" x14ac:dyDescent="0.25">
      <c r="A77" s="3" t="s">
        <v>95</v>
      </c>
      <c r="B77" s="3" t="s">
        <v>96</v>
      </c>
      <c r="C77" s="8" t="s">
        <v>1</v>
      </c>
      <c r="D77" s="41">
        <v>90.2</v>
      </c>
      <c r="E77" s="42">
        <v>151.11250000000001</v>
      </c>
      <c r="F77" s="43">
        <v>175.16400000000002</v>
      </c>
      <c r="G77" s="48"/>
      <c r="H77" s="47">
        <v>10.965129714414809</v>
      </c>
      <c r="I77" s="48">
        <v>19.133917767028155</v>
      </c>
      <c r="J77" s="43">
        <v>28.096893546978905</v>
      </c>
      <c r="K77" s="48"/>
      <c r="L77" s="47">
        <v>19.984462419928253</v>
      </c>
      <c r="M77" s="48">
        <v>20.438654747653896</v>
      </c>
      <c r="N77" s="43">
        <v>22.450077913296024</v>
      </c>
      <c r="O77" s="53"/>
      <c r="P77" s="54">
        <v>0.15</v>
      </c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4"/>
      <c r="AC77" s="14"/>
      <c r="AD77" s="14"/>
      <c r="AE77" s="14"/>
      <c r="AF77" s="14"/>
      <c r="AG77" s="14"/>
      <c r="AH77" s="14"/>
    </row>
    <row r="78" spans="1:34" x14ac:dyDescent="0.25">
      <c r="A78" s="3" t="s">
        <v>97</v>
      </c>
      <c r="B78" s="3" t="s">
        <v>98</v>
      </c>
      <c r="C78" s="8" t="s">
        <v>1</v>
      </c>
      <c r="D78" s="41">
        <v>98.68610000000001</v>
      </c>
      <c r="E78" s="42">
        <v>165.34710000000001</v>
      </c>
      <c r="F78" s="43">
        <v>191.65840000000003</v>
      </c>
      <c r="G78" s="48"/>
      <c r="H78" s="47">
        <v>11.997137616295724</v>
      </c>
      <c r="I78" s="48">
        <v>20.934749571466735</v>
      </c>
      <c r="J78" s="43">
        <v>30.741296022279371</v>
      </c>
      <c r="K78" s="48"/>
      <c r="L78" s="47">
        <v>21.865345151766402</v>
      </c>
      <c r="M78" s="48">
        <v>22.362284814306548</v>
      </c>
      <c r="N78" s="43">
        <v>24.563017605555764</v>
      </c>
      <c r="O78" s="53"/>
      <c r="P78" s="54">
        <v>0.15</v>
      </c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/>
      <c r="AE78" s="14"/>
      <c r="AF78" s="14"/>
      <c r="AG78" s="14"/>
      <c r="AH78" s="14"/>
    </row>
    <row r="79" spans="1:34" x14ac:dyDescent="0.25">
      <c r="A79" s="3" t="s">
        <v>99</v>
      </c>
      <c r="B79" s="3" t="s">
        <v>100</v>
      </c>
      <c r="C79" s="8" t="s">
        <v>1</v>
      </c>
      <c r="D79" s="41">
        <v>50.206218678394549</v>
      </c>
      <c r="E79" s="42">
        <v>80.927114808928962</v>
      </c>
      <c r="F79" s="43">
        <v>103.45701192808041</v>
      </c>
      <c r="G79" s="48"/>
      <c r="H79" s="47">
        <v>5.7218658428881293</v>
      </c>
      <c r="I79" s="48">
        <v>9.9845340058187873</v>
      </c>
      <c r="J79" s="43">
        <v>14.661628240145479</v>
      </c>
      <c r="K79" s="48"/>
      <c r="L79" s="47">
        <v>10.676662950453435</v>
      </c>
      <c r="M79" s="48">
        <v>10.919314381145558</v>
      </c>
      <c r="N79" s="43">
        <v>11.993913574210678</v>
      </c>
      <c r="O79" s="53"/>
      <c r="P79" s="54">
        <v>0.192</v>
      </c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  <c r="AD79" s="14"/>
      <c r="AE79" s="14"/>
      <c r="AF79" s="14"/>
      <c r="AG79" s="14"/>
      <c r="AH79" s="14"/>
    </row>
    <row r="80" spans="1:34" x14ac:dyDescent="0.25">
      <c r="A80" s="3" t="s">
        <v>101</v>
      </c>
      <c r="B80" s="3" t="s">
        <v>102</v>
      </c>
      <c r="C80" s="8" t="s">
        <v>1</v>
      </c>
      <c r="D80" s="41">
        <v>115.86372856364105</v>
      </c>
      <c r="E80" s="42">
        <v>158.28664515901028</v>
      </c>
      <c r="F80" s="43">
        <v>209.22310579911667</v>
      </c>
      <c r="G80" s="48"/>
      <c r="H80" s="47">
        <v>15.266387326829268</v>
      </c>
      <c r="I80" s="48">
        <v>26.639520673170733</v>
      </c>
      <c r="J80" s="43">
        <v>39.118375317073173</v>
      </c>
      <c r="K80" s="48"/>
      <c r="L80" s="47">
        <v>27.823705853658534</v>
      </c>
      <c r="M80" s="48">
        <v>28.456062804878048</v>
      </c>
      <c r="N80" s="43">
        <v>31.256500731707316</v>
      </c>
      <c r="O80" s="53"/>
      <c r="P80" s="54">
        <v>0.24</v>
      </c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  <c r="AD80" s="14"/>
      <c r="AE80" s="14"/>
      <c r="AF80" s="14"/>
      <c r="AG80" s="14"/>
      <c r="AH80" s="14"/>
    </row>
    <row r="81" spans="1:34" x14ac:dyDescent="0.25">
      <c r="A81" s="3" t="s">
        <v>103</v>
      </c>
      <c r="B81" s="3" t="s">
        <v>104</v>
      </c>
      <c r="C81" s="8" t="s">
        <v>1</v>
      </c>
      <c r="D81" s="41">
        <v>94.401905721043661</v>
      </c>
      <c r="E81" s="42">
        <v>121.18989032818388</v>
      </c>
      <c r="F81" s="43">
        <v>171.23582258481778</v>
      </c>
      <c r="G81" s="48"/>
      <c r="H81" s="47">
        <v>9.3937110846750187</v>
      </c>
      <c r="I81" s="48">
        <v>16.391825733270405</v>
      </c>
      <c r="J81" s="43">
        <v>24.070312639368126</v>
      </c>
      <c r="K81" s="48"/>
      <c r="L81" s="47">
        <v>16.957426200058055</v>
      </c>
      <c r="M81" s="48">
        <v>17.342822250059374</v>
      </c>
      <c r="N81" s="43">
        <v>19.049576185779504</v>
      </c>
      <c r="O81" s="53"/>
      <c r="P81" s="54">
        <v>0.16</v>
      </c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14"/>
      <c r="AD81" s="14"/>
      <c r="AE81" s="14"/>
      <c r="AF81" s="14"/>
      <c r="AG81" s="14"/>
      <c r="AH81" s="14"/>
    </row>
    <row r="82" spans="1:34" x14ac:dyDescent="0.25">
      <c r="A82" s="3" t="s">
        <v>105</v>
      </c>
      <c r="B82" s="3" t="s">
        <v>106</v>
      </c>
      <c r="C82" s="8" t="s">
        <v>1</v>
      </c>
      <c r="D82" s="41">
        <v>106.43295995962376</v>
      </c>
      <c r="E82" s="42">
        <v>145.40284846002109</v>
      </c>
      <c r="F82" s="43">
        <v>192.19331811779324</v>
      </c>
      <c r="G82" s="48"/>
      <c r="H82" s="47">
        <v>14.023774404878045</v>
      </c>
      <c r="I82" s="48">
        <v>24.47118759512195</v>
      </c>
      <c r="J82" s="43">
        <v>35.934321512195119</v>
      </c>
      <c r="K82" s="48"/>
      <c r="L82" s="47">
        <v>25.558985609756103</v>
      </c>
      <c r="M82" s="48">
        <v>26.139871646341465</v>
      </c>
      <c r="N82" s="43">
        <v>28.712366951219515</v>
      </c>
      <c r="O82" s="53"/>
      <c r="P82" s="54">
        <v>0.185</v>
      </c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  <c r="AC82" s="14"/>
      <c r="AD82" s="14"/>
      <c r="AE82" s="14"/>
      <c r="AF82" s="14"/>
      <c r="AG82" s="14"/>
      <c r="AH82" s="14"/>
    </row>
    <row r="83" spans="1:34" x14ac:dyDescent="0.25">
      <c r="A83" s="3" t="s">
        <v>107</v>
      </c>
      <c r="B83" s="3" t="s">
        <v>108</v>
      </c>
      <c r="C83" s="8" t="s">
        <v>1</v>
      </c>
      <c r="D83" s="41">
        <v>113.16922324820754</v>
      </c>
      <c r="E83" s="42">
        <v>154.6055603878705</v>
      </c>
      <c r="F83" s="43">
        <v>204.35745217588143</v>
      </c>
      <c r="G83" s="48"/>
      <c r="H83" s="47">
        <v>14.911355063414636</v>
      </c>
      <c r="I83" s="48">
        <v>26.019996936585372</v>
      </c>
      <c r="J83" s="43">
        <v>38.208645658536597</v>
      </c>
      <c r="K83" s="48"/>
      <c r="L83" s="47">
        <v>27.176642926829274</v>
      </c>
      <c r="M83" s="48">
        <v>27.79429390243903</v>
      </c>
      <c r="N83" s="43">
        <v>30.529605365853662</v>
      </c>
      <c r="O83" s="53"/>
      <c r="P83" s="54">
        <v>0.19</v>
      </c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4"/>
      <c r="AD83" s="14"/>
      <c r="AE83" s="14"/>
      <c r="AF83" s="14"/>
      <c r="AG83" s="14"/>
      <c r="AH83" s="14"/>
    </row>
    <row r="84" spans="1:34" x14ac:dyDescent="0.25">
      <c r="A84" s="3" t="s">
        <v>109</v>
      </c>
      <c r="B84" s="3" t="s">
        <v>110</v>
      </c>
      <c r="C84" s="8" t="s">
        <v>1</v>
      </c>
      <c r="D84" s="41">
        <v>98.186231890753191</v>
      </c>
      <c r="E84" s="42">
        <v>117.56994742774779</v>
      </c>
      <c r="F84" s="43">
        <v>143.70646112055584</v>
      </c>
      <c r="G84" s="48"/>
      <c r="H84" s="47">
        <v>13.813729990458127</v>
      </c>
      <c r="I84" s="48">
        <v>24.104664566429371</v>
      </c>
      <c r="J84" s="43">
        <v>35.396106670620036</v>
      </c>
      <c r="K84" s="48"/>
      <c r="L84" s="47">
        <v>25.775602442690005</v>
      </c>
      <c r="M84" s="48">
        <v>26.361411589114777</v>
      </c>
      <c r="N84" s="43">
        <v>28.955709237567348</v>
      </c>
      <c r="O84" s="53"/>
      <c r="P84" s="54">
        <v>0.26</v>
      </c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4"/>
      <c r="AD84" s="14"/>
      <c r="AE84" s="14"/>
      <c r="AF84" s="14"/>
      <c r="AG84" s="14"/>
      <c r="AH84" s="14"/>
    </row>
    <row r="85" spans="1:34" x14ac:dyDescent="0.25">
      <c r="A85" s="3" t="s">
        <v>111</v>
      </c>
      <c r="B85" s="3" t="s">
        <v>112</v>
      </c>
      <c r="C85" s="8" t="s">
        <v>1</v>
      </c>
      <c r="D85" s="41">
        <v>86.845318390124916</v>
      </c>
      <c r="E85" s="42">
        <v>121.41896851208514</v>
      </c>
      <c r="F85" s="43">
        <v>154.74540893635893</v>
      </c>
      <c r="G85" s="48"/>
      <c r="H85" s="47">
        <v>10.819968732507681</v>
      </c>
      <c r="I85" s="48">
        <v>18.88061494589137</v>
      </c>
      <c r="J85" s="43">
        <v>27.724935096687361</v>
      </c>
      <c r="K85" s="48"/>
      <c r="L85" s="47">
        <v>19.532091163391605</v>
      </c>
      <c r="M85" s="48">
        <v>19.97600232619596</v>
      </c>
      <c r="N85" s="43">
        <v>21.941894618615244</v>
      </c>
      <c r="O85" s="53"/>
      <c r="P85" s="54">
        <v>0.16</v>
      </c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4"/>
      <c r="AC85" s="14"/>
      <c r="AD85" s="14"/>
      <c r="AE85" s="14"/>
      <c r="AF85" s="14"/>
      <c r="AG85" s="14"/>
      <c r="AH85" s="14"/>
    </row>
    <row r="86" spans="1:34" x14ac:dyDescent="0.25">
      <c r="A86" s="3" t="s">
        <v>113</v>
      </c>
      <c r="B86" s="3" t="s">
        <v>114</v>
      </c>
      <c r="C86" s="8" t="s">
        <v>1</v>
      </c>
      <c r="D86" s="41">
        <v>87.991431665311538</v>
      </c>
      <c r="E86" s="42">
        <v>107.02848800724368</v>
      </c>
      <c r="F86" s="43">
        <v>114.65414139995565</v>
      </c>
      <c r="G86" s="48"/>
      <c r="H86" s="47">
        <v>11.012797542819488</v>
      </c>
      <c r="I86" s="48">
        <v>19.217097112150622</v>
      </c>
      <c r="J86" s="43">
        <v>28.219036917388951</v>
      </c>
      <c r="K86" s="48"/>
      <c r="L86" s="47">
        <v>20.071339269560102</v>
      </c>
      <c r="M86" s="48">
        <v>20.527506071141012</v>
      </c>
      <c r="N86" s="43">
        <v>22.547673335285047</v>
      </c>
      <c r="O86" s="53"/>
      <c r="P86" s="54">
        <v>0.23</v>
      </c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  <c r="AC86" s="14"/>
      <c r="AD86" s="14"/>
      <c r="AE86" s="14"/>
      <c r="AF86" s="14"/>
      <c r="AG86" s="14"/>
      <c r="AH86" s="14"/>
    </row>
    <row r="87" spans="1:34" x14ac:dyDescent="0.25">
      <c r="A87" s="3" t="s">
        <v>115</v>
      </c>
      <c r="B87" s="3" t="s">
        <v>116</v>
      </c>
      <c r="C87" s="8" t="s">
        <v>1</v>
      </c>
      <c r="D87" s="41">
        <v>106.07959753122921</v>
      </c>
      <c r="E87" s="42">
        <v>142.38453183901248</v>
      </c>
      <c r="F87" s="43">
        <v>178.27014422721561</v>
      </c>
      <c r="G87" s="48"/>
      <c r="H87" s="47">
        <v>13.065675997739104</v>
      </c>
      <c r="I87" s="48">
        <v>22.799326284551441</v>
      </c>
      <c r="J87" s="43">
        <v>33.479303682581637</v>
      </c>
      <c r="K87" s="48"/>
      <c r="L87" s="47">
        <v>24.266383658026754</v>
      </c>
      <c r="M87" s="48">
        <v>24.817892377527361</v>
      </c>
      <c r="N87" s="43">
        <v>27.260288135315768</v>
      </c>
      <c r="O87" s="53"/>
      <c r="P87" s="54">
        <v>9.1000000000000011E-2</v>
      </c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  <c r="AB87" s="14"/>
      <c r="AC87" s="14"/>
      <c r="AD87" s="14"/>
      <c r="AE87" s="14"/>
      <c r="AF87" s="14"/>
      <c r="AG87" s="14"/>
      <c r="AH87" s="14"/>
    </row>
    <row r="88" spans="1:34" x14ac:dyDescent="0.25">
      <c r="A88" s="3" t="s">
        <v>117</v>
      </c>
      <c r="B88" s="3" t="s">
        <v>118</v>
      </c>
      <c r="C88" s="8" t="s">
        <v>1</v>
      </c>
      <c r="D88" s="41">
        <v>98.378799999999998</v>
      </c>
      <c r="E88" s="42">
        <v>127.9902</v>
      </c>
      <c r="F88" s="43">
        <v>141.60380000000001</v>
      </c>
      <c r="G88" s="48"/>
      <c r="H88" s="47">
        <v>13.2739755987087</v>
      </c>
      <c r="I88" s="48">
        <v>23.162804650942086</v>
      </c>
      <c r="J88" s="43">
        <v>34.013047638809269</v>
      </c>
      <c r="K88" s="48"/>
      <c r="L88" s="47">
        <v>25.021897331332003</v>
      </c>
      <c r="M88" s="48">
        <v>25.590576816135002</v>
      </c>
      <c r="N88" s="43">
        <v>28.10901453454829</v>
      </c>
      <c r="O88" s="53"/>
      <c r="P88" s="54">
        <v>0.17</v>
      </c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  <c r="AC88" s="14"/>
      <c r="AD88" s="14"/>
      <c r="AE88" s="14"/>
      <c r="AF88" s="14"/>
      <c r="AG88" s="14"/>
      <c r="AH88" s="14"/>
    </row>
    <row r="89" spans="1:34" x14ac:dyDescent="0.25">
      <c r="A89" s="3" t="s">
        <v>119</v>
      </c>
      <c r="B89" s="3" t="s">
        <v>120</v>
      </c>
      <c r="C89" s="8" t="s">
        <v>1</v>
      </c>
      <c r="D89" s="41">
        <v>71.661784869539503</v>
      </c>
      <c r="E89" s="42">
        <v>114.98585076502329</v>
      </c>
      <c r="F89" s="43">
        <v>128.94102067780324</v>
      </c>
      <c r="G89" s="48"/>
      <c r="H89" s="47">
        <v>8.6811055167948901</v>
      </c>
      <c r="I89" s="48">
        <v>15.148344197596437</v>
      </c>
      <c r="J89" s="43">
        <v>22.244342194587023</v>
      </c>
      <c r="K89" s="48"/>
      <c r="L89" s="47">
        <v>16.198429006395184</v>
      </c>
      <c r="M89" s="48">
        <v>16.566575120176896</v>
      </c>
      <c r="N89" s="43">
        <v>18.196936481210177</v>
      </c>
      <c r="O89" s="53"/>
      <c r="P89" s="54">
        <v>0.13999999999999999</v>
      </c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  <c r="AB89" s="14"/>
      <c r="AC89" s="14"/>
      <c r="AD89" s="14"/>
      <c r="AE89" s="14"/>
      <c r="AF89" s="14"/>
      <c r="AG89" s="14"/>
      <c r="AH89" s="14"/>
    </row>
    <row r="90" spans="1:34" x14ac:dyDescent="0.25">
      <c r="A90" s="3" t="s">
        <v>121</v>
      </c>
      <c r="B90" s="3" t="s">
        <v>122</v>
      </c>
      <c r="C90" s="8" t="s">
        <v>1</v>
      </c>
      <c r="D90" s="41">
        <v>67.918182321309772</v>
      </c>
      <c r="E90" s="42">
        <v>94.787283455909531</v>
      </c>
      <c r="F90" s="43">
        <v>120.22654080124177</v>
      </c>
      <c r="G90" s="48"/>
      <c r="H90" s="47">
        <v>8.4587971726669</v>
      </c>
      <c r="I90" s="48">
        <v>14.760420872815583</v>
      </c>
      <c r="J90" s="43">
        <v>21.674702432700943</v>
      </c>
      <c r="K90" s="48"/>
      <c r="L90" s="47">
        <v>15.269729663153791</v>
      </c>
      <c r="M90" s="48">
        <v>15.616768973680015</v>
      </c>
      <c r="N90" s="43">
        <v>17.153657348867572</v>
      </c>
      <c r="O90" s="53"/>
      <c r="P90" s="54">
        <v>0.16</v>
      </c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  <c r="AB90" s="14"/>
      <c r="AC90" s="14"/>
      <c r="AD90" s="14"/>
      <c r="AE90" s="14"/>
      <c r="AF90" s="14"/>
      <c r="AG90" s="14"/>
      <c r="AH90" s="14"/>
    </row>
    <row r="91" spans="1:34" x14ac:dyDescent="0.25">
      <c r="A91" s="3" t="s">
        <v>123</v>
      </c>
      <c r="B91" s="3" t="s">
        <v>123</v>
      </c>
      <c r="C91" s="8" t="s">
        <v>1</v>
      </c>
      <c r="D91" s="41">
        <v>90.367867174218333</v>
      </c>
      <c r="E91" s="42">
        <v>132.93868726439499</v>
      </c>
      <c r="F91" s="43">
        <v>148.11945635301942</v>
      </c>
      <c r="G91" s="48"/>
      <c r="H91" s="47">
        <v>11.442152430773659</v>
      </c>
      <c r="I91" s="48">
        <v>19.966312245300113</v>
      </c>
      <c r="J91" s="43">
        <v>29.31920981957219</v>
      </c>
      <c r="K91" s="48"/>
      <c r="L91" s="47">
        <v>20.853858660265782</v>
      </c>
      <c r="M91" s="48">
        <v>21.327809993453641</v>
      </c>
      <c r="N91" s="43">
        <v>23.426737326142728</v>
      </c>
      <c r="O91" s="53"/>
      <c r="P91" s="54">
        <v>0.22</v>
      </c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  <c r="AB91" s="14"/>
      <c r="AC91" s="14"/>
      <c r="AD91" s="14"/>
      <c r="AE91" s="14"/>
      <c r="AF91" s="14"/>
      <c r="AG91" s="14"/>
      <c r="AH91" s="14"/>
    </row>
    <row r="92" spans="1:34" x14ac:dyDescent="0.25">
      <c r="A92" s="3" t="s">
        <v>124</v>
      </c>
      <c r="B92" s="3" t="s">
        <v>125</v>
      </c>
      <c r="C92" s="8" t="s">
        <v>1</v>
      </c>
      <c r="D92" s="41">
        <v>106.21153096531525</v>
      </c>
      <c r="E92" s="42">
        <v>145.10034436245289</v>
      </c>
      <c r="F92" s="43">
        <v>191.79346854901507</v>
      </c>
      <c r="G92" s="48"/>
      <c r="H92" s="47">
        <v>13.99459857190244</v>
      </c>
      <c r="I92" s="48">
        <v>24.420276388097562</v>
      </c>
      <c r="J92" s="43">
        <v>35.859561769756105</v>
      </c>
      <c r="K92" s="48"/>
      <c r="L92" s="47">
        <v>25.262898799349596</v>
      </c>
      <c r="M92" s="48">
        <v>25.837055590243903</v>
      </c>
      <c r="N92" s="43">
        <v>28.3797499499187</v>
      </c>
      <c r="O92" s="53"/>
      <c r="P92" s="54">
        <v>0.16</v>
      </c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  <c r="AB92" s="14"/>
      <c r="AC92" s="14"/>
      <c r="AD92" s="14"/>
      <c r="AE92" s="14"/>
      <c r="AF92" s="14"/>
      <c r="AG92" s="14"/>
      <c r="AH92" s="14"/>
    </row>
    <row r="93" spans="1:34" x14ac:dyDescent="0.25">
      <c r="A93" s="3" t="s">
        <v>126</v>
      </c>
      <c r="B93" s="3" t="s">
        <v>127</v>
      </c>
      <c r="C93" s="8" t="s">
        <v>1</v>
      </c>
      <c r="D93" s="41">
        <v>72.30399050188484</v>
      </c>
      <c r="E93" s="42">
        <v>90.521681665311561</v>
      </c>
      <c r="F93" s="43">
        <v>111.39974129647423</v>
      </c>
      <c r="G93" s="48"/>
      <c r="H93" s="47">
        <v>8.5252822964611195</v>
      </c>
      <c r="I93" s="48">
        <v>14.876435997537449</v>
      </c>
      <c r="J93" s="43">
        <v>21.845062975107307</v>
      </c>
      <c r="K93" s="48"/>
      <c r="L93" s="47">
        <v>15.611715411127317</v>
      </c>
      <c r="M93" s="48">
        <v>15.966527125016574</v>
      </c>
      <c r="N93" s="43">
        <v>17.537836143668997</v>
      </c>
      <c r="O93" s="53"/>
      <c r="P93" s="54">
        <v>0.17499999999999999</v>
      </c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  <c r="AB93" s="14"/>
      <c r="AC93" s="14"/>
      <c r="AD93" s="14"/>
      <c r="AE93" s="14"/>
      <c r="AF93" s="14"/>
      <c r="AG93" s="14"/>
      <c r="AH93" s="14"/>
    </row>
    <row r="94" spans="1:34" x14ac:dyDescent="0.25">
      <c r="A94" s="3" t="s">
        <v>128</v>
      </c>
      <c r="B94" s="3" t="s">
        <v>129</v>
      </c>
      <c r="C94" s="8" t="s">
        <v>1</v>
      </c>
      <c r="D94" s="41">
        <v>87.275641603222695</v>
      </c>
      <c r="E94" s="42">
        <v>122.34170234311478</v>
      </c>
      <c r="F94" s="43">
        <v>163.04398447778843</v>
      </c>
      <c r="G94" s="48"/>
      <c r="H94" s="47">
        <v>10.920177626945614</v>
      </c>
      <c r="I94" s="48">
        <v>19.055477331986051</v>
      </c>
      <c r="J94" s="43">
        <v>27.981708952794303</v>
      </c>
      <c r="K94" s="48"/>
      <c r="L94" s="47">
        <v>19.712987181664182</v>
      </c>
      <c r="M94" s="48">
        <v>20.161009617611096</v>
      </c>
      <c r="N94" s="43">
        <v>22.145108976804568</v>
      </c>
      <c r="O94" s="53"/>
      <c r="P94" s="54">
        <v>0.16</v>
      </c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  <c r="AB94" s="14"/>
      <c r="AC94" s="14"/>
      <c r="AD94" s="14"/>
      <c r="AE94" s="14"/>
      <c r="AF94" s="14"/>
      <c r="AG94" s="14"/>
      <c r="AH94" s="14"/>
    </row>
    <row r="95" spans="1:34" x14ac:dyDescent="0.25">
      <c r="A95" s="3" t="s">
        <v>130</v>
      </c>
      <c r="B95" s="3" t="s">
        <v>131</v>
      </c>
      <c r="C95" s="8" t="s">
        <v>1</v>
      </c>
      <c r="D95" s="47">
        <v>107.4473684012122</v>
      </c>
      <c r="E95" s="48">
        <v>146.78867740779069</v>
      </c>
      <c r="F95" s="43">
        <v>194.02510522950701</v>
      </c>
      <c r="G95" s="48"/>
      <c r="H95" s="47">
        <v>14.157434458536587</v>
      </c>
      <c r="I95" s="48">
        <v>24.704421541463418</v>
      </c>
      <c r="J95" s="43">
        <v>36.276810146341468</v>
      </c>
      <c r="K95" s="48"/>
      <c r="L95" s="47">
        <v>25.802587317073176</v>
      </c>
      <c r="M95" s="48">
        <v>26.389009756097561</v>
      </c>
      <c r="N95" s="43">
        <v>28.98602341463415</v>
      </c>
      <c r="O95" s="53"/>
      <c r="P95" s="54">
        <v>0.185</v>
      </c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  <c r="AB95" s="14"/>
      <c r="AC95" s="14"/>
      <c r="AD95" s="14"/>
      <c r="AE95" s="14"/>
      <c r="AF95" s="14"/>
      <c r="AG95" s="14"/>
      <c r="AH95" s="14"/>
    </row>
    <row r="96" spans="1:34" x14ac:dyDescent="0.25">
      <c r="A96" s="3" t="s">
        <v>132</v>
      </c>
      <c r="B96" s="3" t="s">
        <v>133</v>
      </c>
      <c r="C96" s="8" t="s">
        <v>1</v>
      </c>
      <c r="D96" s="41">
        <v>88.530179614162165</v>
      </c>
      <c r="E96" s="42">
        <v>119.68015374380958</v>
      </c>
      <c r="F96" s="43">
        <v>138.48632197501661</v>
      </c>
      <c r="G96" s="48"/>
      <c r="H96" s="47">
        <v>11.365029788591377</v>
      </c>
      <c r="I96" s="48">
        <v>19.831734877596762</v>
      </c>
      <c r="J96" s="43">
        <v>29.121591850255452</v>
      </c>
      <c r="K96" s="48"/>
      <c r="L96" s="47">
        <v>21.206472819608468</v>
      </c>
      <c r="M96" s="48">
        <v>21.688438110963208</v>
      </c>
      <c r="N96" s="43">
        <v>23.8228558298199</v>
      </c>
      <c r="O96" s="53"/>
      <c r="P96" s="54">
        <v>0.14000000000000001</v>
      </c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  <c r="AB96" s="14"/>
      <c r="AC96" s="14"/>
      <c r="AD96" s="14"/>
      <c r="AE96" s="14"/>
      <c r="AF96" s="14"/>
      <c r="AG96" s="14"/>
      <c r="AH96" s="14"/>
    </row>
    <row r="97" spans="1:34" x14ac:dyDescent="0.25">
      <c r="A97" s="3" t="s">
        <v>134</v>
      </c>
      <c r="B97" s="3" t="s">
        <v>135</v>
      </c>
      <c r="C97" s="8" t="s">
        <v>1</v>
      </c>
      <c r="D97" s="41">
        <v>70.685559723556807</v>
      </c>
      <c r="E97" s="42">
        <v>124.5745934658881</v>
      </c>
      <c r="F97" s="43">
        <v>146.90775833394926</v>
      </c>
      <c r="G97" s="48"/>
      <c r="H97" s="47">
        <v>8.9690249142765133</v>
      </c>
      <c r="I97" s="48">
        <v>15.650757412800223</v>
      </c>
      <c r="J97" s="43">
        <v>22.982102793124845</v>
      </c>
      <c r="K97" s="48"/>
      <c r="L97" s="47">
        <v>16.424308264269346</v>
      </c>
      <c r="M97" s="48">
        <v>16.797587997548195</v>
      </c>
      <c r="N97" s="43">
        <v>18.45068395921167</v>
      </c>
      <c r="O97" s="53"/>
      <c r="P97" s="54">
        <v>0.19</v>
      </c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  <c r="AB97" s="14"/>
      <c r="AC97" s="14"/>
      <c r="AD97" s="14"/>
      <c r="AE97" s="14"/>
      <c r="AF97" s="14"/>
      <c r="AG97" s="14"/>
      <c r="AH97" s="14"/>
    </row>
    <row r="98" spans="1:34" x14ac:dyDescent="0.25">
      <c r="A98" s="3" t="s">
        <v>136</v>
      </c>
      <c r="B98" s="3" t="s">
        <v>137</v>
      </c>
      <c r="C98" s="8" t="s">
        <v>1</v>
      </c>
      <c r="D98" s="41">
        <v>80.525603374233128</v>
      </c>
      <c r="E98" s="42">
        <v>114.84159183466994</v>
      </c>
      <c r="F98" s="43">
        <v>146.53564355366248</v>
      </c>
      <c r="G98" s="48"/>
      <c r="H98" s="47">
        <v>9.3589431426794736</v>
      </c>
      <c r="I98" s="48">
        <v>16.331156415132106</v>
      </c>
      <c r="J98" s="43">
        <v>23.981223755739855</v>
      </c>
      <c r="K98" s="48"/>
      <c r="L98" s="47">
        <v>16.894663485173286</v>
      </c>
      <c r="M98" s="48">
        <v>17.278633109836314</v>
      </c>
      <c r="N98" s="43">
        <v>18.979070019058302</v>
      </c>
      <c r="O98" s="53"/>
      <c r="P98" s="54">
        <v>0.16</v>
      </c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  <c r="AB98" s="14"/>
      <c r="AC98" s="14"/>
      <c r="AD98" s="14"/>
      <c r="AE98" s="14"/>
      <c r="AF98" s="14"/>
      <c r="AG98" s="14"/>
      <c r="AH98" s="14"/>
    </row>
    <row r="99" spans="1:34" x14ac:dyDescent="0.25">
      <c r="A99" s="3" t="s">
        <v>138</v>
      </c>
      <c r="B99" s="3" t="s">
        <v>139</v>
      </c>
      <c r="C99" s="8" t="s">
        <v>1</v>
      </c>
      <c r="D99" s="41">
        <v>89.43051777662798</v>
      </c>
      <c r="E99" s="42">
        <v>120.48633350580235</v>
      </c>
      <c r="F99" s="43">
        <v>178.64642952176806</v>
      </c>
      <c r="G99" s="48"/>
      <c r="H99" s="47">
        <v>10.891259303505892</v>
      </c>
      <c r="I99" s="48">
        <v>19.005015473616186</v>
      </c>
      <c r="J99" s="43">
        <v>27.907609049153873</v>
      </c>
      <c r="K99" s="48"/>
      <c r="L99" s="47">
        <v>19.660784135270887</v>
      </c>
      <c r="M99" s="48">
        <v>20.107620138345226</v>
      </c>
      <c r="N99" s="43">
        <v>22.086465294817298</v>
      </c>
      <c r="O99" s="53"/>
      <c r="P99" s="54">
        <v>0.16</v>
      </c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  <c r="AB99" s="14"/>
      <c r="AC99" s="14"/>
      <c r="AD99" s="14"/>
      <c r="AE99" s="14"/>
      <c r="AF99" s="14"/>
      <c r="AG99" s="14"/>
      <c r="AH99" s="14"/>
    </row>
    <row r="100" spans="1:34" x14ac:dyDescent="0.25">
      <c r="A100" s="3" t="s">
        <v>140</v>
      </c>
      <c r="B100" s="3" t="s">
        <v>141</v>
      </c>
      <c r="C100" s="8" t="s">
        <v>1</v>
      </c>
      <c r="D100" s="41">
        <v>86.46601600000001</v>
      </c>
      <c r="E100" s="42">
        <v>152.11969500000001</v>
      </c>
      <c r="F100" s="43">
        <v>173.39877100000001</v>
      </c>
      <c r="G100" s="48"/>
      <c r="H100" s="47">
        <v>10.49488903851233</v>
      </c>
      <c r="I100" s="48">
        <v>18.313357804878184</v>
      </c>
      <c r="J100" s="43">
        <v>26.891955479085158</v>
      </c>
      <c r="K100" s="48"/>
      <c r="L100" s="47">
        <v>19.127426765936789</v>
      </c>
      <c r="M100" s="48">
        <v>19.562141010617172</v>
      </c>
      <c r="N100" s="43">
        <v>21.487304094201718</v>
      </c>
      <c r="O100" s="53"/>
      <c r="P100" s="54">
        <v>0.15</v>
      </c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  <c r="AB100" s="14"/>
      <c r="AC100" s="14"/>
      <c r="AD100" s="14"/>
      <c r="AE100" s="14"/>
      <c r="AF100" s="14"/>
      <c r="AG100" s="14"/>
      <c r="AH100" s="14"/>
    </row>
    <row r="101" spans="1:34" x14ac:dyDescent="0.25">
      <c r="A101" s="3" t="s">
        <v>142</v>
      </c>
      <c r="B101" s="3" t="s">
        <v>143</v>
      </c>
      <c r="C101" s="8" t="s">
        <v>1</v>
      </c>
      <c r="D101" s="41">
        <v>133.78771574026166</v>
      </c>
      <c r="E101" s="42">
        <v>156.27316782467292</v>
      </c>
      <c r="F101" s="43">
        <v>165.48589234237565</v>
      </c>
      <c r="G101" s="48"/>
      <c r="H101" s="47">
        <v>16.352071250541229</v>
      </c>
      <c r="I101" s="48">
        <v>28.534015992271282</v>
      </c>
      <c r="J101" s="43">
        <v>41.900316472780638</v>
      </c>
      <c r="K101" s="48"/>
      <c r="L101" s="47">
        <v>32.924573478919378</v>
      </c>
      <c r="M101" s="48">
        <v>33.672859239803913</v>
      </c>
      <c r="N101" s="43">
        <v>36.98669618086398</v>
      </c>
      <c r="O101" s="53"/>
      <c r="P101" s="54">
        <v>0.192</v>
      </c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</row>
    <row r="102" spans="1:34" x14ac:dyDescent="0.25">
      <c r="A102" s="3" t="s">
        <v>144</v>
      </c>
      <c r="B102" s="3" t="s">
        <v>145</v>
      </c>
      <c r="C102" s="8" t="s">
        <v>1</v>
      </c>
      <c r="D102" s="41">
        <v>106.09050000000001</v>
      </c>
      <c r="E102" s="42">
        <v>177.73770000000002</v>
      </c>
      <c r="F102" s="43">
        <v>206.02850000000004</v>
      </c>
      <c r="G102" s="48"/>
      <c r="H102" s="47">
        <v>12.898000055651917</v>
      </c>
      <c r="I102" s="48">
        <v>22.506735337525289</v>
      </c>
      <c r="J102" s="43">
        <v>33.049653216247457</v>
      </c>
      <c r="K102" s="48"/>
      <c r="L102" s="47">
        <v>23.507209136391367</v>
      </c>
      <c r="M102" s="48">
        <v>24.041463889491173</v>
      </c>
      <c r="N102" s="43">
        <v>26.407449224647447</v>
      </c>
      <c r="O102" s="53"/>
      <c r="P102" s="54">
        <v>0.15</v>
      </c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</row>
    <row r="103" spans="1:34" x14ac:dyDescent="0.25">
      <c r="A103" s="3" t="s">
        <v>146</v>
      </c>
      <c r="B103" s="3" t="s">
        <v>147</v>
      </c>
      <c r="C103" s="8" t="s">
        <v>1</v>
      </c>
      <c r="D103" s="41">
        <v>73.392699016926599</v>
      </c>
      <c r="E103" s="42">
        <v>102.87390984182126</v>
      </c>
      <c r="F103" s="43">
        <v>123.05749704338827</v>
      </c>
      <c r="G103" s="48"/>
      <c r="H103" s="47">
        <v>8.7023739042898747</v>
      </c>
      <c r="I103" s="48">
        <v>15.185457080705461</v>
      </c>
      <c r="J103" s="43">
        <v>22.298840010383671</v>
      </c>
      <c r="K103" s="48"/>
      <c r="L103" s="47">
        <v>15.709431758876786</v>
      </c>
      <c r="M103" s="48">
        <v>16.066464298851258</v>
      </c>
      <c r="N103" s="43">
        <v>17.647608404452495</v>
      </c>
      <c r="O103" s="53"/>
      <c r="P103" s="54">
        <v>0.16</v>
      </c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</row>
    <row r="104" spans="1:34" x14ac:dyDescent="0.25">
      <c r="A104" s="3" t="s">
        <v>148</v>
      </c>
      <c r="B104" s="3" t="s">
        <v>149</v>
      </c>
      <c r="C104" s="8" t="s">
        <v>1</v>
      </c>
      <c r="D104" s="41">
        <v>63.31395197353833</v>
      </c>
      <c r="E104" s="42">
        <v>88.059679207628051</v>
      </c>
      <c r="F104" s="43">
        <v>116.41835686303496</v>
      </c>
      <c r="G104" s="48"/>
      <c r="H104" s="47">
        <v>7.7770292649857211</v>
      </c>
      <c r="I104" s="48">
        <v>13.570750397269666</v>
      </c>
      <c r="J104" s="43">
        <v>19.927749972970105</v>
      </c>
      <c r="K104" s="48"/>
      <c r="L104" s="47">
        <v>15.658895289748303</v>
      </c>
      <c r="M104" s="48">
        <v>16.014779273606219</v>
      </c>
      <c r="N104" s="43">
        <v>17.590836916405564</v>
      </c>
      <c r="O104" s="53"/>
      <c r="P104" s="54">
        <v>0.18</v>
      </c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</row>
    <row r="105" spans="1:34" x14ac:dyDescent="0.25">
      <c r="A105" s="3" t="s">
        <v>150</v>
      </c>
      <c r="B105" s="3" t="s">
        <v>151</v>
      </c>
      <c r="C105" s="8" t="s">
        <v>1</v>
      </c>
      <c r="D105" s="41">
        <v>107.33700426639071</v>
      </c>
      <c r="E105" s="42">
        <v>146.63790400473059</v>
      </c>
      <c r="F105" s="43">
        <v>193.82581311848622</v>
      </c>
      <c r="G105" s="48"/>
      <c r="H105" s="47">
        <v>14.142892706341463</v>
      </c>
      <c r="I105" s="48">
        <v>24.679046493658539</v>
      </c>
      <c r="J105" s="43">
        <v>36.23954856585366</v>
      </c>
      <c r="K105" s="48"/>
      <c r="L105" s="47">
        <v>26.389800585365855</v>
      </c>
      <c r="M105" s="48">
        <v>26.989568780487804</v>
      </c>
      <c r="N105" s="43">
        <v>29.645685073170732</v>
      </c>
      <c r="O105" s="53"/>
      <c r="P105" s="54">
        <v>0.16</v>
      </c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</row>
    <row r="106" spans="1:34" x14ac:dyDescent="0.25">
      <c r="A106" s="3" t="s">
        <v>152</v>
      </c>
      <c r="B106" s="3" t="s">
        <v>153</v>
      </c>
      <c r="C106" s="8" t="s">
        <v>1</v>
      </c>
      <c r="D106" s="41">
        <v>110.78842394116343</v>
      </c>
      <c r="E106" s="42">
        <v>151.1499672000887</v>
      </c>
      <c r="F106" s="43">
        <v>177.87387972133934</v>
      </c>
      <c r="G106" s="48"/>
      <c r="H106" s="47">
        <v>14.719557625490364</v>
      </c>
      <c r="I106" s="48">
        <v>25.685314493171564</v>
      </c>
      <c r="J106" s="43">
        <v>37.717186611877317</v>
      </c>
      <c r="K106" s="48"/>
      <c r="L106" s="47">
        <v>26.31609105470212</v>
      </c>
      <c r="M106" s="48">
        <v>26.914184033218074</v>
      </c>
      <c r="N106" s="43">
        <v>29.562881509503029</v>
      </c>
      <c r="O106" s="53"/>
      <c r="P106" s="54">
        <v>0.29000000000000004</v>
      </c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4"/>
      <c r="AB106" s="14"/>
      <c r="AC106" s="14"/>
      <c r="AD106" s="14"/>
      <c r="AE106" s="14"/>
      <c r="AF106" s="14"/>
      <c r="AG106" s="14"/>
      <c r="AH106" s="14"/>
    </row>
    <row r="107" spans="1:34" x14ac:dyDescent="0.25">
      <c r="A107" s="3" t="s">
        <v>152</v>
      </c>
      <c r="B107" s="3" t="s">
        <v>154</v>
      </c>
      <c r="C107" s="8" t="s">
        <v>1</v>
      </c>
      <c r="D107" s="41">
        <v>172.45381459919435</v>
      </c>
      <c r="E107" s="42">
        <v>235.59690419238308</v>
      </c>
      <c r="F107" s="43">
        <v>311.41171740843748</v>
      </c>
      <c r="G107" s="48"/>
      <c r="H107" s="47">
        <v>22.722786175609759</v>
      </c>
      <c r="I107" s="48">
        <v>39.650777824390254</v>
      </c>
      <c r="J107" s="43">
        <v>58.224546439024401</v>
      </c>
      <c r="K107" s="48"/>
      <c r="L107" s="47">
        <v>40.624516390243905</v>
      </c>
      <c r="M107" s="48">
        <v>41.547800853658543</v>
      </c>
      <c r="N107" s="43">
        <v>45.636632048780498</v>
      </c>
      <c r="O107" s="53"/>
      <c r="P107" s="54">
        <v>0.29000000000000004</v>
      </c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  <c r="AB107" s="14"/>
      <c r="AC107" s="14"/>
      <c r="AD107" s="14"/>
      <c r="AE107" s="14"/>
      <c r="AF107" s="14"/>
      <c r="AG107" s="14"/>
      <c r="AH107" s="14"/>
    </row>
    <row r="108" spans="1:34" x14ac:dyDescent="0.25">
      <c r="A108" s="3" t="s">
        <v>155</v>
      </c>
      <c r="B108" s="3" t="s">
        <v>156</v>
      </c>
      <c r="C108" s="8" t="s">
        <v>1</v>
      </c>
      <c r="D108" s="41">
        <v>93.912980974665516</v>
      </c>
      <c r="E108" s="42">
        <v>128.29874266644799</v>
      </c>
      <c r="F108" s="43">
        <v>169.58513072173662</v>
      </c>
      <c r="G108" s="48"/>
      <c r="H108" s="47">
        <v>12.374122258536586</v>
      </c>
      <c r="I108" s="48">
        <v>21.592579741463418</v>
      </c>
      <c r="J108" s="43">
        <v>31.707276146341467</v>
      </c>
      <c r="K108" s="48"/>
      <c r="L108" s="47">
        <v>32.217739024390248</v>
      </c>
      <c r="M108" s="48">
        <v>32.949960365853656</v>
      </c>
      <c r="N108" s="43">
        <v>36.192654878048785</v>
      </c>
      <c r="O108" s="53"/>
      <c r="P108" s="54">
        <v>0.10999999999999999</v>
      </c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  <c r="AB108" s="14"/>
      <c r="AC108" s="14"/>
      <c r="AD108" s="14"/>
      <c r="AE108" s="14"/>
      <c r="AF108" s="14"/>
      <c r="AG108" s="14"/>
      <c r="AH108" s="14"/>
    </row>
    <row r="109" spans="1:34" x14ac:dyDescent="0.25">
      <c r="A109" s="3" t="s">
        <v>157</v>
      </c>
      <c r="B109" s="3" t="s">
        <v>158</v>
      </c>
      <c r="C109" s="8" t="s">
        <v>1</v>
      </c>
      <c r="D109" s="41">
        <v>129.03735227566708</v>
      </c>
      <c r="E109" s="42">
        <v>176.28372438142139</v>
      </c>
      <c r="F109" s="43">
        <v>233.01162444794517</v>
      </c>
      <c r="G109" s="48"/>
      <c r="H109" s="47">
        <v>9.2679858647357563</v>
      </c>
      <c r="I109" s="48">
        <v>17.094083517638847</v>
      </c>
      <c r="J109" s="43">
        <v>18.363670622397169</v>
      </c>
      <c r="K109" s="48"/>
      <c r="L109" s="47">
        <v>29.954333414634139</v>
      </c>
      <c r="M109" s="48">
        <v>30.635113719512187</v>
      </c>
      <c r="N109" s="43">
        <v>33.649997926829258</v>
      </c>
      <c r="O109" s="53"/>
      <c r="P109" s="54">
        <v>0.12</v>
      </c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  <c r="AB109" s="14"/>
      <c r="AC109" s="14"/>
      <c r="AD109" s="14"/>
      <c r="AE109" s="14"/>
      <c r="AF109" s="14"/>
      <c r="AG109" s="14"/>
      <c r="AH109" s="14"/>
    </row>
    <row r="110" spans="1:34" x14ac:dyDescent="0.25">
      <c r="A110" s="3" t="s">
        <v>157</v>
      </c>
      <c r="B110" s="3" t="s">
        <v>159</v>
      </c>
      <c r="C110" s="8" t="s">
        <v>1</v>
      </c>
      <c r="D110" s="41">
        <v>129.03735227566708</v>
      </c>
      <c r="E110" s="42">
        <v>176.28372438142139</v>
      </c>
      <c r="F110" s="43">
        <v>233.01162444794517</v>
      </c>
      <c r="G110" s="48"/>
      <c r="H110" s="47">
        <v>9.2679858647357563</v>
      </c>
      <c r="I110" s="48">
        <v>17.094083517638847</v>
      </c>
      <c r="J110" s="43">
        <v>18.363670622397169</v>
      </c>
      <c r="K110" s="48"/>
      <c r="L110" s="47">
        <v>29.954333414634139</v>
      </c>
      <c r="M110" s="48">
        <v>30.635113719512187</v>
      </c>
      <c r="N110" s="43">
        <v>33.649997926829258</v>
      </c>
      <c r="O110" s="53"/>
      <c r="P110" s="54">
        <v>0.12</v>
      </c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  <c r="AB110" s="14"/>
      <c r="AC110" s="14"/>
      <c r="AD110" s="14"/>
      <c r="AE110" s="14"/>
      <c r="AF110" s="14"/>
      <c r="AG110" s="14"/>
      <c r="AH110" s="14"/>
    </row>
    <row r="111" spans="1:34" x14ac:dyDescent="0.25">
      <c r="A111" s="3" t="s">
        <v>160</v>
      </c>
      <c r="B111" s="3" t="s">
        <v>161</v>
      </c>
      <c r="C111" s="8" t="s">
        <v>1</v>
      </c>
      <c r="D111" s="41">
        <v>86.65869716765836</v>
      </c>
      <c r="E111" s="42">
        <v>117.22926585714022</v>
      </c>
      <c r="F111" s="43">
        <v>174.48061023773005</v>
      </c>
      <c r="G111" s="48"/>
      <c r="H111" s="47">
        <v>10.721083368010504</v>
      </c>
      <c r="I111" s="48">
        <v>18.708062091348825</v>
      </c>
      <c r="J111" s="43">
        <v>27.471552635011701</v>
      </c>
      <c r="K111" s="48"/>
      <c r="L111" s="47">
        <v>19.353584367130615</v>
      </c>
      <c r="M111" s="48">
        <v>19.793438557292671</v>
      </c>
      <c r="N111" s="43">
        <v>21.741364256581797</v>
      </c>
      <c r="O111" s="53"/>
      <c r="P111" s="54">
        <v>0.16</v>
      </c>
      <c r="Q111" s="14"/>
      <c r="R111" s="14"/>
      <c r="S111" s="14"/>
      <c r="T111" s="14"/>
      <c r="U111" s="14"/>
      <c r="V111" s="14"/>
      <c r="W111" s="14"/>
      <c r="X111" s="14"/>
      <c r="Y111" s="14"/>
      <c r="Z111" s="14"/>
      <c r="AA111" s="14"/>
      <c r="AB111" s="14"/>
      <c r="AC111" s="14"/>
      <c r="AD111" s="14"/>
      <c r="AE111" s="14"/>
      <c r="AF111" s="14"/>
      <c r="AG111" s="14"/>
      <c r="AH111" s="14"/>
    </row>
    <row r="112" spans="1:34" x14ac:dyDescent="0.25">
      <c r="A112" s="3" t="s">
        <v>162</v>
      </c>
      <c r="B112" s="3" t="s">
        <v>163</v>
      </c>
      <c r="C112" s="8" t="s">
        <v>2</v>
      </c>
      <c r="D112" s="41">
        <v>90.518625070265784</v>
      </c>
      <c r="E112" s="42">
        <v>124.54746488124252</v>
      </c>
      <c r="F112" s="43">
        <v>178.01215849732239</v>
      </c>
      <c r="G112" s="48"/>
      <c r="H112" s="47">
        <v>6.6430000000000007</v>
      </c>
      <c r="I112" s="48">
        <v>12.252500000000001</v>
      </c>
      <c r="J112" s="43">
        <v>13.1625</v>
      </c>
      <c r="K112" s="48"/>
      <c r="L112" s="47">
        <v>19.034400000000002</v>
      </c>
      <c r="M112" s="48">
        <v>19.466999999999999</v>
      </c>
      <c r="N112" s="43">
        <v>21.382800000000003</v>
      </c>
      <c r="O112" s="53"/>
      <c r="P112" s="54">
        <v>0.14000000000000001</v>
      </c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  <c r="AB112" s="14"/>
      <c r="AC112" s="14"/>
      <c r="AD112" s="14"/>
      <c r="AE112" s="14"/>
      <c r="AF112" s="14"/>
      <c r="AG112" s="14"/>
      <c r="AH112" s="14"/>
    </row>
    <row r="113" spans="1:34" x14ac:dyDescent="0.25">
      <c r="A113" s="3" t="s">
        <v>164</v>
      </c>
      <c r="B113" s="3" t="s">
        <v>165</v>
      </c>
      <c r="C113" s="8" t="s">
        <v>2</v>
      </c>
      <c r="D113" s="41">
        <v>105.75639203677611</v>
      </c>
      <c r="E113" s="42">
        <v>151.28717840855128</v>
      </c>
      <c r="F113" s="43">
        <v>192.00878506040428</v>
      </c>
      <c r="G113" s="48"/>
      <c r="H113" s="47">
        <v>7.665508855555081</v>
      </c>
      <c r="I113" s="48">
        <v>14.138438544737111</v>
      </c>
      <c r="J113" s="43">
        <v>15.188508250977533</v>
      </c>
      <c r="K113" s="48"/>
      <c r="L113" s="47">
        <v>25.694592000000004</v>
      </c>
      <c r="M113" s="48">
        <v>26.278560000000002</v>
      </c>
      <c r="N113" s="43">
        <v>28.864704000000003</v>
      </c>
      <c r="O113" s="53"/>
      <c r="P113" s="54">
        <v>0.185</v>
      </c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</row>
    <row r="114" spans="1:34" x14ac:dyDescent="0.25">
      <c r="A114" s="3" t="s">
        <v>164</v>
      </c>
      <c r="B114" s="3" t="s">
        <v>166</v>
      </c>
      <c r="C114" s="8" t="s">
        <v>2</v>
      </c>
      <c r="D114" s="41">
        <v>107.87151987751163</v>
      </c>
      <c r="E114" s="42">
        <v>154.31292197672232</v>
      </c>
      <c r="F114" s="43">
        <v>195.8489607616124</v>
      </c>
      <c r="G114" s="48"/>
      <c r="H114" s="47">
        <v>7.8694000000000006</v>
      </c>
      <c r="I114" s="48">
        <v>14.514500000000002</v>
      </c>
      <c r="J114" s="43">
        <v>15.592500000000001</v>
      </c>
      <c r="K114" s="48"/>
      <c r="L114" s="47">
        <v>26.208483840000003</v>
      </c>
      <c r="M114" s="48">
        <v>26.804131200000004</v>
      </c>
      <c r="N114" s="43">
        <v>29.441998080000005</v>
      </c>
      <c r="O114" s="53"/>
      <c r="P114" s="54">
        <v>0.185</v>
      </c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</row>
    <row r="115" spans="1:34" x14ac:dyDescent="0.25">
      <c r="A115" s="3" t="s">
        <v>164</v>
      </c>
      <c r="B115" s="3" t="s">
        <v>167</v>
      </c>
      <c r="C115" s="8" t="s">
        <v>2</v>
      </c>
      <c r="D115" s="41">
        <v>109.98664771824714</v>
      </c>
      <c r="E115" s="42">
        <v>157.33866554489333</v>
      </c>
      <c r="F115" s="43">
        <v>199.68913646282047</v>
      </c>
      <c r="G115" s="48"/>
      <c r="H115" s="47">
        <v>7.9716000000000005</v>
      </c>
      <c r="I115" s="48">
        <v>14.703000000000001</v>
      </c>
      <c r="J115" s="43">
        <v>15.795</v>
      </c>
      <c r="K115" s="48"/>
      <c r="L115" s="47">
        <v>26.722375680000006</v>
      </c>
      <c r="M115" s="48">
        <v>27.329702400000002</v>
      </c>
      <c r="N115" s="43">
        <v>30.019292160000003</v>
      </c>
      <c r="O115" s="53"/>
      <c r="P115" s="54">
        <v>0.185</v>
      </c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  <c r="AB115" s="14"/>
      <c r="AC115" s="14"/>
      <c r="AD115" s="14"/>
      <c r="AE115" s="14"/>
      <c r="AF115" s="14"/>
      <c r="AG115" s="14"/>
      <c r="AH115" s="14"/>
    </row>
    <row r="116" spans="1:34" x14ac:dyDescent="0.25">
      <c r="A116" s="3" t="s">
        <v>164</v>
      </c>
      <c r="B116" s="3" t="s">
        <v>168</v>
      </c>
      <c r="C116" s="8" t="s">
        <v>2</v>
      </c>
      <c r="D116" s="41">
        <v>108.9290837978794</v>
      </c>
      <c r="E116" s="42">
        <v>155.82579376080781</v>
      </c>
      <c r="F116" s="43">
        <v>197.76904861221644</v>
      </c>
      <c r="G116" s="48"/>
      <c r="H116" s="47">
        <v>7.8694000000000006</v>
      </c>
      <c r="I116" s="48">
        <v>14.514500000000002</v>
      </c>
      <c r="J116" s="43">
        <v>15.592500000000001</v>
      </c>
      <c r="K116" s="48"/>
      <c r="L116" s="47">
        <v>26.465429760000003</v>
      </c>
      <c r="M116" s="48">
        <v>27.066916800000005</v>
      </c>
      <c r="N116" s="43">
        <v>29.730645120000005</v>
      </c>
      <c r="O116" s="53"/>
      <c r="P116" s="54">
        <v>0.185</v>
      </c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  <c r="AC116" s="14"/>
      <c r="AD116" s="14"/>
      <c r="AE116" s="14"/>
      <c r="AF116" s="14"/>
      <c r="AG116" s="14"/>
      <c r="AH116" s="14"/>
    </row>
    <row r="117" spans="1:34" x14ac:dyDescent="0.25">
      <c r="A117" s="3" t="s">
        <v>162</v>
      </c>
      <c r="B117" s="3" t="s">
        <v>169</v>
      </c>
      <c r="C117" s="8" t="s">
        <v>2</v>
      </c>
      <c r="D117" s="41">
        <v>77.728772307682661</v>
      </c>
      <c r="E117" s="42">
        <v>122.06279018108992</v>
      </c>
      <c r="F117" s="43">
        <v>158.87699056632235</v>
      </c>
      <c r="G117" s="48"/>
      <c r="H117" s="47">
        <v>6.3364000000000003</v>
      </c>
      <c r="I117" s="48">
        <v>11.687000000000001</v>
      </c>
      <c r="J117" s="43">
        <v>12.555</v>
      </c>
      <c r="K117" s="48"/>
      <c r="L117" s="47">
        <v>18.22128</v>
      </c>
      <c r="M117" s="48">
        <v>18.635400000000001</v>
      </c>
      <c r="N117" s="43">
        <v>20.469359999999998</v>
      </c>
      <c r="O117" s="53"/>
      <c r="P117" s="54">
        <v>0.15</v>
      </c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14"/>
      <c r="AB117" s="14"/>
      <c r="AC117" s="14"/>
      <c r="AD117" s="14"/>
      <c r="AE117" s="14"/>
      <c r="AF117" s="14"/>
      <c r="AG117" s="14"/>
      <c r="AH117" s="14"/>
    </row>
    <row r="118" spans="1:34" x14ac:dyDescent="0.25">
      <c r="A118" s="3" t="s">
        <v>162</v>
      </c>
      <c r="B118" s="3" t="s">
        <v>170</v>
      </c>
      <c r="C118" s="8" t="s">
        <v>2</v>
      </c>
      <c r="D118" s="41">
        <v>74.863791220861202</v>
      </c>
      <c r="E118" s="42">
        <v>117.31959583544327</v>
      </c>
      <c r="F118" s="43">
        <v>152.36599091612507</v>
      </c>
      <c r="G118" s="48"/>
      <c r="H118" s="47">
        <v>6.1320000000000006</v>
      </c>
      <c r="I118" s="48">
        <v>11.31</v>
      </c>
      <c r="J118" s="43">
        <v>12.15</v>
      </c>
      <c r="K118" s="48"/>
      <c r="L118" s="47">
        <v>17.907119999999999</v>
      </c>
      <c r="M118" s="48">
        <v>18.3141</v>
      </c>
      <c r="N118" s="43">
        <v>20.116439999999997</v>
      </c>
      <c r="O118" s="53"/>
      <c r="P118" s="54">
        <v>0.15</v>
      </c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  <c r="AB118" s="14"/>
      <c r="AC118" s="14"/>
      <c r="AD118" s="14"/>
      <c r="AE118" s="14"/>
      <c r="AF118" s="14"/>
      <c r="AG118" s="14"/>
      <c r="AH118" s="14"/>
    </row>
    <row r="119" spans="1:34" x14ac:dyDescent="0.25">
      <c r="A119" s="3" t="s">
        <v>162</v>
      </c>
      <c r="B119" s="3" t="s">
        <v>171</v>
      </c>
      <c r="C119" s="8" t="s">
        <v>2</v>
      </c>
      <c r="D119" s="41">
        <v>76.460749725763691</v>
      </c>
      <c r="E119" s="42">
        <v>110.76680552597055</v>
      </c>
      <c r="F119" s="43">
        <v>147.74989374464377</v>
      </c>
      <c r="G119" s="48"/>
      <c r="H119" s="47">
        <v>6.3364000000000003</v>
      </c>
      <c r="I119" s="48">
        <v>11.687000000000001</v>
      </c>
      <c r="J119" s="43">
        <v>12.555</v>
      </c>
      <c r="K119" s="48"/>
      <c r="L119" s="47">
        <v>17.592960000000001</v>
      </c>
      <c r="M119" s="48">
        <v>17.992800000000003</v>
      </c>
      <c r="N119" s="43">
        <v>19.763520000000003</v>
      </c>
      <c r="O119" s="53"/>
      <c r="P119" s="54">
        <v>0.15</v>
      </c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  <c r="AB119" s="14"/>
      <c r="AC119" s="14"/>
      <c r="AD119" s="14"/>
      <c r="AE119" s="14"/>
      <c r="AF119" s="14"/>
      <c r="AG119" s="14"/>
      <c r="AH119" s="14"/>
    </row>
    <row r="120" spans="1:34" x14ac:dyDescent="0.25">
      <c r="A120" s="3" t="s">
        <v>172</v>
      </c>
      <c r="B120" s="3" t="s">
        <v>173</v>
      </c>
      <c r="C120" s="8" t="s">
        <v>2</v>
      </c>
      <c r="D120" s="41">
        <v>38.701550376763777</v>
      </c>
      <c r="E120" s="42">
        <v>53.759423459899288</v>
      </c>
      <c r="F120" s="43">
        <v>65.306664200214072</v>
      </c>
      <c r="G120" s="48"/>
      <c r="H120" s="47">
        <v>2.7594000000000003</v>
      </c>
      <c r="I120" s="48">
        <v>5.089500000000001</v>
      </c>
      <c r="J120" s="43">
        <v>5.4675000000000002</v>
      </c>
      <c r="K120" s="48"/>
      <c r="L120" s="47">
        <v>9.237008360095988</v>
      </c>
      <c r="M120" s="48">
        <v>9.4469403682799875</v>
      </c>
      <c r="N120" s="43">
        <v>10.376639261666272</v>
      </c>
      <c r="O120" s="53"/>
      <c r="P120" s="54">
        <v>0.15</v>
      </c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  <c r="AB120" s="14"/>
      <c r="AC120" s="14"/>
      <c r="AD120" s="14"/>
      <c r="AE120" s="14"/>
      <c r="AF120" s="14"/>
      <c r="AG120" s="14"/>
      <c r="AH120" s="14"/>
    </row>
    <row r="121" spans="1:34" x14ac:dyDescent="0.25">
      <c r="A121" s="3" t="s">
        <v>172</v>
      </c>
      <c r="B121" s="3" t="s">
        <v>174</v>
      </c>
      <c r="C121" s="8" t="s">
        <v>2</v>
      </c>
      <c r="D121" s="41">
        <v>38.318366709667103</v>
      </c>
      <c r="E121" s="42">
        <v>53.227151940494345</v>
      </c>
      <c r="F121" s="43">
        <v>64.660063564568389</v>
      </c>
      <c r="G121" s="48"/>
      <c r="H121" s="47">
        <v>2.7594000000000003</v>
      </c>
      <c r="I121" s="48">
        <v>5.089500000000001</v>
      </c>
      <c r="J121" s="43">
        <v>5.4675000000000002</v>
      </c>
      <c r="K121" s="48"/>
      <c r="L121" s="47">
        <v>9.1455528317782058</v>
      </c>
      <c r="M121" s="48">
        <v>9.3534063052277094</v>
      </c>
      <c r="N121" s="43">
        <v>10.273900259075516</v>
      </c>
      <c r="O121" s="53"/>
      <c r="P121" s="54">
        <v>0.15</v>
      </c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  <c r="AB121" s="14"/>
      <c r="AC121" s="14"/>
      <c r="AD121" s="14"/>
      <c r="AE121" s="14"/>
      <c r="AF121" s="14"/>
      <c r="AG121" s="14"/>
      <c r="AH121" s="14"/>
    </row>
    <row r="122" spans="1:34" x14ac:dyDescent="0.25">
      <c r="A122" s="3" t="s">
        <v>172</v>
      </c>
      <c r="B122" s="3" t="s">
        <v>175</v>
      </c>
      <c r="C122" s="8" t="s">
        <v>2</v>
      </c>
      <c r="D122" s="41">
        <v>38.318366709667103</v>
      </c>
      <c r="E122" s="42">
        <v>53.227151940494345</v>
      </c>
      <c r="F122" s="43">
        <v>64.660063564568389</v>
      </c>
      <c r="G122" s="48"/>
      <c r="H122" s="47">
        <v>2.7594000000000003</v>
      </c>
      <c r="I122" s="48">
        <v>5.089500000000001</v>
      </c>
      <c r="J122" s="43">
        <v>5.4675000000000002</v>
      </c>
      <c r="K122" s="48"/>
      <c r="L122" s="47">
        <v>9.1455528317782058</v>
      </c>
      <c r="M122" s="48">
        <v>9.3534063052277094</v>
      </c>
      <c r="N122" s="43">
        <v>10.273900259075516</v>
      </c>
      <c r="O122" s="53"/>
      <c r="P122" s="54">
        <v>0.15</v>
      </c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  <c r="AB122" s="14"/>
      <c r="AC122" s="14"/>
      <c r="AD122" s="14"/>
      <c r="AE122" s="14"/>
      <c r="AF122" s="14"/>
      <c r="AG122" s="14"/>
      <c r="AH122" s="14"/>
    </row>
    <row r="123" spans="1:34" x14ac:dyDescent="0.25">
      <c r="A123" s="3" t="s">
        <v>172</v>
      </c>
      <c r="B123" s="3" t="s">
        <v>176</v>
      </c>
      <c r="C123" s="8" t="s">
        <v>2</v>
      </c>
      <c r="D123" s="41">
        <v>37.94269644780762</v>
      </c>
      <c r="E123" s="42">
        <v>52.705317117548319</v>
      </c>
      <c r="F123" s="43">
        <v>64.0261413727589</v>
      </c>
      <c r="G123" s="48"/>
      <c r="H123" s="47">
        <v>2.7594000000000003</v>
      </c>
      <c r="I123" s="48">
        <v>5.089500000000001</v>
      </c>
      <c r="J123" s="43">
        <v>5.4675000000000002</v>
      </c>
      <c r="K123" s="48"/>
      <c r="L123" s="47">
        <v>9.0558905491137143</v>
      </c>
      <c r="M123" s="48">
        <v>9.2617062434117514</v>
      </c>
      <c r="N123" s="43">
        <v>10.173175746731639</v>
      </c>
      <c r="O123" s="53"/>
      <c r="P123" s="54">
        <v>0.15</v>
      </c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  <c r="AB123" s="14"/>
      <c r="AC123" s="14"/>
      <c r="AD123" s="14"/>
      <c r="AE123" s="14"/>
      <c r="AF123" s="14"/>
      <c r="AG123" s="14"/>
      <c r="AH123" s="14"/>
    </row>
    <row r="124" spans="1:34" x14ac:dyDescent="0.25">
      <c r="A124" s="3" t="s">
        <v>172</v>
      </c>
      <c r="B124" s="3" t="s">
        <v>177</v>
      </c>
      <c r="C124" s="8" t="s">
        <v>2</v>
      </c>
      <c r="D124" s="41">
        <v>41.797674406904882</v>
      </c>
      <c r="E124" s="42">
        <v>58.06017733669124</v>
      </c>
      <c r="F124" s="43">
        <v>70.531197336231202</v>
      </c>
      <c r="G124" s="48"/>
      <c r="H124" s="47">
        <v>3.0660000000000003</v>
      </c>
      <c r="I124" s="48">
        <v>5.6550000000000002</v>
      </c>
      <c r="J124" s="43">
        <v>6.0750000000000002</v>
      </c>
      <c r="K124" s="48"/>
      <c r="L124" s="47">
        <v>9.975969028903668</v>
      </c>
      <c r="M124" s="48">
        <v>10.202695597742387</v>
      </c>
      <c r="N124" s="43">
        <v>11.206770402599574</v>
      </c>
      <c r="O124" s="53"/>
      <c r="P124" s="54">
        <v>0.15</v>
      </c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4"/>
      <c r="AB124" s="14"/>
      <c r="AC124" s="14"/>
      <c r="AD124" s="14"/>
      <c r="AE124" s="14"/>
      <c r="AF124" s="14"/>
      <c r="AG124" s="14"/>
      <c r="AH124" s="14"/>
    </row>
    <row r="125" spans="1:34" x14ac:dyDescent="0.25">
      <c r="A125" s="3" t="s">
        <v>172</v>
      </c>
      <c r="B125" s="3" t="s">
        <v>178</v>
      </c>
      <c r="C125" s="8" t="s">
        <v>2</v>
      </c>
      <c r="D125" s="41">
        <v>40.636627895601961</v>
      </c>
      <c r="E125" s="42">
        <v>56.447394632894252</v>
      </c>
      <c r="F125" s="43">
        <v>68.571997410224782</v>
      </c>
      <c r="G125" s="48"/>
      <c r="H125" s="47">
        <v>2.9638</v>
      </c>
      <c r="I125" s="48">
        <v>5.4664999999999999</v>
      </c>
      <c r="J125" s="43">
        <v>5.8724999999999996</v>
      </c>
      <c r="K125" s="48"/>
      <c r="L125" s="47">
        <v>9.6988587781007887</v>
      </c>
      <c r="M125" s="48">
        <v>9.9192873866939877</v>
      </c>
      <c r="N125" s="43">
        <v>10.895471224749587</v>
      </c>
      <c r="O125" s="53"/>
      <c r="P125" s="54">
        <v>0.15</v>
      </c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  <c r="AB125" s="14"/>
      <c r="AC125" s="14"/>
      <c r="AD125" s="14"/>
      <c r="AE125" s="14"/>
      <c r="AF125" s="14"/>
      <c r="AG125" s="14"/>
      <c r="AH125" s="14"/>
    </row>
    <row r="126" spans="1:34" x14ac:dyDescent="0.25">
      <c r="A126" s="3" t="s">
        <v>172</v>
      </c>
      <c r="B126" s="3" t="s">
        <v>179</v>
      </c>
      <c r="C126" s="8" t="s">
        <v>2</v>
      </c>
      <c r="D126" s="41">
        <v>38.318366709667103</v>
      </c>
      <c r="E126" s="42">
        <v>53.227151940494345</v>
      </c>
      <c r="F126" s="43">
        <v>64.660063564568389</v>
      </c>
      <c r="G126" s="48"/>
      <c r="H126" s="47">
        <v>2.7594000000000003</v>
      </c>
      <c r="I126" s="48">
        <v>5.089500000000001</v>
      </c>
      <c r="J126" s="43">
        <v>5.4675000000000002</v>
      </c>
      <c r="K126" s="48"/>
      <c r="L126" s="47">
        <v>9.1455528317782058</v>
      </c>
      <c r="M126" s="48">
        <v>9.3534063052277094</v>
      </c>
      <c r="N126" s="43">
        <v>10.273900259075516</v>
      </c>
      <c r="O126" s="53"/>
      <c r="P126" s="54">
        <v>0.15</v>
      </c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  <c r="AB126" s="14"/>
      <c r="AC126" s="14"/>
      <c r="AD126" s="14"/>
      <c r="AE126" s="14"/>
      <c r="AF126" s="14"/>
      <c r="AG126" s="14"/>
      <c r="AH126" s="14"/>
    </row>
    <row r="127" spans="1:34" x14ac:dyDescent="0.25">
      <c r="A127" s="3" t="s">
        <v>180</v>
      </c>
      <c r="B127" s="3" t="s">
        <v>181</v>
      </c>
      <c r="C127" s="8" t="s">
        <v>2</v>
      </c>
      <c r="D127" s="41">
        <v>65.544714226911367</v>
      </c>
      <c r="E127" s="42">
        <v>75.396370947331363</v>
      </c>
      <c r="F127" s="43">
        <v>100.58673770832667</v>
      </c>
      <c r="G127" s="48"/>
      <c r="H127" s="47">
        <v>4.8033999999999999</v>
      </c>
      <c r="I127" s="48">
        <v>8.8595000000000006</v>
      </c>
      <c r="J127" s="43">
        <v>9.5175000000000001</v>
      </c>
      <c r="K127" s="48"/>
      <c r="L127" s="47">
        <v>15.523199999999999</v>
      </c>
      <c r="M127" s="48">
        <v>15.875999999999999</v>
      </c>
      <c r="N127" s="43">
        <v>17.438400000000001</v>
      </c>
      <c r="O127" s="53"/>
      <c r="P127" s="54">
        <v>0.10500000000000001</v>
      </c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  <c r="AB127" s="14"/>
      <c r="AC127" s="14"/>
      <c r="AD127" s="14"/>
      <c r="AE127" s="14"/>
      <c r="AF127" s="14"/>
      <c r="AG127" s="14"/>
      <c r="AH127" s="14"/>
    </row>
    <row r="128" spans="1:34" x14ac:dyDescent="0.25">
      <c r="A128" s="3" t="s">
        <v>182</v>
      </c>
      <c r="B128" s="3" t="s">
        <v>183</v>
      </c>
      <c r="C128" s="8" t="s">
        <v>2</v>
      </c>
      <c r="D128" s="41">
        <v>145.07544612362477</v>
      </c>
      <c r="E128" s="42">
        <v>194.97033477404946</v>
      </c>
      <c r="F128" s="43">
        <v>224.26730800901808</v>
      </c>
      <c r="G128" s="48"/>
      <c r="H128" s="47">
        <v>10.979319839327397</v>
      </c>
      <c r="I128" s="48">
        <v>20.250506748661589</v>
      </c>
      <c r="J128" s="43">
        <v>21.754523165007807</v>
      </c>
      <c r="K128" s="48"/>
      <c r="L128" s="47">
        <v>35.135792447799844</v>
      </c>
      <c r="M128" s="48">
        <v>35.934333185249841</v>
      </c>
      <c r="N128" s="43">
        <v>39.470727879671259</v>
      </c>
      <c r="O128" s="53"/>
      <c r="P128" s="54">
        <v>0.26500000000000001</v>
      </c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  <c r="AB128" s="14"/>
      <c r="AC128" s="14"/>
      <c r="AD128" s="14"/>
      <c r="AE128" s="14"/>
      <c r="AF128" s="14"/>
      <c r="AG128" s="14"/>
      <c r="AH128" s="14"/>
    </row>
    <row r="129" spans="1:34" x14ac:dyDescent="0.25">
      <c r="A129" s="3" t="s">
        <v>184</v>
      </c>
      <c r="B129" s="3" t="s">
        <v>185</v>
      </c>
      <c r="C129" s="8" t="s">
        <v>2</v>
      </c>
      <c r="D129" s="41">
        <v>64.093133858594669</v>
      </c>
      <c r="E129" s="42">
        <v>91.341673601331706</v>
      </c>
      <c r="F129" s="43">
        <v>109.37607676217431</v>
      </c>
      <c r="G129" s="48"/>
      <c r="H129" s="47">
        <v>4.7890959386811893</v>
      </c>
      <c r="I129" s="48">
        <v>8.8331172645929961</v>
      </c>
      <c r="J129" s="43">
        <v>9.4891578041383635</v>
      </c>
      <c r="K129" s="48"/>
      <c r="L129" s="47">
        <v>15.554711608987052</v>
      </c>
      <c r="M129" s="48">
        <v>15.908227781918574</v>
      </c>
      <c r="N129" s="43">
        <v>17.473799404901037</v>
      </c>
      <c r="O129" s="53"/>
      <c r="P129" s="54">
        <v>0.08</v>
      </c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4"/>
      <c r="AB129" s="14"/>
      <c r="AC129" s="14"/>
      <c r="AD129" s="14"/>
      <c r="AE129" s="14"/>
      <c r="AF129" s="14"/>
      <c r="AG129" s="14"/>
      <c r="AH129" s="14"/>
    </row>
    <row r="130" spans="1:34" x14ac:dyDescent="0.25">
      <c r="A130" s="3" t="s">
        <v>186</v>
      </c>
      <c r="B130" s="3" t="s">
        <v>187</v>
      </c>
      <c r="C130" s="8" t="s">
        <v>2</v>
      </c>
      <c r="D130" s="41">
        <v>68.85921779842505</v>
      </c>
      <c r="E130" s="42">
        <v>98.274664144444458</v>
      </c>
      <c r="F130" s="43">
        <v>126.29577633682811</v>
      </c>
      <c r="G130" s="48"/>
      <c r="H130" s="47">
        <v>6.4794654517181263</v>
      </c>
      <c r="I130" s="48">
        <v>11.950873166818658</v>
      </c>
      <c r="J130" s="43">
        <v>12.838471173903333</v>
      </c>
      <c r="K130" s="48"/>
      <c r="L130" s="47">
        <v>21.767065931055768</v>
      </c>
      <c r="M130" s="48">
        <v>22.261771974943393</v>
      </c>
      <c r="N130" s="43">
        <v>24.452613026445764</v>
      </c>
      <c r="O130" s="53"/>
      <c r="P130" s="54">
        <v>0.15</v>
      </c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  <c r="AB130" s="14"/>
      <c r="AC130" s="14"/>
      <c r="AD130" s="14"/>
      <c r="AE130" s="14"/>
      <c r="AF130" s="14"/>
      <c r="AG130" s="14"/>
      <c r="AH130" s="14"/>
    </row>
    <row r="131" spans="1:34" x14ac:dyDescent="0.25">
      <c r="A131" s="3" t="s">
        <v>188</v>
      </c>
      <c r="B131" s="3" t="s">
        <v>189</v>
      </c>
      <c r="C131" s="8" t="s">
        <v>2</v>
      </c>
      <c r="D131" s="41">
        <v>69.192983495502574</v>
      </c>
      <c r="E131" s="42">
        <v>71.67000249036748</v>
      </c>
      <c r="F131" s="43">
        <v>77.8012598459012</v>
      </c>
      <c r="G131" s="48"/>
      <c r="H131" s="47">
        <v>3.577</v>
      </c>
      <c r="I131" s="48">
        <v>6.5975000000000001</v>
      </c>
      <c r="J131" s="43">
        <v>7.0874999999999995</v>
      </c>
      <c r="K131" s="48"/>
      <c r="L131" s="47">
        <v>11.858000000000001</v>
      </c>
      <c r="M131" s="48">
        <v>12.1275</v>
      </c>
      <c r="N131" s="43">
        <v>13.321</v>
      </c>
      <c r="O131" s="53"/>
      <c r="P131" s="54">
        <v>0.05</v>
      </c>
      <c r="Q131" s="14"/>
      <c r="R131" s="14"/>
      <c r="S131" s="14"/>
      <c r="T131" s="14"/>
      <c r="U131" s="14"/>
      <c r="V131" s="14"/>
      <c r="W131" s="14"/>
      <c r="X131" s="14"/>
      <c r="Y131" s="14"/>
      <c r="Z131" s="14"/>
      <c r="AA131" s="14"/>
      <c r="AB131" s="14"/>
      <c r="AC131" s="14"/>
      <c r="AD131" s="14"/>
      <c r="AE131" s="14"/>
      <c r="AF131" s="14"/>
      <c r="AG131" s="14"/>
      <c r="AH131" s="14"/>
    </row>
    <row r="132" spans="1:34" x14ac:dyDescent="0.25">
      <c r="A132" s="3" t="s">
        <v>190</v>
      </c>
      <c r="B132" s="3" t="s">
        <v>191</v>
      </c>
      <c r="C132" s="8" t="s">
        <v>2</v>
      </c>
      <c r="D132" s="41">
        <v>78.906185176708291</v>
      </c>
      <c r="E132" s="42">
        <v>93.914125927369923</v>
      </c>
      <c r="F132" s="43">
        <v>118.93574647681048</v>
      </c>
      <c r="G132" s="48"/>
      <c r="H132" s="47">
        <v>5.1100000000000003</v>
      </c>
      <c r="I132" s="48">
        <v>9.4250000000000007</v>
      </c>
      <c r="J132" s="43">
        <v>10.125</v>
      </c>
      <c r="K132" s="48"/>
      <c r="L132" s="47">
        <v>16.813720000000004</v>
      </c>
      <c r="M132" s="48">
        <v>17.19585</v>
      </c>
      <c r="N132" s="43">
        <v>18.88814</v>
      </c>
      <c r="O132" s="53"/>
      <c r="P132" s="54">
        <v>0.10999999999999999</v>
      </c>
      <c r="Q132" s="14"/>
      <c r="R132" s="14"/>
      <c r="S132" s="14"/>
      <c r="T132" s="14"/>
      <c r="U132" s="14"/>
      <c r="V132" s="14"/>
      <c r="W132" s="14"/>
      <c r="X132" s="14"/>
      <c r="Y132" s="14"/>
      <c r="Z132" s="14"/>
      <c r="AA132" s="14"/>
      <c r="AB132" s="14"/>
      <c r="AC132" s="14"/>
      <c r="AD132" s="14"/>
      <c r="AE132" s="14"/>
      <c r="AF132" s="14"/>
      <c r="AG132" s="14"/>
      <c r="AH132" s="14"/>
    </row>
    <row r="133" spans="1:34" x14ac:dyDescent="0.25">
      <c r="A133" s="3" t="s">
        <v>192</v>
      </c>
      <c r="B133" s="3" t="s">
        <v>192</v>
      </c>
      <c r="C133" s="8" t="s">
        <v>2</v>
      </c>
      <c r="D133" s="41">
        <v>113.36844324784556</v>
      </c>
      <c r="E133" s="42">
        <v>177.17845091436337</v>
      </c>
      <c r="F133" s="43">
        <v>206.0462466144582</v>
      </c>
      <c r="G133" s="48"/>
      <c r="H133" s="47">
        <v>9.1980000000000004</v>
      </c>
      <c r="I133" s="48">
        <v>16.965000000000003</v>
      </c>
      <c r="J133" s="43">
        <v>18.225000000000001</v>
      </c>
      <c r="K133" s="48"/>
      <c r="L133" s="47">
        <v>29.660400000000003</v>
      </c>
      <c r="M133" s="48">
        <v>30.334500000000002</v>
      </c>
      <c r="N133" s="43">
        <v>33.319800000000001</v>
      </c>
      <c r="O133" s="53"/>
      <c r="P133" s="54">
        <v>0.24000000000000002</v>
      </c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4"/>
      <c r="AB133" s="14"/>
      <c r="AC133" s="14"/>
      <c r="AD133" s="14"/>
      <c r="AE133" s="14"/>
      <c r="AF133" s="14"/>
      <c r="AG133" s="14"/>
      <c r="AH133" s="14"/>
    </row>
    <row r="134" spans="1:34" x14ac:dyDescent="0.25">
      <c r="A134" s="3" t="s">
        <v>193</v>
      </c>
      <c r="B134" s="3" t="s">
        <v>194</v>
      </c>
      <c r="C134" s="8" t="s">
        <v>2</v>
      </c>
      <c r="D134" s="41">
        <v>83.095294527614357</v>
      </c>
      <c r="E134" s="42">
        <v>115.49444288189687</v>
      </c>
      <c r="F134" s="43">
        <v>123.09142020913055</v>
      </c>
      <c r="G134" s="48"/>
      <c r="H134" s="47">
        <v>6.1320000000000006</v>
      </c>
      <c r="I134" s="48">
        <v>11.31</v>
      </c>
      <c r="J134" s="43">
        <v>12.15</v>
      </c>
      <c r="K134" s="48"/>
      <c r="L134" s="47">
        <v>17.820880000000002</v>
      </c>
      <c r="M134" s="48">
        <v>18.225900000000003</v>
      </c>
      <c r="N134" s="43">
        <v>20.019560000000002</v>
      </c>
      <c r="O134" s="53"/>
      <c r="P134" s="54">
        <v>0.12</v>
      </c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14"/>
      <c r="AB134" s="14"/>
      <c r="AC134" s="14"/>
      <c r="AD134" s="14"/>
      <c r="AE134" s="14"/>
      <c r="AF134" s="14"/>
      <c r="AG134" s="14"/>
      <c r="AH134" s="14"/>
    </row>
    <row r="135" spans="1:34" x14ac:dyDescent="0.25">
      <c r="A135" s="3" t="s">
        <v>195</v>
      </c>
      <c r="B135" s="3" t="s">
        <v>196</v>
      </c>
      <c r="C135" s="8" t="s">
        <v>2</v>
      </c>
      <c r="D135" s="41">
        <v>75.050969408588514</v>
      </c>
      <c r="E135" s="42">
        <v>107.37536481282822</v>
      </c>
      <c r="F135" s="43">
        <v>140.40324269805305</v>
      </c>
      <c r="G135" s="48"/>
      <c r="H135" s="47">
        <v>5.3144000000000009</v>
      </c>
      <c r="I135" s="48">
        <v>9.8020000000000014</v>
      </c>
      <c r="J135" s="43">
        <v>10.530000000000001</v>
      </c>
      <c r="K135" s="48"/>
      <c r="L135" s="47">
        <v>17.078481349251756</v>
      </c>
      <c r="M135" s="48">
        <v>17.466628652643845</v>
      </c>
      <c r="N135" s="43">
        <v>19.18556671052308</v>
      </c>
      <c r="O135" s="53"/>
      <c r="P135" s="54">
        <v>0.14000000000000001</v>
      </c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  <c r="AB135" s="14"/>
      <c r="AC135" s="14"/>
      <c r="AD135" s="14"/>
      <c r="AE135" s="14"/>
      <c r="AF135" s="14"/>
      <c r="AG135" s="14"/>
      <c r="AH135" s="14"/>
    </row>
    <row r="136" spans="1:34" x14ac:dyDescent="0.25">
      <c r="A136" s="3" t="s">
        <v>197</v>
      </c>
      <c r="B136" s="3" t="s">
        <v>198</v>
      </c>
      <c r="C136" s="8" t="s">
        <v>2</v>
      </c>
      <c r="D136" s="41">
        <v>47.273065707057562</v>
      </c>
      <c r="E136" s="42">
        <v>65.838569405630039</v>
      </c>
      <c r="F136" s="43">
        <v>85.617157917336172</v>
      </c>
      <c r="G136" s="48"/>
      <c r="H136" s="47">
        <v>3.215568995973197</v>
      </c>
      <c r="I136" s="48">
        <v>5.9308684514769823</v>
      </c>
      <c r="J136" s="43">
        <v>6.371357355034954</v>
      </c>
      <c r="K136" s="48"/>
      <c r="L136" s="47">
        <v>10.290397446971154</v>
      </c>
      <c r="M136" s="48">
        <v>10.524270116220498</v>
      </c>
      <c r="N136" s="43">
        <v>11.559991937181881</v>
      </c>
      <c r="O136" s="53"/>
      <c r="P136" s="54">
        <v>0.09</v>
      </c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  <c r="AB136" s="14"/>
      <c r="AC136" s="14"/>
      <c r="AD136" s="14"/>
      <c r="AE136" s="14"/>
      <c r="AF136" s="14"/>
      <c r="AG136" s="14"/>
      <c r="AH136" s="14"/>
    </row>
    <row r="137" spans="1:34" x14ac:dyDescent="0.25">
      <c r="A137" s="3" t="s">
        <v>199</v>
      </c>
      <c r="B137" s="3" t="s">
        <v>200</v>
      </c>
      <c r="C137" s="8" t="s">
        <v>2</v>
      </c>
      <c r="D137" s="41">
        <v>51.88191267009698</v>
      </c>
      <c r="E137" s="42">
        <v>64.989384717215231</v>
      </c>
      <c r="F137" s="43">
        <v>80.263473216034583</v>
      </c>
      <c r="G137" s="48"/>
      <c r="H137" s="47">
        <v>3.7825513360934391</v>
      </c>
      <c r="I137" s="48">
        <v>6.9766235504267442</v>
      </c>
      <c r="J137" s="43">
        <v>7.4947812676998176</v>
      </c>
      <c r="K137" s="48"/>
      <c r="L137" s="47">
        <v>12.466181199895983</v>
      </c>
      <c r="M137" s="48">
        <v>12.749503499893619</v>
      </c>
      <c r="N137" s="43">
        <v>14.004216542740293</v>
      </c>
      <c r="O137" s="53"/>
      <c r="P137" s="54">
        <v>0.14500000000000002</v>
      </c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  <c r="AB137" s="14"/>
      <c r="AC137" s="14"/>
      <c r="AD137" s="14"/>
      <c r="AE137" s="14"/>
      <c r="AF137" s="14"/>
      <c r="AG137" s="14"/>
      <c r="AH137" s="14"/>
    </row>
    <row r="138" spans="1:34" x14ac:dyDescent="0.25">
      <c r="A138" s="3" t="s">
        <v>201</v>
      </c>
      <c r="B138" s="3" t="s">
        <v>202</v>
      </c>
      <c r="C138" s="8" t="s">
        <v>1</v>
      </c>
      <c r="D138" s="41">
        <v>134.67052165718087</v>
      </c>
      <c r="E138" s="42">
        <v>183.97945016261363</v>
      </c>
      <c r="F138" s="43">
        <v>243.18382594796361</v>
      </c>
      <c r="G138" s="48"/>
      <c r="H138" s="47">
        <v>17.744400000000002</v>
      </c>
      <c r="I138" s="48">
        <v>30.963600000000003</v>
      </c>
      <c r="J138" s="43">
        <v>45.468000000000004</v>
      </c>
      <c r="K138" s="48"/>
      <c r="L138" s="47">
        <v>32.863599999999998</v>
      </c>
      <c r="M138" s="48">
        <v>33.610500000000002</v>
      </c>
      <c r="N138" s="43">
        <v>36.918199999999999</v>
      </c>
      <c r="O138" s="53"/>
      <c r="P138" s="54">
        <v>0.15</v>
      </c>
      <c r="Q138" s="14"/>
      <c r="R138" s="14"/>
      <c r="S138" s="14"/>
      <c r="T138" s="14"/>
      <c r="U138" s="14"/>
      <c r="V138" s="14"/>
      <c r="W138" s="14"/>
      <c r="X138" s="14"/>
      <c r="Y138" s="14"/>
      <c r="Z138" s="14"/>
      <c r="AA138" s="14"/>
      <c r="AB138" s="14"/>
      <c r="AC138" s="14"/>
      <c r="AD138" s="14"/>
      <c r="AE138" s="14"/>
      <c r="AF138" s="14"/>
      <c r="AG138" s="14"/>
      <c r="AH138" s="14"/>
    </row>
    <row r="139" spans="1:34" x14ac:dyDescent="0.25">
      <c r="A139" s="3" t="s">
        <v>203</v>
      </c>
      <c r="B139" s="3" t="s">
        <v>204</v>
      </c>
      <c r="C139" s="8" t="s">
        <v>1</v>
      </c>
      <c r="D139" s="41">
        <v>89.218052655406893</v>
      </c>
      <c r="E139" s="42">
        <v>119.788621419728</v>
      </c>
      <c r="F139" s="43">
        <v>177.03996580031782</v>
      </c>
      <c r="G139" s="48"/>
      <c r="H139" s="47">
        <v>10.721083368010504</v>
      </c>
      <c r="I139" s="48">
        <v>18.708062091348825</v>
      </c>
      <c r="J139" s="43">
        <v>27.471552635011701</v>
      </c>
      <c r="K139" s="48"/>
      <c r="L139" s="47">
        <v>19.219200000000001</v>
      </c>
      <c r="M139" s="48">
        <v>19.655999999999999</v>
      </c>
      <c r="N139" s="43">
        <v>21.590400000000002</v>
      </c>
      <c r="O139" s="53"/>
      <c r="P139" s="54">
        <v>0.16</v>
      </c>
      <c r="Q139" s="14"/>
      <c r="R139" s="14"/>
      <c r="S139" s="14"/>
      <c r="T139" s="14"/>
      <c r="U139" s="14"/>
      <c r="V139" s="14"/>
      <c r="W139" s="14"/>
      <c r="X139" s="14"/>
      <c r="Y139" s="14"/>
      <c r="Z139" s="14"/>
      <c r="AA139" s="14"/>
      <c r="AB139" s="14"/>
      <c r="AC139" s="14"/>
      <c r="AD139" s="14"/>
      <c r="AE139" s="14"/>
      <c r="AF139" s="14"/>
      <c r="AG139" s="14"/>
      <c r="AH139" s="14"/>
    </row>
    <row r="140" spans="1:34" x14ac:dyDescent="0.25">
      <c r="A140" s="13"/>
      <c r="B140" s="3"/>
      <c r="C140" s="1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</row>
    <row r="141" spans="1:34" x14ac:dyDescent="0.25">
      <c r="A141" s="13"/>
      <c r="B141" s="3"/>
      <c r="C141" s="1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</row>
    <row r="142" spans="1:34" x14ac:dyDescent="0.25">
      <c r="A142" s="13"/>
      <c r="B142" s="3"/>
      <c r="C142" s="1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</row>
    <row r="143" spans="1:34" x14ac:dyDescent="0.25">
      <c r="A143" s="13"/>
      <c r="B143" s="3"/>
      <c r="C143" s="1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</row>
    <row r="144" spans="1:34" x14ac:dyDescent="0.25">
      <c r="A144" s="13"/>
      <c r="B144" s="3"/>
      <c r="C144" s="1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</row>
    <row r="145" spans="1:16" x14ac:dyDescent="0.25">
      <c r="A145" s="13"/>
      <c r="B145" s="3"/>
      <c r="C145" s="1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</row>
    <row r="146" spans="1:16" x14ac:dyDescent="0.25">
      <c r="A146" s="13"/>
      <c r="B146" s="3"/>
      <c r="C146" s="1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</row>
    <row r="147" spans="1:16" x14ac:dyDescent="0.25">
      <c r="A147" s="13"/>
      <c r="B147" s="3"/>
      <c r="C147" s="1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</row>
    <row r="148" spans="1:16" x14ac:dyDescent="0.25">
      <c r="A148" s="13"/>
      <c r="B148" s="3"/>
      <c r="C148" s="1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</row>
    <row r="149" spans="1:16" x14ac:dyDescent="0.25">
      <c r="A149" s="13"/>
      <c r="B149" s="3"/>
      <c r="C149" s="1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</row>
    <row r="150" spans="1:16" x14ac:dyDescent="0.25">
      <c r="A150" s="13"/>
      <c r="B150" s="3"/>
      <c r="C150" s="1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</row>
    <row r="151" spans="1:16" x14ac:dyDescent="0.25">
      <c r="A151" s="13"/>
      <c r="B151" s="3"/>
      <c r="C151" s="1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</row>
    <row r="152" spans="1:16" x14ac:dyDescent="0.25">
      <c r="A152" s="13"/>
      <c r="B152" s="3"/>
      <c r="C152" s="1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</row>
    <row r="153" spans="1:16" x14ac:dyDescent="0.25">
      <c r="A153" s="13"/>
      <c r="B153" s="3"/>
      <c r="C153" s="1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</row>
    <row r="154" spans="1:16" x14ac:dyDescent="0.25">
      <c r="A154" s="13"/>
      <c r="B154" s="3"/>
      <c r="C154" s="1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</row>
    <row r="155" spans="1:16" x14ac:dyDescent="0.25">
      <c r="A155" s="13"/>
      <c r="B155" s="3"/>
      <c r="C155" s="1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</row>
    <row r="156" spans="1:16" x14ac:dyDescent="0.25">
      <c r="A156" s="13"/>
      <c r="B156" s="3"/>
      <c r="C156" s="1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</row>
    <row r="157" spans="1:16" x14ac:dyDescent="0.25">
      <c r="A157" s="13"/>
      <c r="B157" s="3"/>
      <c r="C157" s="1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</row>
    <row r="158" spans="1:16" x14ac:dyDescent="0.25">
      <c r="A158" s="13"/>
      <c r="B158" s="3"/>
      <c r="C158" s="1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</row>
    <row r="159" spans="1:16" x14ac:dyDescent="0.25">
      <c r="A159" s="13"/>
      <c r="B159" s="3"/>
      <c r="C159" s="1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</row>
  </sheetData>
  <autoFilter ref="A5:C139" xr:uid="{B593B8AD-AE04-4543-B232-6D3D3239B900}">
    <sortState xmlns:xlrd2="http://schemas.microsoft.com/office/spreadsheetml/2017/richdata2" ref="A69:C139">
      <sortCondition ref="A5:A139"/>
    </sortState>
  </autoFilter>
  <mergeCells count="8">
    <mergeCell ref="D3:F3"/>
    <mergeCell ref="H3:J3"/>
    <mergeCell ref="L3:N3"/>
    <mergeCell ref="D1:P1"/>
    <mergeCell ref="D2:F2"/>
    <mergeCell ref="H2:J2"/>
    <mergeCell ref="L2:N2"/>
    <mergeCell ref="P2:P4"/>
  </mergeCells>
  <pageMargins left="0.70866141732283472" right="0.70866141732283472" top="0.74803149606299213" bottom="0.74803149606299213" header="0.31496062992125984" footer="0.31496062992125984"/>
  <pageSetup paperSize="8" scale="70" orientation="landscape" horizontalDpi="1200" verticalDpi="1200" r:id="rId1"/>
  <colBreaks count="2" manualBreakCount="2">
    <brk id="16" max="1048575" man="1"/>
    <brk id="17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ECEEEC-F371-4607-8F16-09A7399ED6EF}">
  <sheetPr>
    <tabColor theme="9" tint="0.39997558519241921"/>
  </sheetPr>
  <dimension ref="A1:AH159"/>
  <sheetViews>
    <sheetView view="pageBreakPreview" zoomScale="90" zoomScaleNormal="100" zoomScaleSheetLayoutView="90" workbookViewId="0">
      <selection activeCell="A2" sqref="A2"/>
    </sheetView>
  </sheetViews>
  <sheetFormatPr defaultColWidth="8.83203125" defaultRowHeight="13.5" x14ac:dyDescent="0.25"/>
  <cols>
    <col min="1" max="1" width="21" customWidth="1"/>
    <col min="2" max="2" width="14.58203125" customWidth="1"/>
    <col min="3" max="3" width="10.08203125" bestFit="1" customWidth="1"/>
    <col min="4" max="4" width="11" style="4" bestFit="1" customWidth="1"/>
    <col min="5" max="5" width="11" bestFit="1" customWidth="1"/>
    <col min="6" max="6" width="10" customWidth="1"/>
    <col min="7" max="7" width="2.83203125" customWidth="1"/>
    <col min="8" max="10" width="11" customWidth="1"/>
    <col min="11" max="11" width="4" customWidth="1"/>
    <col min="12" max="14" width="10.83203125" customWidth="1"/>
    <col min="15" max="15" width="4.08203125" customWidth="1"/>
    <col min="16" max="16" width="16.33203125" customWidth="1"/>
    <col min="17" max="34" width="6" customWidth="1"/>
  </cols>
  <sheetData>
    <row r="1" spans="1:34" ht="18.5" thickBot="1" x14ac:dyDescent="0.35">
      <c r="D1" s="59" t="s">
        <v>222</v>
      </c>
      <c r="E1" s="60"/>
      <c r="F1" s="60"/>
      <c r="G1" s="61"/>
      <c r="H1" s="61"/>
      <c r="I1" s="61"/>
      <c r="J1" s="61"/>
      <c r="K1" s="61"/>
      <c r="L1" s="61"/>
      <c r="M1" s="61"/>
      <c r="N1" s="61"/>
      <c r="O1" s="61"/>
      <c r="P1" s="61"/>
      <c r="Q1" s="34"/>
    </row>
    <row r="2" spans="1:34" ht="17.5" customHeight="1" x14ac:dyDescent="0.25">
      <c r="A2" s="11"/>
      <c r="B2" s="2"/>
      <c r="C2" s="19"/>
      <c r="D2" s="70" t="s">
        <v>0</v>
      </c>
      <c r="E2" s="71"/>
      <c r="F2" s="72"/>
      <c r="G2" s="35"/>
      <c r="H2" s="62" t="s">
        <v>205</v>
      </c>
      <c r="I2" s="63"/>
      <c r="J2" s="64"/>
      <c r="K2" s="35"/>
      <c r="L2" s="68" t="s">
        <v>207</v>
      </c>
      <c r="M2" s="69"/>
      <c r="N2" s="73"/>
      <c r="O2" s="36"/>
      <c r="P2" s="62" t="s">
        <v>223</v>
      </c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</row>
    <row r="3" spans="1:34" x14ac:dyDescent="0.25">
      <c r="A3" s="12"/>
      <c r="B3" s="1"/>
      <c r="C3" s="1"/>
      <c r="D3" s="65"/>
      <c r="E3" s="58"/>
      <c r="F3" s="66"/>
      <c r="G3" s="17"/>
      <c r="H3" s="65"/>
      <c r="I3" s="58"/>
      <c r="J3" s="66"/>
      <c r="K3" s="17"/>
      <c r="L3" s="65"/>
      <c r="M3" s="58"/>
      <c r="N3" s="66"/>
      <c r="O3" s="37"/>
      <c r="P3" s="7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</row>
    <row r="4" spans="1:34" x14ac:dyDescent="0.25">
      <c r="A4" s="12"/>
      <c r="B4" s="1"/>
      <c r="C4" s="1"/>
      <c r="D4" s="20" t="s">
        <v>3</v>
      </c>
      <c r="E4" s="5" t="s">
        <v>4</v>
      </c>
      <c r="F4" s="21" t="s">
        <v>5</v>
      </c>
      <c r="G4" s="17"/>
      <c r="H4" s="29" t="s">
        <v>3</v>
      </c>
      <c r="I4" s="17" t="s">
        <v>4</v>
      </c>
      <c r="J4" s="30" t="s">
        <v>5</v>
      </c>
      <c r="K4" s="17"/>
      <c r="L4" s="29" t="s">
        <v>3</v>
      </c>
      <c r="M4" s="17" t="s">
        <v>4</v>
      </c>
      <c r="N4" s="30" t="s">
        <v>5</v>
      </c>
      <c r="O4" s="37"/>
      <c r="P4" s="75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</row>
    <row r="5" spans="1:34" x14ac:dyDescent="0.25">
      <c r="A5" s="9" t="s">
        <v>6</v>
      </c>
      <c r="B5" s="9" t="s">
        <v>7</v>
      </c>
      <c r="C5" s="18" t="s">
        <v>8</v>
      </c>
      <c r="D5" s="22"/>
      <c r="E5" s="10"/>
      <c r="F5" s="23"/>
      <c r="G5" s="18"/>
      <c r="H5" s="31"/>
      <c r="I5" s="18"/>
      <c r="J5" s="32"/>
      <c r="K5" s="18"/>
      <c r="L5" s="31"/>
      <c r="M5" s="18"/>
      <c r="N5" s="32"/>
      <c r="O5" s="49"/>
      <c r="P5" s="17" t="s">
        <v>208</v>
      </c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</row>
    <row r="6" spans="1:34" x14ac:dyDescent="0.25">
      <c r="A6" s="3" t="s">
        <v>9</v>
      </c>
      <c r="B6" s="3" t="s">
        <v>10</v>
      </c>
      <c r="C6" s="8" t="s">
        <v>11</v>
      </c>
      <c r="D6" s="50">
        <v>1826.7707608155147</v>
      </c>
      <c r="E6" s="51">
        <v>2431.3083043262059</v>
      </c>
      <c r="F6" s="52">
        <v>2969.2192938836401</v>
      </c>
      <c r="G6" s="48"/>
      <c r="H6" s="47">
        <v>140.95441681399433</v>
      </c>
      <c r="I6" s="48">
        <v>199.12370603214941</v>
      </c>
      <c r="J6" s="43">
        <v>217.96750041404263</v>
      </c>
      <c r="K6" s="48"/>
      <c r="L6" s="47">
        <v>412.61379064966394</v>
      </c>
      <c r="M6" s="48">
        <v>422.06267633344061</v>
      </c>
      <c r="N6" s="43">
        <v>463.09499150304276</v>
      </c>
      <c r="O6" s="53"/>
      <c r="P6" s="54">
        <v>0.19499999999999998</v>
      </c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</row>
    <row r="7" spans="1:34" x14ac:dyDescent="0.25">
      <c r="A7" s="3" t="s">
        <v>9</v>
      </c>
      <c r="B7" s="3" t="s">
        <v>12</v>
      </c>
      <c r="C7" s="8" t="s">
        <v>11</v>
      </c>
      <c r="D7" s="41">
        <v>1972.5798110392839</v>
      </c>
      <c r="E7" s="42">
        <v>2620.9930382894081</v>
      </c>
      <c r="F7" s="43">
        <v>3225.4336151168573</v>
      </c>
      <c r="G7" s="48"/>
      <c r="H7" s="47">
        <v>131.66666078759368</v>
      </c>
      <c r="I7" s="48">
        <v>186.0030643204403</v>
      </c>
      <c r="J7" s="43">
        <v>203.60520506148566</v>
      </c>
      <c r="K7" s="48"/>
      <c r="L7" s="47">
        <v>385.42587907297639</v>
      </c>
      <c r="M7" s="48">
        <v>394.25215961293503</v>
      </c>
      <c r="N7" s="43">
        <v>432.58077708290034</v>
      </c>
      <c r="O7" s="53"/>
      <c r="P7" s="54">
        <v>0.19499999999999998</v>
      </c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</row>
    <row r="8" spans="1:34" x14ac:dyDescent="0.25">
      <c r="A8" s="3" t="s">
        <v>9</v>
      </c>
      <c r="B8" s="3" t="s">
        <v>209</v>
      </c>
      <c r="C8" s="8" t="s">
        <v>11</v>
      </c>
      <c r="D8" s="41">
        <v>1972.5798110392839</v>
      </c>
      <c r="E8" s="42">
        <v>2620.9930382894081</v>
      </c>
      <c r="F8" s="43">
        <v>3225.4336151168573</v>
      </c>
      <c r="G8" s="48"/>
      <c r="H8" s="47">
        <v>131.66666078759368</v>
      </c>
      <c r="I8" s="48">
        <v>186.0030643204403</v>
      </c>
      <c r="J8" s="43">
        <v>203.60520506148566</v>
      </c>
      <c r="K8" s="48"/>
      <c r="L8" s="47">
        <v>385.42587907297639</v>
      </c>
      <c r="M8" s="48">
        <v>394.25215961293503</v>
      </c>
      <c r="N8" s="43">
        <v>432.58077708290034</v>
      </c>
      <c r="O8" s="53"/>
      <c r="P8" s="54">
        <v>0.19499999999999998</v>
      </c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</row>
    <row r="9" spans="1:34" x14ac:dyDescent="0.25">
      <c r="A9" s="3" t="s">
        <v>9</v>
      </c>
      <c r="B9" s="3" t="s">
        <v>13</v>
      </c>
      <c r="C9" s="8" t="s">
        <v>11</v>
      </c>
      <c r="D9" s="41">
        <v>2585.6683242168074</v>
      </c>
      <c r="E9" s="42">
        <v>3438.1829935355545</v>
      </c>
      <c r="F9" s="43">
        <v>4232.8861263053204</v>
      </c>
      <c r="G9" s="48"/>
      <c r="H9" s="47">
        <v>172.50315383823676</v>
      </c>
      <c r="I9" s="48">
        <v>243.69202520153593</v>
      </c>
      <c r="J9" s="43">
        <v>266.75348034873707</v>
      </c>
      <c r="K9" s="48"/>
      <c r="L9" s="47">
        <v>504.96594440274635</v>
      </c>
      <c r="M9" s="48">
        <v>516.52970109480771</v>
      </c>
      <c r="N9" s="43">
        <v>566.74596203951728</v>
      </c>
      <c r="O9" s="53"/>
      <c r="P9" s="54">
        <v>0.19499999999999998</v>
      </c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</row>
    <row r="10" spans="1:34" x14ac:dyDescent="0.25">
      <c r="A10" s="3" t="s">
        <v>9</v>
      </c>
      <c r="B10" s="3" t="s">
        <v>14</v>
      </c>
      <c r="C10" s="8" t="s">
        <v>11</v>
      </c>
      <c r="D10" s="41">
        <v>1940.2859273993038</v>
      </c>
      <c r="E10" s="42">
        <v>2568.7384385877672</v>
      </c>
      <c r="F10" s="43">
        <v>3179.7702635504725</v>
      </c>
      <c r="G10" s="48"/>
      <c r="H10" s="47">
        <v>136.71931358873064</v>
      </c>
      <c r="I10" s="48">
        <v>193.14085378314144</v>
      </c>
      <c r="J10" s="43">
        <v>211.41846928134436</v>
      </c>
      <c r="K10" s="48"/>
      <c r="L10" s="47">
        <v>400.21643528424357</v>
      </c>
      <c r="M10" s="48">
        <v>409.38142063244351</v>
      </c>
      <c r="N10" s="43">
        <v>449.18088269788126</v>
      </c>
      <c r="O10" s="53"/>
      <c r="P10" s="54">
        <v>0.19499999999999998</v>
      </c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</row>
    <row r="11" spans="1:34" x14ac:dyDescent="0.25">
      <c r="A11" s="3" t="s">
        <v>9</v>
      </c>
      <c r="B11" s="3" t="s">
        <v>15</v>
      </c>
      <c r="C11" s="8" t="s">
        <v>11</v>
      </c>
      <c r="D11" s="41">
        <v>2506.1422178020885</v>
      </c>
      <c r="E11" s="42">
        <v>3309.3117851815018</v>
      </c>
      <c r="F11" s="43">
        <v>4058.2222774738934</v>
      </c>
      <c r="G11" s="48"/>
      <c r="H11" s="47">
        <v>167.93301149667803</v>
      </c>
      <c r="I11" s="48">
        <v>237.23586936963676</v>
      </c>
      <c r="J11" s="43">
        <v>259.68635520827087</v>
      </c>
      <c r="K11" s="48"/>
      <c r="L11" s="47">
        <v>491.58783396121635</v>
      </c>
      <c r="M11" s="48">
        <v>502.8452309554404</v>
      </c>
      <c r="N11" s="43">
        <v>551.73110775776274</v>
      </c>
      <c r="O11" s="53"/>
      <c r="P11" s="54">
        <v>0.19499999999999998</v>
      </c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</row>
    <row r="12" spans="1:34" x14ac:dyDescent="0.25">
      <c r="A12" s="3" t="s">
        <v>9</v>
      </c>
      <c r="B12" s="3" t="s">
        <v>16</v>
      </c>
      <c r="C12" s="8" t="s">
        <v>11</v>
      </c>
      <c r="D12" s="41">
        <v>2151.858776727996</v>
      </c>
      <c r="E12" s="42">
        <v>2859.9547488811536</v>
      </c>
      <c r="F12" s="43">
        <v>3520.0318249627053</v>
      </c>
      <c r="G12" s="48"/>
      <c r="H12" s="47">
        <v>137.30409507688367</v>
      </c>
      <c r="I12" s="48">
        <v>193.96696381056742</v>
      </c>
      <c r="J12" s="43">
        <v>212.32275707978434</v>
      </c>
      <c r="K12" s="48"/>
      <c r="L12" s="47">
        <v>401.92825753133906</v>
      </c>
      <c r="M12" s="48">
        <v>411.13244373295282</v>
      </c>
      <c r="N12" s="43">
        <v>451.10213769938099</v>
      </c>
      <c r="O12" s="53"/>
      <c r="P12" s="54">
        <v>0.19499999999999998</v>
      </c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</row>
    <row r="13" spans="1:34" x14ac:dyDescent="0.25">
      <c r="A13" s="3" t="s">
        <v>9</v>
      </c>
      <c r="B13" s="3" t="s">
        <v>17</v>
      </c>
      <c r="C13" s="8" t="s">
        <v>11</v>
      </c>
      <c r="D13" s="41">
        <v>1895.551964196917</v>
      </c>
      <c r="E13" s="42">
        <v>2509.3276976628545</v>
      </c>
      <c r="F13" s="43">
        <v>3106.0885131775235</v>
      </c>
      <c r="G13" s="48"/>
      <c r="H13" s="47">
        <v>133.57145386157424</v>
      </c>
      <c r="I13" s="48">
        <v>188.69393037975573</v>
      </c>
      <c r="J13" s="43">
        <v>206.5507174797975</v>
      </c>
      <c r="K13" s="48"/>
      <c r="L13" s="47">
        <v>391.00175181554891</v>
      </c>
      <c r="M13" s="48">
        <v>399.95572024506862</v>
      </c>
      <c r="N13" s="43">
        <v>438.83882952530189</v>
      </c>
      <c r="O13" s="53"/>
      <c r="P13" s="54">
        <v>0.19499999999999998</v>
      </c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</row>
    <row r="14" spans="1:34" x14ac:dyDescent="0.25">
      <c r="A14" s="3" t="s">
        <v>9</v>
      </c>
      <c r="B14" s="3" t="s">
        <v>18</v>
      </c>
      <c r="C14" s="8" t="s">
        <v>11</v>
      </c>
      <c r="D14" s="41">
        <v>1784.6752859273993</v>
      </c>
      <c r="E14" s="42">
        <v>2384.5977125808054</v>
      </c>
      <c r="F14" s="43">
        <v>2928.0397812033816</v>
      </c>
      <c r="G14" s="48"/>
      <c r="H14" s="47">
        <v>125.36487080341843</v>
      </c>
      <c r="I14" s="48">
        <v>177.10064178804703</v>
      </c>
      <c r="J14" s="43">
        <v>193.86031418092861</v>
      </c>
      <c r="K14" s="48"/>
      <c r="L14" s="47">
        <v>366.97874196282896</v>
      </c>
      <c r="M14" s="48">
        <v>375.38258172718406</v>
      </c>
      <c r="N14" s="43">
        <v>411.87672647463415</v>
      </c>
      <c r="O14" s="53"/>
      <c r="P14" s="54">
        <v>0.19499999999999998</v>
      </c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</row>
    <row r="15" spans="1:34" x14ac:dyDescent="0.25">
      <c r="A15" s="3" t="s">
        <v>9</v>
      </c>
      <c r="B15" s="3" t="s">
        <v>19</v>
      </c>
      <c r="C15" s="8" t="s">
        <v>11</v>
      </c>
      <c r="D15" s="41">
        <v>1877.2511188463452</v>
      </c>
      <c r="E15" s="42">
        <v>2485.0228741919441</v>
      </c>
      <c r="F15" s="43">
        <v>3075.9457981103928</v>
      </c>
      <c r="G15" s="48"/>
      <c r="H15" s="47">
        <v>132.28368954902888</v>
      </c>
      <c r="I15" s="48">
        <v>186.87472947632926</v>
      </c>
      <c r="J15" s="43">
        <v>204.55935903447596</v>
      </c>
      <c r="K15" s="48"/>
      <c r="L15" s="47">
        <v>387.23209828873621</v>
      </c>
      <c r="M15" s="48">
        <v>396.09974137952634</v>
      </c>
      <c r="N15" s="43">
        <v>434.60797804256265</v>
      </c>
      <c r="O15" s="53"/>
      <c r="P15" s="54">
        <v>0.19499999999999998</v>
      </c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</row>
    <row r="16" spans="1:34" x14ac:dyDescent="0.25">
      <c r="A16" s="3" t="s">
        <v>9</v>
      </c>
      <c r="B16" s="3" t="s">
        <v>20</v>
      </c>
      <c r="C16" s="8" t="s">
        <v>11</v>
      </c>
      <c r="D16" s="41">
        <v>1787.7836897066136</v>
      </c>
      <c r="E16" s="42">
        <v>2366.2003978120338</v>
      </c>
      <c r="F16" s="43">
        <v>2928.5832918945798</v>
      </c>
      <c r="G16" s="48"/>
      <c r="H16" s="47">
        <v>125.9879314289208</v>
      </c>
      <c r="I16" s="48">
        <v>177.98082804710168</v>
      </c>
      <c r="J16" s="43">
        <v>194.82379563980604</v>
      </c>
      <c r="K16" s="48"/>
      <c r="L16" s="47">
        <v>368.80261816553303</v>
      </c>
      <c r="M16" s="48">
        <v>377.24822482699932</v>
      </c>
      <c r="N16" s="43">
        <v>413.92374466388077</v>
      </c>
      <c r="O16" s="53"/>
      <c r="P16" s="54">
        <v>0.19499999999999998</v>
      </c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</row>
    <row r="17" spans="1:34" x14ac:dyDescent="0.25">
      <c r="A17" s="3" t="s">
        <v>9</v>
      </c>
      <c r="B17" s="3" t="s">
        <v>21</v>
      </c>
      <c r="C17" s="8" t="s">
        <v>11</v>
      </c>
      <c r="D17" s="41">
        <v>1909.7851815017405</v>
      </c>
      <c r="E17" s="42">
        <v>2528.2312282446542</v>
      </c>
      <c r="F17" s="43">
        <v>3129.5325708602686</v>
      </c>
      <c r="G17" s="48"/>
      <c r="H17" s="47">
        <v>134.57305262308677</v>
      </c>
      <c r="I17" s="48">
        <v>190.10887048491594</v>
      </c>
      <c r="J17" s="43">
        <v>208.09955846966716</v>
      </c>
      <c r="K17" s="48"/>
      <c r="L17" s="47">
        <v>393.93371713482702</v>
      </c>
      <c r="M17" s="48">
        <v>402.95482778246554</v>
      </c>
      <c r="N17" s="43">
        <v>442.12950590449037</v>
      </c>
      <c r="O17" s="53"/>
      <c r="P17" s="54">
        <v>0.19499999999999998</v>
      </c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</row>
    <row r="18" spans="1:34" x14ac:dyDescent="0.25">
      <c r="A18" s="3" t="s">
        <v>9</v>
      </c>
      <c r="B18" s="3" t="s">
        <v>22</v>
      </c>
      <c r="C18" s="8" t="s">
        <v>11</v>
      </c>
      <c r="D18" s="41">
        <v>2005.3530581800098</v>
      </c>
      <c r="E18" s="42">
        <v>2655.1551466931874</v>
      </c>
      <c r="F18" s="43">
        <v>3286.9428145201391</v>
      </c>
      <c r="G18" s="48"/>
      <c r="H18" s="47">
        <v>141.29807840264178</v>
      </c>
      <c r="I18" s="48">
        <v>199.60919042277109</v>
      </c>
      <c r="J18" s="43">
        <v>218.49892794330304</v>
      </c>
      <c r="K18" s="48"/>
      <c r="L18" s="47">
        <v>413.61978616223905</v>
      </c>
      <c r="M18" s="48">
        <v>423.0917092160991</v>
      </c>
      <c r="N18" s="43">
        <v>464.22406545525973</v>
      </c>
      <c r="O18" s="53"/>
      <c r="P18" s="54">
        <v>0.19499999999999998</v>
      </c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</row>
    <row r="19" spans="1:34" x14ac:dyDescent="0.25">
      <c r="A19" s="3" t="s">
        <v>9</v>
      </c>
      <c r="B19" s="3" t="s">
        <v>23</v>
      </c>
      <c r="C19" s="8" t="s">
        <v>11</v>
      </c>
      <c r="D19" s="41">
        <v>1775.583789159622</v>
      </c>
      <c r="E19" s="42">
        <v>2349.9975136747885</v>
      </c>
      <c r="F19" s="43">
        <v>2908.4883142715066</v>
      </c>
      <c r="G19" s="48"/>
      <c r="H19" s="47">
        <v>125.12947344161762</v>
      </c>
      <c r="I19" s="48">
        <v>176.76810027475892</v>
      </c>
      <c r="J19" s="43">
        <v>193.49630306502658</v>
      </c>
      <c r="K19" s="48"/>
      <c r="L19" s="47">
        <v>366.28966672874287</v>
      </c>
      <c r="M19" s="48">
        <v>374.67772662034059</v>
      </c>
      <c r="N19" s="43">
        <v>411.10334638675198</v>
      </c>
      <c r="O19" s="53"/>
      <c r="P19" s="54">
        <v>0.19499999999999998</v>
      </c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</row>
    <row r="20" spans="1:34" x14ac:dyDescent="0.25">
      <c r="A20" s="3" t="s">
        <v>9</v>
      </c>
      <c r="B20" s="3" t="s">
        <v>24</v>
      </c>
      <c r="C20" s="8" t="s">
        <v>11</v>
      </c>
      <c r="D20" s="41">
        <v>1887.4181999005471</v>
      </c>
      <c r="E20" s="42">
        <v>2498.5256091496767</v>
      </c>
      <c r="F20" s="43">
        <v>3092.6921929388363</v>
      </c>
      <c r="G20" s="48"/>
      <c r="H20" s="47">
        <v>132.99912275950859</v>
      </c>
      <c r="I20" s="48">
        <v>187.88540878322311</v>
      </c>
      <c r="J20" s="43">
        <v>205.66568256889374</v>
      </c>
      <c r="K20" s="48"/>
      <c r="L20" s="47">
        <v>389.32637540047955</v>
      </c>
      <c r="M20" s="48">
        <v>398.24197758877796</v>
      </c>
      <c r="N20" s="43">
        <v>436.9584793182006</v>
      </c>
      <c r="O20" s="53"/>
      <c r="P20" s="54">
        <v>0.19499999999999998</v>
      </c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</row>
    <row r="21" spans="1:34" x14ac:dyDescent="0.25">
      <c r="A21" s="3" t="s">
        <v>9</v>
      </c>
      <c r="B21" s="3" t="s">
        <v>25</v>
      </c>
      <c r="C21" s="8" t="s">
        <v>11</v>
      </c>
      <c r="D21" s="41">
        <v>1982.9860765788164</v>
      </c>
      <c r="E21" s="42">
        <v>2625.4495275982099</v>
      </c>
      <c r="F21" s="43">
        <v>3250.1024365987073</v>
      </c>
      <c r="G21" s="48"/>
      <c r="H21" s="47">
        <v>139.72414853906358</v>
      </c>
      <c r="I21" s="48">
        <v>197.38572872107827</v>
      </c>
      <c r="J21" s="43">
        <v>216.0650520425296</v>
      </c>
      <c r="K21" s="48"/>
      <c r="L21" s="47">
        <v>409.01244442789158</v>
      </c>
      <c r="M21" s="48">
        <v>418.37885902241152</v>
      </c>
      <c r="N21" s="43">
        <v>459.05303886896996</v>
      </c>
      <c r="O21" s="53"/>
      <c r="P21" s="54">
        <v>0.19499999999999998</v>
      </c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</row>
    <row r="22" spans="1:34" x14ac:dyDescent="0.25">
      <c r="A22" s="3" t="s">
        <v>9</v>
      </c>
      <c r="B22" s="3" t="s">
        <v>26</v>
      </c>
      <c r="C22" s="8" t="s">
        <v>11</v>
      </c>
      <c r="D22" s="41">
        <v>2340.8572849328693</v>
      </c>
      <c r="E22" s="42">
        <v>3100.737941322725</v>
      </c>
      <c r="F22" s="43">
        <v>3839.5539532570861</v>
      </c>
      <c r="G22" s="48"/>
      <c r="H22" s="47">
        <v>164.90706502211</v>
      </c>
      <c r="I22" s="48">
        <v>232.96117057061986</v>
      </c>
      <c r="J22" s="43">
        <v>255.00712624648074</v>
      </c>
      <c r="K22" s="48"/>
      <c r="L22" s="47">
        <v>482.73002536326294</v>
      </c>
      <c r="M22" s="48">
        <v>493.78457789918843</v>
      </c>
      <c r="N22" s="43">
        <v>541.78959128312874</v>
      </c>
      <c r="O22" s="53"/>
      <c r="P22" s="54">
        <v>0.19499999999999998</v>
      </c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</row>
    <row r="23" spans="1:34" x14ac:dyDescent="0.25">
      <c r="A23" s="3" t="s">
        <v>9</v>
      </c>
      <c r="B23" s="3" t="s">
        <v>27</v>
      </c>
      <c r="C23" s="8" t="s">
        <v>11</v>
      </c>
      <c r="D23" s="41">
        <v>1832.5176529090004</v>
      </c>
      <c r="E23" s="42">
        <v>2425.6121332670314</v>
      </c>
      <c r="F23" s="43">
        <v>3002.2645450024861</v>
      </c>
      <c r="G23" s="48"/>
      <c r="H23" s="47">
        <v>129.13582982187251</v>
      </c>
      <c r="I23" s="48">
        <v>182.42780607294358</v>
      </c>
      <c r="J23" s="43">
        <v>199.6916072329291</v>
      </c>
      <c r="K23" s="48"/>
      <c r="L23" s="47">
        <v>378.01741482004144</v>
      </c>
      <c r="M23" s="48">
        <v>386.67404099215133</v>
      </c>
      <c r="N23" s="43">
        <v>424.26592486998317</v>
      </c>
      <c r="O23" s="53"/>
      <c r="P23" s="54">
        <v>0.19499999999999998</v>
      </c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</row>
    <row r="24" spans="1:34" x14ac:dyDescent="0.25">
      <c r="A24" s="3" t="s">
        <v>9</v>
      </c>
      <c r="B24" s="3" t="s">
        <v>28</v>
      </c>
      <c r="C24" s="8" t="s">
        <v>11</v>
      </c>
      <c r="D24" s="41">
        <v>2153.788165091994</v>
      </c>
      <c r="E24" s="42">
        <v>2852.291894579811</v>
      </c>
      <c r="F24" s="43">
        <v>3531.4316260566884</v>
      </c>
      <c r="G24" s="48"/>
      <c r="H24" s="47">
        <v>151.74321767982818</v>
      </c>
      <c r="I24" s="48">
        <v>214.36484611563213</v>
      </c>
      <c r="J24" s="43">
        <v>234.65096454623711</v>
      </c>
      <c r="K24" s="48"/>
      <c r="L24" s="47">
        <v>444.19568870178739</v>
      </c>
      <c r="M24" s="48">
        <v>454.36780213784385</v>
      </c>
      <c r="N24" s="43">
        <v>498.54077431866369</v>
      </c>
      <c r="O24" s="53"/>
      <c r="P24" s="54">
        <v>0.19499999999999998</v>
      </c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</row>
    <row r="25" spans="1:34" x14ac:dyDescent="0.25">
      <c r="A25" s="3" t="s">
        <v>9</v>
      </c>
      <c r="B25" s="3" t="s">
        <v>29</v>
      </c>
      <c r="C25" s="8" t="s">
        <v>11</v>
      </c>
      <c r="D25" s="41">
        <v>1826.4177026355046</v>
      </c>
      <c r="E25" s="42">
        <v>2417.5106911984089</v>
      </c>
      <c r="F25" s="43">
        <v>2992.2173048234708</v>
      </c>
      <c r="G25" s="48"/>
      <c r="H25" s="47">
        <v>128.7066008282209</v>
      </c>
      <c r="I25" s="48">
        <v>181.82144218677215</v>
      </c>
      <c r="J25" s="43">
        <v>199.02786094553935</v>
      </c>
      <c r="K25" s="48"/>
      <c r="L25" s="47">
        <v>376.76093910164644</v>
      </c>
      <c r="M25" s="48">
        <v>385.38879188882203</v>
      </c>
      <c r="N25" s="43">
        <v>422.85572573141883</v>
      </c>
      <c r="O25" s="53"/>
      <c r="P25" s="54">
        <v>0.19499999999999998</v>
      </c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</row>
    <row r="26" spans="1:34" x14ac:dyDescent="0.25">
      <c r="A26" s="3" t="s">
        <v>9</v>
      </c>
      <c r="B26" s="3" t="s">
        <v>30</v>
      </c>
      <c r="C26" s="8" t="s">
        <v>11</v>
      </c>
      <c r="D26" s="41">
        <v>2619.6762804574837</v>
      </c>
      <c r="E26" s="42">
        <v>3646.4286424664347</v>
      </c>
      <c r="F26" s="43">
        <v>4441.1790154152159</v>
      </c>
      <c r="G26" s="48"/>
      <c r="H26" s="47">
        <v>179</v>
      </c>
      <c r="I26" s="48">
        <v>252.87</v>
      </c>
      <c r="J26" s="43">
        <v>276.8</v>
      </c>
      <c r="K26" s="48"/>
      <c r="L26" s="47">
        <v>523.98406659192426</v>
      </c>
      <c r="M26" s="48">
        <v>535.98333965924473</v>
      </c>
      <c r="N26" s="43">
        <v>588.0908548501385</v>
      </c>
      <c r="O26" s="53"/>
      <c r="P26" s="54">
        <v>0.19499999999999998</v>
      </c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</row>
    <row r="27" spans="1:34" x14ac:dyDescent="0.25">
      <c r="A27" s="3" t="s">
        <v>9</v>
      </c>
      <c r="B27" s="3" t="s">
        <v>31</v>
      </c>
      <c r="C27" s="8" t="s">
        <v>11</v>
      </c>
      <c r="D27" s="41">
        <v>2351.023868722029</v>
      </c>
      <c r="E27" s="42">
        <v>3114.2406762804576</v>
      </c>
      <c r="F27" s="43">
        <v>3856.2998508204873</v>
      </c>
      <c r="G27" s="48"/>
      <c r="H27" s="47">
        <v>165.62249823258972</v>
      </c>
      <c r="I27" s="48">
        <v>233.97184987751376</v>
      </c>
      <c r="J27" s="43">
        <v>256.11344978089852</v>
      </c>
      <c r="K27" s="48"/>
      <c r="L27" s="47">
        <v>484.82430247500639</v>
      </c>
      <c r="M27" s="48">
        <v>495.92681410844017</v>
      </c>
      <c r="N27" s="43">
        <v>544.1400925587667</v>
      </c>
      <c r="O27" s="53"/>
      <c r="P27" s="54">
        <v>0.19499999999999998</v>
      </c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</row>
    <row r="28" spans="1:34" x14ac:dyDescent="0.25">
      <c r="A28" s="3" t="s">
        <v>9</v>
      </c>
      <c r="B28" s="3" t="s">
        <v>32</v>
      </c>
      <c r="C28" s="8" t="s">
        <v>11</v>
      </c>
      <c r="D28" s="41">
        <v>2440.4912978617604</v>
      </c>
      <c r="E28" s="42">
        <v>3233.0626553953257</v>
      </c>
      <c r="F28" s="43">
        <v>4003.6623570363004</v>
      </c>
      <c r="G28" s="48"/>
      <c r="H28" s="47">
        <v>171.91821768690249</v>
      </c>
      <c r="I28" s="48">
        <v>242.86569668428513</v>
      </c>
      <c r="J28" s="43">
        <v>265.8489533839923</v>
      </c>
      <c r="K28" s="48"/>
      <c r="L28" s="47">
        <v>503.25366941239577</v>
      </c>
      <c r="M28" s="48">
        <v>514.77821488319012</v>
      </c>
      <c r="N28" s="43">
        <v>564.82419890392566</v>
      </c>
      <c r="O28" s="53"/>
      <c r="P28" s="54">
        <v>0.19499999999999998</v>
      </c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</row>
    <row r="29" spans="1:34" x14ac:dyDescent="0.25">
      <c r="A29" s="3" t="s">
        <v>9</v>
      </c>
      <c r="B29" s="3" t="s">
        <v>33</v>
      </c>
      <c r="C29" s="8" t="s">
        <v>11</v>
      </c>
      <c r="D29" s="41">
        <v>1834.5504724017901</v>
      </c>
      <c r="E29" s="42">
        <v>2428.3127797115862</v>
      </c>
      <c r="F29" s="43">
        <v>3005.613625062158</v>
      </c>
      <c r="G29" s="48"/>
      <c r="H29" s="47">
        <v>129.27889326449127</v>
      </c>
      <c r="I29" s="48">
        <v>182.62990916084865</v>
      </c>
      <c r="J29" s="43">
        <v>199.91283606486695</v>
      </c>
      <c r="K29" s="48"/>
      <c r="L29" s="47">
        <v>378.43620233090201</v>
      </c>
      <c r="M29" s="48">
        <v>387.10241876733551</v>
      </c>
      <c r="N29" s="43">
        <v>424.73594890499709</v>
      </c>
      <c r="O29" s="53"/>
      <c r="P29" s="54">
        <v>0.19499999999999998</v>
      </c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</row>
    <row r="30" spans="1:34" x14ac:dyDescent="0.25">
      <c r="A30" s="3" t="s">
        <v>9</v>
      </c>
      <c r="B30" s="3" t="s">
        <v>34</v>
      </c>
      <c r="C30" s="8" t="s">
        <v>11</v>
      </c>
      <c r="D30" s="41">
        <v>1887.7409249129787</v>
      </c>
      <c r="E30" s="42">
        <v>2622.0696171059176</v>
      </c>
      <c r="F30" s="43">
        <v>3190.4704127299851</v>
      </c>
      <c r="G30" s="48"/>
      <c r="H30" s="47">
        <v>128.57052352149736</v>
      </c>
      <c r="I30" s="48">
        <v>181.6292082842516</v>
      </c>
      <c r="J30" s="43">
        <v>198.81743525558923</v>
      </c>
      <c r="K30" s="48"/>
      <c r="L30" s="47">
        <v>376.36260200361363</v>
      </c>
      <c r="M30" s="48">
        <v>384.98133284240015</v>
      </c>
      <c r="N30" s="43">
        <v>422.40865411333641</v>
      </c>
      <c r="O30" s="53"/>
      <c r="P30" s="54">
        <v>0.19499999999999998</v>
      </c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</row>
    <row r="31" spans="1:34" x14ac:dyDescent="0.25">
      <c r="A31" s="3" t="s">
        <v>9</v>
      </c>
      <c r="B31" s="3" t="s">
        <v>35</v>
      </c>
      <c r="C31" s="8" t="s">
        <v>11</v>
      </c>
      <c r="D31" s="41">
        <v>2376.3794132272501</v>
      </c>
      <c r="E31" s="42">
        <v>3305.929388363998</v>
      </c>
      <c r="F31" s="43">
        <v>4025.4410740924914</v>
      </c>
      <c r="G31" s="48"/>
      <c r="H31" s="47">
        <v>162.23714777747486</v>
      </c>
      <c r="I31" s="48">
        <v>229.18942770106182</v>
      </c>
      <c r="J31" s="43">
        <v>250.8784497475142</v>
      </c>
      <c r="K31" s="48"/>
      <c r="L31" s="47">
        <v>474.91441589226946</v>
      </c>
      <c r="M31" s="48">
        <v>485.78999040537087</v>
      </c>
      <c r="N31" s="43">
        <v>533.01778170337116</v>
      </c>
      <c r="O31" s="53"/>
      <c r="P31" s="54">
        <v>0.19499999999999998</v>
      </c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</row>
    <row r="32" spans="1:34" x14ac:dyDescent="0.25">
      <c r="A32" s="3" t="s">
        <v>9</v>
      </c>
      <c r="B32" s="3" t="s">
        <v>36</v>
      </c>
      <c r="C32" s="8" t="s">
        <v>11</v>
      </c>
      <c r="D32" s="41">
        <v>1879.2849328692193</v>
      </c>
      <c r="E32" s="42">
        <v>2487.7235206364994</v>
      </c>
      <c r="F32" s="43">
        <v>3079.2948781700647</v>
      </c>
      <c r="G32" s="48"/>
      <c r="H32" s="47">
        <v>132.42679165744295</v>
      </c>
      <c r="I32" s="48">
        <v>187.0768871866905</v>
      </c>
      <c r="J32" s="43">
        <v>204.78064765798999</v>
      </c>
      <c r="K32" s="48"/>
      <c r="L32" s="47">
        <v>387.65099898541041</v>
      </c>
      <c r="M32" s="48">
        <v>396.52823493248758</v>
      </c>
      <c r="N32" s="43">
        <v>435.07812911109949</v>
      </c>
      <c r="O32" s="53"/>
      <c r="P32" s="54">
        <v>0.19499999999999998</v>
      </c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</row>
    <row r="33" spans="1:34" x14ac:dyDescent="0.25">
      <c r="A33" s="3" t="s">
        <v>9</v>
      </c>
      <c r="B33" s="3" t="s">
        <v>37</v>
      </c>
      <c r="C33" s="8" t="s">
        <v>11</v>
      </c>
      <c r="D33" s="41">
        <v>2043.124316260567</v>
      </c>
      <c r="E33" s="42">
        <v>2839.5310790651415</v>
      </c>
      <c r="F33" s="43">
        <v>3455.9840875186474</v>
      </c>
      <c r="G33" s="48"/>
      <c r="H33" s="47">
        <v>139.27620800709133</v>
      </c>
      <c r="I33" s="48">
        <v>196.75293138968257</v>
      </c>
      <c r="J33" s="43">
        <v>215.37237081766972</v>
      </c>
      <c r="K33" s="48"/>
      <c r="L33" s="47">
        <v>407.7011946986504</v>
      </c>
      <c r="M33" s="48">
        <v>417.0375815794215</v>
      </c>
      <c r="N33" s="43">
        <v>457.58136439763149</v>
      </c>
      <c r="O33" s="53"/>
      <c r="P33" s="54">
        <v>0.19499999999999998</v>
      </c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</row>
    <row r="34" spans="1:34" x14ac:dyDescent="0.25">
      <c r="A34" s="3" t="s">
        <v>9</v>
      </c>
      <c r="B34" s="3" t="s">
        <v>38</v>
      </c>
      <c r="C34" s="8" t="s">
        <v>11</v>
      </c>
      <c r="D34" s="41">
        <v>2273.7563401292891</v>
      </c>
      <c r="E34" s="42">
        <v>3011.6215813028343</v>
      </c>
      <c r="F34" s="43">
        <v>3729.0318249627053</v>
      </c>
      <c r="G34" s="48"/>
      <c r="H34" s="47">
        <v>160.1852367655801</v>
      </c>
      <c r="I34" s="48">
        <v>226.29073084308516</v>
      </c>
      <c r="J34" s="43">
        <v>247.70543875258423</v>
      </c>
      <c r="K34" s="48"/>
      <c r="L34" s="47">
        <v>468.90788697440712</v>
      </c>
      <c r="M34" s="48">
        <v>479.64591154034889</v>
      </c>
      <c r="N34" s="43">
        <v>526.27638449073652</v>
      </c>
      <c r="O34" s="53"/>
      <c r="P34" s="54">
        <v>0.19499999999999998</v>
      </c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</row>
    <row r="35" spans="1:34" x14ac:dyDescent="0.25">
      <c r="A35" s="3" t="s">
        <v>9</v>
      </c>
      <c r="B35" s="3" t="s">
        <v>210</v>
      </c>
      <c r="C35" s="8" t="s">
        <v>11</v>
      </c>
      <c r="D35" s="41">
        <v>2360.0228741919441</v>
      </c>
      <c r="E35" s="42">
        <v>3283.0387866732967</v>
      </c>
      <c r="F35" s="43">
        <v>3997.4922923918448</v>
      </c>
      <c r="G35" s="48"/>
      <c r="H35" s="47">
        <v>161.11025791949632</v>
      </c>
      <c r="I35" s="48">
        <v>227.59749117375998</v>
      </c>
      <c r="J35" s="43">
        <v>249.13586252579097</v>
      </c>
      <c r="K35" s="48"/>
      <c r="L35" s="47">
        <v>471.61568778956109</v>
      </c>
      <c r="M35" s="48">
        <v>482.41572119024528</v>
      </c>
      <c r="N35" s="43">
        <v>529.31547097766975</v>
      </c>
      <c r="O35" s="53"/>
      <c r="P35" s="54">
        <v>0.19499999999999998</v>
      </c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</row>
    <row r="36" spans="1:34" x14ac:dyDescent="0.25">
      <c r="A36" s="3" t="s">
        <v>9</v>
      </c>
      <c r="B36" s="3" t="s">
        <v>39</v>
      </c>
      <c r="C36" s="8" t="s">
        <v>11</v>
      </c>
      <c r="D36" s="41">
        <v>1928.6315266036797</v>
      </c>
      <c r="E36" s="42">
        <v>2679.2963699651914</v>
      </c>
      <c r="F36" s="43">
        <v>3260.3431128791644</v>
      </c>
      <c r="G36" s="48"/>
      <c r="H36" s="47">
        <v>131.38782511137634</v>
      </c>
      <c r="I36" s="48">
        <v>185.60915830119407</v>
      </c>
      <c r="J36" s="43">
        <v>203.17402229513394</v>
      </c>
      <c r="K36" s="48"/>
      <c r="L36" s="47">
        <v>384.6096475001537</v>
      </c>
      <c r="M36" s="48">
        <v>393.4172362779903</v>
      </c>
      <c r="N36" s="43">
        <v>431.66468372430063</v>
      </c>
      <c r="O36" s="53"/>
      <c r="P36" s="54">
        <v>0.19499999999999998</v>
      </c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</row>
    <row r="37" spans="1:34" x14ac:dyDescent="0.25">
      <c r="A37" s="3" t="s">
        <v>9</v>
      </c>
      <c r="B37" s="3" t="s">
        <v>40</v>
      </c>
      <c r="C37" s="8" t="s">
        <v>11</v>
      </c>
      <c r="D37" s="41">
        <v>2267.6553953257085</v>
      </c>
      <c r="E37" s="42">
        <v>3003.5196419691697</v>
      </c>
      <c r="F37" s="43">
        <v>3718.9845847836896</v>
      </c>
      <c r="G37" s="48"/>
      <c r="H37" s="47">
        <v>159.75600777192852</v>
      </c>
      <c r="I37" s="48">
        <v>225.68436695691378</v>
      </c>
      <c r="J37" s="43">
        <v>247.0416924651945</v>
      </c>
      <c r="K37" s="48"/>
      <c r="L37" s="47">
        <v>467.65141125601207</v>
      </c>
      <c r="M37" s="48">
        <v>478.36066243701958</v>
      </c>
      <c r="N37" s="43">
        <v>524.86618535217212</v>
      </c>
      <c r="O37" s="53"/>
      <c r="P37" s="54">
        <v>0.19499999999999998</v>
      </c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</row>
    <row r="38" spans="1:34" x14ac:dyDescent="0.25">
      <c r="A38" s="3" t="s">
        <v>9</v>
      </c>
      <c r="B38" s="3" t="s">
        <v>41</v>
      </c>
      <c r="C38" s="8" t="s">
        <v>11</v>
      </c>
      <c r="D38" s="41">
        <v>2611.4977623073096</v>
      </c>
      <c r="E38" s="42">
        <v>3634.9835902536051</v>
      </c>
      <c r="F38" s="43">
        <v>4427.2048731974146</v>
      </c>
      <c r="G38" s="48"/>
      <c r="H38" s="47">
        <v>178.43659412346398</v>
      </c>
      <c r="I38" s="48">
        <v>252.07408690502982</v>
      </c>
      <c r="J38" s="43">
        <v>275.92876677863035</v>
      </c>
      <c r="K38" s="48"/>
      <c r="L38" s="47">
        <v>522.33481685824188</v>
      </c>
      <c r="M38" s="48">
        <v>534.29632198723675</v>
      </c>
      <c r="N38" s="43">
        <v>586.2398277911459</v>
      </c>
      <c r="O38" s="53"/>
      <c r="P38" s="54">
        <v>0.19499999999999998</v>
      </c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</row>
    <row r="39" spans="1:34" x14ac:dyDescent="0.25">
      <c r="A39" s="3" t="s">
        <v>9</v>
      </c>
      <c r="B39" s="3" t="s">
        <v>42</v>
      </c>
      <c r="C39" s="8" t="s">
        <v>11</v>
      </c>
      <c r="D39" s="41">
        <v>2517.7593237195424</v>
      </c>
      <c r="E39" s="42">
        <v>3335.6822476379912</v>
      </c>
      <c r="F39" s="43">
        <v>4130.9308801591251</v>
      </c>
      <c r="G39" s="48"/>
      <c r="H39" s="47">
        <v>177.35547915391211</v>
      </c>
      <c r="I39" s="48">
        <v>250.54681571871373</v>
      </c>
      <c r="J39" s="43">
        <v>274.25696441230656</v>
      </c>
      <c r="K39" s="48"/>
      <c r="L39" s="47">
        <v>519.17008491299509</v>
      </c>
      <c r="M39" s="48">
        <v>531.0591174512814</v>
      </c>
      <c r="N39" s="43">
        <v>582.68790697195584</v>
      </c>
      <c r="O39" s="53"/>
      <c r="P39" s="54">
        <v>0.19499999999999998</v>
      </c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4"/>
    </row>
    <row r="40" spans="1:34" x14ac:dyDescent="0.25">
      <c r="A40" s="3" t="s">
        <v>9</v>
      </c>
      <c r="B40" s="3" t="s">
        <v>43</v>
      </c>
      <c r="C40" s="8" t="s">
        <v>11</v>
      </c>
      <c r="D40" s="41">
        <v>2198.5067130780708</v>
      </c>
      <c r="E40" s="42">
        <v>3056.9930382894081</v>
      </c>
      <c r="F40" s="43">
        <v>3721.4977623073096</v>
      </c>
      <c r="G40" s="48"/>
      <c r="H40" s="47">
        <v>149.98193154513851</v>
      </c>
      <c r="I40" s="48">
        <v>211.87670966379429</v>
      </c>
      <c r="J40" s="43">
        <v>231.92736676924213</v>
      </c>
      <c r="K40" s="48"/>
      <c r="L40" s="47">
        <v>439.03990171135905</v>
      </c>
      <c r="M40" s="48">
        <v>449.09394725199752</v>
      </c>
      <c r="N40" s="43">
        <v>492.75420298578467</v>
      </c>
      <c r="O40" s="53"/>
      <c r="P40" s="54">
        <v>0.19499999999999998</v>
      </c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</row>
    <row r="41" spans="1:34" x14ac:dyDescent="0.25">
      <c r="A41" s="3" t="s">
        <v>9</v>
      </c>
      <c r="B41" s="3" t="s">
        <v>44</v>
      </c>
      <c r="C41" s="8" t="s">
        <v>11</v>
      </c>
      <c r="D41" s="41">
        <v>2026.7677772252612</v>
      </c>
      <c r="E41" s="42">
        <v>2816.6404773744407</v>
      </c>
      <c r="F41" s="43">
        <v>3428.0358030830434</v>
      </c>
      <c r="G41" s="48"/>
      <c r="H41" s="47">
        <v>138.14931814911279</v>
      </c>
      <c r="I41" s="48">
        <v>195.1609948623807</v>
      </c>
      <c r="J41" s="43">
        <v>213.62978359594646</v>
      </c>
      <c r="K41" s="48"/>
      <c r="L41" s="47">
        <v>404.40246659594203</v>
      </c>
      <c r="M41" s="48">
        <v>413.66331236429585</v>
      </c>
      <c r="N41" s="43">
        <v>453.87905367193002</v>
      </c>
      <c r="O41" s="53"/>
      <c r="P41" s="54">
        <v>0.19499999999999998</v>
      </c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</row>
    <row r="42" spans="1:34" x14ac:dyDescent="0.25">
      <c r="A42" s="3" t="s">
        <v>9</v>
      </c>
      <c r="B42" s="3" t="s">
        <v>211</v>
      </c>
      <c r="C42" s="8" t="s">
        <v>11</v>
      </c>
      <c r="D42" s="41">
        <v>2282.3321730482348</v>
      </c>
      <c r="E42" s="42">
        <v>3174.3078070611637</v>
      </c>
      <c r="F42" s="43">
        <v>3864.7349577324712</v>
      </c>
      <c r="G42" s="48"/>
      <c r="H42" s="47">
        <v>155.75737681757508</v>
      </c>
      <c r="I42" s="48">
        <v>220.03557472547601</v>
      </c>
      <c r="J42" s="43">
        <v>240.85833465421666</v>
      </c>
      <c r="K42" s="48"/>
      <c r="L42" s="47">
        <v>455.94627769029989</v>
      </c>
      <c r="M42" s="48">
        <v>466.38748046506868</v>
      </c>
      <c r="N42" s="43">
        <v>511.72898816683158</v>
      </c>
      <c r="O42" s="53"/>
      <c r="P42" s="54">
        <v>0.19499999999999998</v>
      </c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</row>
    <row r="43" spans="1:34" x14ac:dyDescent="0.25">
      <c r="A43" s="3" t="s">
        <v>9</v>
      </c>
      <c r="B43" s="3" t="s">
        <v>45</v>
      </c>
      <c r="C43" s="8" t="s">
        <v>11</v>
      </c>
      <c r="D43" s="41">
        <v>1861.1626056688215</v>
      </c>
      <c r="E43" s="42">
        <v>2584.8722028841371</v>
      </c>
      <c r="F43" s="43">
        <v>3145.0542018896072</v>
      </c>
      <c r="G43" s="48"/>
      <c r="H43" s="47">
        <v>126.73930797605561</v>
      </c>
      <c r="I43" s="48">
        <v>179.04228384304574</v>
      </c>
      <c r="J43" s="43">
        <v>195.98570082554301</v>
      </c>
      <c r="K43" s="48"/>
      <c r="L43" s="47">
        <v>371.0021116778766</v>
      </c>
      <c r="M43" s="48">
        <v>379.49808690004375</v>
      </c>
      <c r="N43" s="43">
        <v>416.39233503214257</v>
      </c>
      <c r="O43" s="53"/>
      <c r="P43" s="54">
        <v>0.19499999999999998</v>
      </c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</row>
    <row r="44" spans="1:34" x14ac:dyDescent="0.25">
      <c r="A44" s="3" t="s">
        <v>9</v>
      </c>
      <c r="B44" s="3" t="s">
        <v>46</v>
      </c>
      <c r="C44" s="8" t="s">
        <v>11</v>
      </c>
      <c r="D44" s="41">
        <v>2053.3465937344604</v>
      </c>
      <c r="E44" s="42">
        <v>2853.8378915962207</v>
      </c>
      <c r="F44" s="43">
        <v>3473.4525111884636</v>
      </c>
      <c r="G44" s="48"/>
      <c r="H44" s="47">
        <v>139.98053330789656</v>
      </c>
      <c r="I44" s="48">
        <v>197.74791875736204</v>
      </c>
      <c r="J44" s="43">
        <v>216.46151742807695</v>
      </c>
      <c r="K44" s="48"/>
      <c r="L44" s="47">
        <v>409.76295578982081</v>
      </c>
      <c r="M44" s="48">
        <v>419.14655714887442</v>
      </c>
      <c r="N44" s="43">
        <v>459.89537148278862</v>
      </c>
      <c r="O44" s="53"/>
      <c r="P44" s="54">
        <v>0.19499999999999998</v>
      </c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</row>
    <row r="45" spans="1:34" x14ac:dyDescent="0.25">
      <c r="A45" s="3" t="s">
        <v>9</v>
      </c>
      <c r="B45" s="3" t="s">
        <v>47</v>
      </c>
      <c r="C45" s="8" t="s">
        <v>11</v>
      </c>
      <c r="D45" s="41">
        <v>1795.737941322725</v>
      </c>
      <c r="E45" s="42">
        <v>2493.3092988562903</v>
      </c>
      <c r="F45" s="43">
        <v>3033.2590750870213</v>
      </c>
      <c r="G45" s="48"/>
      <c r="H45" s="47">
        <v>122.23163293341358</v>
      </c>
      <c r="I45" s="48">
        <v>172.67437441269436</v>
      </c>
      <c r="J45" s="43">
        <v>189.01517316183731</v>
      </c>
      <c r="K45" s="48"/>
      <c r="L45" s="47">
        <v>357.80686084146043</v>
      </c>
      <c r="M45" s="48">
        <v>366.00066386398839</v>
      </c>
      <c r="N45" s="43">
        <v>401.58271229910349</v>
      </c>
      <c r="O45" s="53"/>
      <c r="P45" s="54">
        <v>0.19499999999999998</v>
      </c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</row>
    <row r="46" spans="1:34" x14ac:dyDescent="0.25">
      <c r="A46" s="3" t="s">
        <v>48</v>
      </c>
      <c r="B46" s="3" t="s">
        <v>49</v>
      </c>
      <c r="C46" s="8" t="s">
        <v>212</v>
      </c>
      <c r="D46" s="41">
        <v>1699.31268</v>
      </c>
      <c r="E46" s="42">
        <v>2248.7072399999997</v>
      </c>
      <c r="F46" s="43">
        <v>2782.8169199999998</v>
      </c>
      <c r="G46" s="48"/>
      <c r="H46" s="47">
        <v>44.132617994818766</v>
      </c>
      <c r="I46" s="48">
        <v>62.345335823183362</v>
      </c>
      <c r="J46" s="43">
        <v>68.245299781932033</v>
      </c>
      <c r="K46" s="48"/>
      <c r="L46" s="47">
        <v>132.19315323320973</v>
      </c>
      <c r="M46" s="48">
        <v>135.22038601452778</v>
      </c>
      <c r="N46" s="43">
        <v>148.36631387648347</v>
      </c>
      <c r="O46" s="53"/>
      <c r="P46" s="54">
        <v>0.19499999999999998</v>
      </c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</row>
    <row r="47" spans="1:34" x14ac:dyDescent="0.25">
      <c r="A47" s="3" t="s">
        <v>50</v>
      </c>
      <c r="B47" s="3" t="s">
        <v>51</v>
      </c>
      <c r="C47" s="8" t="s">
        <v>212</v>
      </c>
      <c r="D47" s="41">
        <v>1858.4045999999998</v>
      </c>
      <c r="E47" s="42">
        <v>2460.0045599999999</v>
      </c>
      <c r="F47" s="43">
        <v>3044.81268</v>
      </c>
      <c r="G47" s="48"/>
      <c r="H47" s="47">
        <v>130.45933555828992</v>
      </c>
      <c r="I47" s="48">
        <v>184.29749822695405</v>
      </c>
      <c r="J47" s="43">
        <v>201.73823509795898</v>
      </c>
      <c r="K47" s="48"/>
      <c r="L47" s="47">
        <v>390.77289586999876</v>
      </c>
      <c r="M47" s="48">
        <v>399.72162348179359</v>
      </c>
      <c r="N47" s="43">
        <v>438.58197421759849</v>
      </c>
      <c r="O47" s="53"/>
      <c r="P47" s="54">
        <v>0.19499999999999998</v>
      </c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</row>
    <row r="48" spans="1:34" x14ac:dyDescent="0.25">
      <c r="A48" s="3" t="s">
        <v>52</v>
      </c>
      <c r="B48" s="3" t="s">
        <v>53</v>
      </c>
      <c r="C48" s="8" t="s">
        <v>212</v>
      </c>
      <c r="D48" s="41">
        <v>1798.87968</v>
      </c>
      <c r="E48" s="42">
        <v>2380.8891599999997</v>
      </c>
      <c r="F48" s="43">
        <v>2946.8602799999994</v>
      </c>
      <c r="G48" s="48"/>
      <c r="H48" s="47">
        <v>63.141414476919174</v>
      </c>
      <c r="I48" s="48">
        <v>89.198712171947221</v>
      </c>
      <c r="J48" s="43">
        <v>97.639907973247077</v>
      </c>
      <c r="K48" s="48"/>
      <c r="L48" s="47">
        <v>189.13137399392252</v>
      </c>
      <c r="M48" s="48">
        <v>193.46249615363126</v>
      </c>
      <c r="N48" s="43">
        <v>212.27063665218213</v>
      </c>
      <c r="O48" s="53"/>
      <c r="P48" s="54">
        <v>0.19499999999999998</v>
      </c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</row>
    <row r="49" spans="1:34" x14ac:dyDescent="0.25">
      <c r="A49" s="3" t="s">
        <v>54</v>
      </c>
      <c r="B49" s="3" t="s">
        <v>55</v>
      </c>
      <c r="C49" s="8" t="s">
        <v>212</v>
      </c>
      <c r="D49" s="41">
        <v>1798.87968</v>
      </c>
      <c r="E49" s="42">
        <v>2380.8891599999997</v>
      </c>
      <c r="F49" s="43">
        <v>2946.8602799999994</v>
      </c>
      <c r="G49" s="48"/>
      <c r="H49" s="47">
        <v>63.141414476919174</v>
      </c>
      <c r="I49" s="48">
        <v>89.198712171947221</v>
      </c>
      <c r="J49" s="43">
        <v>97.639907973247077</v>
      </c>
      <c r="K49" s="48"/>
      <c r="L49" s="47">
        <v>189.13137399392252</v>
      </c>
      <c r="M49" s="48">
        <v>193.46249615363126</v>
      </c>
      <c r="N49" s="43">
        <v>212.27063665218213</v>
      </c>
      <c r="O49" s="53"/>
      <c r="P49" s="54">
        <v>0.19499999999999998</v>
      </c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</row>
    <row r="50" spans="1:34" x14ac:dyDescent="0.25">
      <c r="A50" s="3" t="s">
        <v>56</v>
      </c>
      <c r="B50" s="3" t="s">
        <v>57</v>
      </c>
      <c r="C50" s="8" t="s">
        <v>212</v>
      </c>
      <c r="D50" s="41">
        <v>2227.2868799999997</v>
      </c>
      <c r="E50" s="42">
        <v>2949.8741999999997</v>
      </c>
      <c r="F50" s="43">
        <v>3652.4404799999998</v>
      </c>
      <c r="G50" s="48"/>
      <c r="H50" s="47">
        <v>156.28839243471788</v>
      </c>
      <c r="I50" s="48">
        <v>220.7857306981403</v>
      </c>
      <c r="J50" s="43">
        <v>241.67948059178724</v>
      </c>
      <c r="K50" s="48"/>
      <c r="L50" s="47">
        <v>468.14026333357833</v>
      </c>
      <c r="M50" s="48">
        <v>478.86070926256048</v>
      </c>
      <c r="N50" s="43">
        <v>525.4148459976401</v>
      </c>
      <c r="O50" s="53"/>
      <c r="P50" s="54">
        <v>0.19499999999999998</v>
      </c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</row>
    <row r="51" spans="1:34" x14ac:dyDescent="0.25">
      <c r="A51" s="3" t="s">
        <v>58</v>
      </c>
      <c r="B51" s="3" t="s">
        <v>59</v>
      </c>
      <c r="C51" s="8" t="s">
        <v>212</v>
      </c>
      <c r="D51" s="41">
        <v>2230.3007999999995</v>
      </c>
      <c r="E51" s="42">
        <v>2953.96452</v>
      </c>
      <c r="F51" s="43">
        <v>3657.4995600000002</v>
      </c>
      <c r="G51" s="48"/>
      <c r="H51" s="47">
        <v>129.87914430013242</v>
      </c>
      <c r="I51" s="48">
        <v>183.47787273281835</v>
      </c>
      <c r="J51" s="43">
        <v>200.84104548757909</v>
      </c>
      <c r="K51" s="48"/>
      <c r="L51" s="47">
        <v>389.03501320228145</v>
      </c>
      <c r="M51" s="48">
        <v>397.9439431751432</v>
      </c>
      <c r="N51" s="43">
        <v>436.63147043542324</v>
      </c>
      <c r="O51" s="53"/>
      <c r="P51" s="54">
        <v>0.19499999999999998</v>
      </c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4"/>
    </row>
    <row r="52" spans="1:34" x14ac:dyDescent="0.25">
      <c r="A52" s="3" t="s">
        <v>60</v>
      </c>
      <c r="B52" s="3" t="s">
        <v>61</v>
      </c>
      <c r="C52" s="8" t="s">
        <v>212</v>
      </c>
      <c r="D52" s="41">
        <v>1183.7170799999999</v>
      </c>
      <c r="E52" s="42">
        <v>1563.9015599999998</v>
      </c>
      <c r="F52" s="43">
        <v>1933.5373199999999</v>
      </c>
      <c r="G52" s="48"/>
      <c r="H52" s="47">
        <v>30.769889298752318</v>
      </c>
      <c r="I52" s="48">
        <v>43.468055346231836</v>
      </c>
      <c r="J52" s="43">
        <v>47.581594178182357</v>
      </c>
      <c r="K52" s="48"/>
      <c r="L52" s="47">
        <v>92.166947619477355</v>
      </c>
      <c r="M52" s="48">
        <v>94.277577393891534</v>
      </c>
      <c r="N52" s="43">
        <v>103.44310537342923</v>
      </c>
      <c r="O52" s="53"/>
      <c r="P52" s="54">
        <v>0.19499999999999998</v>
      </c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4"/>
    </row>
    <row r="53" spans="1:34" x14ac:dyDescent="0.25">
      <c r="A53" s="3" t="s">
        <v>62</v>
      </c>
      <c r="B53" s="3" t="s">
        <v>63</v>
      </c>
      <c r="C53" s="8" t="s">
        <v>212</v>
      </c>
      <c r="D53" s="41">
        <v>2238.48144</v>
      </c>
      <c r="E53" s="42">
        <v>2964.7285200000001</v>
      </c>
      <c r="F53" s="43">
        <v>3670.9545600000001</v>
      </c>
      <c r="G53" s="48"/>
      <c r="H53" s="47">
        <v>78.529204842218206</v>
      </c>
      <c r="I53" s="48">
        <v>110.93675993548446</v>
      </c>
      <c r="J53" s="43">
        <v>121.43510558841341</v>
      </c>
      <c r="K53" s="48"/>
      <c r="L53" s="47">
        <v>235.22337175211794</v>
      </c>
      <c r="M53" s="48">
        <v>240.61000399807068</v>
      </c>
      <c r="N53" s="43">
        <v>264.0017561491382</v>
      </c>
      <c r="O53" s="53"/>
      <c r="P53" s="54">
        <v>0.19499999999999998</v>
      </c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  <c r="AF53" s="14"/>
      <c r="AG53" s="14"/>
      <c r="AH53" s="14"/>
    </row>
    <row r="54" spans="1:34" x14ac:dyDescent="0.25">
      <c r="A54" s="3" t="s">
        <v>64</v>
      </c>
      <c r="B54" s="3" t="s">
        <v>65</v>
      </c>
      <c r="C54" s="8" t="s">
        <v>212</v>
      </c>
      <c r="D54" s="41">
        <v>1868.3074799999997</v>
      </c>
      <c r="E54" s="42">
        <v>2473.2442799999999</v>
      </c>
      <c r="F54" s="43">
        <v>3061.2815999999993</v>
      </c>
      <c r="G54" s="48"/>
      <c r="H54" s="47">
        <v>73.413444588164325</v>
      </c>
      <c r="I54" s="48">
        <v>103.70981973748107</v>
      </c>
      <c r="J54" s="43">
        <v>113.52425397767533</v>
      </c>
      <c r="K54" s="48"/>
      <c r="L54" s="47">
        <v>219.89981947049475</v>
      </c>
      <c r="M54" s="48">
        <v>224.93554125960003</v>
      </c>
      <c r="N54" s="43">
        <v>246.80344510267122</v>
      </c>
      <c r="O54" s="53"/>
      <c r="P54" s="54">
        <v>0.19499999999999998</v>
      </c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4"/>
      <c r="AH54" s="14"/>
    </row>
    <row r="55" spans="1:34" x14ac:dyDescent="0.25">
      <c r="A55" s="3" t="s">
        <v>66</v>
      </c>
      <c r="B55" s="3" t="s">
        <v>67</v>
      </c>
      <c r="C55" s="8" t="s">
        <v>212</v>
      </c>
      <c r="D55" s="41">
        <v>1961.5237199999997</v>
      </c>
      <c r="E55" s="42">
        <v>2596.9226399999998</v>
      </c>
      <c r="F55" s="43">
        <v>3214.6685999999995</v>
      </c>
      <c r="G55" s="48"/>
      <c r="H55" s="47">
        <v>20.648598433892293</v>
      </c>
      <c r="I55" s="48">
        <v>29.169894335074549</v>
      </c>
      <c r="J55" s="43">
        <v>31.930346628499368</v>
      </c>
      <c r="K55" s="48"/>
      <c r="L55" s="47">
        <v>61.850020706747948</v>
      </c>
      <c r="M55" s="48">
        <v>63.266390659572643</v>
      </c>
      <c r="N55" s="43">
        <v>69.417056488966836</v>
      </c>
      <c r="O55" s="53"/>
      <c r="P55" s="54">
        <v>0.19499999999999998</v>
      </c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4"/>
      <c r="AH55" s="14"/>
    </row>
    <row r="56" spans="1:34" x14ac:dyDescent="0.25">
      <c r="A56" s="3" t="s">
        <v>68</v>
      </c>
      <c r="B56" s="3" t="s">
        <v>69</v>
      </c>
      <c r="C56" s="8" t="s">
        <v>212</v>
      </c>
      <c r="D56" s="41">
        <v>2035.7953199999997</v>
      </c>
      <c r="E56" s="42">
        <v>2695.6285199999998</v>
      </c>
      <c r="F56" s="43">
        <v>3337.0552799999996</v>
      </c>
      <c r="G56" s="48"/>
      <c r="H56" s="47">
        <v>142.85493932821532</v>
      </c>
      <c r="I56" s="48">
        <v>201.80853915042354</v>
      </c>
      <c r="J56" s="43">
        <v>220.90640897234641</v>
      </c>
      <c r="K56" s="48"/>
      <c r="L56" s="47">
        <v>427.9022125302584</v>
      </c>
      <c r="M56" s="48">
        <v>437.70120418215515</v>
      </c>
      <c r="N56" s="43">
        <v>480.25387412240781</v>
      </c>
      <c r="O56" s="53"/>
      <c r="P56" s="54">
        <v>0.19499999999999998</v>
      </c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  <c r="AE56" s="14"/>
      <c r="AF56" s="14"/>
      <c r="AG56" s="14"/>
      <c r="AH56" s="14"/>
    </row>
    <row r="57" spans="1:34" x14ac:dyDescent="0.25">
      <c r="A57" s="3" t="s">
        <v>70</v>
      </c>
      <c r="B57" s="3" t="s">
        <v>71</v>
      </c>
      <c r="C57" s="8" t="s">
        <v>212</v>
      </c>
      <c r="D57" s="41">
        <v>1605.3429599999997</v>
      </c>
      <c r="E57" s="42">
        <v>2123.9524799999999</v>
      </c>
      <c r="F57" s="43">
        <v>2628.1382399999998</v>
      </c>
      <c r="G57" s="48"/>
      <c r="H57" s="47">
        <v>138.80789420578162</v>
      </c>
      <c r="I57" s="48">
        <v>196.09135311629052</v>
      </c>
      <c r="J57" s="43">
        <v>214.64818500648244</v>
      </c>
      <c r="K57" s="48"/>
      <c r="L57" s="47">
        <v>415.77984861170717</v>
      </c>
      <c r="M57" s="48">
        <v>425.30123725207301</v>
      </c>
      <c r="N57" s="43">
        <v>466.64840057044705</v>
      </c>
      <c r="O57" s="53"/>
      <c r="P57" s="54">
        <v>0.19499999999999998</v>
      </c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  <c r="AE57" s="14"/>
      <c r="AF57" s="14"/>
      <c r="AG57" s="14"/>
      <c r="AH57" s="14"/>
    </row>
    <row r="58" spans="1:34" x14ac:dyDescent="0.25">
      <c r="A58" s="3" t="s">
        <v>70</v>
      </c>
      <c r="B58" s="3" t="s">
        <v>72</v>
      </c>
      <c r="C58" s="8" t="s">
        <v>212</v>
      </c>
      <c r="D58" s="41">
        <v>1982.6374381107653</v>
      </c>
      <c r="E58" s="42">
        <v>2501.4945125720283</v>
      </c>
      <c r="F58" s="43">
        <v>3265.9440472153901</v>
      </c>
      <c r="G58" s="48"/>
      <c r="H58" s="47">
        <v>138.80789420578162</v>
      </c>
      <c r="I58" s="48">
        <v>196.09135311629052</v>
      </c>
      <c r="J58" s="43">
        <v>214.64818500648244</v>
      </c>
      <c r="K58" s="48"/>
      <c r="L58" s="47">
        <v>415.77984861170717</v>
      </c>
      <c r="M58" s="48">
        <v>425.30123725207301</v>
      </c>
      <c r="N58" s="43">
        <v>466.64840057044705</v>
      </c>
      <c r="O58" s="53"/>
      <c r="P58" s="54">
        <v>0.19499999999999998</v>
      </c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  <c r="AE58" s="14"/>
      <c r="AF58" s="14"/>
      <c r="AG58" s="14"/>
      <c r="AH58" s="14"/>
    </row>
    <row r="59" spans="1:34" x14ac:dyDescent="0.25">
      <c r="A59" s="3" t="s">
        <v>73</v>
      </c>
      <c r="B59" s="3" t="s">
        <v>74</v>
      </c>
      <c r="C59" s="8" t="s">
        <v>212</v>
      </c>
      <c r="D59" s="41">
        <v>1187.2758826454499</v>
      </c>
      <c r="E59" s="42">
        <v>1497.986494281452</v>
      </c>
      <c r="F59" s="43">
        <v>1955.7668622575832</v>
      </c>
      <c r="G59" s="48"/>
      <c r="H59" s="47">
        <v>83.123248831801007</v>
      </c>
      <c r="I59" s="48">
        <v>117.42668118490235</v>
      </c>
      <c r="J59" s="43">
        <v>128.53919148962302</v>
      </c>
      <c r="K59" s="48"/>
      <c r="L59" s="47">
        <v>234.72419121951214</v>
      </c>
      <c r="M59" s="48">
        <v>240.09939219512191</v>
      </c>
      <c r="N59" s="43">
        <v>263.4415034146341</v>
      </c>
      <c r="O59" s="53"/>
      <c r="P59" s="54">
        <v>0.19499999999999998</v>
      </c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/>
      <c r="AE59" s="14"/>
      <c r="AF59" s="14"/>
      <c r="AG59" s="14"/>
      <c r="AH59" s="14"/>
    </row>
    <row r="60" spans="1:34" x14ac:dyDescent="0.25">
      <c r="A60" s="3" t="s">
        <v>73</v>
      </c>
      <c r="B60" s="3" t="s">
        <v>75</v>
      </c>
      <c r="C60" s="8" t="s">
        <v>212</v>
      </c>
      <c r="D60" s="41">
        <v>1187.2758826454499</v>
      </c>
      <c r="E60" s="42">
        <v>1497.986494281452</v>
      </c>
      <c r="F60" s="43">
        <v>1955.7668622575832</v>
      </c>
      <c r="G60" s="48"/>
      <c r="H60" s="47">
        <v>83.123248831801007</v>
      </c>
      <c r="I60" s="48">
        <v>117.42668118490235</v>
      </c>
      <c r="J60" s="43">
        <v>128.53919148962302</v>
      </c>
      <c r="K60" s="48"/>
      <c r="L60" s="47">
        <v>234.72419121951214</v>
      </c>
      <c r="M60" s="48">
        <v>240.09939219512191</v>
      </c>
      <c r="N60" s="43">
        <v>263.4415034146341</v>
      </c>
      <c r="O60" s="53"/>
      <c r="P60" s="54">
        <v>0.19499999999999998</v>
      </c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  <c r="AE60" s="14"/>
      <c r="AF60" s="14"/>
      <c r="AG60" s="14"/>
      <c r="AH60" s="14"/>
    </row>
    <row r="61" spans="1:34" s="16" customFormat="1" x14ac:dyDescent="0.25">
      <c r="A61" s="3" t="s">
        <v>73</v>
      </c>
      <c r="B61" s="3" t="s">
        <v>76</v>
      </c>
      <c r="C61" s="8" t="s">
        <v>212</v>
      </c>
      <c r="D61" s="41">
        <v>1187.2758826454499</v>
      </c>
      <c r="E61" s="42">
        <v>1497.986494281452</v>
      </c>
      <c r="F61" s="43">
        <v>1955.7668622575832</v>
      </c>
      <c r="G61" s="48"/>
      <c r="H61" s="47">
        <v>98.97877995753278</v>
      </c>
      <c r="I61" s="48">
        <v>139.82549769754925</v>
      </c>
      <c r="J61" s="43">
        <v>153.05768878349204</v>
      </c>
      <c r="K61" s="48"/>
      <c r="L61" s="47">
        <v>234.72419121951214</v>
      </c>
      <c r="M61" s="48">
        <v>240.09939219512191</v>
      </c>
      <c r="N61" s="43">
        <v>263.4415034146341</v>
      </c>
      <c r="O61" s="53"/>
      <c r="P61" s="54">
        <v>0.19499999999999998</v>
      </c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5"/>
      <c r="AH61" s="15"/>
    </row>
    <row r="62" spans="1:34" x14ac:dyDescent="0.25">
      <c r="A62" s="3" t="s">
        <v>77</v>
      </c>
      <c r="B62" s="3" t="s">
        <v>78</v>
      </c>
      <c r="C62" s="8" t="s">
        <v>212</v>
      </c>
      <c r="D62" s="41">
        <v>1191.79008</v>
      </c>
      <c r="E62" s="42">
        <v>1574.6655599999999</v>
      </c>
      <c r="F62" s="43">
        <v>1946.9923199999998</v>
      </c>
      <c r="G62" s="48"/>
      <c r="H62" s="47">
        <v>98.97877995753278</v>
      </c>
      <c r="I62" s="48">
        <v>139.82549769754925</v>
      </c>
      <c r="J62" s="43">
        <v>153.05768878349204</v>
      </c>
      <c r="K62" s="48"/>
      <c r="L62" s="47">
        <v>281.65338335318052</v>
      </c>
      <c r="M62" s="48">
        <v>288.10326622685488</v>
      </c>
      <c r="N62" s="43">
        <v>316.11224376523535</v>
      </c>
      <c r="O62" s="53"/>
      <c r="P62" s="54">
        <v>0.19499999999999998</v>
      </c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</row>
    <row r="63" spans="1:34" x14ac:dyDescent="0.25">
      <c r="A63" s="3" t="s">
        <v>79</v>
      </c>
      <c r="B63" s="3" t="s">
        <v>80</v>
      </c>
      <c r="C63" s="8" t="s">
        <v>212</v>
      </c>
      <c r="D63" s="41">
        <v>1052.5039199999999</v>
      </c>
      <c r="E63" s="42">
        <v>1389.6324</v>
      </c>
      <c r="F63" s="43">
        <v>1717.5038399999999</v>
      </c>
      <c r="G63" s="48"/>
      <c r="H63" s="47">
        <v>98.97877995753278</v>
      </c>
      <c r="I63" s="48">
        <v>139.82549769754925</v>
      </c>
      <c r="J63" s="43">
        <v>153.05768878349204</v>
      </c>
      <c r="K63" s="48"/>
      <c r="L63" s="47">
        <v>259.76609999999994</v>
      </c>
      <c r="M63" s="48">
        <v>265.71476249999995</v>
      </c>
      <c r="N63" s="43">
        <v>291.54716250000001</v>
      </c>
      <c r="O63" s="53"/>
      <c r="P63" s="54">
        <v>0.19499999999999998</v>
      </c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</row>
    <row r="64" spans="1:34" x14ac:dyDescent="0.25">
      <c r="A64" s="3" t="s">
        <v>81</v>
      </c>
      <c r="B64" s="3" t="s">
        <v>42</v>
      </c>
      <c r="C64" s="8" t="s">
        <v>212</v>
      </c>
      <c r="D64" s="41">
        <v>992.11788000000001</v>
      </c>
      <c r="E64" s="42">
        <v>1309.5482399999999</v>
      </c>
      <c r="F64" s="43">
        <v>1618.0444799999998</v>
      </c>
      <c r="G64" s="48"/>
      <c r="H64" s="47">
        <v>119.66172146692098</v>
      </c>
      <c r="I64" s="48">
        <v>169.04390786223635</v>
      </c>
      <c r="J64" s="43">
        <v>185.04114246951804</v>
      </c>
      <c r="K64" s="48"/>
      <c r="L64" s="47">
        <v>299.29031999999995</v>
      </c>
      <c r="M64" s="48">
        <v>306.14409000000001</v>
      </c>
      <c r="N64" s="43">
        <v>335.90697</v>
      </c>
      <c r="O64" s="53"/>
      <c r="P64" s="54">
        <v>0.19499999999999998</v>
      </c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4"/>
      <c r="AH64" s="14"/>
    </row>
    <row r="65" spans="1:34" x14ac:dyDescent="0.25">
      <c r="A65" s="3" t="s">
        <v>82</v>
      </c>
      <c r="B65" s="3" t="s">
        <v>83</v>
      </c>
      <c r="C65" s="8" t="s">
        <v>212</v>
      </c>
      <c r="D65" s="41">
        <v>1238.407190612879</v>
      </c>
      <c r="E65" s="42">
        <v>1562.4988876432124</v>
      </c>
      <c r="F65" s="43">
        <v>2039.9940576452013</v>
      </c>
      <c r="G65" s="48"/>
      <c r="H65" s="47">
        <v>86.703040603366276</v>
      </c>
      <c r="I65" s="48">
        <v>122.48378702443145</v>
      </c>
      <c r="J65" s="43">
        <v>134.07486949168594</v>
      </c>
      <c r="K65" s="48"/>
      <c r="L65" s="47">
        <v>246.72161794097559</v>
      </c>
      <c r="M65" s="48">
        <v>252.37156085725607</v>
      </c>
      <c r="N65" s="43">
        <v>276.90675433823168</v>
      </c>
      <c r="O65" s="53"/>
      <c r="P65" s="54">
        <v>0.19499999999999998</v>
      </c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</row>
    <row r="66" spans="1:34" x14ac:dyDescent="0.25">
      <c r="A66" s="3" t="s">
        <v>82</v>
      </c>
      <c r="B66" s="3" t="s">
        <v>84</v>
      </c>
      <c r="C66" s="8" t="s">
        <v>212</v>
      </c>
      <c r="D66" s="41">
        <v>1238.407190612879</v>
      </c>
      <c r="E66" s="42">
        <v>1562.4988876432124</v>
      </c>
      <c r="F66" s="43">
        <v>2039.9940576452013</v>
      </c>
      <c r="G66" s="48"/>
      <c r="H66" s="47">
        <v>86.703040603366276</v>
      </c>
      <c r="I66" s="48">
        <v>122.48378702443145</v>
      </c>
      <c r="J66" s="43">
        <v>134.07486949168594</v>
      </c>
      <c r="K66" s="48"/>
      <c r="L66" s="47">
        <v>246.72161794097559</v>
      </c>
      <c r="M66" s="48">
        <v>252.37156085725607</v>
      </c>
      <c r="N66" s="43">
        <v>276.90675433823168</v>
      </c>
      <c r="O66" s="53"/>
      <c r="P66" s="54">
        <v>0.19499999999999998</v>
      </c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14"/>
    </row>
    <row r="67" spans="1:34" x14ac:dyDescent="0.25">
      <c r="A67" s="3" t="s">
        <v>82</v>
      </c>
      <c r="B67" s="3" t="s">
        <v>85</v>
      </c>
      <c r="C67" s="8" t="s">
        <v>212</v>
      </c>
      <c r="D67" s="41">
        <v>1238.407190612879</v>
      </c>
      <c r="E67" s="42">
        <v>1562.4988876432124</v>
      </c>
      <c r="F67" s="43">
        <v>2039.9940576452013</v>
      </c>
      <c r="G67" s="48"/>
      <c r="H67" s="47">
        <v>86.703040603366276</v>
      </c>
      <c r="I67" s="48">
        <v>122.48378702443145</v>
      </c>
      <c r="J67" s="43">
        <v>134.07486949168594</v>
      </c>
      <c r="K67" s="48"/>
      <c r="L67" s="47">
        <v>246.72161794097559</v>
      </c>
      <c r="M67" s="48">
        <v>252.37156085725607</v>
      </c>
      <c r="N67" s="43">
        <v>276.90675433823168</v>
      </c>
      <c r="O67" s="53"/>
      <c r="P67" s="54">
        <v>0.19499999999999998</v>
      </c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4"/>
      <c r="AH67" s="14"/>
    </row>
    <row r="68" spans="1:34" x14ac:dyDescent="0.25">
      <c r="A68" s="3" t="s">
        <v>82</v>
      </c>
      <c r="B68" s="3" t="s">
        <v>86</v>
      </c>
      <c r="C68" s="8" t="s">
        <v>212</v>
      </c>
      <c r="D68" s="44">
        <v>1238.407190612879</v>
      </c>
      <c r="E68" s="45">
        <v>1562.4988876432124</v>
      </c>
      <c r="F68" s="46">
        <v>2039.9940576452013</v>
      </c>
      <c r="G68" s="48"/>
      <c r="H68" s="47">
        <v>86.703040603366276</v>
      </c>
      <c r="I68" s="48">
        <v>122.48378702443145</v>
      </c>
      <c r="J68" s="43">
        <v>134.07486949168594</v>
      </c>
      <c r="K68" s="48"/>
      <c r="L68" s="47">
        <v>246.72161794097559</v>
      </c>
      <c r="M68" s="48">
        <v>252.37156085725607</v>
      </c>
      <c r="N68" s="43">
        <v>276.90675433823168</v>
      </c>
      <c r="O68" s="53"/>
      <c r="P68" s="54">
        <v>0.19499999999999998</v>
      </c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4"/>
      <c r="AH68" s="14"/>
    </row>
    <row r="69" spans="1:34" x14ac:dyDescent="0.25">
      <c r="A69" s="3" t="s">
        <v>87</v>
      </c>
      <c r="B69" s="3" t="s">
        <v>88</v>
      </c>
      <c r="C69" s="8" t="s">
        <v>212</v>
      </c>
      <c r="D69" s="44">
        <v>1425.1535999999999</v>
      </c>
      <c r="E69" s="45">
        <v>1884.5611200000001</v>
      </c>
      <c r="F69" s="46">
        <v>2331.26712</v>
      </c>
      <c r="G69" s="48"/>
      <c r="H69" s="47">
        <v>251.7552245853658</v>
      </c>
      <c r="I69" s="48">
        <v>283.07029170731704</v>
      </c>
      <c r="J69" s="43">
        <v>339.70855960975609</v>
      </c>
      <c r="K69" s="48"/>
      <c r="L69" s="47">
        <v>390.0563765853658</v>
      </c>
      <c r="M69" s="48">
        <v>398.98869585365844</v>
      </c>
      <c r="N69" s="43">
        <v>437.77779243902438</v>
      </c>
      <c r="O69" s="53"/>
      <c r="P69" s="54">
        <v>0.19499999999999998</v>
      </c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</row>
    <row r="70" spans="1:34" x14ac:dyDescent="0.25">
      <c r="A70" s="3" t="s">
        <v>213</v>
      </c>
      <c r="B70" s="3" t="s">
        <v>214</v>
      </c>
      <c r="C70" s="8" t="s">
        <v>11</v>
      </c>
      <c r="D70" s="44">
        <v>1636.8799999999999</v>
      </c>
      <c r="E70" s="45">
        <v>1916.6</v>
      </c>
      <c r="F70" s="46">
        <v>2853.44</v>
      </c>
      <c r="G70" s="48"/>
      <c r="H70" s="47">
        <v>107.39999999999999</v>
      </c>
      <c r="I70" s="48">
        <v>151.72200000000001</v>
      </c>
      <c r="J70" s="43">
        <v>166.08</v>
      </c>
      <c r="K70" s="48"/>
      <c r="L70" s="47">
        <v>301.58388479999996</v>
      </c>
      <c r="M70" s="48">
        <v>308.49017759999998</v>
      </c>
      <c r="N70" s="43">
        <v>338.48114079999999</v>
      </c>
      <c r="O70" s="53"/>
      <c r="P70" s="54">
        <v>0.19499999999999998</v>
      </c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</row>
    <row r="71" spans="1:34" x14ac:dyDescent="0.25">
      <c r="A71" s="3" t="s">
        <v>213</v>
      </c>
      <c r="B71" s="3" t="s">
        <v>215</v>
      </c>
      <c r="C71" s="8" t="s">
        <v>11</v>
      </c>
      <c r="D71" s="44">
        <f t="shared" ref="D71:F72" si="0">D$25*0.58</f>
        <v>1059.3222675285926</v>
      </c>
      <c r="E71" s="45">
        <f t="shared" si="0"/>
        <v>1402.1562008950771</v>
      </c>
      <c r="F71" s="46">
        <f t="shared" si="0"/>
        <v>1735.486036797613</v>
      </c>
      <c r="G71" s="48"/>
      <c r="H71" s="47">
        <v>103.82</v>
      </c>
      <c r="I71" s="48">
        <v>146.66459999999998</v>
      </c>
      <c r="J71" s="43">
        <v>160.54399999999998</v>
      </c>
      <c r="K71" s="48"/>
      <c r="L71" s="47">
        <v>292.31974364326396</v>
      </c>
      <c r="M71" s="48">
        <v>299.01388693994619</v>
      </c>
      <c r="N71" s="43">
        <v>328.08357904253489</v>
      </c>
      <c r="O71" s="53"/>
      <c r="P71" s="54">
        <v>0.19499999999999998</v>
      </c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  <c r="AC71" s="14"/>
      <c r="AD71" s="14"/>
      <c r="AE71" s="14"/>
      <c r="AF71" s="14"/>
      <c r="AG71" s="14"/>
      <c r="AH71" s="14"/>
    </row>
    <row r="72" spans="1:34" x14ac:dyDescent="0.25">
      <c r="A72" s="3" t="s">
        <v>213</v>
      </c>
      <c r="B72" s="3" t="s">
        <v>216</v>
      </c>
      <c r="C72" s="8" t="s">
        <v>11</v>
      </c>
      <c r="D72" s="44">
        <f t="shared" si="0"/>
        <v>1059.3222675285926</v>
      </c>
      <c r="E72" s="45">
        <f t="shared" si="0"/>
        <v>1402.1562008950771</v>
      </c>
      <c r="F72" s="46">
        <f t="shared" si="0"/>
        <v>1735.486036797613</v>
      </c>
      <c r="G72" s="48"/>
      <c r="H72" s="47">
        <v>103.82</v>
      </c>
      <c r="I72" s="48">
        <v>146.66459999999998</v>
      </c>
      <c r="J72" s="43">
        <v>160.54399999999998</v>
      </c>
      <c r="K72" s="48"/>
      <c r="L72" s="47">
        <v>292.31974364326396</v>
      </c>
      <c r="M72" s="48">
        <v>299.01388693994619</v>
      </c>
      <c r="N72" s="43">
        <v>328.08357904253489</v>
      </c>
      <c r="O72" s="53"/>
      <c r="P72" s="54">
        <v>0.19499999999999998</v>
      </c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  <c r="AD72" s="14"/>
      <c r="AE72" s="14"/>
      <c r="AF72" s="14"/>
      <c r="AG72" s="14"/>
      <c r="AH72" s="14"/>
    </row>
    <row r="73" spans="1:34" x14ac:dyDescent="0.25">
      <c r="A73" s="3" t="s">
        <v>213</v>
      </c>
      <c r="B73" s="3" t="s">
        <v>217</v>
      </c>
      <c r="C73" s="8" t="s">
        <v>11</v>
      </c>
      <c r="D73" s="44">
        <f t="shared" ref="D73:F73" si="1">D$25*0.59</f>
        <v>1077.5864445549478</v>
      </c>
      <c r="E73" s="45">
        <f t="shared" si="1"/>
        <v>1426.3313078070612</v>
      </c>
      <c r="F73" s="46">
        <f t="shared" si="1"/>
        <v>1765.4082098458478</v>
      </c>
      <c r="G73" s="48"/>
      <c r="H73" s="47">
        <v>105.61</v>
      </c>
      <c r="I73" s="48">
        <v>149.19329999999999</v>
      </c>
      <c r="J73" s="43">
        <v>163.31200000000001</v>
      </c>
      <c r="K73" s="48"/>
      <c r="L73" s="47">
        <v>297.35973922332028</v>
      </c>
      <c r="M73" s="48">
        <v>304.16929878373844</v>
      </c>
      <c r="N73" s="43">
        <v>333.74019247430272</v>
      </c>
      <c r="O73" s="53"/>
      <c r="P73" s="54">
        <v>0.19499999999999998</v>
      </c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  <c r="AD73" s="14"/>
      <c r="AE73" s="14"/>
      <c r="AF73" s="14"/>
      <c r="AG73" s="14"/>
      <c r="AH73" s="14"/>
    </row>
    <row r="74" spans="1:34" x14ac:dyDescent="0.25">
      <c r="A74" s="3" t="s">
        <v>89</v>
      </c>
      <c r="B74" s="3" t="s">
        <v>90</v>
      </c>
      <c r="C74" s="8" t="s">
        <v>1</v>
      </c>
      <c r="D74" s="44">
        <v>941.60585280954751</v>
      </c>
      <c r="E74" s="45">
        <v>1144.7536797613127</v>
      </c>
      <c r="F74" s="46">
        <v>1626.1950452511189</v>
      </c>
      <c r="G74" s="48"/>
      <c r="H74" s="47">
        <v>125.37815278388499</v>
      </c>
      <c r="I74" s="48">
        <v>140.97356009477596</v>
      </c>
      <c r="J74" s="43">
        <v>169.18032886464798</v>
      </c>
      <c r="K74" s="48"/>
      <c r="L74" s="47">
        <v>197.95443474710518</v>
      </c>
      <c r="M74" s="48">
        <v>202.48760563695106</v>
      </c>
      <c r="N74" s="43">
        <v>222.17315405978655</v>
      </c>
      <c r="O74" s="53"/>
      <c r="P74" s="54">
        <v>0.24200000000000002</v>
      </c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  <c r="AC74" s="14"/>
      <c r="AD74" s="14"/>
      <c r="AE74" s="14"/>
      <c r="AF74" s="14"/>
      <c r="AG74" s="14"/>
      <c r="AH74" s="14"/>
    </row>
    <row r="75" spans="1:34" x14ac:dyDescent="0.25">
      <c r="A75" s="3" t="s">
        <v>91</v>
      </c>
      <c r="B75" s="3" t="s">
        <v>92</v>
      </c>
      <c r="C75" s="8" t="s">
        <v>1</v>
      </c>
      <c r="D75" s="44">
        <v>1140.8467165589259</v>
      </c>
      <c r="E75" s="45">
        <v>1500.9848264545003</v>
      </c>
      <c r="F75" s="46">
        <v>1928.0522078567878</v>
      </c>
      <c r="G75" s="48"/>
      <c r="H75" s="47">
        <v>131.04994797730845</v>
      </c>
      <c r="I75" s="48">
        <v>147.3508526516664</v>
      </c>
      <c r="J75" s="43">
        <v>176.83362535028294</v>
      </c>
      <c r="K75" s="48"/>
      <c r="L75" s="47">
        <v>207.8762664341792</v>
      </c>
      <c r="M75" s="48">
        <v>212.6366479881118</v>
      </c>
      <c r="N75" s="43">
        <v>233.3088714423435</v>
      </c>
      <c r="O75" s="53"/>
      <c r="P75" s="54">
        <v>0.26</v>
      </c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4"/>
      <c r="AD75" s="14"/>
      <c r="AE75" s="14"/>
      <c r="AF75" s="14"/>
      <c r="AG75" s="14"/>
      <c r="AH75" s="14"/>
    </row>
    <row r="76" spans="1:34" x14ac:dyDescent="0.25">
      <c r="A76" s="3" t="s">
        <v>93</v>
      </c>
      <c r="B76" s="3" t="s">
        <v>94</v>
      </c>
      <c r="C76" s="8" t="s">
        <v>1</v>
      </c>
      <c r="D76" s="44">
        <v>1150.2660094480357</v>
      </c>
      <c r="E76" s="45">
        <v>1432.9167821979115</v>
      </c>
      <c r="F76" s="46">
        <v>1944.1945887618099</v>
      </c>
      <c r="G76" s="48"/>
      <c r="H76" s="47">
        <v>123.54046960344567</v>
      </c>
      <c r="I76" s="48">
        <v>138.90729308955559</v>
      </c>
      <c r="J76" s="43">
        <v>166.70063174108566</v>
      </c>
      <c r="K76" s="48"/>
      <c r="L76" s="47">
        <v>191.40714165729227</v>
      </c>
      <c r="M76" s="48">
        <v>195.79037906128349</v>
      </c>
      <c r="N76" s="43">
        <v>214.82483292630991</v>
      </c>
      <c r="O76" s="53"/>
      <c r="P76" s="54">
        <v>0.16</v>
      </c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  <c r="AB76" s="14"/>
      <c r="AC76" s="14"/>
      <c r="AD76" s="14"/>
      <c r="AE76" s="14"/>
      <c r="AF76" s="14"/>
      <c r="AG76" s="14"/>
      <c r="AH76" s="14"/>
    </row>
    <row r="77" spans="1:34" x14ac:dyDescent="0.25">
      <c r="A77" s="3" t="s">
        <v>95</v>
      </c>
      <c r="B77" s="3" t="s">
        <v>96</v>
      </c>
      <c r="C77" s="8" t="s">
        <v>1</v>
      </c>
      <c r="D77" s="41">
        <v>967.29903033316759</v>
      </c>
      <c r="E77" s="42">
        <v>967.29903033316759</v>
      </c>
      <c r="F77" s="43">
        <v>967.29903033316759</v>
      </c>
      <c r="G77" s="48"/>
      <c r="H77" s="47">
        <v>138.80265842994473</v>
      </c>
      <c r="I77" s="48">
        <v>156.06789919147312</v>
      </c>
      <c r="J77" s="43">
        <v>187.29482672266414</v>
      </c>
      <c r="K77" s="48"/>
      <c r="L77" s="47">
        <v>215.05357871626691</v>
      </c>
      <c r="M77" s="48">
        <v>219.97832124117778</v>
      </c>
      <c r="N77" s="43">
        <v>241.36429141523087</v>
      </c>
      <c r="O77" s="53"/>
      <c r="P77" s="54">
        <v>0.15</v>
      </c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4"/>
      <c r="AC77" s="14"/>
      <c r="AD77" s="14"/>
      <c r="AE77" s="14"/>
      <c r="AF77" s="14"/>
      <c r="AG77" s="14"/>
      <c r="AH77" s="14"/>
    </row>
    <row r="78" spans="1:34" x14ac:dyDescent="0.25">
      <c r="A78" s="3" t="s">
        <v>97</v>
      </c>
      <c r="B78" s="3" t="s">
        <v>98</v>
      </c>
      <c r="C78" s="8" t="s">
        <v>1</v>
      </c>
      <c r="D78" s="41">
        <v>1058.3843013426156</v>
      </c>
      <c r="E78" s="42">
        <v>1058.3843013426156</v>
      </c>
      <c r="F78" s="43">
        <v>1058.3843013426156</v>
      </c>
      <c r="G78" s="48"/>
      <c r="H78" s="47">
        <v>151.86638353239104</v>
      </c>
      <c r="I78" s="48">
        <v>170.7565813494069</v>
      </c>
      <c r="J78" s="43">
        <v>204.92250156039151</v>
      </c>
      <c r="K78" s="48"/>
      <c r="L78" s="47">
        <v>235.29383107472259</v>
      </c>
      <c r="M78" s="48">
        <v>240.68207684426503</v>
      </c>
      <c r="N78" s="43">
        <v>264.08083581186963</v>
      </c>
      <c r="O78" s="53"/>
      <c r="P78" s="54">
        <v>0.15</v>
      </c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/>
      <c r="AE78" s="14"/>
      <c r="AF78" s="14"/>
      <c r="AG78" s="14"/>
      <c r="AH78" s="14"/>
    </row>
    <row r="79" spans="1:34" x14ac:dyDescent="0.25">
      <c r="A79" s="3" t="s">
        <v>99</v>
      </c>
      <c r="B79" s="3" t="s">
        <v>100</v>
      </c>
      <c r="C79" s="8" t="s">
        <v>1</v>
      </c>
      <c r="D79" s="41">
        <v>649.62988761810038</v>
      </c>
      <c r="E79" s="42">
        <v>927.69384584783677</v>
      </c>
      <c r="F79" s="43">
        <v>1298.2303838886126</v>
      </c>
      <c r="G79" s="48"/>
      <c r="H79" s="47">
        <v>72.430533049535782</v>
      </c>
      <c r="I79" s="48">
        <v>81.439946887363902</v>
      </c>
      <c r="J79" s="43">
        <v>97.734901408893748</v>
      </c>
      <c r="K79" s="48"/>
      <c r="L79" s="47">
        <v>114.8919859837106</v>
      </c>
      <c r="M79" s="48">
        <v>117.52302078221518</v>
      </c>
      <c r="N79" s="43">
        <v>128.94843671880432</v>
      </c>
      <c r="O79" s="53"/>
      <c r="P79" s="54">
        <v>0.192</v>
      </c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  <c r="AD79" s="14"/>
      <c r="AE79" s="14"/>
      <c r="AF79" s="14"/>
      <c r="AG79" s="14"/>
      <c r="AH79" s="14"/>
    </row>
    <row r="80" spans="1:34" x14ac:dyDescent="0.25">
      <c r="A80" s="3" t="s">
        <v>101</v>
      </c>
      <c r="B80" s="3" t="s">
        <v>102</v>
      </c>
      <c r="C80" s="8" t="s">
        <v>1</v>
      </c>
      <c r="D80" s="41">
        <v>1495.7273301093981</v>
      </c>
      <c r="E80" s="42">
        <v>1887.1598188612627</v>
      </c>
      <c r="F80" s="43">
        <v>2463.8704364843366</v>
      </c>
      <c r="G80" s="48"/>
      <c r="H80" s="47">
        <v>193.25034913170728</v>
      </c>
      <c r="I80" s="48">
        <v>217.28817263414632</v>
      </c>
      <c r="J80" s="43">
        <v>260.76439071219511</v>
      </c>
      <c r="K80" s="48"/>
      <c r="L80" s="47">
        <v>299.41198273170727</v>
      </c>
      <c r="M80" s="48">
        <v>306.26853881707314</v>
      </c>
      <c r="N80" s="43">
        <v>336.04351754878047</v>
      </c>
      <c r="O80" s="53"/>
      <c r="P80" s="54">
        <v>0.24</v>
      </c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  <c r="AD80" s="14"/>
      <c r="AE80" s="14"/>
      <c r="AF80" s="14"/>
      <c r="AG80" s="14"/>
      <c r="AH80" s="14"/>
    </row>
    <row r="81" spans="1:34" x14ac:dyDescent="0.25">
      <c r="A81" s="3" t="s">
        <v>103</v>
      </c>
      <c r="B81" s="3" t="s">
        <v>104</v>
      </c>
      <c r="C81" s="8" t="s">
        <v>1</v>
      </c>
      <c r="D81" s="41">
        <v>1158.1098498259571</v>
      </c>
      <c r="E81" s="42">
        <v>1385.1916737941322</v>
      </c>
      <c r="F81" s="43">
        <v>2090.2599801093984</v>
      </c>
      <c r="G81" s="48"/>
      <c r="H81" s="47">
        <v>118.91077488683567</v>
      </c>
      <c r="I81" s="48">
        <v>133.7017247201006</v>
      </c>
      <c r="J81" s="43">
        <v>160.4535044919779</v>
      </c>
      <c r="K81" s="48"/>
      <c r="L81" s="47">
        <v>182.4795240177676</v>
      </c>
      <c r="M81" s="48">
        <v>186.65831833135331</v>
      </c>
      <c r="N81" s="43">
        <v>204.80496662855833</v>
      </c>
      <c r="O81" s="53"/>
      <c r="P81" s="54">
        <v>0.16</v>
      </c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14"/>
      <c r="AD81" s="14"/>
      <c r="AE81" s="14"/>
      <c r="AF81" s="14"/>
      <c r="AG81" s="14"/>
      <c r="AH81" s="14"/>
    </row>
    <row r="82" spans="1:34" x14ac:dyDescent="0.25">
      <c r="A82" s="3" t="s">
        <v>105</v>
      </c>
      <c r="B82" s="3" t="s">
        <v>106</v>
      </c>
      <c r="C82" s="8" t="s">
        <v>1</v>
      </c>
      <c r="D82" s="41">
        <v>1373.9820823097959</v>
      </c>
      <c r="E82" s="42">
        <v>1733.5537870934857</v>
      </c>
      <c r="F82" s="43">
        <v>2263.3228428170064</v>
      </c>
      <c r="G82" s="48"/>
      <c r="H82" s="47">
        <v>177.52066955121947</v>
      </c>
      <c r="I82" s="48">
        <v>199.6019260243902</v>
      </c>
      <c r="J82" s="43">
        <v>239.5393821658536</v>
      </c>
      <c r="K82" s="48"/>
      <c r="L82" s="47">
        <v>275.04123995121955</v>
      </c>
      <c r="M82" s="48">
        <v>281.33970426219514</v>
      </c>
      <c r="N82" s="43">
        <v>308.69113821341466</v>
      </c>
      <c r="O82" s="53"/>
      <c r="P82" s="54">
        <v>0.185</v>
      </c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  <c r="AC82" s="14"/>
      <c r="AD82" s="14"/>
      <c r="AE82" s="14"/>
      <c r="AF82" s="14"/>
      <c r="AG82" s="14"/>
      <c r="AH82" s="14"/>
    </row>
    <row r="83" spans="1:34" x14ac:dyDescent="0.25">
      <c r="A83" s="3" t="s">
        <v>107</v>
      </c>
      <c r="B83" s="3" t="s">
        <v>108</v>
      </c>
      <c r="C83" s="8" t="s">
        <v>1</v>
      </c>
      <c r="D83" s="41">
        <v>1460.942973595226</v>
      </c>
      <c r="E83" s="42">
        <v>1843.2723812133265</v>
      </c>
      <c r="F83" s="43">
        <v>2406.5711240079563</v>
      </c>
      <c r="G83" s="48"/>
      <c r="H83" s="47">
        <v>188.75615496585368</v>
      </c>
      <c r="I83" s="48">
        <v>212.23495931707322</v>
      </c>
      <c r="J83" s="43">
        <v>254.70010255609756</v>
      </c>
      <c r="K83" s="48"/>
      <c r="L83" s="47">
        <v>292.44891336585368</v>
      </c>
      <c r="M83" s="48">
        <v>299.14601465853656</v>
      </c>
      <c r="N83" s="43">
        <v>328.2285520243903</v>
      </c>
      <c r="O83" s="53"/>
      <c r="P83" s="54">
        <v>0.19</v>
      </c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4"/>
      <c r="AD83" s="14"/>
      <c r="AE83" s="14"/>
      <c r="AF83" s="14"/>
      <c r="AG83" s="14"/>
      <c r="AH83" s="14"/>
    </row>
    <row r="84" spans="1:34" x14ac:dyDescent="0.25">
      <c r="A84" s="3" t="s">
        <v>109</v>
      </c>
      <c r="B84" s="3" t="s">
        <v>110</v>
      </c>
      <c r="C84" s="8" t="s">
        <v>1</v>
      </c>
      <c r="D84" s="41">
        <v>1228.1855862754851</v>
      </c>
      <c r="E84" s="42">
        <v>1438.0752113376432</v>
      </c>
      <c r="F84" s="43">
        <v>1726.6877851815018</v>
      </c>
      <c r="G84" s="48"/>
      <c r="H84" s="47">
        <v>174.86181152863549</v>
      </c>
      <c r="I84" s="48">
        <v>196.61234073454858</v>
      </c>
      <c r="J84" s="43">
        <v>235.95162413403338</v>
      </c>
      <c r="K84" s="48"/>
      <c r="L84" s="47">
        <v>277.37226213003811</v>
      </c>
      <c r="M84" s="48">
        <v>283.72410701770104</v>
      </c>
      <c r="N84" s="43">
        <v>311.30734911221612</v>
      </c>
      <c r="O84" s="53"/>
      <c r="P84" s="54">
        <v>0.26</v>
      </c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4"/>
      <c r="AD84" s="14"/>
      <c r="AE84" s="14"/>
      <c r="AF84" s="14"/>
      <c r="AG84" s="14"/>
      <c r="AH84" s="14"/>
    </row>
    <row r="85" spans="1:34" x14ac:dyDescent="0.25">
      <c r="A85" s="3" t="s">
        <v>111</v>
      </c>
      <c r="B85" s="3" t="s">
        <v>112</v>
      </c>
      <c r="C85" s="8" t="s">
        <v>1</v>
      </c>
      <c r="D85" s="41">
        <v>1264.8225022376928</v>
      </c>
      <c r="E85" s="42">
        <v>1580.0541183490802</v>
      </c>
      <c r="F85" s="43">
        <v>2164.7676340129287</v>
      </c>
      <c r="G85" s="48"/>
      <c r="H85" s="47">
        <v>136.96513067479896</v>
      </c>
      <c r="I85" s="48">
        <v>154.00180694442611</v>
      </c>
      <c r="J85" s="43">
        <v>184.81533932385605</v>
      </c>
      <c r="K85" s="48"/>
      <c r="L85" s="47">
        <v>210.18559399982186</v>
      </c>
      <c r="M85" s="48">
        <v>214.99885932222904</v>
      </c>
      <c r="N85" s="43">
        <v>235.90073350227414</v>
      </c>
      <c r="O85" s="53"/>
      <c r="P85" s="54">
        <v>0.16</v>
      </c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4"/>
      <c r="AC85" s="14"/>
      <c r="AD85" s="14"/>
      <c r="AE85" s="14"/>
      <c r="AF85" s="14"/>
      <c r="AG85" s="14"/>
      <c r="AH85" s="14"/>
    </row>
    <row r="86" spans="1:34" x14ac:dyDescent="0.25">
      <c r="A86" s="3" t="s">
        <v>113</v>
      </c>
      <c r="B86" s="3" t="s">
        <v>114</v>
      </c>
      <c r="C86" s="8" t="s">
        <v>1</v>
      </c>
      <c r="D86" s="41">
        <v>1024.0751564395823</v>
      </c>
      <c r="E86" s="42">
        <v>1231.2371560815516</v>
      </c>
      <c r="F86" s="43">
        <v>1475.2084022476381</v>
      </c>
      <c r="G86" s="48"/>
      <c r="H86" s="47">
        <v>139.40606408737656</v>
      </c>
      <c r="I86" s="48">
        <v>156.74636064445144</v>
      </c>
      <c r="J86" s="43">
        <v>188.10903849159229</v>
      </c>
      <c r="K86" s="48"/>
      <c r="L86" s="47">
        <v>215.9884638799675</v>
      </c>
      <c r="M86" s="48">
        <v>220.93461534282338</v>
      </c>
      <c r="N86" s="43">
        <v>242.41355502869033</v>
      </c>
      <c r="O86" s="53"/>
      <c r="P86" s="54">
        <v>0.23</v>
      </c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  <c r="AC86" s="14"/>
      <c r="AD86" s="14"/>
      <c r="AE86" s="14"/>
      <c r="AF86" s="14"/>
      <c r="AG86" s="14"/>
      <c r="AH86" s="14"/>
    </row>
    <row r="87" spans="1:34" x14ac:dyDescent="0.25">
      <c r="A87" s="3" t="s">
        <v>115</v>
      </c>
      <c r="B87" s="3" t="s">
        <v>116</v>
      </c>
      <c r="C87" s="8" t="s">
        <v>1</v>
      </c>
      <c r="D87" s="41">
        <v>1355.8854838388861</v>
      </c>
      <c r="E87" s="42">
        <v>1678.3695967180511</v>
      </c>
      <c r="F87" s="43">
        <v>2447.6861884634513</v>
      </c>
      <c r="G87" s="48"/>
      <c r="H87" s="47">
        <v>165.3925315891527</v>
      </c>
      <c r="I87" s="48">
        <v>185.96520584730916</v>
      </c>
      <c r="J87" s="43">
        <v>223.17415167410238</v>
      </c>
      <c r="K87" s="48"/>
      <c r="L87" s="47">
        <v>261.13149998754506</v>
      </c>
      <c r="M87" s="48">
        <v>267.11143024613017</v>
      </c>
      <c r="N87" s="43">
        <v>293.07961223861599</v>
      </c>
      <c r="O87" s="53"/>
      <c r="P87" s="54">
        <v>9.1000000000000011E-2</v>
      </c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  <c r="AB87" s="14"/>
      <c r="AC87" s="14"/>
      <c r="AD87" s="14"/>
      <c r="AE87" s="14"/>
      <c r="AF87" s="14"/>
      <c r="AG87" s="14"/>
      <c r="AH87" s="14"/>
    </row>
    <row r="88" spans="1:34" x14ac:dyDescent="0.25">
      <c r="A88" s="3" t="s">
        <v>117</v>
      </c>
      <c r="B88" s="3" t="s">
        <v>118</v>
      </c>
      <c r="C88" s="8" t="s">
        <v>1</v>
      </c>
      <c r="D88" s="41">
        <v>1170.9677274987569</v>
      </c>
      <c r="E88" s="42">
        <v>1170.9677274987569</v>
      </c>
      <c r="F88" s="43">
        <v>1170.9677274987569</v>
      </c>
      <c r="G88" s="48"/>
      <c r="H88" s="47">
        <v>168.02930280093949</v>
      </c>
      <c r="I88" s="48">
        <v>188.92995701509614</v>
      </c>
      <c r="J88" s="43">
        <v>226.73210663552098</v>
      </c>
      <c r="K88" s="48"/>
      <c r="L88" s="47">
        <v>269.26161206158048</v>
      </c>
      <c r="M88" s="48">
        <v>275.427722475373</v>
      </c>
      <c r="N88" s="43">
        <v>302.20440221695429</v>
      </c>
      <c r="O88" s="53"/>
      <c r="P88" s="54">
        <v>0.17</v>
      </c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  <c r="AC88" s="14"/>
      <c r="AD88" s="14"/>
      <c r="AE88" s="14"/>
      <c r="AF88" s="14"/>
      <c r="AG88" s="14"/>
      <c r="AH88" s="14"/>
    </row>
    <row r="89" spans="1:34" x14ac:dyDescent="0.25">
      <c r="A89" s="3" t="s">
        <v>119</v>
      </c>
      <c r="B89" s="3" t="s">
        <v>120</v>
      </c>
      <c r="C89" s="8" t="s">
        <v>1</v>
      </c>
      <c r="D89" s="41">
        <v>858.10036051715565</v>
      </c>
      <c r="E89" s="42">
        <v>1039.1328677274989</v>
      </c>
      <c r="F89" s="43">
        <v>1443.1224082545996</v>
      </c>
      <c r="G89" s="48"/>
      <c r="H89" s="47">
        <v>109.8902206562995</v>
      </c>
      <c r="I89" s="48">
        <v>123.55913116874527</v>
      </c>
      <c r="J89" s="43">
        <v>148.28152478595968</v>
      </c>
      <c r="K89" s="48"/>
      <c r="L89" s="47">
        <v>174.31192564544222</v>
      </c>
      <c r="M89" s="48">
        <v>178.3036813648753</v>
      </c>
      <c r="N89" s="43">
        <v>195.63810409379693</v>
      </c>
      <c r="O89" s="53"/>
      <c r="P89" s="54">
        <v>0.13999999999999999</v>
      </c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  <c r="AB89" s="14"/>
      <c r="AC89" s="14"/>
      <c r="AD89" s="14"/>
      <c r="AE89" s="14"/>
      <c r="AF89" s="14"/>
      <c r="AG89" s="14"/>
      <c r="AH89" s="14"/>
    </row>
    <row r="90" spans="1:34" x14ac:dyDescent="0.25">
      <c r="A90" s="3" t="s">
        <v>121</v>
      </c>
      <c r="B90" s="3" t="s">
        <v>122</v>
      </c>
      <c r="C90" s="8" t="s">
        <v>1</v>
      </c>
      <c r="D90" s="41">
        <v>1012.6319152660368</v>
      </c>
      <c r="E90" s="42">
        <v>1257.4741828940826</v>
      </c>
      <c r="F90" s="43">
        <v>1700.9926338140228</v>
      </c>
      <c r="G90" s="48"/>
      <c r="H90" s="47">
        <v>107.07611904876822</v>
      </c>
      <c r="I90" s="48">
        <v>120.39499201632103</v>
      </c>
      <c r="J90" s="43">
        <v>144.48428719033711</v>
      </c>
      <c r="K90" s="48"/>
      <c r="L90" s="47">
        <v>164.3181558297303</v>
      </c>
      <c r="M90" s="48">
        <v>168.08105349672175</v>
      </c>
      <c r="N90" s="43">
        <v>184.42164731807074</v>
      </c>
      <c r="O90" s="53"/>
      <c r="P90" s="54">
        <v>0.16</v>
      </c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  <c r="AB90" s="14"/>
      <c r="AC90" s="14"/>
      <c r="AD90" s="14"/>
      <c r="AE90" s="14"/>
      <c r="AF90" s="14"/>
      <c r="AG90" s="14"/>
      <c r="AH90" s="14"/>
    </row>
    <row r="91" spans="1:34" x14ac:dyDescent="0.25">
      <c r="A91" s="3" t="s">
        <v>123</v>
      </c>
      <c r="B91" s="3" t="s">
        <v>123</v>
      </c>
      <c r="C91" s="8" t="s">
        <v>1</v>
      </c>
      <c r="D91" s="41">
        <v>1228.1882645450025</v>
      </c>
      <c r="E91" s="42">
        <v>1659.8113376429637</v>
      </c>
      <c r="F91" s="43">
        <v>1947.8415713575334</v>
      </c>
      <c r="G91" s="48"/>
      <c r="H91" s="47">
        <v>144.84107501839961</v>
      </c>
      <c r="I91" s="48">
        <v>162.85741606429826</v>
      </c>
      <c r="J91" s="43">
        <v>195.44282764286791</v>
      </c>
      <c r="K91" s="48"/>
      <c r="L91" s="47">
        <v>224.40918553111982</v>
      </c>
      <c r="M91" s="48">
        <v>229.54817212954245</v>
      </c>
      <c r="N91" s="43">
        <v>251.86450918935935</v>
      </c>
      <c r="O91" s="53"/>
      <c r="P91" s="54">
        <v>0.22</v>
      </c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  <c r="AB91" s="14"/>
      <c r="AC91" s="14"/>
      <c r="AD91" s="14"/>
      <c r="AE91" s="14"/>
      <c r="AF91" s="14"/>
      <c r="AG91" s="14"/>
      <c r="AH91" s="14"/>
    </row>
    <row r="92" spans="1:34" x14ac:dyDescent="0.25">
      <c r="A92" s="3" t="s">
        <v>124</v>
      </c>
      <c r="B92" s="3" t="s">
        <v>125</v>
      </c>
      <c r="C92" s="8" t="s">
        <v>1</v>
      </c>
      <c r="D92" s="41">
        <v>1371.1235742799602</v>
      </c>
      <c r="E92" s="42">
        <v>1729.9472062767777</v>
      </c>
      <c r="F92" s="43">
        <v>2258.6141012667331</v>
      </c>
      <c r="G92" s="48"/>
      <c r="H92" s="47">
        <v>177.1513457689756</v>
      </c>
      <c r="I92" s="48">
        <v>199.18666317951221</v>
      </c>
      <c r="J92" s="43">
        <v>239.04103123668295</v>
      </c>
      <c r="K92" s="48"/>
      <c r="L92" s="47">
        <v>271.8550382485854</v>
      </c>
      <c r="M92" s="48">
        <v>278.08053830985369</v>
      </c>
      <c r="N92" s="43">
        <v>305.11512092110576</v>
      </c>
      <c r="O92" s="53"/>
      <c r="P92" s="54">
        <v>0.16</v>
      </c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  <c r="AB92" s="14"/>
      <c r="AC92" s="14"/>
      <c r="AD92" s="14"/>
      <c r="AE92" s="14"/>
      <c r="AF92" s="14"/>
      <c r="AG92" s="14"/>
      <c r="AH92" s="14"/>
    </row>
    <row r="93" spans="1:34" x14ac:dyDescent="0.25">
      <c r="A93" s="3" t="s">
        <v>126</v>
      </c>
      <c r="B93" s="3" t="s">
        <v>127</v>
      </c>
      <c r="C93" s="8" t="s">
        <v>1</v>
      </c>
      <c r="D93" s="41">
        <v>742.82315763301847</v>
      </c>
      <c r="E93" s="42">
        <v>906.49325211337646</v>
      </c>
      <c r="F93" s="43">
        <v>1185.0784733963203</v>
      </c>
      <c r="G93" s="48"/>
      <c r="H93" s="47">
        <v>107.91772440766788</v>
      </c>
      <c r="I93" s="48">
        <v>121.34128210757349</v>
      </c>
      <c r="J93" s="43">
        <v>145.61991623121412</v>
      </c>
      <c r="K93" s="48"/>
      <c r="L93" s="47">
        <v>167.99827778779343</v>
      </c>
      <c r="M93" s="48">
        <v>171.84545051410694</v>
      </c>
      <c r="N93" s="43">
        <v>188.55201349952114</v>
      </c>
      <c r="O93" s="53"/>
      <c r="P93" s="54">
        <v>0.17499999999999999</v>
      </c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  <c r="AB93" s="14"/>
      <c r="AC93" s="14"/>
      <c r="AD93" s="14"/>
      <c r="AE93" s="14"/>
      <c r="AF93" s="14"/>
      <c r="AG93" s="14"/>
      <c r="AH93" s="14"/>
    </row>
    <row r="94" spans="1:34" x14ac:dyDescent="0.25">
      <c r="A94" s="3" t="s">
        <v>128</v>
      </c>
      <c r="B94" s="3" t="s">
        <v>129</v>
      </c>
      <c r="C94" s="8" t="s">
        <v>1</v>
      </c>
      <c r="D94" s="41">
        <v>1212.2018458478367</v>
      </c>
      <c r="E94" s="42">
        <v>1535.4781294878167</v>
      </c>
      <c r="F94" s="43">
        <v>2170.2963180507209</v>
      </c>
      <c r="G94" s="48"/>
      <c r="H94" s="47">
        <v>138.23363011881614</v>
      </c>
      <c r="I94" s="48">
        <v>155.4280911784073</v>
      </c>
      <c r="J94" s="43">
        <v>186.527002387463</v>
      </c>
      <c r="K94" s="48"/>
      <c r="L94" s="47">
        <v>212.1322231003499</v>
      </c>
      <c r="M94" s="48">
        <v>216.99006637011715</v>
      </c>
      <c r="N94" s="43">
        <v>238.08552278270324</v>
      </c>
      <c r="O94" s="53"/>
      <c r="P94" s="54">
        <v>0.16</v>
      </c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  <c r="AB94" s="14"/>
      <c r="AC94" s="14"/>
      <c r="AD94" s="14"/>
      <c r="AE94" s="14"/>
      <c r="AF94" s="14"/>
      <c r="AG94" s="14"/>
      <c r="AH94" s="14"/>
    </row>
    <row r="95" spans="1:34" x14ac:dyDescent="0.25">
      <c r="A95" s="3" t="s">
        <v>130</v>
      </c>
      <c r="B95" s="3" t="s">
        <v>131</v>
      </c>
      <c r="C95" s="8" t="s">
        <v>1</v>
      </c>
      <c r="D95" s="47">
        <v>1387.0774526106416</v>
      </c>
      <c r="E95" s="48">
        <v>1750.0762214619592</v>
      </c>
      <c r="F95" s="43">
        <v>2284.8944856489311</v>
      </c>
      <c r="G95" s="48"/>
      <c r="H95" s="47">
        <v>179.21261221463416</v>
      </c>
      <c r="I95" s="48">
        <v>201.50432429268295</v>
      </c>
      <c r="J95" s="43">
        <v>241.82242279024393</v>
      </c>
      <c r="K95" s="48"/>
      <c r="L95" s="47">
        <v>277.66264741463419</v>
      </c>
      <c r="M95" s="48">
        <v>284.02114214634145</v>
      </c>
      <c r="N95" s="43">
        <v>311.63326156097565</v>
      </c>
      <c r="O95" s="53"/>
      <c r="P95" s="54">
        <v>0.185</v>
      </c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  <c r="AB95" s="14"/>
      <c r="AC95" s="14"/>
      <c r="AD95" s="14"/>
      <c r="AE95" s="14"/>
      <c r="AF95" s="14"/>
      <c r="AG95" s="14"/>
      <c r="AH95" s="14"/>
    </row>
    <row r="96" spans="1:34" x14ac:dyDescent="0.25">
      <c r="A96" s="3" t="s">
        <v>132</v>
      </c>
      <c r="B96" s="3" t="s">
        <v>133</v>
      </c>
      <c r="C96" s="8" t="s">
        <v>1</v>
      </c>
      <c r="D96" s="41">
        <v>935.20507608155151</v>
      </c>
      <c r="E96" s="42">
        <v>1167.1389159622076</v>
      </c>
      <c r="F96" s="43">
        <v>1435.5876877175535</v>
      </c>
      <c r="G96" s="48"/>
      <c r="H96" s="47">
        <v>143.86481408589378</v>
      </c>
      <c r="I96" s="48">
        <v>161.75972100195338</v>
      </c>
      <c r="J96" s="43">
        <v>194.12549968778359</v>
      </c>
      <c r="K96" s="48"/>
      <c r="L96" s="47">
        <v>228.20368023802047</v>
      </c>
      <c r="M96" s="48">
        <v>233.42956103999541</v>
      </c>
      <c r="N96" s="43">
        <v>256.12324104435567</v>
      </c>
      <c r="O96" s="53"/>
      <c r="P96" s="54">
        <v>0.14000000000000001</v>
      </c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  <c r="AB96" s="14"/>
      <c r="AC96" s="14"/>
      <c r="AD96" s="14"/>
      <c r="AE96" s="14"/>
      <c r="AF96" s="14"/>
      <c r="AG96" s="14"/>
      <c r="AH96" s="14"/>
    </row>
    <row r="97" spans="1:34" x14ac:dyDescent="0.25">
      <c r="A97" s="3" t="s">
        <v>134</v>
      </c>
      <c r="B97" s="3" t="s">
        <v>135</v>
      </c>
      <c r="C97" s="8" t="s">
        <v>1</v>
      </c>
      <c r="D97" s="41">
        <v>840.83376429636996</v>
      </c>
      <c r="E97" s="42">
        <v>1340.9766882148185</v>
      </c>
      <c r="F97" s="43">
        <v>1571.3847120835405</v>
      </c>
      <c r="G97" s="48"/>
      <c r="H97" s="47">
        <v>113.53486315710464</v>
      </c>
      <c r="I97" s="48">
        <v>127.65711967154976</v>
      </c>
      <c r="J97" s="43">
        <v>153.19946146941939</v>
      </c>
      <c r="K97" s="48"/>
      <c r="L97" s="47">
        <v>176.74262113991662</v>
      </c>
      <c r="M97" s="48">
        <v>180.79003996218299</v>
      </c>
      <c r="N97" s="43">
        <v>198.36618283199851</v>
      </c>
      <c r="O97" s="53"/>
      <c r="P97" s="54">
        <v>0.19</v>
      </c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  <c r="AB97" s="14"/>
      <c r="AC97" s="14"/>
      <c r="AD97" s="14"/>
      <c r="AE97" s="14"/>
      <c r="AF97" s="14"/>
      <c r="AG97" s="14"/>
      <c r="AH97" s="14"/>
    </row>
    <row r="98" spans="1:34" x14ac:dyDescent="0.25">
      <c r="A98" s="3" t="s">
        <v>136</v>
      </c>
      <c r="B98" s="3" t="s">
        <v>137</v>
      </c>
      <c r="C98" s="8" t="s">
        <v>1</v>
      </c>
      <c r="D98" s="41">
        <v>1078.8648354152162</v>
      </c>
      <c r="E98" s="42">
        <v>1395.1896568523121</v>
      </c>
      <c r="F98" s="43">
        <v>1903.0768497165586</v>
      </c>
      <c r="G98" s="48"/>
      <c r="H98" s="47">
        <v>118.47066310495902</v>
      </c>
      <c r="I98" s="48">
        <v>133.20686877149083</v>
      </c>
      <c r="J98" s="43">
        <v>159.85963503113618</v>
      </c>
      <c r="K98" s="48"/>
      <c r="L98" s="47">
        <v>181.80413199759201</v>
      </c>
      <c r="M98" s="48">
        <v>185.96745978500968</v>
      </c>
      <c r="N98" s="43">
        <v>204.04694382628605</v>
      </c>
      <c r="O98" s="53"/>
      <c r="P98" s="54">
        <v>0.16</v>
      </c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  <c r="AB98" s="14"/>
      <c r="AC98" s="14"/>
      <c r="AD98" s="14"/>
      <c r="AE98" s="14"/>
      <c r="AF98" s="14"/>
      <c r="AG98" s="14"/>
      <c r="AH98" s="14"/>
    </row>
    <row r="99" spans="1:34" x14ac:dyDescent="0.25">
      <c r="A99" s="3" t="s">
        <v>138</v>
      </c>
      <c r="B99" s="3" t="s">
        <v>139</v>
      </c>
      <c r="C99" s="8" t="s">
        <v>1</v>
      </c>
      <c r="D99" s="41">
        <v>1222.4189525609152</v>
      </c>
      <c r="E99" s="42">
        <v>1490.3509609149678</v>
      </c>
      <c r="F99" s="43">
        <v>2307.8214762804578</v>
      </c>
      <c r="G99" s="48"/>
      <c r="H99" s="47">
        <v>137.86756603427605</v>
      </c>
      <c r="I99" s="48">
        <v>155.01649349512192</v>
      </c>
      <c r="J99" s="43">
        <v>186.03304996566609</v>
      </c>
      <c r="K99" s="48"/>
      <c r="L99" s="47">
        <v>211.57046408422676</v>
      </c>
      <c r="M99" s="48">
        <v>216.41544303184705</v>
      </c>
      <c r="N99" s="43">
        <v>237.45503540517592</v>
      </c>
      <c r="O99" s="53"/>
      <c r="P99" s="54">
        <v>0.16</v>
      </c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  <c r="AB99" s="14"/>
      <c r="AC99" s="14"/>
      <c r="AD99" s="14"/>
      <c r="AE99" s="14"/>
      <c r="AF99" s="14"/>
      <c r="AG99" s="14"/>
      <c r="AH99" s="14"/>
    </row>
    <row r="100" spans="1:34" x14ac:dyDescent="0.25">
      <c r="A100" s="3" t="s">
        <v>140</v>
      </c>
      <c r="B100" s="3" t="s">
        <v>141</v>
      </c>
      <c r="C100" s="8" t="s">
        <v>1</v>
      </c>
      <c r="D100" s="41">
        <v>925.81870059671814</v>
      </c>
      <c r="E100" s="42">
        <v>925.81870059671814</v>
      </c>
      <c r="F100" s="43">
        <v>925.81870059671814</v>
      </c>
      <c r="G100" s="48"/>
      <c r="H100" s="47">
        <v>132.85009264940928</v>
      </c>
      <c r="I100" s="48">
        <v>149.37491184760245</v>
      </c>
      <c r="J100" s="43">
        <v>179.26266949288498</v>
      </c>
      <c r="K100" s="48"/>
      <c r="L100" s="47">
        <v>205.83098465266522</v>
      </c>
      <c r="M100" s="48">
        <v>210.54452910569967</v>
      </c>
      <c r="N100" s="43">
        <v>231.0133598266502</v>
      </c>
      <c r="O100" s="53"/>
      <c r="P100" s="54">
        <v>0.15</v>
      </c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  <c r="AB100" s="14"/>
      <c r="AC100" s="14"/>
      <c r="AD100" s="14"/>
      <c r="AE100" s="14"/>
      <c r="AF100" s="14"/>
      <c r="AG100" s="14"/>
      <c r="AH100" s="14"/>
    </row>
    <row r="101" spans="1:34" x14ac:dyDescent="0.25">
      <c r="A101" s="3" t="s">
        <v>142</v>
      </c>
      <c r="B101" s="3" t="s">
        <v>143</v>
      </c>
      <c r="C101" s="8" t="s">
        <v>1</v>
      </c>
      <c r="D101" s="41">
        <v>1446.8076031824962</v>
      </c>
      <c r="E101" s="42">
        <v>1742.8634609646942</v>
      </c>
      <c r="F101" s="43">
        <v>1939.8408304326208</v>
      </c>
      <c r="G101" s="48"/>
      <c r="H101" s="47">
        <v>206.9935349170764</v>
      </c>
      <c r="I101" s="48">
        <v>232.74083152398461</v>
      </c>
      <c r="J101" s="43">
        <v>279.30890296724834</v>
      </c>
      <c r="K101" s="48"/>
      <c r="L101" s="47">
        <v>354.30261798224149</v>
      </c>
      <c r="M101" s="48">
        <v>362.41617358954664</v>
      </c>
      <c r="N101" s="43">
        <v>397.64974313062407</v>
      </c>
      <c r="O101" s="53"/>
      <c r="P101" s="54">
        <v>0.192</v>
      </c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</row>
    <row r="102" spans="1:34" x14ac:dyDescent="0.25">
      <c r="A102" s="3" t="s">
        <v>144</v>
      </c>
      <c r="B102" s="3" t="s">
        <v>145</v>
      </c>
      <c r="C102" s="8" t="s">
        <v>1</v>
      </c>
      <c r="D102" s="41">
        <v>1137.7632968672301</v>
      </c>
      <c r="E102" s="42">
        <v>1137.7632968672301</v>
      </c>
      <c r="F102" s="43">
        <v>1137.7632968672301</v>
      </c>
      <c r="G102" s="48"/>
      <c r="H102" s="47">
        <v>163.26999705261628</v>
      </c>
      <c r="I102" s="48">
        <v>183.57865569167379</v>
      </c>
      <c r="J102" s="43">
        <v>220.31008737785476</v>
      </c>
      <c r="K102" s="48"/>
      <c r="L102" s="47">
        <v>252.96199338199852</v>
      </c>
      <c r="M102" s="48">
        <v>258.75484134775212</v>
      </c>
      <c r="N102" s="43">
        <v>283.91060800799431</v>
      </c>
      <c r="O102" s="53"/>
      <c r="P102" s="54">
        <v>0.15</v>
      </c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</row>
    <row r="103" spans="1:34" x14ac:dyDescent="0.25">
      <c r="A103" s="3" t="s">
        <v>146</v>
      </c>
      <c r="B103" s="3" t="s">
        <v>147</v>
      </c>
      <c r="C103" s="8" t="s">
        <v>1</v>
      </c>
      <c r="D103" s="41">
        <v>870.900401292889</v>
      </c>
      <c r="E103" s="42">
        <v>1128.3439085032321</v>
      </c>
      <c r="F103" s="43">
        <v>1448.0780706116359</v>
      </c>
      <c r="G103" s="48"/>
      <c r="H103" s="47">
        <v>110.15944763324455</v>
      </c>
      <c r="I103" s="48">
        <v>123.86184647097913</v>
      </c>
      <c r="J103" s="43">
        <v>148.64480903833905</v>
      </c>
      <c r="K103" s="48"/>
      <c r="L103" s="47">
        <v>169.04980721305591</v>
      </c>
      <c r="M103" s="48">
        <v>172.92106003935055</v>
      </c>
      <c r="N103" s="43">
        <v>189.73219220729143</v>
      </c>
      <c r="O103" s="53"/>
      <c r="P103" s="54">
        <v>0.16</v>
      </c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</row>
    <row r="104" spans="1:34" x14ac:dyDescent="0.25">
      <c r="A104" s="3" t="s">
        <v>148</v>
      </c>
      <c r="B104" s="3" t="s">
        <v>149</v>
      </c>
      <c r="C104" s="8" t="s">
        <v>1</v>
      </c>
      <c r="D104" s="41">
        <v>858.10036051715565</v>
      </c>
      <c r="E104" s="42">
        <v>1039.1328677274989</v>
      </c>
      <c r="F104" s="43">
        <v>1443.1224082545996</v>
      </c>
      <c r="G104" s="48"/>
      <c r="H104" s="47">
        <v>98.445924925850889</v>
      </c>
      <c r="I104" s="48">
        <v>110.69131427978762</v>
      </c>
      <c r="J104" s="43">
        <v>132.83904400034038</v>
      </c>
      <c r="K104" s="48"/>
      <c r="L104" s="47">
        <v>168.50598229981094</v>
      </c>
      <c r="M104" s="48">
        <v>172.3647814962132</v>
      </c>
      <c r="N104" s="43">
        <v>189.12183307900881</v>
      </c>
      <c r="O104" s="53"/>
      <c r="P104" s="54">
        <v>0.18</v>
      </c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</row>
    <row r="105" spans="1:34" x14ac:dyDescent="0.25">
      <c r="A105" s="3" t="s">
        <v>150</v>
      </c>
      <c r="B105" s="3" t="s">
        <v>151</v>
      </c>
      <c r="C105" s="8" t="s">
        <v>1</v>
      </c>
      <c r="D105" s="41">
        <v>1385.652721551467</v>
      </c>
      <c r="E105" s="42">
        <v>1748.2786376688214</v>
      </c>
      <c r="F105" s="43">
        <v>2282.5475654142224</v>
      </c>
      <c r="G105" s="48"/>
      <c r="H105" s="47">
        <v>179.02853469658535</v>
      </c>
      <c r="I105" s="48">
        <v>201.29734993170734</v>
      </c>
      <c r="J105" s="43">
        <v>241.57403585560974</v>
      </c>
      <c r="K105" s="48"/>
      <c r="L105" s="47">
        <v>283.98167227317072</v>
      </c>
      <c r="M105" s="48">
        <v>290.48487313170727</v>
      </c>
      <c r="N105" s="43">
        <v>318.72538700487803</v>
      </c>
      <c r="O105" s="53"/>
      <c r="P105" s="54">
        <v>0.16</v>
      </c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</row>
    <row r="106" spans="1:34" x14ac:dyDescent="0.25">
      <c r="A106" s="3" t="s">
        <v>152</v>
      </c>
      <c r="B106" s="3" t="s">
        <v>153</v>
      </c>
      <c r="C106" s="8" t="s">
        <v>1</v>
      </c>
      <c r="D106" s="41">
        <v>1475.5609199403282</v>
      </c>
      <c r="E106" s="42">
        <v>1923.5797712580807</v>
      </c>
      <c r="F106" s="43">
        <v>2522.8467478866237</v>
      </c>
      <c r="G106" s="48"/>
      <c r="H106" s="47">
        <v>186.32827723368749</v>
      </c>
      <c r="I106" s="48">
        <v>209.5050852538601</v>
      </c>
      <c r="J106" s="43">
        <v>251.42402020801066</v>
      </c>
      <c r="K106" s="48"/>
      <c r="L106" s="47">
        <v>283.18848114189836</v>
      </c>
      <c r="M106" s="48">
        <v>289.67351786609282</v>
      </c>
      <c r="N106" s="43">
        <v>317.83515296878704</v>
      </c>
      <c r="O106" s="53"/>
      <c r="P106" s="54">
        <v>0.29000000000000004</v>
      </c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4"/>
      <c r="AB106" s="14"/>
      <c r="AC106" s="14"/>
      <c r="AD106" s="14"/>
      <c r="AE106" s="14"/>
      <c r="AF106" s="14"/>
      <c r="AG106" s="14"/>
      <c r="AH106" s="14"/>
    </row>
    <row r="107" spans="1:34" x14ac:dyDescent="0.25">
      <c r="A107" s="3" t="s">
        <v>152</v>
      </c>
      <c r="B107" s="3" t="s">
        <v>154</v>
      </c>
      <c r="C107" s="8" t="s">
        <v>1</v>
      </c>
      <c r="D107" s="41">
        <v>2226.2694880905028</v>
      </c>
      <c r="E107" s="42">
        <v>2808.8851753306822</v>
      </c>
      <c r="F107" s="43">
        <v>3667.2724131824975</v>
      </c>
      <c r="G107" s="48"/>
      <c r="H107" s="47">
        <v>287.63755744390249</v>
      </c>
      <c r="I107" s="48">
        <v>323.41591887804884</v>
      </c>
      <c r="J107" s="43">
        <v>388.12676277073177</v>
      </c>
      <c r="K107" s="48"/>
      <c r="L107" s="47">
        <v>437.16200364878057</v>
      </c>
      <c r="M107" s="48">
        <v>447.17304518780492</v>
      </c>
      <c r="N107" s="43">
        <v>490.64655363658545</v>
      </c>
      <c r="O107" s="53"/>
      <c r="P107" s="54">
        <v>0.29000000000000004</v>
      </c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  <c r="AB107" s="14"/>
      <c r="AC107" s="14"/>
      <c r="AD107" s="14"/>
      <c r="AE107" s="14"/>
      <c r="AF107" s="14"/>
      <c r="AG107" s="14"/>
      <c r="AH107" s="14"/>
    </row>
    <row r="108" spans="1:34" x14ac:dyDescent="0.25">
      <c r="A108" s="3" t="s">
        <v>155</v>
      </c>
      <c r="B108" s="3" t="s">
        <v>156</v>
      </c>
      <c r="C108" s="8" t="s">
        <v>1</v>
      </c>
      <c r="D108" s="41">
        <v>1212.3570856663353</v>
      </c>
      <c r="E108" s="42">
        <v>1529.6314589731476</v>
      </c>
      <c r="F108" s="43">
        <v>1997.0824372227748</v>
      </c>
      <c r="G108" s="48"/>
      <c r="H108" s="47">
        <v>156.63846301463417</v>
      </c>
      <c r="I108" s="48">
        <v>176.12224529268295</v>
      </c>
      <c r="J108" s="43">
        <v>211.36175719024391</v>
      </c>
      <c r="K108" s="48"/>
      <c r="L108" s="47">
        <v>346.69634487804876</v>
      </c>
      <c r="M108" s="48">
        <v>354.63571628048777</v>
      </c>
      <c r="N108" s="43">
        <v>389.11288115853665</v>
      </c>
      <c r="O108" s="53"/>
      <c r="P108" s="54">
        <v>0.10999999999999999</v>
      </c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  <c r="AB108" s="14"/>
      <c r="AC108" s="14"/>
      <c r="AD108" s="14"/>
      <c r="AE108" s="14"/>
      <c r="AF108" s="14"/>
      <c r="AG108" s="14"/>
      <c r="AH108" s="14"/>
    </row>
    <row r="109" spans="1:34" x14ac:dyDescent="0.25">
      <c r="A109" s="3" t="s">
        <v>157</v>
      </c>
      <c r="B109" s="3" t="s">
        <v>158</v>
      </c>
      <c r="C109" s="8" t="s">
        <v>1</v>
      </c>
      <c r="D109" s="41">
        <v>1665.7904660616607</v>
      </c>
      <c r="E109" s="42">
        <v>2101.7285509945305</v>
      </c>
      <c r="F109" s="43">
        <v>2744.0107565638991</v>
      </c>
      <c r="G109" s="48"/>
      <c r="H109" s="47">
        <v>86.186827454450707</v>
      </c>
      <c r="I109" s="48">
        <v>119.03285955041245</v>
      </c>
      <c r="J109" s="43">
        <v>122.44260777462053</v>
      </c>
      <c r="K109" s="48"/>
      <c r="L109" s="47">
        <v>322.3397489268292</v>
      </c>
      <c r="M109" s="48">
        <v>329.72135251829258</v>
      </c>
      <c r="N109" s="43">
        <v>361.77637944512185</v>
      </c>
      <c r="O109" s="53"/>
      <c r="P109" s="54">
        <v>0.12</v>
      </c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  <c r="AB109" s="14"/>
      <c r="AC109" s="14"/>
      <c r="AD109" s="14"/>
      <c r="AE109" s="14"/>
      <c r="AF109" s="14"/>
      <c r="AG109" s="14"/>
      <c r="AH109" s="14"/>
    </row>
    <row r="110" spans="1:34" x14ac:dyDescent="0.25">
      <c r="A110" s="3" t="s">
        <v>157</v>
      </c>
      <c r="B110" s="3" t="s">
        <v>159</v>
      </c>
      <c r="C110" s="8" t="s">
        <v>1</v>
      </c>
      <c r="D110" s="41">
        <v>1665.7904660616607</v>
      </c>
      <c r="E110" s="42">
        <v>2101.7285509945305</v>
      </c>
      <c r="F110" s="43">
        <v>2744.0107565638991</v>
      </c>
      <c r="G110" s="48"/>
      <c r="H110" s="47">
        <v>86.186827454450707</v>
      </c>
      <c r="I110" s="48">
        <v>119.03285955041245</v>
      </c>
      <c r="J110" s="43">
        <v>122.44260777462053</v>
      </c>
      <c r="K110" s="48"/>
      <c r="L110" s="47">
        <v>322.3397489268292</v>
      </c>
      <c r="M110" s="48">
        <v>329.72135251829258</v>
      </c>
      <c r="N110" s="43">
        <v>361.77637944512185</v>
      </c>
      <c r="O110" s="53"/>
      <c r="P110" s="54">
        <v>0.12</v>
      </c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  <c r="AB110" s="14"/>
      <c r="AC110" s="14"/>
      <c r="AD110" s="14"/>
      <c r="AE110" s="14"/>
      <c r="AF110" s="14"/>
      <c r="AG110" s="14"/>
      <c r="AH110" s="14"/>
    </row>
    <row r="111" spans="1:34" x14ac:dyDescent="0.25">
      <c r="A111" s="3" t="s">
        <v>160</v>
      </c>
      <c r="B111" s="3" t="s">
        <v>161</v>
      </c>
      <c r="C111" s="8" t="s">
        <v>1</v>
      </c>
      <c r="D111" s="41">
        <v>1195.1703760367977</v>
      </c>
      <c r="E111" s="42">
        <v>1454.3398449577326</v>
      </c>
      <c r="F111" s="43">
        <v>2259.037383431129</v>
      </c>
      <c r="G111" s="48"/>
      <c r="H111" s="47">
        <v>135.7133852026065</v>
      </c>
      <c r="I111" s="48">
        <v>152.59436065789751</v>
      </c>
      <c r="J111" s="43">
        <v>183.12628340830599</v>
      </c>
      <c r="K111" s="48"/>
      <c r="L111" s="47">
        <v>208.2646754104471</v>
      </c>
      <c r="M111" s="48">
        <v>213.0339515580614</v>
      </c>
      <c r="N111" s="43">
        <v>233.74480028340642</v>
      </c>
      <c r="O111" s="53"/>
      <c r="P111" s="54">
        <v>0.16</v>
      </c>
      <c r="Q111" s="14"/>
      <c r="R111" s="14"/>
      <c r="S111" s="14"/>
      <c r="T111" s="14"/>
      <c r="U111" s="14"/>
      <c r="V111" s="14"/>
      <c r="W111" s="14"/>
      <c r="X111" s="14"/>
      <c r="Y111" s="14"/>
      <c r="Z111" s="14"/>
      <c r="AA111" s="14"/>
      <c r="AB111" s="14"/>
      <c r="AC111" s="14"/>
      <c r="AD111" s="14"/>
      <c r="AE111" s="14"/>
      <c r="AF111" s="14"/>
      <c r="AG111" s="14"/>
      <c r="AH111" s="14"/>
    </row>
    <row r="112" spans="1:34" x14ac:dyDescent="0.25">
      <c r="A112" s="3" t="s">
        <v>162</v>
      </c>
      <c r="B112" s="3" t="s">
        <v>163</v>
      </c>
      <c r="C112" s="8" t="s">
        <v>2</v>
      </c>
      <c r="D112" s="41">
        <v>987.90945574341117</v>
      </c>
      <c r="E112" s="42">
        <v>1333.4941315266037</v>
      </c>
      <c r="F112" s="43">
        <v>1889.7377630532073</v>
      </c>
      <c r="G112" s="48"/>
      <c r="H112" s="47">
        <v>61.776000000000003</v>
      </c>
      <c r="I112" s="48">
        <v>85.319000000000003</v>
      </c>
      <c r="J112" s="43">
        <v>87.763000000000005</v>
      </c>
      <c r="K112" s="48"/>
      <c r="L112" s="47">
        <v>204.82992000000002</v>
      </c>
      <c r="M112" s="48">
        <v>209.52053999999998</v>
      </c>
      <c r="N112" s="43">
        <v>229.88981999999999</v>
      </c>
      <c r="O112" s="53"/>
      <c r="P112" s="54">
        <v>0.14000000000000001</v>
      </c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  <c r="AB112" s="14"/>
      <c r="AC112" s="14"/>
      <c r="AD112" s="14"/>
      <c r="AE112" s="14"/>
      <c r="AF112" s="14"/>
      <c r="AG112" s="14"/>
      <c r="AH112" s="14"/>
    </row>
    <row r="113" spans="1:34" x14ac:dyDescent="0.25">
      <c r="A113" s="3" t="s">
        <v>164</v>
      </c>
      <c r="B113" s="3" t="s">
        <v>165</v>
      </c>
      <c r="C113" s="8" t="s">
        <v>2</v>
      </c>
      <c r="D113" s="41">
        <v>1029.7733664843361</v>
      </c>
      <c r="E113" s="42">
        <v>1365.7991447041275</v>
      </c>
      <c r="F113" s="43">
        <v>1931.4582595723521</v>
      </c>
      <c r="G113" s="48"/>
      <c r="H113" s="47">
        <v>71.284732057921218</v>
      </c>
      <c r="I113" s="48">
        <v>98.451535457941276</v>
      </c>
      <c r="J113" s="43">
        <v>101.271722668987</v>
      </c>
      <c r="K113" s="48"/>
      <c r="L113" s="47">
        <v>276.5005056</v>
      </c>
      <c r="M113" s="48">
        <v>282.83238719999997</v>
      </c>
      <c r="N113" s="43">
        <v>310.32893760000007</v>
      </c>
      <c r="O113" s="53"/>
      <c r="P113" s="54">
        <v>0.185</v>
      </c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</row>
    <row r="114" spans="1:34" x14ac:dyDescent="0.25">
      <c r="A114" s="3" t="s">
        <v>164</v>
      </c>
      <c r="B114" s="3" t="s">
        <v>166</v>
      </c>
      <c r="C114" s="8" t="s">
        <v>2</v>
      </c>
      <c r="D114" s="41">
        <v>1050.3688338140228</v>
      </c>
      <c r="E114" s="42">
        <v>1393.1151275982099</v>
      </c>
      <c r="F114" s="43">
        <v>1970.0874247637992</v>
      </c>
      <c r="G114" s="48"/>
      <c r="H114" s="47">
        <v>72.710426699079648</v>
      </c>
      <c r="I114" s="48">
        <v>100.42056616710011</v>
      </c>
      <c r="J114" s="43">
        <v>103.29715712236674</v>
      </c>
      <c r="K114" s="48"/>
      <c r="L114" s="47">
        <v>282.03051571200001</v>
      </c>
      <c r="M114" s="48">
        <v>288.48903494399997</v>
      </c>
      <c r="N114" s="43">
        <v>316.53551635200006</v>
      </c>
      <c r="O114" s="53"/>
      <c r="P114" s="54">
        <v>0.185</v>
      </c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</row>
    <row r="115" spans="1:34" x14ac:dyDescent="0.25">
      <c r="A115" s="3" t="s">
        <v>164</v>
      </c>
      <c r="B115" s="3" t="s">
        <v>167</v>
      </c>
      <c r="C115" s="8" t="s">
        <v>2</v>
      </c>
      <c r="D115" s="41">
        <v>1070.9643011437095</v>
      </c>
      <c r="E115" s="42">
        <v>1420.4311104922926</v>
      </c>
      <c r="F115" s="43">
        <v>2008.7165899552463</v>
      </c>
      <c r="G115" s="48"/>
      <c r="H115" s="47">
        <v>74.136121340238063</v>
      </c>
      <c r="I115" s="48">
        <v>102.38959687625893</v>
      </c>
      <c r="J115" s="43">
        <v>105.32259157574649</v>
      </c>
      <c r="K115" s="48"/>
      <c r="L115" s="47">
        <v>287.56052582400002</v>
      </c>
      <c r="M115" s="48">
        <v>294.14568268799997</v>
      </c>
      <c r="N115" s="43">
        <v>322.7420951040001</v>
      </c>
      <c r="O115" s="53"/>
      <c r="P115" s="54">
        <v>0.185</v>
      </c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  <c r="AB115" s="14"/>
      <c r="AC115" s="14"/>
      <c r="AD115" s="14"/>
      <c r="AE115" s="14"/>
      <c r="AF115" s="14"/>
      <c r="AG115" s="14"/>
      <c r="AH115" s="14"/>
    </row>
    <row r="116" spans="1:34" x14ac:dyDescent="0.25">
      <c r="A116" s="3" t="s">
        <v>164</v>
      </c>
      <c r="B116" s="3" t="s">
        <v>168</v>
      </c>
      <c r="C116" s="8" t="s">
        <v>2</v>
      </c>
      <c r="D116" s="41">
        <v>1060.6665674788662</v>
      </c>
      <c r="E116" s="42">
        <v>1406.7731190452514</v>
      </c>
      <c r="F116" s="43">
        <v>1989.4020073595227</v>
      </c>
      <c r="G116" s="48"/>
      <c r="H116" s="47">
        <v>73.423274019658862</v>
      </c>
      <c r="I116" s="48">
        <v>101.40508152167952</v>
      </c>
      <c r="J116" s="43">
        <v>104.30987434905661</v>
      </c>
      <c r="K116" s="48"/>
      <c r="L116" s="47">
        <v>284.79552076800002</v>
      </c>
      <c r="M116" s="48">
        <v>291.31735881599997</v>
      </c>
      <c r="N116" s="43">
        <v>319.63880572800008</v>
      </c>
      <c r="O116" s="53"/>
      <c r="P116" s="54">
        <v>0.185</v>
      </c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  <c r="AC116" s="14"/>
      <c r="AD116" s="14"/>
      <c r="AE116" s="14"/>
      <c r="AF116" s="14"/>
      <c r="AG116" s="14"/>
      <c r="AH116" s="14"/>
    </row>
    <row r="117" spans="1:34" x14ac:dyDescent="0.25">
      <c r="A117" s="3" t="s">
        <v>162</v>
      </c>
      <c r="B117" s="3" t="s">
        <v>169</v>
      </c>
      <c r="C117" s="8" t="s">
        <v>2</v>
      </c>
      <c r="D117" s="41">
        <v>899.18778447538546</v>
      </c>
      <c r="E117" s="42">
        <v>1276.643287369468</v>
      </c>
      <c r="F117" s="43">
        <v>1940.6529726205868</v>
      </c>
      <c r="G117" s="48"/>
      <c r="H117" s="47">
        <v>58.924800000000005</v>
      </c>
      <c r="I117" s="48">
        <v>81.381199999999993</v>
      </c>
      <c r="J117" s="43">
        <v>83.712400000000002</v>
      </c>
      <c r="K117" s="48"/>
      <c r="L117" s="47">
        <v>196.079904</v>
      </c>
      <c r="M117" s="48">
        <v>200.57014799999996</v>
      </c>
      <c r="N117" s="43">
        <v>220.06928400000001</v>
      </c>
      <c r="O117" s="53"/>
      <c r="P117" s="54">
        <v>0.15</v>
      </c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14"/>
      <c r="AB117" s="14"/>
      <c r="AC117" s="14"/>
      <c r="AD117" s="14"/>
      <c r="AE117" s="14"/>
      <c r="AF117" s="14"/>
      <c r="AG117" s="14"/>
      <c r="AH117" s="14"/>
    </row>
    <row r="118" spans="1:34" x14ac:dyDescent="0.25">
      <c r="A118" s="3" t="s">
        <v>162</v>
      </c>
      <c r="B118" s="3" t="s">
        <v>170</v>
      </c>
      <c r="C118" s="8" t="s">
        <v>2</v>
      </c>
      <c r="D118" s="41">
        <v>862.40045574838393</v>
      </c>
      <c r="E118" s="42">
        <v>1223.1128008702137</v>
      </c>
      <c r="F118" s="43">
        <v>1856.7166185629042</v>
      </c>
      <c r="G118" s="48"/>
      <c r="H118" s="47">
        <v>57.024000000000001</v>
      </c>
      <c r="I118" s="48">
        <v>78.755999999999986</v>
      </c>
      <c r="J118" s="43">
        <v>81.012</v>
      </c>
      <c r="K118" s="48"/>
      <c r="L118" s="47">
        <v>192.69921599999998</v>
      </c>
      <c r="M118" s="48">
        <v>197.11204199999997</v>
      </c>
      <c r="N118" s="43">
        <v>216.27498599999998</v>
      </c>
      <c r="O118" s="53"/>
      <c r="P118" s="54">
        <v>0.15</v>
      </c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  <c r="AB118" s="14"/>
      <c r="AC118" s="14"/>
      <c r="AD118" s="14"/>
      <c r="AE118" s="14"/>
      <c r="AF118" s="14"/>
      <c r="AG118" s="14"/>
      <c r="AH118" s="14"/>
    </row>
    <row r="119" spans="1:34" x14ac:dyDescent="0.25">
      <c r="A119" s="3" t="s">
        <v>162</v>
      </c>
      <c r="B119" s="3" t="s">
        <v>171</v>
      </c>
      <c r="C119" s="8" t="s">
        <v>2</v>
      </c>
      <c r="D119" s="41">
        <v>776.72555857782208</v>
      </c>
      <c r="E119" s="42">
        <v>1089.2915621581303</v>
      </c>
      <c r="F119" s="43">
        <v>1730.3081148184986</v>
      </c>
      <c r="G119" s="48"/>
      <c r="H119" s="47">
        <v>58.924800000000005</v>
      </c>
      <c r="I119" s="48">
        <v>81.381199999999993</v>
      </c>
      <c r="J119" s="43">
        <v>83.712400000000002</v>
      </c>
      <c r="K119" s="48"/>
      <c r="L119" s="47">
        <v>189.31852800000001</v>
      </c>
      <c r="M119" s="48">
        <v>193.65393599999999</v>
      </c>
      <c r="N119" s="43">
        <v>212.48068800000004</v>
      </c>
      <c r="O119" s="53"/>
      <c r="P119" s="54">
        <v>0.15</v>
      </c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  <c r="AB119" s="14"/>
      <c r="AC119" s="14"/>
      <c r="AD119" s="14"/>
      <c r="AE119" s="14"/>
      <c r="AF119" s="14"/>
      <c r="AG119" s="14"/>
      <c r="AH119" s="14"/>
    </row>
    <row r="120" spans="1:34" x14ac:dyDescent="0.25">
      <c r="A120" s="3" t="s">
        <v>172</v>
      </c>
      <c r="B120" s="3" t="s">
        <v>173</v>
      </c>
      <c r="C120" s="8" t="s">
        <v>2</v>
      </c>
      <c r="D120" s="41">
        <v>518.40874191944306</v>
      </c>
      <c r="E120" s="42">
        <v>638.70439184485326</v>
      </c>
      <c r="F120" s="43">
        <v>986.48250820487317</v>
      </c>
      <c r="G120" s="48"/>
      <c r="H120" s="47">
        <v>25.660800000000002</v>
      </c>
      <c r="I120" s="48">
        <v>35.440199999999997</v>
      </c>
      <c r="J120" s="43">
        <v>36.455400000000004</v>
      </c>
      <c r="K120" s="48"/>
      <c r="L120" s="47">
        <v>99.39980684643551</v>
      </c>
      <c r="M120" s="48">
        <v>101.67606962088773</v>
      </c>
      <c r="N120" s="43">
        <v>111.5608681776658</v>
      </c>
      <c r="O120" s="53"/>
      <c r="P120" s="54">
        <v>0.15</v>
      </c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  <c r="AB120" s="14"/>
      <c r="AC120" s="14"/>
      <c r="AD120" s="14"/>
      <c r="AE120" s="14"/>
      <c r="AF120" s="14"/>
      <c r="AG120" s="14"/>
      <c r="AH120" s="14"/>
    </row>
    <row r="121" spans="1:34" x14ac:dyDescent="0.25">
      <c r="A121" s="3" t="s">
        <v>172</v>
      </c>
      <c r="B121" s="3" t="s">
        <v>174</v>
      </c>
      <c r="C121" s="8" t="s">
        <v>2</v>
      </c>
      <c r="D121" s="41">
        <v>513.27598209845848</v>
      </c>
      <c r="E121" s="42">
        <v>632.38058598500322</v>
      </c>
      <c r="F121" s="43">
        <v>976.71535465829027</v>
      </c>
      <c r="G121" s="48"/>
      <c r="H121" s="47">
        <v>25.406732673267328</v>
      </c>
      <c r="I121" s="48">
        <v>35.08930693069307</v>
      </c>
      <c r="J121" s="43">
        <v>36.094455445544561</v>
      </c>
      <c r="K121" s="48"/>
      <c r="L121" s="47">
        <v>98.415650343005453</v>
      </c>
      <c r="M121" s="48">
        <v>100.66937586226508</v>
      </c>
      <c r="N121" s="43">
        <v>110.45630512640177</v>
      </c>
      <c r="O121" s="53"/>
      <c r="P121" s="54">
        <v>0.15</v>
      </c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  <c r="AB121" s="14"/>
      <c r="AC121" s="14"/>
      <c r="AD121" s="14"/>
      <c r="AE121" s="14"/>
      <c r="AF121" s="14"/>
      <c r="AG121" s="14"/>
      <c r="AH121" s="14"/>
    </row>
    <row r="122" spans="1:34" x14ac:dyDescent="0.25">
      <c r="A122" s="3" t="s">
        <v>172</v>
      </c>
      <c r="B122" s="3" t="s">
        <v>175</v>
      </c>
      <c r="C122" s="8" t="s">
        <v>2</v>
      </c>
      <c r="D122" s="41">
        <v>513.27598209845848</v>
      </c>
      <c r="E122" s="42">
        <v>632.38058598500322</v>
      </c>
      <c r="F122" s="43">
        <v>976.71535465829027</v>
      </c>
      <c r="G122" s="48"/>
      <c r="H122" s="47">
        <v>25.406732673267328</v>
      </c>
      <c r="I122" s="48">
        <v>35.08930693069307</v>
      </c>
      <c r="J122" s="43">
        <v>36.094455445544561</v>
      </c>
      <c r="K122" s="48"/>
      <c r="L122" s="47">
        <v>98.415650343005453</v>
      </c>
      <c r="M122" s="48">
        <v>100.66937586226508</v>
      </c>
      <c r="N122" s="43">
        <v>110.45630512640177</v>
      </c>
      <c r="O122" s="53"/>
      <c r="P122" s="54">
        <v>0.15</v>
      </c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  <c r="AB122" s="14"/>
      <c r="AC122" s="14"/>
      <c r="AD122" s="14"/>
      <c r="AE122" s="14"/>
      <c r="AF122" s="14"/>
      <c r="AG122" s="14"/>
      <c r="AH122" s="14"/>
    </row>
    <row r="123" spans="1:34" x14ac:dyDescent="0.25">
      <c r="A123" s="3" t="s">
        <v>172</v>
      </c>
      <c r="B123" s="3" t="s">
        <v>176</v>
      </c>
      <c r="C123" s="8" t="s">
        <v>2</v>
      </c>
      <c r="D123" s="41">
        <v>508.24386462690495</v>
      </c>
      <c r="E123" s="42">
        <v>626.18077631848359</v>
      </c>
      <c r="F123" s="43">
        <v>967.13971392634619</v>
      </c>
      <c r="G123" s="48"/>
      <c r="H123" s="47">
        <v>25.157647058823532</v>
      </c>
      <c r="I123" s="48">
        <v>34.745294117647056</v>
      </c>
      <c r="J123" s="43">
        <v>35.740588235294119</v>
      </c>
      <c r="K123" s="48"/>
      <c r="L123" s="47">
        <v>97.450791025917169</v>
      </c>
      <c r="M123" s="48">
        <v>99.682421196948752</v>
      </c>
      <c r="N123" s="43">
        <v>109.37340017418215</v>
      </c>
      <c r="O123" s="53"/>
      <c r="P123" s="54">
        <v>0.15</v>
      </c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  <c r="AB123" s="14"/>
      <c r="AC123" s="14"/>
      <c r="AD123" s="14"/>
      <c r="AE123" s="14"/>
      <c r="AF123" s="14"/>
      <c r="AG123" s="14"/>
      <c r="AH123" s="14"/>
    </row>
    <row r="124" spans="1:34" x14ac:dyDescent="0.25">
      <c r="A124" s="3" t="s">
        <v>172</v>
      </c>
      <c r="B124" s="3" t="s">
        <v>177</v>
      </c>
      <c r="C124" s="8" t="s">
        <v>2</v>
      </c>
      <c r="D124" s="41">
        <v>559.88144127299859</v>
      </c>
      <c r="E124" s="42">
        <v>689.80074319244159</v>
      </c>
      <c r="F124" s="43">
        <v>1065.4011088612631</v>
      </c>
      <c r="G124" s="48"/>
      <c r="H124" s="47">
        <v>27.713664000000005</v>
      </c>
      <c r="I124" s="48">
        <v>38.275416</v>
      </c>
      <c r="J124" s="43">
        <v>39.371832000000005</v>
      </c>
      <c r="K124" s="48"/>
      <c r="L124" s="47">
        <v>107.35179139415035</v>
      </c>
      <c r="M124" s="48">
        <v>109.81015519055876</v>
      </c>
      <c r="N124" s="43">
        <v>120.48573763187906</v>
      </c>
      <c r="O124" s="53"/>
      <c r="P124" s="54">
        <v>0.15</v>
      </c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4"/>
      <c r="AB124" s="14"/>
      <c r="AC124" s="14"/>
      <c r="AD124" s="14"/>
      <c r="AE124" s="14"/>
      <c r="AF124" s="14"/>
      <c r="AG124" s="14"/>
      <c r="AH124" s="14"/>
    </row>
    <row r="125" spans="1:34" x14ac:dyDescent="0.25">
      <c r="A125" s="3" t="s">
        <v>172</v>
      </c>
      <c r="B125" s="3" t="s">
        <v>178</v>
      </c>
      <c r="C125" s="8" t="s">
        <v>2</v>
      </c>
      <c r="D125" s="41">
        <v>544.32917901541521</v>
      </c>
      <c r="E125" s="42">
        <v>670.63961143709594</v>
      </c>
      <c r="F125" s="43">
        <v>1035.8066336151169</v>
      </c>
      <c r="G125" s="48"/>
      <c r="H125" s="47">
        <v>26.943840000000002</v>
      </c>
      <c r="I125" s="48">
        <v>37.212209999999999</v>
      </c>
      <c r="J125" s="43">
        <v>38.278170000000003</v>
      </c>
      <c r="K125" s="48"/>
      <c r="L125" s="47">
        <v>104.36979718875729</v>
      </c>
      <c r="M125" s="48">
        <v>106.75987310193211</v>
      </c>
      <c r="N125" s="43">
        <v>117.13891158654909</v>
      </c>
      <c r="O125" s="53"/>
      <c r="P125" s="54">
        <v>0.15</v>
      </c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  <c r="AB125" s="14"/>
      <c r="AC125" s="14"/>
      <c r="AD125" s="14"/>
      <c r="AE125" s="14"/>
      <c r="AF125" s="14"/>
      <c r="AG125" s="14"/>
      <c r="AH125" s="14"/>
    </row>
    <row r="126" spans="1:34" x14ac:dyDescent="0.25">
      <c r="A126" s="3" t="s">
        <v>172</v>
      </c>
      <c r="B126" s="3" t="s">
        <v>179</v>
      </c>
      <c r="C126" s="8" t="s">
        <v>2</v>
      </c>
      <c r="D126" s="41">
        <v>513.27598209845848</v>
      </c>
      <c r="E126" s="42">
        <v>632.38058598500322</v>
      </c>
      <c r="F126" s="43">
        <v>976.71535465829027</v>
      </c>
      <c r="G126" s="48"/>
      <c r="H126" s="47">
        <v>25.406732673267328</v>
      </c>
      <c r="I126" s="48">
        <v>35.08930693069307</v>
      </c>
      <c r="J126" s="43">
        <v>36.094455445544561</v>
      </c>
      <c r="K126" s="48"/>
      <c r="L126" s="47">
        <v>98.415650343005453</v>
      </c>
      <c r="M126" s="48">
        <v>100.66937586226508</v>
      </c>
      <c r="N126" s="43">
        <v>110.45630512640177</v>
      </c>
      <c r="O126" s="53"/>
      <c r="P126" s="54">
        <v>0.15</v>
      </c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  <c r="AB126" s="14"/>
      <c r="AC126" s="14"/>
      <c r="AD126" s="14"/>
      <c r="AE126" s="14"/>
      <c r="AF126" s="14"/>
      <c r="AG126" s="14"/>
      <c r="AH126" s="14"/>
    </row>
    <row r="127" spans="1:34" x14ac:dyDescent="0.25">
      <c r="A127" s="3" t="s">
        <v>180</v>
      </c>
      <c r="B127" s="3" t="s">
        <v>181</v>
      </c>
      <c r="C127" s="8" t="s">
        <v>2</v>
      </c>
      <c r="D127" s="41">
        <v>994.45204850187952</v>
      </c>
      <c r="E127" s="42">
        <v>1076.2543262284632</v>
      </c>
      <c r="F127" s="43">
        <v>1438.4205608455891</v>
      </c>
      <c r="G127" s="48"/>
      <c r="H127" s="47">
        <v>44.668799999999997</v>
      </c>
      <c r="I127" s="48">
        <v>61.692199999999993</v>
      </c>
      <c r="J127" s="43">
        <v>63.459400000000002</v>
      </c>
      <c r="K127" s="48"/>
      <c r="L127" s="47">
        <v>167.04576</v>
      </c>
      <c r="M127" s="48">
        <v>170.87111999999999</v>
      </c>
      <c r="N127" s="43">
        <v>187.48295999999999</v>
      </c>
      <c r="O127" s="53"/>
      <c r="P127" s="54">
        <v>0.10500000000000001</v>
      </c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  <c r="AB127" s="14"/>
      <c r="AC127" s="14"/>
      <c r="AD127" s="14"/>
      <c r="AE127" s="14"/>
      <c r="AF127" s="14"/>
      <c r="AG127" s="14"/>
      <c r="AH127" s="14"/>
    </row>
    <row r="128" spans="1:34" x14ac:dyDescent="0.25">
      <c r="A128" s="3" t="s">
        <v>182</v>
      </c>
      <c r="B128" s="3" t="s">
        <v>183</v>
      </c>
      <c r="C128" s="8" t="s">
        <v>2</v>
      </c>
      <c r="D128" s="41">
        <v>1441.4861540527099</v>
      </c>
      <c r="E128" s="42">
        <v>1763.3797524614617</v>
      </c>
      <c r="F128" s="43">
        <v>2482.5079315763301</v>
      </c>
      <c r="G128" s="48"/>
      <c r="H128" s="47">
        <v>102.10122872110331</v>
      </c>
      <c r="I128" s="48">
        <v>141.01228200686046</v>
      </c>
      <c r="J128" s="43">
        <v>145.05164038219033</v>
      </c>
      <c r="K128" s="48"/>
      <c r="L128" s="47">
        <v>378.09763145775258</v>
      </c>
      <c r="M128" s="48">
        <v>386.7560945966747</v>
      </c>
      <c r="N128" s="43">
        <v>424.35595560574887</v>
      </c>
      <c r="O128" s="53"/>
      <c r="P128" s="54">
        <v>0.26500000000000001</v>
      </c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  <c r="AB128" s="14"/>
      <c r="AC128" s="14"/>
      <c r="AD128" s="14"/>
      <c r="AE128" s="14"/>
      <c r="AF128" s="14"/>
      <c r="AG128" s="14"/>
      <c r="AH128" s="14"/>
    </row>
    <row r="129" spans="1:34" x14ac:dyDescent="0.25">
      <c r="A129" s="3" t="s">
        <v>184</v>
      </c>
      <c r="B129" s="3" t="s">
        <v>185</v>
      </c>
      <c r="C129" s="8" t="s">
        <v>2</v>
      </c>
      <c r="D129" s="41">
        <v>938.79304326205863</v>
      </c>
      <c r="E129" s="42">
        <v>1105.2009696668324</v>
      </c>
      <c r="F129" s="43">
        <v>1538.5297563401293</v>
      </c>
      <c r="G129" s="48"/>
      <c r="H129" s="47">
        <v>44.535780627422724</v>
      </c>
      <c r="I129" s="48">
        <v>61.508486586232181</v>
      </c>
      <c r="J129" s="43">
        <v>63.270424035296891</v>
      </c>
      <c r="K129" s="48"/>
      <c r="L129" s="47">
        <v>167.38485765203467</v>
      </c>
      <c r="M129" s="48">
        <v>171.21798301282078</v>
      </c>
      <c r="N129" s="43">
        <v>187.86354452685367</v>
      </c>
      <c r="O129" s="53"/>
      <c r="P129" s="54">
        <v>0.08</v>
      </c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4"/>
      <c r="AB129" s="14"/>
      <c r="AC129" s="14"/>
      <c r="AD129" s="14"/>
      <c r="AE129" s="14"/>
      <c r="AF129" s="14"/>
      <c r="AG129" s="14"/>
      <c r="AH129" s="14"/>
    </row>
    <row r="130" spans="1:34" x14ac:dyDescent="0.25">
      <c r="A130" s="3" t="s">
        <v>186</v>
      </c>
      <c r="B130" s="3" t="s">
        <v>187</v>
      </c>
      <c r="C130" s="8" t="s">
        <v>2</v>
      </c>
      <c r="D130" s="41">
        <v>814.14249627051208</v>
      </c>
      <c r="E130" s="42">
        <v>1093.3321979114869</v>
      </c>
      <c r="F130" s="43">
        <v>1553.6275484833416</v>
      </c>
      <c r="G130" s="48"/>
      <c r="H130" s="47">
        <v>60.255224709519645</v>
      </c>
      <c r="I130" s="48">
        <v>83.218653149953155</v>
      </c>
      <c r="J130" s="43">
        <v>85.602487797552001</v>
      </c>
      <c r="K130" s="48"/>
      <c r="L130" s="47">
        <v>234.23624455159489</v>
      </c>
      <c r="M130" s="48">
        <v>239.60027151317649</v>
      </c>
      <c r="N130" s="43">
        <v>262.89385895108552</v>
      </c>
      <c r="O130" s="53"/>
      <c r="P130" s="54">
        <v>0.15</v>
      </c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  <c r="AB130" s="14"/>
      <c r="AC130" s="14"/>
      <c r="AD130" s="14"/>
      <c r="AE130" s="14"/>
      <c r="AF130" s="14"/>
      <c r="AG130" s="14"/>
      <c r="AH130" s="14"/>
    </row>
    <row r="131" spans="1:34" x14ac:dyDescent="0.25">
      <c r="A131" s="3" t="s">
        <v>188</v>
      </c>
      <c r="B131" s="3" t="s">
        <v>189</v>
      </c>
      <c r="C131" s="8" t="s">
        <v>2</v>
      </c>
      <c r="D131" s="41">
        <v>761.32215551964202</v>
      </c>
      <c r="E131" s="42">
        <v>979.09215813028345</v>
      </c>
      <c r="F131" s="43">
        <v>1089.5529543759326</v>
      </c>
      <c r="G131" s="48"/>
      <c r="H131" s="47">
        <v>33.264000000000003</v>
      </c>
      <c r="I131" s="48">
        <v>45.940999999999995</v>
      </c>
      <c r="J131" s="43">
        <v>47.256999999999998</v>
      </c>
      <c r="K131" s="48"/>
      <c r="L131" s="47">
        <v>127.6044</v>
      </c>
      <c r="M131" s="48">
        <v>130.52654999999999</v>
      </c>
      <c r="N131" s="43">
        <v>143.21615</v>
      </c>
      <c r="O131" s="53"/>
      <c r="P131" s="54">
        <v>0.05</v>
      </c>
      <c r="Q131" s="14"/>
      <c r="R131" s="14"/>
      <c r="S131" s="14"/>
      <c r="T131" s="14"/>
      <c r="U131" s="14"/>
      <c r="V131" s="14"/>
      <c r="W131" s="14"/>
      <c r="X131" s="14"/>
      <c r="Y131" s="14"/>
      <c r="Z131" s="14"/>
      <c r="AA131" s="14"/>
      <c r="AB131" s="14"/>
      <c r="AC131" s="14"/>
      <c r="AD131" s="14"/>
      <c r="AE131" s="14"/>
      <c r="AF131" s="14"/>
      <c r="AG131" s="14"/>
      <c r="AH131" s="14"/>
    </row>
    <row r="132" spans="1:34" x14ac:dyDescent="0.25">
      <c r="A132" s="3" t="s">
        <v>190</v>
      </c>
      <c r="B132" s="3" t="s">
        <v>191</v>
      </c>
      <c r="C132" s="8" t="s">
        <v>2</v>
      </c>
      <c r="D132" s="41">
        <v>720.54624181998997</v>
      </c>
      <c r="E132" s="42">
        <v>771.27427056190936</v>
      </c>
      <c r="F132" s="43">
        <v>1001.7878594231724</v>
      </c>
      <c r="G132" s="48"/>
      <c r="H132" s="47">
        <v>47.52</v>
      </c>
      <c r="I132" s="48">
        <v>65.63</v>
      </c>
      <c r="J132" s="43">
        <v>67.510000000000005</v>
      </c>
      <c r="K132" s="48"/>
      <c r="L132" s="47">
        <v>180.93309600000003</v>
      </c>
      <c r="M132" s="48">
        <v>185.07647700000001</v>
      </c>
      <c r="N132" s="43">
        <v>203.06934100000004</v>
      </c>
      <c r="O132" s="53"/>
      <c r="P132" s="54">
        <v>0.10999999999999999</v>
      </c>
      <c r="Q132" s="14"/>
      <c r="R132" s="14"/>
      <c r="S132" s="14"/>
      <c r="T132" s="14"/>
      <c r="U132" s="14"/>
      <c r="V132" s="14"/>
      <c r="W132" s="14"/>
      <c r="X132" s="14"/>
      <c r="Y132" s="14"/>
      <c r="Z132" s="14"/>
      <c r="AA132" s="14"/>
      <c r="AB132" s="14"/>
      <c r="AC132" s="14"/>
      <c r="AD132" s="14"/>
      <c r="AE132" s="14"/>
      <c r="AF132" s="14"/>
      <c r="AG132" s="14"/>
      <c r="AH132" s="14"/>
    </row>
    <row r="133" spans="1:34" x14ac:dyDescent="0.25">
      <c r="A133" s="3" t="s">
        <v>192</v>
      </c>
      <c r="B133" s="3" t="s">
        <v>192</v>
      </c>
      <c r="C133" s="8" t="s">
        <v>2</v>
      </c>
      <c r="D133" s="41">
        <v>1310.2220134261561</v>
      </c>
      <c r="E133" s="42">
        <v>1734.3075131775236</v>
      </c>
      <c r="F133" s="43">
        <v>2044.7764082545996</v>
      </c>
      <c r="G133" s="48"/>
      <c r="H133" s="47">
        <v>85.536000000000001</v>
      </c>
      <c r="I133" s="48">
        <v>118.134</v>
      </c>
      <c r="J133" s="43">
        <v>121.51800000000001</v>
      </c>
      <c r="K133" s="48"/>
      <c r="L133" s="47">
        <v>319.17671999999999</v>
      </c>
      <c r="M133" s="48">
        <v>326.48589000000004</v>
      </c>
      <c r="N133" s="43">
        <v>358.22637000000003</v>
      </c>
      <c r="O133" s="53"/>
      <c r="P133" s="54">
        <v>0.24000000000000002</v>
      </c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4"/>
      <c r="AB133" s="14"/>
      <c r="AC133" s="14"/>
      <c r="AD133" s="14"/>
      <c r="AE133" s="14"/>
      <c r="AF133" s="14"/>
      <c r="AG133" s="14"/>
      <c r="AH133" s="14"/>
    </row>
    <row r="134" spans="1:34" x14ac:dyDescent="0.25">
      <c r="A134" s="3" t="s">
        <v>193</v>
      </c>
      <c r="B134" s="3" t="s">
        <v>194</v>
      </c>
      <c r="C134" s="8" t="s">
        <v>2</v>
      </c>
      <c r="D134" s="41">
        <v>1027.6041531824962</v>
      </c>
      <c r="E134" s="42">
        <v>1478.2359327697666</v>
      </c>
      <c r="F134" s="43">
        <v>1582.451336673297</v>
      </c>
      <c r="G134" s="48"/>
      <c r="H134" s="47">
        <v>57.024000000000001</v>
      </c>
      <c r="I134" s="48">
        <v>78.755999999999986</v>
      </c>
      <c r="J134" s="43">
        <v>81.012</v>
      </c>
      <c r="K134" s="48"/>
      <c r="L134" s="47">
        <v>191.77118400000001</v>
      </c>
      <c r="M134" s="48">
        <v>196.162758</v>
      </c>
      <c r="N134" s="43">
        <v>215.23341400000001</v>
      </c>
      <c r="O134" s="53"/>
      <c r="P134" s="54">
        <v>0.12</v>
      </c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14"/>
      <c r="AB134" s="14"/>
      <c r="AC134" s="14"/>
      <c r="AD134" s="14"/>
      <c r="AE134" s="14"/>
      <c r="AF134" s="14"/>
      <c r="AG134" s="14"/>
      <c r="AH134" s="14"/>
    </row>
    <row r="135" spans="1:34" x14ac:dyDescent="0.25">
      <c r="A135" s="3" t="s">
        <v>195</v>
      </c>
      <c r="B135" s="3" t="s">
        <v>196</v>
      </c>
      <c r="C135" s="8" t="s">
        <v>2</v>
      </c>
      <c r="D135" s="41">
        <v>719.30217544505217</v>
      </c>
      <c r="E135" s="42">
        <v>906.1576564395823</v>
      </c>
      <c r="F135" s="43">
        <v>1351.6231607458974</v>
      </c>
      <c r="G135" s="48"/>
      <c r="H135" s="47">
        <v>49.420800000000007</v>
      </c>
      <c r="I135" s="48">
        <v>68.255200000000002</v>
      </c>
      <c r="J135" s="43">
        <v>70.210400000000007</v>
      </c>
      <c r="K135" s="48"/>
      <c r="L135" s="47">
        <v>183.78220319467542</v>
      </c>
      <c r="M135" s="48">
        <v>187.99082895574099</v>
      </c>
      <c r="N135" s="43">
        <v>206.26702198403123</v>
      </c>
      <c r="O135" s="53"/>
      <c r="P135" s="54">
        <v>0.14000000000000001</v>
      </c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  <c r="AB135" s="14"/>
      <c r="AC135" s="14"/>
      <c r="AD135" s="14"/>
      <c r="AE135" s="14"/>
      <c r="AF135" s="14"/>
      <c r="AG135" s="14"/>
      <c r="AH135" s="14"/>
    </row>
    <row r="136" spans="1:34" x14ac:dyDescent="0.25">
      <c r="A136" s="3" t="s">
        <v>197</v>
      </c>
      <c r="B136" s="3" t="s">
        <v>198</v>
      </c>
      <c r="C136" s="8" t="s">
        <v>2</v>
      </c>
      <c r="D136" s="41">
        <v>605.25191248135252</v>
      </c>
      <c r="E136" s="42">
        <v>836.63430532073596</v>
      </c>
      <c r="F136" s="43">
        <v>1155.8849448035803</v>
      </c>
      <c r="G136" s="48"/>
      <c r="H136" s="47">
        <v>29.902903852964055</v>
      </c>
      <c r="I136" s="48">
        <v>41.298981057871011</v>
      </c>
      <c r="J136" s="43">
        <v>42.482008398855285</v>
      </c>
      <c r="K136" s="48"/>
      <c r="L136" s="47">
        <v>110.73536785143243</v>
      </c>
      <c r="M136" s="48">
        <v>113.27121579372175</v>
      </c>
      <c r="N136" s="43">
        <v>124.28327747723374</v>
      </c>
      <c r="O136" s="53"/>
      <c r="P136" s="54">
        <v>0.09</v>
      </c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  <c r="AB136" s="14"/>
      <c r="AC136" s="14"/>
      <c r="AD136" s="14"/>
      <c r="AE136" s="14"/>
      <c r="AF136" s="14"/>
      <c r="AG136" s="14"/>
      <c r="AH136" s="14"/>
    </row>
    <row r="137" spans="1:34" x14ac:dyDescent="0.25">
      <c r="A137" s="3" t="s">
        <v>199</v>
      </c>
      <c r="B137" s="3" t="s">
        <v>200</v>
      </c>
      <c r="C137" s="8" t="s">
        <v>2</v>
      </c>
      <c r="D137" s="41">
        <v>474.29589361113875</v>
      </c>
      <c r="E137" s="42">
        <v>571.93005475385382</v>
      </c>
      <c r="F137" s="43">
        <v>851.23458758329184</v>
      </c>
      <c r="G137" s="48"/>
      <c r="H137" s="47">
        <v>35.175506749737814</v>
      </c>
      <c r="I137" s="48">
        <v>48.580987120902613</v>
      </c>
      <c r="J137" s="43">
        <v>49.972610704436022</v>
      </c>
      <c r="K137" s="48"/>
      <c r="L137" s="47">
        <v>134.14906158745211</v>
      </c>
      <c r="M137" s="48">
        <v>137.22108481171216</v>
      </c>
      <c r="N137" s="43">
        <v>150.5615176801723</v>
      </c>
      <c r="O137" s="53"/>
      <c r="P137" s="54">
        <v>0.14500000000000002</v>
      </c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  <c r="AB137" s="14"/>
      <c r="AC137" s="14"/>
      <c r="AD137" s="14"/>
      <c r="AE137" s="14"/>
      <c r="AF137" s="14"/>
      <c r="AG137" s="14"/>
      <c r="AH137" s="14"/>
    </row>
    <row r="138" spans="1:34" x14ac:dyDescent="0.25">
      <c r="A138" s="3" t="s">
        <v>201</v>
      </c>
      <c r="B138" s="3" t="s">
        <v>202</v>
      </c>
      <c r="C138" s="8" t="s">
        <v>1</v>
      </c>
      <c r="D138" s="41">
        <v>1738.5111138736945</v>
      </c>
      <c r="E138" s="42">
        <v>2193.4802237692688</v>
      </c>
      <c r="F138" s="43">
        <v>2863.8014768771759</v>
      </c>
      <c r="G138" s="48"/>
      <c r="H138" s="47">
        <v>224.61840000000001</v>
      </c>
      <c r="I138" s="48">
        <v>252.55800000000002</v>
      </c>
      <c r="J138" s="43">
        <v>303.09120000000001</v>
      </c>
      <c r="K138" s="48"/>
      <c r="L138" s="47">
        <v>353.64648</v>
      </c>
      <c r="M138" s="48">
        <v>361.74500999999998</v>
      </c>
      <c r="N138" s="43">
        <v>396.91332999999997</v>
      </c>
      <c r="O138" s="53"/>
      <c r="P138" s="54">
        <v>0.15</v>
      </c>
      <c r="Q138" s="14"/>
      <c r="R138" s="14"/>
      <c r="S138" s="14"/>
      <c r="T138" s="14"/>
      <c r="U138" s="14"/>
      <c r="V138" s="14"/>
      <c r="W138" s="14"/>
      <c r="X138" s="14"/>
      <c r="Y138" s="14"/>
      <c r="Z138" s="14"/>
      <c r="AA138" s="14"/>
      <c r="AB138" s="14"/>
      <c r="AC138" s="14"/>
      <c r="AD138" s="14"/>
      <c r="AE138" s="14"/>
      <c r="AF138" s="14"/>
      <c r="AG138" s="14"/>
      <c r="AH138" s="14"/>
    </row>
    <row r="139" spans="1:34" x14ac:dyDescent="0.25">
      <c r="A139" s="3" t="s">
        <v>203</v>
      </c>
      <c r="B139" s="3" t="s">
        <v>204</v>
      </c>
      <c r="C139" s="8" t="s">
        <v>1</v>
      </c>
      <c r="D139" s="41">
        <v>1210.3430370462456</v>
      </c>
      <c r="E139" s="42">
        <v>1474.0886072103433</v>
      </c>
      <c r="F139" s="43">
        <v>2278.7861442068624</v>
      </c>
      <c r="G139" s="48"/>
      <c r="H139" s="47">
        <v>135.7133852026065</v>
      </c>
      <c r="I139" s="48">
        <v>152.59436065789751</v>
      </c>
      <c r="J139" s="43">
        <v>183.12628340830599</v>
      </c>
      <c r="K139" s="48"/>
      <c r="L139" s="47">
        <v>206.81856000000002</v>
      </c>
      <c r="M139" s="48">
        <v>211.55471999999997</v>
      </c>
      <c r="N139" s="43">
        <v>232.12175999999999</v>
      </c>
      <c r="O139" s="53"/>
      <c r="P139" s="54">
        <v>0.16</v>
      </c>
      <c r="Q139" s="14"/>
      <c r="R139" s="14"/>
      <c r="S139" s="14"/>
      <c r="T139" s="14"/>
      <c r="U139" s="14"/>
      <c r="V139" s="14"/>
      <c r="W139" s="14"/>
      <c r="X139" s="14"/>
      <c r="Y139" s="14"/>
      <c r="Z139" s="14"/>
      <c r="AA139" s="14"/>
      <c r="AB139" s="14"/>
      <c r="AC139" s="14"/>
      <c r="AD139" s="14"/>
      <c r="AE139" s="14"/>
      <c r="AF139" s="14"/>
      <c r="AG139" s="14"/>
      <c r="AH139" s="14"/>
    </row>
    <row r="140" spans="1:34" x14ac:dyDescent="0.25">
      <c r="A140" s="13"/>
      <c r="B140" s="3"/>
      <c r="C140" s="1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</row>
    <row r="141" spans="1:34" x14ac:dyDescent="0.25">
      <c r="A141" s="13"/>
      <c r="B141" s="3"/>
      <c r="C141" s="1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</row>
    <row r="142" spans="1:34" x14ac:dyDescent="0.25">
      <c r="A142" s="13"/>
      <c r="B142" s="3"/>
      <c r="C142" s="1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</row>
    <row r="143" spans="1:34" x14ac:dyDescent="0.25">
      <c r="A143" s="13"/>
      <c r="B143" s="3"/>
      <c r="C143" s="1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</row>
    <row r="144" spans="1:34" x14ac:dyDescent="0.25">
      <c r="A144" s="13"/>
      <c r="B144" s="3"/>
      <c r="C144" s="1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</row>
    <row r="145" spans="1:16" x14ac:dyDescent="0.25">
      <c r="A145" s="13"/>
      <c r="B145" s="3"/>
      <c r="C145" s="1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</row>
    <row r="146" spans="1:16" x14ac:dyDescent="0.25">
      <c r="A146" s="13"/>
      <c r="B146" s="3"/>
      <c r="C146" s="1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</row>
    <row r="147" spans="1:16" x14ac:dyDescent="0.25">
      <c r="A147" s="13"/>
      <c r="B147" s="3"/>
      <c r="C147" s="1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</row>
    <row r="148" spans="1:16" x14ac:dyDescent="0.25">
      <c r="A148" s="13"/>
      <c r="B148" s="3"/>
      <c r="C148" s="1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</row>
    <row r="149" spans="1:16" x14ac:dyDescent="0.25">
      <c r="A149" s="13"/>
      <c r="B149" s="3"/>
      <c r="C149" s="1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</row>
    <row r="150" spans="1:16" x14ac:dyDescent="0.25">
      <c r="A150" s="13"/>
      <c r="B150" s="3"/>
      <c r="C150" s="1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</row>
    <row r="151" spans="1:16" x14ac:dyDescent="0.25">
      <c r="A151" s="13"/>
      <c r="B151" s="3"/>
      <c r="C151" s="1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</row>
    <row r="152" spans="1:16" x14ac:dyDescent="0.25">
      <c r="A152" s="13"/>
      <c r="B152" s="3"/>
      <c r="C152" s="1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</row>
    <row r="153" spans="1:16" x14ac:dyDescent="0.25">
      <c r="A153" s="13"/>
      <c r="B153" s="3"/>
      <c r="C153" s="1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</row>
    <row r="154" spans="1:16" x14ac:dyDescent="0.25">
      <c r="A154" s="13"/>
      <c r="B154" s="3"/>
      <c r="C154" s="1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</row>
    <row r="155" spans="1:16" x14ac:dyDescent="0.25">
      <c r="A155" s="13"/>
      <c r="B155" s="3"/>
      <c r="C155" s="1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</row>
    <row r="156" spans="1:16" x14ac:dyDescent="0.25">
      <c r="A156" s="13"/>
      <c r="B156" s="3"/>
      <c r="C156" s="1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</row>
    <row r="157" spans="1:16" x14ac:dyDescent="0.25">
      <c r="A157" s="13"/>
      <c r="B157" s="3"/>
      <c r="C157" s="1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</row>
    <row r="158" spans="1:16" x14ac:dyDescent="0.25">
      <c r="A158" s="13"/>
      <c r="B158" s="3"/>
      <c r="C158" s="1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</row>
    <row r="159" spans="1:16" x14ac:dyDescent="0.25">
      <c r="A159" s="13"/>
      <c r="B159" s="3"/>
      <c r="C159" s="1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</row>
  </sheetData>
  <autoFilter ref="A5:C139" xr:uid="{B593B8AD-AE04-4543-B232-6D3D3239B900}">
    <sortState xmlns:xlrd2="http://schemas.microsoft.com/office/spreadsheetml/2017/richdata2" ref="A69:C139">
      <sortCondition ref="A5:A139"/>
    </sortState>
  </autoFilter>
  <mergeCells count="8">
    <mergeCell ref="D3:F3"/>
    <mergeCell ref="H3:J3"/>
    <mergeCell ref="L3:N3"/>
    <mergeCell ref="D1:P1"/>
    <mergeCell ref="D2:F2"/>
    <mergeCell ref="H2:J2"/>
    <mergeCell ref="L2:N2"/>
    <mergeCell ref="P2:P4"/>
  </mergeCells>
  <pageMargins left="0.70866141732283472" right="0.70866141732283472" top="0.74803149606299213" bottom="0.74803149606299213" header="0.31496062992125984" footer="0.31496062992125984"/>
  <pageSetup paperSize="8" scale="70" orientation="landscape" horizontalDpi="1200" verticalDpi="1200" r:id="rId1"/>
  <colBreaks count="2" manualBreakCount="2">
    <brk id="16" max="1048575" man="1"/>
    <brk id="17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2B490-6296-45FF-BEFC-721B6A64D86A}">
  <sheetPr>
    <tabColor theme="2" tint="-0.249977111117893"/>
  </sheetPr>
  <dimension ref="A1:AH159"/>
  <sheetViews>
    <sheetView view="pageBreakPreview" zoomScaleNormal="100" zoomScaleSheetLayoutView="100" workbookViewId="0">
      <selection activeCell="A2" sqref="A2"/>
    </sheetView>
  </sheetViews>
  <sheetFormatPr defaultColWidth="8.83203125" defaultRowHeight="13.5" x14ac:dyDescent="0.25"/>
  <cols>
    <col min="1" max="1" width="21" customWidth="1"/>
    <col min="2" max="2" width="14.58203125" customWidth="1"/>
    <col min="3" max="3" width="10.08203125" bestFit="1" customWidth="1"/>
    <col min="4" max="4" width="11" style="4" bestFit="1" customWidth="1"/>
    <col min="5" max="5" width="11" bestFit="1" customWidth="1"/>
    <col min="6" max="6" width="10" customWidth="1"/>
    <col min="7" max="7" width="2.83203125" customWidth="1"/>
    <col min="8" max="10" width="11" customWidth="1"/>
    <col min="11" max="11" width="2.83203125" customWidth="1"/>
    <col min="12" max="14" width="10.83203125" customWidth="1"/>
    <col min="15" max="15" width="3.83203125" customWidth="1"/>
    <col min="16" max="16" width="15.5" customWidth="1"/>
    <col min="17" max="17" width="6" customWidth="1"/>
    <col min="18" max="18" width="8.58203125" customWidth="1"/>
    <col min="19" max="34" width="6" customWidth="1"/>
  </cols>
  <sheetData>
    <row r="1" spans="1:34" ht="18.5" thickBot="1" x14ac:dyDescent="0.35">
      <c r="D1" s="59" t="s">
        <v>222</v>
      </c>
      <c r="E1" s="60"/>
      <c r="F1" s="60"/>
      <c r="G1" s="61"/>
      <c r="H1" s="61"/>
      <c r="I1" s="61"/>
      <c r="J1" s="61"/>
      <c r="K1" s="61"/>
      <c r="L1" s="61"/>
      <c r="M1" s="61"/>
      <c r="N1" s="61"/>
      <c r="O1" s="61"/>
      <c r="P1" s="61"/>
      <c r="Q1" s="34"/>
    </row>
    <row r="2" spans="1:34" ht="17.5" customHeight="1" x14ac:dyDescent="0.25">
      <c r="A2" s="11"/>
      <c r="B2" s="2"/>
      <c r="C2" s="19"/>
      <c r="D2" s="70" t="s">
        <v>218</v>
      </c>
      <c r="E2" s="71"/>
      <c r="F2" s="72"/>
      <c r="G2" s="35"/>
      <c r="H2" s="62" t="s">
        <v>219</v>
      </c>
      <c r="I2" s="63"/>
      <c r="J2" s="64"/>
      <c r="K2" s="35"/>
      <c r="L2" s="68" t="s">
        <v>220</v>
      </c>
      <c r="M2" s="69"/>
      <c r="N2" s="73"/>
      <c r="O2" s="55"/>
      <c r="P2" s="62" t="s">
        <v>223</v>
      </c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</row>
    <row r="3" spans="1:34" x14ac:dyDescent="0.25">
      <c r="A3" s="12"/>
      <c r="B3" s="1"/>
      <c r="C3" s="1"/>
      <c r="D3" s="65"/>
      <c r="E3" s="58"/>
      <c r="F3" s="66"/>
      <c r="G3" s="17"/>
      <c r="H3" s="65"/>
      <c r="I3" s="58"/>
      <c r="J3" s="66"/>
      <c r="K3" s="17"/>
      <c r="L3" s="65"/>
      <c r="M3" s="58"/>
      <c r="N3" s="66"/>
      <c r="O3" s="37"/>
      <c r="P3" s="7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</row>
    <row r="4" spans="1:34" x14ac:dyDescent="0.25">
      <c r="A4" s="12"/>
      <c r="B4" s="1"/>
      <c r="C4" s="1"/>
      <c r="D4" s="20" t="s">
        <v>3</v>
      </c>
      <c r="E4" s="5" t="s">
        <v>4</v>
      </c>
      <c r="F4" s="21" t="s">
        <v>5</v>
      </c>
      <c r="G4" s="17"/>
      <c r="H4" s="29" t="s">
        <v>3</v>
      </c>
      <c r="I4" s="17" t="s">
        <v>4</v>
      </c>
      <c r="J4" s="30" t="s">
        <v>5</v>
      </c>
      <c r="K4" s="17"/>
      <c r="L4" s="29" t="s">
        <v>3</v>
      </c>
      <c r="M4" s="17" t="s">
        <v>4</v>
      </c>
      <c r="N4" s="30" t="s">
        <v>5</v>
      </c>
      <c r="O4" s="37"/>
      <c r="P4" s="75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</row>
    <row r="5" spans="1:34" x14ac:dyDescent="0.25">
      <c r="A5" s="9" t="s">
        <v>6</v>
      </c>
      <c r="B5" s="9" t="s">
        <v>7</v>
      </c>
      <c r="C5" s="18" t="s">
        <v>8</v>
      </c>
      <c r="D5" s="22"/>
      <c r="E5" s="10"/>
      <c r="F5" s="23"/>
      <c r="G5" s="18"/>
      <c r="H5" s="31"/>
      <c r="I5" s="18"/>
      <c r="J5" s="32"/>
      <c r="K5" s="18"/>
      <c r="L5" s="31"/>
      <c r="M5" s="18"/>
      <c r="N5" s="32"/>
      <c r="O5" s="49"/>
      <c r="P5" s="17" t="s">
        <v>208</v>
      </c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</row>
    <row r="6" spans="1:34" x14ac:dyDescent="0.25">
      <c r="A6" s="3" t="s">
        <v>9</v>
      </c>
      <c r="B6" s="3" t="s">
        <v>10</v>
      </c>
      <c r="C6" s="8" t="s">
        <v>11</v>
      </c>
      <c r="D6" s="50">
        <v>169.7111759923128</v>
      </c>
      <c r="E6" s="51">
        <v>225.87409453765983</v>
      </c>
      <c r="F6" s="52">
        <v>275.8472540468623</v>
      </c>
      <c r="G6" s="48"/>
      <c r="H6" s="47">
        <v>13.095374031378356</v>
      </c>
      <c r="I6" s="48">
        <v>18.497314251177244</v>
      </c>
      <c r="J6" s="43">
        <v>20.24546400160779</v>
      </c>
      <c r="K6" s="48"/>
      <c r="L6" s="47">
        <v>38.343304224021395</v>
      </c>
      <c r="M6" s="48">
        <v>39.214742956385514</v>
      </c>
      <c r="N6" s="43">
        <v>43.073971628283772</v>
      </c>
      <c r="O6" s="53"/>
      <c r="P6" s="54">
        <v>0.19499999999999998</v>
      </c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</row>
    <row r="7" spans="1:34" x14ac:dyDescent="0.25">
      <c r="A7" s="3" t="s">
        <v>9</v>
      </c>
      <c r="B7" s="3" t="s">
        <v>12</v>
      </c>
      <c r="C7" s="8" t="s">
        <v>11</v>
      </c>
      <c r="D7" s="41">
        <v>183.25716978342817</v>
      </c>
      <c r="E7" s="42">
        <v>243.49623955946484</v>
      </c>
      <c r="F7" s="43">
        <v>299.65014967846844</v>
      </c>
      <c r="G7" s="48"/>
      <c r="H7" s="47">
        <v>12.232494798311077</v>
      </c>
      <c r="I7" s="48">
        <v>17.278490848606566</v>
      </c>
      <c r="J7" s="43">
        <v>18.911451669547674</v>
      </c>
      <c r="K7" s="48"/>
      <c r="L7" s="47">
        <v>35.8167905969336</v>
      </c>
      <c r="M7" s="48">
        <v>36.630808565045733</v>
      </c>
      <c r="N7" s="43">
        <v>40.235745280970868</v>
      </c>
      <c r="O7" s="53"/>
      <c r="P7" s="54">
        <v>0.19499999999999998</v>
      </c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</row>
    <row r="8" spans="1:34" x14ac:dyDescent="0.25">
      <c r="A8" s="3" t="s">
        <v>9</v>
      </c>
      <c r="B8" s="3" t="s">
        <v>209</v>
      </c>
      <c r="C8" s="8" t="s">
        <v>11</v>
      </c>
      <c r="D8" s="41">
        <v>183.25716978342817</v>
      </c>
      <c r="E8" s="42">
        <v>243.49623955946484</v>
      </c>
      <c r="F8" s="43">
        <v>299.65014967846844</v>
      </c>
      <c r="G8" s="48"/>
      <c r="H8" s="47">
        <v>12.232494798311077</v>
      </c>
      <c r="I8" s="48">
        <v>17.278490848606566</v>
      </c>
      <c r="J8" s="43">
        <v>18.911451669547674</v>
      </c>
      <c r="K8" s="48"/>
      <c r="L8" s="47">
        <v>35.8167905969336</v>
      </c>
      <c r="M8" s="48">
        <v>36.630808565045733</v>
      </c>
      <c r="N8" s="43">
        <v>40.235745280970868</v>
      </c>
      <c r="O8" s="53"/>
      <c r="P8" s="54">
        <v>0.19499999999999998</v>
      </c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</row>
    <row r="9" spans="1:34" x14ac:dyDescent="0.25">
      <c r="A9" s="3" t="s">
        <v>9</v>
      </c>
      <c r="B9" s="3" t="s">
        <v>13</v>
      </c>
      <c r="C9" s="8" t="s">
        <v>11</v>
      </c>
      <c r="D9" s="41">
        <v>240.2144929410895</v>
      </c>
      <c r="E9" s="42">
        <v>319.41505284943452</v>
      </c>
      <c r="F9" s="43">
        <v>393.24478897183826</v>
      </c>
      <c r="G9" s="48"/>
      <c r="H9" s="47">
        <v>16.026410325865236</v>
      </c>
      <c r="I9" s="48">
        <v>22.637425048380901</v>
      </c>
      <c r="J9" s="43">
        <v>24.776849637883057</v>
      </c>
      <c r="K9" s="48"/>
      <c r="L9" s="47">
        <v>46.925389475031949</v>
      </c>
      <c r="M9" s="48">
        <v>47.991875599464485</v>
      </c>
      <c r="N9" s="43">
        <v>52.714885579094329</v>
      </c>
      <c r="O9" s="53"/>
      <c r="P9" s="54">
        <v>0.19499999999999998</v>
      </c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</row>
    <row r="10" spans="1:34" x14ac:dyDescent="0.25">
      <c r="A10" s="3" t="s">
        <v>9</v>
      </c>
      <c r="B10" s="3" t="s">
        <v>14</v>
      </c>
      <c r="C10" s="8" t="s">
        <v>11</v>
      </c>
      <c r="D10" s="41">
        <v>180.25699423460713</v>
      </c>
      <c r="E10" s="42">
        <v>238.6416678985882</v>
      </c>
      <c r="F10" s="43">
        <v>295.40792002365288</v>
      </c>
      <c r="G10" s="48"/>
      <c r="H10" s="47">
        <v>12.701911647936258</v>
      </c>
      <c r="I10" s="48">
        <v>17.941545677090964</v>
      </c>
      <c r="J10" s="43">
        <v>19.637170683610417</v>
      </c>
      <c r="K10" s="48"/>
      <c r="L10" s="47">
        <v>37.191244891246384</v>
      </c>
      <c r="M10" s="48">
        <v>38.036500456956531</v>
      </c>
      <c r="N10" s="43">
        <v>41.779775105101457</v>
      </c>
      <c r="O10" s="53"/>
      <c r="P10" s="54">
        <v>0.19499999999999998</v>
      </c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</row>
    <row r="11" spans="1:34" x14ac:dyDescent="0.25">
      <c r="A11" s="3" t="s">
        <v>9</v>
      </c>
      <c r="B11" s="3" t="s">
        <v>15</v>
      </c>
      <c r="C11" s="8" t="s">
        <v>11</v>
      </c>
      <c r="D11" s="41">
        <v>232.82633601892229</v>
      </c>
      <c r="E11" s="42">
        <v>307.44262325375121</v>
      </c>
      <c r="F11" s="43">
        <v>377.01811848621475</v>
      </c>
      <c r="G11" s="48"/>
      <c r="H11" s="47">
        <v>15.601821123965117</v>
      </c>
      <c r="I11" s="48">
        <v>22.037689609256798</v>
      </c>
      <c r="J11" s="43">
        <v>24.120434221115044</v>
      </c>
      <c r="K11" s="48"/>
      <c r="L11" s="47">
        <v>45.682190701199204</v>
      </c>
      <c r="M11" s="48">
        <v>46.72042230804464</v>
      </c>
      <c r="N11" s="43">
        <v>51.318305138360145</v>
      </c>
      <c r="O11" s="53"/>
      <c r="P11" s="54">
        <v>0.19499999999999998</v>
      </c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</row>
    <row r="12" spans="1:34" x14ac:dyDescent="0.25">
      <c r="A12" s="3" t="s">
        <v>9</v>
      </c>
      <c r="B12" s="3" t="s">
        <v>16</v>
      </c>
      <c r="C12" s="8" t="s">
        <v>11</v>
      </c>
      <c r="D12" s="41">
        <v>199.91259516593982</v>
      </c>
      <c r="E12" s="42">
        <v>265.6963282578165</v>
      </c>
      <c r="F12" s="43">
        <v>327.01899623032006</v>
      </c>
      <c r="G12" s="48"/>
      <c r="H12" s="47">
        <v>12.756240788427794</v>
      </c>
      <c r="I12" s="48">
        <v>18.018285996402216</v>
      </c>
      <c r="J12" s="43">
        <v>19.721163600149044</v>
      </c>
      <c r="K12" s="48"/>
      <c r="L12" s="47">
        <v>37.350320818142784</v>
      </c>
      <c r="M12" s="48">
        <v>38.199191745827846</v>
      </c>
      <c r="N12" s="43">
        <v>41.958477282718839</v>
      </c>
      <c r="O12" s="53"/>
      <c r="P12" s="54">
        <v>0.19499999999999998</v>
      </c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</row>
    <row r="13" spans="1:34" x14ac:dyDescent="0.25">
      <c r="A13" s="3" t="s">
        <v>9</v>
      </c>
      <c r="B13" s="3" t="s">
        <v>17</v>
      </c>
      <c r="C13" s="8" t="s">
        <v>11</v>
      </c>
      <c r="D13" s="41">
        <v>176.10110688151377</v>
      </c>
      <c r="E13" s="42">
        <v>233.12227437356788</v>
      </c>
      <c r="F13" s="43">
        <v>288.56271712617337</v>
      </c>
      <c r="G13" s="48"/>
      <c r="H13" s="47">
        <v>12.409459652055752</v>
      </c>
      <c r="I13" s="48">
        <v>17.528455034683681</v>
      </c>
      <c r="J13" s="43">
        <v>19.185039546262981</v>
      </c>
      <c r="K13" s="48"/>
      <c r="L13" s="47">
        <v>36.334944351674224</v>
      </c>
      <c r="M13" s="48">
        <v>37.160738541485003</v>
      </c>
      <c r="N13" s="43">
        <v>40.817827096361313</v>
      </c>
      <c r="O13" s="53"/>
      <c r="P13" s="54">
        <v>0.19499999999999998</v>
      </c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</row>
    <row r="14" spans="1:34" x14ac:dyDescent="0.25">
      <c r="A14" s="3" t="s">
        <v>9</v>
      </c>
      <c r="B14" s="3" t="s">
        <v>18</v>
      </c>
      <c r="C14" s="8" t="s">
        <v>11</v>
      </c>
      <c r="D14" s="41">
        <v>165.80041022987655</v>
      </c>
      <c r="E14" s="42">
        <v>221.53457387833541</v>
      </c>
      <c r="F14" s="43">
        <v>272.02158326557765</v>
      </c>
      <c r="G14" s="48"/>
      <c r="H14" s="47">
        <v>11.647026823803621</v>
      </c>
      <c r="I14" s="48">
        <v>16.451512933923457</v>
      </c>
      <c r="J14" s="43">
        <v>18.006317476848537</v>
      </c>
      <c r="K14" s="48"/>
      <c r="L14" s="47">
        <v>34.102538174194827</v>
      </c>
      <c r="M14" s="48">
        <v>34.877595859971976</v>
      </c>
      <c r="N14" s="43">
        <v>38.309994182699377</v>
      </c>
      <c r="O14" s="53"/>
      <c r="P14" s="54">
        <v>0.19499999999999998</v>
      </c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</row>
    <row r="15" spans="1:34" x14ac:dyDescent="0.25">
      <c r="A15" s="3" t="s">
        <v>9</v>
      </c>
      <c r="B15" s="3" t="s">
        <v>19</v>
      </c>
      <c r="C15" s="8" t="s">
        <v>11</v>
      </c>
      <c r="D15" s="41">
        <v>174.4009165496341</v>
      </c>
      <c r="E15" s="42">
        <v>230.86430076132751</v>
      </c>
      <c r="F15" s="43">
        <v>285.76239005100155</v>
      </c>
      <c r="G15" s="48"/>
      <c r="H15" s="47">
        <v>12.289819872627655</v>
      </c>
      <c r="I15" s="48">
        <v>17.35946294696474</v>
      </c>
      <c r="J15" s="43">
        <v>19.000076303382865</v>
      </c>
      <c r="K15" s="48"/>
      <c r="L15" s="47">
        <v>35.984638629293606</v>
      </c>
      <c r="M15" s="48">
        <v>36.802471325413919</v>
      </c>
      <c r="N15" s="43">
        <v>40.424301836803863</v>
      </c>
      <c r="O15" s="53"/>
      <c r="P15" s="54">
        <v>0.19499999999999998</v>
      </c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</row>
    <row r="16" spans="1:34" x14ac:dyDescent="0.25">
      <c r="A16" s="3" t="s">
        <v>9</v>
      </c>
      <c r="B16" s="3" t="s">
        <v>20</v>
      </c>
      <c r="C16" s="8" t="s">
        <v>11</v>
      </c>
      <c r="D16" s="41">
        <v>166.08918804050558</v>
      </c>
      <c r="E16" s="42">
        <v>219.82542131717051</v>
      </c>
      <c r="F16" s="43">
        <v>272.07207665015892</v>
      </c>
      <c r="G16" s="48"/>
      <c r="H16" s="47">
        <v>11.704912288619848</v>
      </c>
      <c r="I16" s="48">
        <v>16.533276588074578</v>
      </c>
      <c r="J16" s="43">
        <v>18.095808475070132</v>
      </c>
      <c r="K16" s="48"/>
      <c r="L16" s="47">
        <v>34.272027032037229</v>
      </c>
      <c r="M16" s="48">
        <v>35.050936737310799</v>
      </c>
      <c r="N16" s="43">
        <v>38.500394003522338</v>
      </c>
      <c r="O16" s="53"/>
      <c r="P16" s="54">
        <v>0.19499999999999998</v>
      </c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</row>
    <row r="17" spans="1:34" x14ac:dyDescent="0.25">
      <c r="A17" s="3" t="s">
        <v>9</v>
      </c>
      <c r="B17" s="3" t="s">
        <v>21</v>
      </c>
      <c r="C17" s="8" t="s">
        <v>11</v>
      </c>
      <c r="D17" s="41">
        <v>177.42340527755192</v>
      </c>
      <c r="E17" s="42">
        <v>234.8784555399512</v>
      </c>
      <c r="F17" s="43">
        <v>290.74072363071917</v>
      </c>
      <c r="G17" s="48"/>
      <c r="H17" s="47">
        <v>12.502513212971692</v>
      </c>
      <c r="I17" s="48">
        <v>17.659893888917924</v>
      </c>
      <c r="J17" s="43">
        <v>19.328900463349505</v>
      </c>
      <c r="K17" s="48"/>
      <c r="L17" s="47">
        <v>36.60740552664938</v>
      </c>
      <c r="M17" s="48">
        <v>37.439392015891407</v>
      </c>
      <c r="N17" s="43">
        <v>41.12390361110613</v>
      </c>
      <c r="O17" s="53"/>
      <c r="P17" s="54">
        <v>0.19499999999999998</v>
      </c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</row>
    <row r="18" spans="1:34" x14ac:dyDescent="0.25">
      <c r="A18" s="3" t="s">
        <v>9</v>
      </c>
      <c r="B18" s="3" t="s">
        <v>22</v>
      </c>
      <c r="C18" s="8" t="s">
        <v>11</v>
      </c>
      <c r="D18" s="41">
        <v>186.3018792963264</v>
      </c>
      <c r="E18" s="42">
        <v>246.66997745583561</v>
      </c>
      <c r="F18" s="43">
        <v>305.3644947889718</v>
      </c>
      <c r="G18" s="48"/>
      <c r="H18" s="47">
        <v>13.127301920871131</v>
      </c>
      <c r="I18" s="48">
        <v>18.542412635072932</v>
      </c>
      <c r="J18" s="43">
        <v>20.294824557161565</v>
      </c>
      <c r="K18" s="48"/>
      <c r="L18" s="47">
        <v>38.436789204070003</v>
      </c>
      <c r="M18" s="48">
        <v>39.310352595071599</v>
      </c>
      <c r="N18" s="43">
        <v>43.178990469507212</v>
      </c>
      <c r="O18" s="53"/>
      <c r="P18" s="54">
        <v>0.19499999999999998</v>
      </c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</row>
    <row r="19" spans="1:34" x14ac:dyDescent="0.25">
      <c r="A19" s="3" t="s">
        <v>9</v>
      </c>
      <c r="B19" s="3" t="s">
        <v>23</v>
      </c>
      <c r="C19" s="8" t="s">
        <v>11</v>
      </c>
      <c r="D19" s="41">
        <v>164.95578941533003</v>
      </c>
      <c r="E19" s="42">
        <v>218.32013637371571</v>
      </c>
      <c r="F19" s="43">
        <v>270.20520733239704</v>
      </c>
      <c r="G19" s="48"/>
      <c r="H19" s="47">
        <v>11.625157225330172</v>
      </c>
      <c r="I19" s="48">
        <v>16.420621961696074</v>
      </c>
      <c r="J19" s="43">
        <v>17.9725070513072</v>
      </c>
      <c r="K19" s="48"/>
      <c r="L19" s="47">
        <v>34.038503907932899</v>
      </c>
      <c r="M19" s="48">
        <v>34.812106269476836</v>
      </c>
      <c r="N19" s="43">
        <v>38.238059584885661</v>
      </c>
      <c r="O19" s="53"/>
      <c r="P19" s="54">
        <v>0.19499999999999998</v>
      </c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</row>
    <row r="20" spans="1:34" x14ac:dyDescent="0.25">
      <c r="A20" s="3" t="s">
        <v>9</v>
      </c>
      <c r="B20" s="3" t="s">
        <v>24</v>
      </c>
      <c r="C20" s="8" t="s">
        <v>11</v>
      </c>
      <c r="D20" s="41">
        <v>175.34546160100524</v>
      </c>
      <c r="E20" s="42">
        <v>232.11873567891195</v>
      </c>
      <c r="F20" s="43">
        <v>287.31816837903762</v>
      </c>
      <c r="G20" s="48"/>
      <c r="H20" s="47">
        <v>12.35628721503144</v>
      </c>
      <c r="I20" s="48">
        <v>17.453348567714283</v>
      </c>
      <c r="J20" s="43">
        <v>19.102834894675787</v>
      </c>
      <c r="K20" s="48"/>
      <c r="L20" s="47">
        <v>36.179255256863293</v>
      </c>
      <c r="M20" s="48">
        <v>37.001511058155643</v>
      </c>
      <c r="N20" s="43">
        <v>40.64292960673604</v>
      </c>
      <c r="O20" s="53"/>
      <c r="P20" s="54">
        <v>0.19499999999999998</v>
      </c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</row>
    <row r="21" spans="1:34" x14ac:dyDescent="0.25">
      <c r="A21" s="3" t="s">
        <v>9</v>
      </c>
      <c r="B21" s="3" t="s">
        <v>25</v>
      </c>
      <c r="C21" s="8" t="s">
        <v>11</v>
      </c>
      <c r="D21" s="41">
        <v>184.22393561977972</v>
      </c>
      <c r="E21" s="42">
        <v>243.91025759479635</v>
      </c>
      <c r="F21" s="43">
        <v>301.94193953729024</v>
      </c>
      <c r="G21" s="48"/>
      <c r="H21" s="47">
        <v>12.981075922930879</v>
      </c>
      <c r="I21" s="48">
        <v>18.335867313869294</v>
      </c>
      <c r="J21" s="43">
        <v>20.068758988487847</v>
      </c>
      <c r="K21" s="48"/>
      <c r="L21" s="47">
        <v>38.008638934283915</v>
      </c>
      <c r="M21" s="48">
        <v>38.872471637335821</v>
      </c>
      <c r="N21" s="43">
        <v>42.698016465137137</v>
      </c>
      <c r="O21" s="53"/>
      <c r="P21" s="54">
        <v>0.19499999999999998</v>
      </c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</row>
    <row r="22" spans="1:34" x14ac:dyDescent="0.25">
      <c r="A22" s="3" t="s">
        <v>9</v>
      </c>
      <c r="B22" s="3" t="s">
        <v>26</v>
      </c>
      <c r="C22" s="8" t="s">
        <v>11</v>
      </c>
      <c r="D22" s="41">
        <v>217.4709882474684</v>
      </c>
      <c r="E22" s="42">
        <v>288.0656367802498</v>
      </c>
      <c r="F22" s="43">
        <v>356.70333173183531</v>
      </c>
      <c r="G22" s="48"/>
      <c r="H22" s="47">
        <v>15.320695482221726</v>
      </c>
      <c r="I22" s="48">
        <v>21.640597527203148</v>
      </c>
      <c r="J22" s="43">
        <v>23.685813640885186</v>
      </c>
      <c r="K22" s="48"/>
      <c r="L22" s="47">
        <v>44.859053768973261</v>
      </c>
      <c r="M22" s="48">
        <v>45.878577718268112</v>
      </c>
      <c r="N22" s="43">
        <v>50.393612350859577</v>
      </c>
      <c r="O22" s="53"/>
      <c r="P22" s="54">
        <v>0.19499999999999998</v>
      </c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</row>
    <row r="23" spans="1:34" x14ac:dyDescent="0.25">
      <c r="A23" s="3" t="s">
        <v>9</v>
      </c>
      <c r="B23" s="3" t="s">
        <v>27</v>
      </c>
      <c r="C23" s="8" t="s">
        <v>11</v>
      </c>
      <c r="D23" s="41">
        <v>170.24507539359894</v>
      </c>
      <c r="E23" s="42">
        <v>225.34490723630717</v>
      </c>
      <c r="F23" s="43">
        <v>278.9172333505802</v>
      </c>
      <c r="G23" s="48"/>
      <c r="H23" s="47">
        <v>11.997367876747148</v>
      </c>
      <c r="I23" s="48">
        <v>16.946372304557457</v>
      </c>
      <c r="J23" s="43">
        <v>18.547945166035429</v>
      </c>
      <c r="K23" s="48"/>
      <c r="L23" s="47">
        <v>35.128338089721446</v>
      </c>
      <c r="M23" s="48">
        <v>35.92670940994239</v>
      </c>
      <c r="N23" s="43">
        <v>39.462353828063712</v>
      </c>
      <c r="O23" s="53"/>
      <c r="P23" s="54">
        <v>0.19499999999999998</v>
      </c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</row>
    <row r="24" spans="1:34" x14ac:dyDescent="0.25">
      <c r="A24" s="3" t="s">
        <v>9</v>
      </c>
      <c r="B24" s="3" t="s">
        <v>28</v>
      </c>
      <c r="C24" s="8" t="s">
        <v>11</v>
      </c>
      <c r="D24" s="41">
        <v>200.09183975164461</v>
      </c>
      <c r="E24" s="42">
        <v>264.98443159139623</v>
      </c>
      <c r="F24" s="43">
        <v>328.07806378889791</v>
      </c>
      <c r="G24" s="48"/>
      <c r="H24" s="47">
        <v>14.097707877181803</v>
      </c>
      <c r="I24" s="48">
        <v>19.91311834245343</v>
      </c>
      <c r="J24" s="43">
        <v>21.79507333267253</v>
      </c>
      <c r="K24" s="48"/>
      <c r="L24" s="47">
        <v>41.27814147964957</v>
      </c>
      <c r="M24" s="48">
        <v>42.216281058732513</v>
      </c>
      <c r="N24" s="43">
        <v>46.370899194671267</v>
      </c>
      <c r="O24" s="53"/>
      <c r="P24" s="54">
        <v>0.19499999999999998</v>
      </c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</row>
    <row r="25" spans="1:34" x14ac:dyDescent="0.25">
      <c r="A25" s="3" t="s">
        <v>9</v>
      </c>
      <c r="B25" s="3" t="s">
        <v>29</v>
      </c>
      <c r="C25" s="8" t="s">
        <v>11</v>
      </c>
      <c r="D25" s="41">
        <v>169.67837608101115</v>
      </c>
      <c r="E25" s="42">
        <v>224.59226476457977</v>
      </c>
      <c r="F25" s="43">
        <v>277.98382179022838</v>
      </c>
      <c r="G25" s="48"/>
      <c r="H25" s="47">
        <v>11.957490345102309</v>
      </c>
      <c r="I25" s="48">
        <v>16.890044991368203</v>
      </c>
      <c r="J25" s="43">
        <v>18.48629445415396</v>
      </c>
      <c r="K25" s="48"/>
      <c r="L25" s="47">
        <v>35.011576527669291</v>
      </c>
      <c r="M25" s="48">
        <v>35.807294176025408</v>
      </c>
      <c r="N25" s="43">
        <v>39.331186618745377</v>
      </c>
      <c r="O25" s="53"/>
      <c r="P25" s="54">
        <v>0.19499999999999998</v>
      </c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</row>
    <row r="26" spans="1:34" x14ac:dyDescent="0.25">
      <c r="A26" s="3" t="s">
        <v>9</v>
      </c>
      <c r="B26" s="3" t="s">
        <v>30</v>
      </c>
      <c r="C26" s="8" t="s">
        <v>11</v>
      </c>
      <c r="D26" s="41">
        <v>243.37390974942713</v>
      </c>
      <c r="E26" s="42">
        <v>338.76154926454279</v>
      </c>
      <c r="F26" s="43">
        <v>412.5956741074728</v>
      </c>
      <c r="G26" s="48"/>
      <c r="H26" s="47">
        <v>16.63</v>
      </c>
      <c r="I26" s="48">
        <v>23.49</v>
      </c>
      <c r="J26" s="43">
        <v>25.71</v>
      </c>
      <c r="K26" s="48"/>
      <c r="L26" s="47">
        <v>48.692702302170133</v>
      </c>
      <c r="M26" s="48">
        <v>49.799354627219451</v>
      </c>
      <c r="N26" s="43">
        <v>54.700243495295013</v>
      </c>
      <c r="O26" s="53"/>
      <c r="P26" s="54">
        <v>0.19499999999999998</v>
      </c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</row>
    <row r="27" spans="1:34" x14ac:dyDescent="0.25">
      <c r="A27" s="3" t="s">
        <v>9</v>
      </c>
      <c r="B27" s="3" t="s">
        <v>31</v>
      </c>
      <c r="C27" s="8" t="s">
        <v>11</v>
      </c>
      <c r="D27" s="41">
        <v>218.41548710178134</v>
      </c>
      <c r="E27" s="42">
        <v>289.32007169783424</v>
      </c>
      <c r="F27" s="43">
        <v>358.25906386281321</v>
      </c>
      <c r="G27" s="48"/>
      <c r="H27" s="47">
        <v>15.387162824625513</v>
      </c>
      <c r="I27" s="48">
        <v>21.734483147952695</v>
      </c>
      <c r="J27" s="43">
        <v>23.788572232178112</v>
      </c>
      <c r="K27" s="48"/>
      <c r="L27" s="47">
        <v>45.053670396542955</v>
      </c>
      <c r="M27" s="48">
        <v>46.077617451009843</v>
      </c>
      <c r="N27" s="43">
        <v>50.612240120791768</v>
      </c>
      <c r="O27" s="53"/>
      <c r="P27" s="54">
        <v>0.19499999999999998</v>
      </c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</row>
    <row r="28" spans="1:34" x14ac:dyDescent="0.25">
      <c r="A28" s="3" t="s">
        <v>9</v>
      </c>
      <c r="B28" s="3" t="s">
        <v>32</v>
      </c>
      <c r="C28" s="8" t="s">
        <v>11</v>
      </c>
      <c r="D28" s="41">
        <v>226.72721561090989</v>
      </c>
      <c r="E28" s="42">
        <v>300.3589049449331</v>
      </c>
      <c r="F28" s="43">
        <v>371.94937726365583</v>
      </c>
      <c r="G28" s="48"/>
      <c r="H28" s="47">
        <v>15.972066816386528</v>
      </c>
      <c r="I28" s="48">
        <v>22.560664432767261</v>
      </c>
      <c r="J28" s="43">
        <v>24.69283450687298</v>
      </c>
      <c r="K28" s="48"/>
      <c r="L28" s="47">
        <v>46.766271475687269</v>
      </c>
      <c r="M28" s="48">
        <v>47.829141281952893</v>
      </c>
      <c r="N28" s="43">
        <v>52.53613613827207</v>
      </c>
      <c r="O28" s="53"/>
      <c r="P28" s="54">
        <v>0.19499999999999998</v>
      </c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</row>
    <row r="29" spans="1:34" x14ac:dyDescent="0.25">
      <c r="A29" s="3" t="s">
        <v>9</v>
      </c>
      <c r="B29" s="3" t="s">
        <v>33</v>
      </c>
      <c r="C29" s="8" t="s">
        <v>11</v>
      </c>
      <c r="D29" s="41">
        <v>170.43392896740335</v>
      </c>
      <c r="E29" s="42">
        <v>225.5958034592357</v>
      </c>
      <c r="F29" s="43">
        <v>279.22837053736419</v>
      </c>
      <c r="G29" s="48"/>
      <c r="H29" s="47">
        <v>12.01065918987983</v>
      </c>
      <c r="I29" s="48">
        <v>16.96514638426201</v>
      </c>
      <c r="J29" s="43">
        <v>18.5684935521233</v>
      </c>
      <c r="K29" s="48"/>
      <c r="L29" s="47">
        <v>35.167255104368152</v>
      </c>
      <c r="M29" s="48">
        <v>35.966510902194699</v>
      </c>
      <c r="N29" s="43">
        <v>39.506072292569421</v>
      </c>
      <c r="O29" s="53"/>
      <c r="P29" s="54">
        <v>0.19499999999999998</v>
      </c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</row>
    <row r="30" spans="1:34" x14ac:dyDescent="0.25">
      <c r="A30" s="3" t="s">
        <v>9</v>
      </c>
      <c r="B30" s="3" t="s">
        <v>34</v>
      </c>
      <c r="C30" s="8" t="s">
        <v>11</v>
      </c>
      <c r="D30" s="41">
        <v>175.37544349175843</v>
      </c>
      <c r="E30" s="42">
        <v>243.59625619040577</v>
      </c>
      <c r="F30" s="43">
        <v>296.40198832138367</v>
      </c>
      <c r="G30" s="48"/>
      <c r="H30" s="47">
        <v>11.944848079120117</v>
      </c>
      <c r="I30" s="48">
        <v>16.872187695642307</v>
      </c>
      <c r="J30" s="43">
        <v>18.466749495741325</v>
      </c>
      <c r="K30" s="48"/>
      <c r="L30" s="47">
        <v>34.974559925510803</v>
      </c>
      <c r="M30" s="48">
        <v>35.769436287454226</v>
      </c>
      <c r="N30" s="43">
        <v>39.28960303320369</v>
      </c>
      <c r="O30" s="53"/>
      <c r="P30" s="54">
        <v>0.19499999999999998</v>
      </c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</row>
    <row r="31" spans="1:34" x14ac:dyDescent="0.25">
      <c r="A31" s="3" t="s">
        <v>9</v>
      </c>
      <c r="B31" s="3" t="s">
        <v>35</v>
      </c>
      <c r="C31" s="8" t="s">
        <v>11</v>
      </c>
      <c r="D31" s="41">
        <v>220.77107509793774</v>
      </c>
      <c r="E31" s="42">
        <v>307.12839086406973</v>
      </c>
      <c r="F31" s="43">
        <v>373.97266982038582</v>
      </c>
      <c r="G31" s="48"/>
      <c r="H31" s="47">
        <v>15.072646746030205</v>
      </c>
      <c r="I31" s="48">
        <v>21.290226822865275</v>
      </c>
      <c r="J31" s="43">
        <v>23.302329996418315</v>
      </c>
      <c r="K31" s="48"/>
      <c r="L31" s="47">
        <v>44.132766140121589</v>
      </c>
      <c r="M31" s="48">
        <v>45.135783552397079</v>
      </c>
      <c r="N31" s="43">
        <v>49.577717806759971</v>
      </c>
      <c r="O31" s="53"/>
      <c r="P31" s="54">
        <v>0.19499999999999998</v>
      </c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</row>
    <row r="32" spans="1:34" x14ac:dyDescent="0.25">
      <c r="A32" s="3" t="s">
        <v>9</v>
      </c>
      <c r="B32" s="3" t="s">
        <v>36</v>
      </c>
      <c r="C32" s="8" t="s">
        <v>11</v>
      </c>
      <c r="D32" s="41">
        <v>174.58986251755488</v>
      </c>
      <c r="E32" s="42">
        <v>231.11519698425602</v>
      </c>
      <c r="F32" s="43">
        <v>286.07352723778547</v>
      </c>
      <c r="G32" s="48"/>
      <c r="H32" s="47">
        <v>12.303114778007128</v>
      </c>
      <c r="I32" s="48">
        <v>17.378242100744885</v>
      </c>
      <c r="J32" s="43">
        <v>19.020630243088593</v>
      </c>
      <c r="K32" s="48"/>
      <c r="L32" s="47">
        <v>36.023566162052383</v>
      </c>
      <c r="M32" s="48">
        <v>36.842283574826297</v>
      </c>
      <c r="N32" s="43">
        <v>40.468032117110788</v>
      </c>
      <c r="O32" s="53"/>
      <c r="P32" s="54">
        <v>0.19499999999999998</v>
      </c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</row>
    <row r="33" spans="1:34" x14ac:dyDescent="0.25">
      <c r="A33" s="3" t="s">
        <v>9</v>
      </c>
      <c r="B33" s="3" t="s">
        <v>37</v>
      </c>
      <c r="C33" s="8" t="s">
        <v>11</v>
      </c>
      <c r="D33" s="41">
        <v>189.81091544090472</v>
      </c>
      <c r="E33" s="42">
        <v>263.79892268460344</v>
      </c>
      <c r="F33" s="43">
        <v>321.06881513785203</v>
      </c>
      <c r="G33" s="48"/>
      <c r="H33" s="47">
        <v>12.939459995295689</v>
      </c>
      <c r="I33" s="48">
        <v>18.277084503276953</v>
      </c>
      <c r="J33" s="43">
        <v>20.004420714314623</v>
      </c>
      <c r="K33" s="48"/>
      <c r="L33" s="47">
        <v>37.886787342259332</v>
      </c>
      <c r="M33" s="48">
        <v>38.747850690947047</v>
      </c>
      <c r="N33" s="43">
        <v>42.561131235135484</v>
      </c>
      <c r="O33" s="53"/>
      <c r="P33" s="54">
        <v>0.19499999999999998</v>
      </c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</row>
    <row r="34" spans="1:34" x14ac:dyDescent="0.25">
      <c r="A34" s="3" t="s">
        <v>9</v>
      </c>
      <c r="B34" s="3" t="s">
        <v>38</v>
      </c>
      <c r="C34" s="8" t="s">
        <v>11</v>
      </c>
      <c r="D34" s="41">
        <v>211.23715721782835</v>
      </c>
      <c r="E34" s="42">
        <v>279.78652339419023</v>
      </c>
      <c r="F34" s="43">
        <v>346.43557358267424</v>
      </c>
      <c r="G34" s="48"/>
      <c r="H34" s="47">
        <v>14.882013896154174</v>
      </c>
      <c r="I34" s="48">
        <v>21.020956489516628</v>
      </c>
      <c r="J34" s="43">
        <v>23.007611381246171</v>
      </c>
      <c r="K34" s="48"/>
      <c r="L34" s="47">
        <v>43.574592441502951</v>
      </c>
      <c r="M34" s="48">
        <v>44.564924087900749</v>
      </c>
      <c r="N34" s="43">
        <v>48.95067852194812</v>
      </c>
      <c r="O34" s="53"/>
      <c r="P34" s="54">
        <v>0.19499999999999998</v>
      </c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</row>
    <row r="35" spans="1:34" x14ac:dyDescent="0.25">
      <c r="A35" s="3" t="s">
        <v>9</v>
      </c>
      <c r="B35" s="3" t="s">
        <v>210</v>
      </c>
      <c r="C35" s="8" t="s">
        <v>11</v>
      </c>
      <c r="D35" s="41">
        <v>219.251515263508</v>
      </c>
      <c r="E35" s="42">
        <v>305.00180168526867</v>
      </c>
      <c r="F35" s="43">
        <v>371.37616416586587</v>
      </c>
      <c r="G35" s="48"/>
      <c r="H35" s="47">
        <v>14.967953012297338</v>
      </c>
      <c r="I35" s="48">
        <v>21.142346137033343</v>
      </c>
      <c r="J35" s="43">
        <v>23.140473358157823</v>
      </c>
      <c r="K35" s="48"/>
      <c r="L35" s="47">
        <v>43.826222495530061</v>
      </c>
      <c r="M35" s="48">
        <v>44.822273006792102</v>
      </c>
      <c r="N35" s="43">
        <v>49.23335384238117</v>
      </c>
      <c r="O35" s="53"/>
      <c r="P35" s="54">
        <v>0.19499999999999998</v>
      </c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</row>
    <row r="36" spans="1:34" x14ac:dyDescent="0.25">
      <c r="A36" s="3" t="s">
        <v>9</v>
      </c>
      <c r="B36" s="3" t="s">
        <v>39</v>
      </c>
      <c r="C36" s="8" t="s">
        <v>11</v>
      </c>
      <c r="D36" s="41">
        <v>179.17427378224554</v>
      </c>
      <c r="E36" s="42">
        <v>248.9127522359376</v>
      </c>
      <c r="F36" s="43">
        <v>302.89332175327075</v>
      </c>
      <c r="G36" s="48"/>
      <c r="H36" s="47">
        <v>12.2065895620234</v>
      </c>
      <c r="I36" s="48">
        <v>17.241899507632571</v>
      </c>
      <c r="J36" s="43">
        <v>18.871402143092102</v>
      </c>
      <c r="K36" s="48"/>
      <c r="L36" s="47">
        <v>35.740939968032627</v>
      </c>
      <c r="M36" s="48">
        <v>36.553234058215189</v>
      </c>
      <c r="N36" s="43">
        <v>40.150536457595095</v>
      </c>
      <c r="O36" s="53"/>
      <c r="P36" s="54">
        <v>0.19499999999999998</v>
      </c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</row>
    <row r="37" spans="1:34" x14ac:dyDescent="0.25">
      <c r="A37" s="3" t="s">
        <v>9</v>
      </c>
      <c r="B37" s="3" t="s">
        <v>40</v>
      </c>
      <c r="C37" s="8" t="s">
        <v>11</v>
      </c>
      <c r="D37" s="41">
        <v>210.67036551112423</v>
      </c>
      <c r="E37" s="42">
        <v>279.03383472540469</v>
      </c>
      <c r="F37" s="43">
        <v>345.50216202232241</v>
      </c>
      <c r="G37" s="48"/>
      <c r="H37" s="47">
        <v>14.842136364509336</v>
      </c>
      <c r="I37" s="48">
        <v>20.964629176327378</v>
      </c>
      <c r="J37" s="43">
        <v>22.945960669364705</v>
      </c>
      <c r="K37" s="48"/>
      <c r="L37" s="47">
        <v>43.457830879450796</v>
      </c>
      <c r="M37" s="48">
        <v>44.445508853983767</v>
      </c>
      <c r="N37" s="43">
        <v>48.819511312629785</v>
      </c>
      <c r="O37" s="53"/>
      <c r="P37" s="54">
        <v>0.19499999999999998</v>
      </c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</row>
    <row r="38" spans="1:34" x14ac:dyDescent="0.25">
      <c r="A38" s="3" t="s">
        <v>9</v>
      </c>
      <c r="B38" s="3" t="s">
        <v>41</v>
      </c>
      <c r="C38" s="8" t="s">
        <v>11</v>
      </c>
      <c r="D38" s="41">
        <v>242.61410673368317</v>
      </c>
      <c r="E38" s="42">
        <v>337.69827777367135</v>
      </c>
      <c r="F38" s="43">
        <v>411.29744437874194</v>
      </c>
      <c r="G38" s="48"/>
      <c r="H38" s="47">
        <v>16.577656761302826</v>
      </c>
      <c r="I38" s="48">
        <v>23.416064781900381</v>
      </c>
      <c r="J38" s="43">
        <v>25.629077290023794</v>
      </c>
      <c r="K38" s="48"/>
      <c r="L38" s="47">
        <v>48.53944110316754</v>
      </c>
      <c r="M38" s="48">
        <v>49.642610219148622</v>
      </c>
      <c r="N38" s="43">
        <v>54.528073447064841</v>
      </c>
      <c r="O38" s="53"/>
      <c r="P38" s="54">
        <v>0.19499999999999998</v>
      </c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</row>
    <row r="39" spans="1:34" x14ac:dyDescent="0.25">
      <c r="A39" s="3" t="s">
        <v>9</v>
      </c>
      <c r="B39" s="3" t="s">
        <v>42</v>
      </c>
      <c r="C39" s="8" t="s">
        <v>11</v>
      </c>
      <c r="D39" s="41">
        <v>233.90559169192105</v>
      </c>
      <c r="E39" s="42">
        <v>309.89249944563528</v>
      </c>
      <c r="F39" s="43">
        <v>383.77291374085297</v>
      </c>
      <c r="G39" s="48"/>
      <c r="H39" s="47">
        <v>16.477215744857869</v>
      </c>
      <c r="I39" s="48">
        <v>23.274191091203324</v>
      </c>
      <c r="J39" s="43">
        <v>25.473795357804921</v>
      </c>
      <c r="K39" s="48"/>
      <c r="L39" s="47">
        <v>48.245349430727273</v>
      </c>
      <c r="M39" s="48">
        <v>49.341834645061986</v>
      </c>
      <c r="N39" s="43">
        <v>54.19769773711571</v>
      </c>
      <c r="O39" s="53"/>
      <c r="P39" s="54">
        <v>0.19499999999999998</v>
      </c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4"/>
    </row>
    <row r="40" spans="1:34" x14ac:dyDescent="0.25">
      <c r="A40" s="3" t="s">
        <v>9</v>
      </c>
      <c r="B40" s="3" t="s">
        <v>43</v>
      </c>
      <c r="C40" s="8" t="s">
        <v>11</v>
      </c>
      <c r="D40" s="41">
        <v>204.24629499593465</v>
      </c>
      <c r="E40" s="42">
        <v>284.00163537585922</v>
      </c>
      <c r="F40" s="43">
        <v>345.73564195432033</v>
      </c>
      <c r="G40" s="48"/>
      <c r="H40" s="47">
        <v>13.934075539640521</v>
      </c>
      <c r="I40" s="48">
        <v>19.68198643572795</v>
      </c>
      <c r="J40" s="43">
        <v>21.542097542041962</v>
      </c>
      <c r="K40" s="48"/>
      <c r="L40" s="47">
        <v>40.799025382301046</v>
      </c>
      <c r="M40" s="48">
        <v>41.726275959171531</v>
      </c>
      <c r="N40" s="43">
        <v>45.8326713710265</v>
      </c>
      <c r="O40" s="53"/>
      <c r="P40" s="54">
        <v>0.19499999999999998</v>
      </c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</row>
    <row r="41" spans="1:34" x14ac:dyDescent="0.25">
      <c r="A41" s="3" t="s">
        <v>9</v>
      </c>
      <c r="B41" s="3" t="s">
        <v>44</v>
      </c>
      <c r="C41" s="8" t="s">
        <v>11</v>
      </c>
      <c r="D41" s="41">
        <v>188.29135560647498</v>
      </c>
      <c r="E41" s="42">
        <v>261.67233350580233</v>
      </c>
      <c r="F41" s="43">
        <v>318.47235568039025</v>
      </c>
      <c r="G41" s="48"/>
      <c r="H41" s="47">
        <v>12.834766261562823</v>
      </c>
      <c r="I41" s="48">
        <v>18.129203817445021</v>
      </c>
      <c r="J41" s="43">
        <v>19.842564076054131</v>
      </c>
      <c r="K41" s="48"/>
      <c r="L41" s="47">
        <v>37.580243697667797</v>
      </c>
      <c r="M41" s="48">
        <v>38.43434014534207</v>
      </c>
      <c r="N41" s="43">
        <v>42.216767270756684</v>
      </c>
      <c r="O41" s="53"/>
      <c r="P41" s="54">
        <v>0.19499999999999998</v>
      </c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</row>
    <row r="42" spans="1:34" x14ac:dyDescent="0.25">
      <c r="A42" s="3" t="s">
        <v>9</v>
      </c>
      <c r="B42" s="3" t="s">
        <v>211</v>
      </c>
      <c r="C42" s="8" t="s">
        <v>11</v>
      </c>
      <c r="D42" s="41">
        <v>212.03387168305122</v>
      </c>
      <c r="E42" s="42">
        <v>294.90044533964073</v>
      </c>
      <c r="F42" s="43">
        <v>359.04270456057355</v>
      </c>
      <c r="G42" s="48"/>
      <c r="H42" s="47">
        <v>14.470643444001526</v>
      </c>
      <c r="I42" s="48">
        <v>20.439892633770047</v>
      </c>
      <c r="J42" s="43">
        <v>22.371632167485224</v>
      </c>
      <c r="K42" s="48"/>
      <c r="L42" s="47">
        <v>42.370098216453165</v>
      </c>
      <c r="M42" s="48">
        <v>43.333054994099825</v>
      </c>
      <c r="N42" s="43">
        <v>47.597577866535048</v>
      </c>
      <c r="O42" s="53"/>
      <c r="P42" s="54">
        <v>0.19499999999999998</v>
      </c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</row>
    <row r="43" spans="1:34" x14ac:dyDescent="0.25">
      <c r="A43" s="3" t="s">
        <v>9</v>
      </c>
      <c r="B43" s="3" t="s">
        <v>45</v>
      </c>
      <c r="C43" s="8" t="s">
        <v>11</v>
      </c>
      <c r="D43" s="41">
        <v>172.90625692955871</v>
      </c>
      <c r="E43" s="42">
        <v>240.14053145095718</v>
      </c>
      <c r="F43" s="43">
        <v>292.18271860447925</v>
      </c>
      <c r="G43" s="48"/>
      <c r="H43" s="47">
        <v>11.774718947719579</v>
      </c>
      <c r="I43" s="48">
        <v>16.631879018757243</v>
      </c>
      <c r="J43" s="43">
        <v>18.203729653991005</v>
      </c>
      <c r="K43" s="48"/>
      <c r="L43" s="47">
        <v>34.47642119140297</v>
      </c>
      <c r="M43" s="48">
        <v>35.259976218480311</v>
      </c>
      <c r="N43" s="43">
        <v>38.730005624108529</v>
      </c>
      <c r="O43" s="53"/>
      <c r="P43" s="54">
        <v>0.19499999999999998</v>
      </c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</row>
    <row r="44" spans="1:34" x14ac:dyDescent="0.25">
      <c r="A44" s="3" t="s">
        <v>9</v>
      </c>
      <c r="B44" s="3" t="s">
        <v>46</v>
      </c>
      <c r="C44" s="8" t="s">
        <v>11</v>
      </c>
      <c r="D44" s="41">
        <v>190.76058836573284</v>
      </c>
      <c r="E44" s="42">
        <v>265.12805824525094</v>
      </c>
      <c r="F44" s="43">
        <v>322.69167159435284</v>
      </c>
      <c r="G44" s="48"/>
      <c r="H44" s="47">
        <v>13.004895357040892</v>
      </c>
      <c r="I44" s="48">
        <v>18.369512443589329</v>
      </c>
      <c r="J44" s="43">
        <v>20.105583862268272</v>
      </c>
      <c r="K44" s="48"/>
      <c r="L44" s="47">
        <v>38.0783823265945</v>
      </c>
      <c r="M44" s="48">
        <v>38.943800106744376</v>
      </c>
      <c r="N44" s="43">
        <v>42.776364561693825</v>
      </c>
      <c r="O44" s="53"/>
      <c r="P44" s="54">
        <v>0.19499999999999998</v>
      </c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</row>
    <row r="45" spans="1:34" x14ac:dyDescent="0.25">
      <c r="A45" s="3" t="s">
        <v>9</v>
      </c>
      <c r="B45" s="3" t="s">
        <v>47</v>
      </c>
      <c r="C45" s="8" t="s">
        <v>11</v>
      </c>
      <c r="D45" s="41">
        <v>166.82815618301424</v>
      </c>
      <c r="E45" s="42">
        <v>231.63412853869465</v>
      </c>
      <c r="F45" s="43">
        <v>281.79669598639958</v>
      </c>
      <c r="G45" s="48"/>
      <c r="H45" s="47">
        <v>11.35593327197021</v>
      </c>
      <c r="I45" s="48">
        <v>16.04034110394349</v>
      </c>
      <c r="J45" s="43">
        <v>17.556286495631639</v>
      </c>
      <c r="K45" s="48"/>
      <c r="L45" s="47">
        <v>33.250215163881791</v>
      </c>
      <c r="M45" s="48">
        <v>34.005901872151831</v>
      </c>
      <c r="N45" s="43">
        <v>37.352514437347729</v>
      </c>
      <c r="O45" s="53"/>
      <c r="P45" s="54">
        <v>0.19499999999999998</v>
      </c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</row>
    <row r="46" spans="1:34" x14ac:dyDescent="0.25">
      <c r="A46" s="3" t="s">
        <v>48</v>
      </c>
      <c r="B46" s="3" t="s">
        <v>49</v>
      </c>
      <c r="C46" s="8" t="s">
        <v>212</v>
      </c>
      <c r="D46" s="41">
        <v>157.87</v>
      </c>
      <c r="E46" s="42">
        <v>208.91</v>
      </c>
      <c r="F46" s="43">
        <v>258.52999999999997</v>
      </c>
      <c r="G46" s="48"/>
      <c r="H46" s="47">
        <v>4.1001421075633298</v>
      </c>
      <c r="I46" s="48">
        <v>5.7914815458005187</v>
      </c>
      <c r="J46" s="43">
        <v>6.338824629311679</v>
      </c>
      <c r="K46" s="48"/>
      <c r="L46" s="47">
        <v>12.284422880711018</v>
      </c>
      <c r="M46" s="48">
        <v>12.563614309818085</v>
      </c>
      <c r="N46" s="43">
        <v>13.800033495863675</v>
      </c>
      <c r="O46" s="53"/>
      <c r="P46" s="54">
        <v>0.19499999999999998</v>
      </c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</row>
    <row r="47" spans="1:34" x14ac:dyDescent="0.25">
      <c r="A47" s="3" t="s">
        <v>50</v>
      </c>
      <c r="B47" s="3" t="s">
        <v>51</v>
      </c>
      <c r="C47" s="8" t="s">
        <v>212</v>
      </c>
      <c r="D47" s="41">
        <v>172.65</v>
      </c>
      <c r="E47" s="42">
        <v>228.54</v>
      </c>
      <c r="F47" s="43">
        <v>282.87</v>
      </c>
      <c r="G47" s="48"/>
      <c r="H47" s="47">
        <v>12.120328214158445</v>
      </c>
      <c r="I47" s="48">
        <v>17.12005470538676</v>
      </c>
      <c r="J47" s="43">
        <v>18.738041995551029</v>
      </c>
      <c r="K47" s="48"/>
      <c r="L47" s="47">
        <v>36.313677265254533</v>
      </c>
      <c r="M47" s="48">
        <v>37.138988112192138</v>
      </c>
      <c r="N47" s="43">
        <v>40.793936148630095</v>
      </c>
      <c r="O47" s="53"/>
      <c r="P47" s="54">
        <v>0.19499999999999998</v>
      </c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</row>
    <row r="48" spans="1:34" x14ac:dyDescent="0.25">
      <c r="A48" s="3" t="s">
        <v>52</v>
      </c>
      <c r="B48" s="3" t="s">
        <v>53</v>
      </c>
      <c r="C48" s="8" t="s">
        <v>212</v>
      </c>
      <c r="D48" s="41">
        <v>167.12</v>
      </c>
      <c r="E48" s="42">
        <v>221.19</v>
      </c>
      <c r="F48" s="43">
        <v>273.77</v>
      </c>
      <c r="G48" s="48"/>
      <c r="H48" s="47">
        <v>5.8661548757048365</v>
      </c>
      <c r="I48" s="48">
        <v>8.2859878550996164</v>
      </c>
      <c r="J48" s="43">
        <v>9.0690824927463236</v>
      </c>
      <c r="K48" s="48"/>
      <c r="L48" s="47">
        <v>17.575568184325409</v>
      </c>
      <c r="M48" s="48">
        <v>17.975012915787349</v>
      </c>
      <c r="N48" s="43">
        <v>19.74398244083309</v>
      </c>
      <c r="O48" s="53"/>
      <c r="P48" s="54">
        <v>0.19499999999999998</v>
      </c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</row>
    <row r="49" spans="1:34" x14ac:dyDescent="0.25">
      <c r="A49" s="3" t="s">
        <v>54</v>
      </c>
      <c r="B49" s="3" t="s">
        <v>55</v>
      </c>
      <c r="C49" s="8" t="s">
        <v>212</v>
      </c>
      <c r="D49" s="41">
        <v>167.12</v>
      </c>
      <c r="E49" s="42">
        <v>221.19</v>
      </c>
      <c r="F49" s="43">
        <v>273.77</v>
      </c>
      <c r="G49" s="48"/>
      <c r="H49" s="47">
        <v>5.8661548757048365</v>
      </c>
      <c r="I49" s="48">
        <v>8.2859878550996164</v>
      </c>
      <c r="J49" s="43">
        <v>9.0690824927463236</v>
      </c>
      <c r="K49" s="48"/>
      <c r="L49" s="47">
        <v>17.575568184325409</v>
      </c>
      <c r="M49" s="48">
        <v>17.975012915787349</v>
      </c>
      <c r="N49" s="43">
        <v>19.74398244083309</v>
      </c>
      <c r="O49" s="53"/>
      <c r="P49" s="54">
        <v>0.19499999999999998</v>
      </c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</row>
    <row r="50" spans="1:34" x14ac:dyDescent="0.25">
      <c r="A50" s="3" t="s">
        <v>56</v>
      </c>
      <c r="B50" s="3" t="s">
        <v>57</v>
      </c>
      <c r="C50" s="8" t="s">
        <v>212</v>
      </c>
      <c r="D50" s="41">
        <v>206.92</v>
      </c>
      <c r="E50" s="42">
        <v>274.05</v>
      </c>
      <c r="F50" s="43">
        <v>339.32</v>
      </c>
      <c r="G50" s="48"/>
      <c r="H50" s="47">
        <v>14.519977464745018</v>
      </c>
      <c r="I50" s="48">
        <v>20.509577308891188</v>
      </c>
      <c r="J50" s="43">
        <v>22.447902622886016</v>
      </c>
      <c r="K50" s="48"/>
      <c r="L50" s="47">
        <v>43.503258842246602</v>
      </c>
      <c r="M50" s="48">
        <v>44.491969270479473</v>
      </c>
      <c r="N50" s="43">
        <v>48.870544024082221</v>
      </c>
      <c r="O50" s="53"/>
      <c r="P50" s="54">
        <v>0.19499999999999998</v>
      </c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</row>
    <row r="51" spans="1:34" x14ac:dyDescent="0.25">
      <c r="A51" s="3" t="s">
        <v>58</v>
      </c>
      <c r="B51" s="3" t="s">
        <v>59</v>
      </c>
      <c r="C51" s="8" t="s">
        <v>212</v>
      </c>
      <c r="D51" s="41">
        <v>207.2</v>
      </c>
      <c r="E51" s="42">
        <v>274.43</v>
      </c>
      <c r="F51" s="43">
        <v>339.79</v>
      </c>
      <c r="G51" s="48"/>
      <c r="H51" s="47">
        <v>12.066425529112861</v>
      </c>
      <c r="I51" s="48">
        <v>17.043916757598382</v>
      </c>
      <c r="J51" s="43">
        <v>18.65470837964472</v>
      </c>
      <c r="K51" s="48"/>
      <c r="L51" s="47">
        <v>36.152179600018918</v>
      </c>
      <c r="M51" s="48">
        <v>36.973820045473893</v>
      </c>
      <c r="N51" s="43">
        <v>40.612513446774493</v>
      </c>
      <c r="O51" s="53"/>
      <c r="P51" s="54">
        <v>0.19499999999999998</v>
      </c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4"/>
    </row>
    <row r="52" spans="1:34" x14ac:dyDescent="0.25">
      <c r="A52" s="3" t="s">
        <v>60</v>
      </c>
      <c r="B52" s="3" t="s">
        <v>61</v>
      </c>
      <c r="C52" s="8" t="s">
        <v>212</v>
      </c>
      <c r="D52" s="41">
        <v>109.97</v>
      </c>
      <c r="E52" s="42">
        <v>145.29</v>
      </c>
      <c r="F52" s="43">
        <v>179.63</v>
      </c>
      <c r="G52" s="48"/>
      <c r="H52" s="47">
        <v>2.8586774247946982</v>
      </c>
      <c r="I52" s="48">
        <v>4.0379033498753731</v>
      </c>
      <c r="J52" s="43">
        <v>4.4195187367090618</v>
      </c>
      <c r="K52" s="48"/>
      <c r="L52" s="47">
        <v>8.5648744468980897</v>
      </c>
      <c r="M52" s="48">
        <v>8.7595306843275917</v>
      </c>
      <c r="N52" s="43">
        <v>9.6215797358011006</v>
      </c>
      <c r="O52" s="53"/>
      <c r="P52" s="54">
        <v>0.19499999999999998</v>
      </c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4"/>
    </row>
    <row r="53" spans="1:34" x14ac:dyDescent="0.25">
      <c r="A53" s="3" t="s">
        <v>62</v>
      </c>
      <c r="B53" s="3" t="s">
        <v>63</v>
      </c>
      <c r="C53" s="8" t="s">
        <v>212</v>
      </c>
      <c r="D53" s="41">
        <v>207.96</v>
      </c>
      <c r="E53" s="42">
        <v>275.43</v>
      </c>
      <c r="F53" s="43">
        <v>341.04</v>
      </c>
      <c r="G53" s="48"/>
      <c r="H53" s="47">
        <v>7.2957579694194896</v>
      </c>
      <c r="I53" s="48">
        <v>10.305312970635226</v>
      </c>
      <c r="J53" s="43">
        <v>11.279250594935364</v>
      </c>
      <c r="K53" s="48"/>
      <c r="L53" s="47">
        <v>21.85879751980821</v>
      </c>
      <c r="M53" s="48">
        <v>22.355588372531123</v>
      </c>
      <c r="N53" s="43">
        <v>24.555662148875459</v>
      </c>
      <c r="O53" s="53"/>
      <c r="P53" s="54">
        <v>0.19499999999999998</v>
      </c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  <c r="AF53" s="14"/>
      <c r="AG53" s="14"/>
      <c r="AH53" s="14"/>
    </row>
    <row r="54" spans="1:34" x14ac:dyDescent="0.25">
      <c r="A54" s="3" t="s">
        <v>64</v>
      </c>
      <c r="B54" s="3" t="s">
        <v>65</v>
      </c>
      <c r="C54" s="8" t="s">
        <v>212</v>
      </c>
      <c r="D54" s="41">
        <v>173.57</v>
      </c>
      <c r="E54" s="42">
        <v>229.77</v>
      </c>
      <c r="F54" s="43">
        <v>284.39999999999998</v>
      </c>
      <c r="G54" s="48"/>
      <c r="H54" s="47">
        <v>6.8204781201182829</v>
      </c>
      <c r="I54" s="48">
        <v>9.6339766110389924</v>
      </c>
      <c r="J54" s="43">
        <v>10.544467376322373</v>
      </c>
      <c r="K54" s="48"/>
      <c r="L54" s="47">
        <v>20.434813057238831</v>
      </c>
      <c r="M54" s="48">
        <v>20.899240626721536</v>
      </c>
      <c r="N54" s="43">
        <v>22.955991291573493</v>
      </c>
      <c r="O54" s="53"/>
      <c r="P54" s="54">
        <v>0.19499999999999998</v>
      </c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4"/>
      <c r="AH54" s="14"/>
    </row>
    <row r="55" spans="1:34" x14ac:dyDescent="0.25">
      <c r="A55" s="3" t="s">
        <v>66</v>
      </c>
      <c r="B55" s="3" t="s">
        <v>67</v>
      </c>
      <c r="C55" s="8" t="s">
        <v>212</v>
      </c>
      <c r="D55" s="41">
        <v>182.23</v>
      </c>
      <c r="E55" s="42">
        <v>241.26</v>
      </c>
      <c r="F55" s="43">
        <v>298.64999999999998</v>
      </c>
      <c r="G55" s="48"/>
      <c r="H55" s="47">
        <v>1.918358614277256</v>
      </c>
      <c r="I55" s="48">
        <v>2.7096959620789383</v>
      </c>
      <c r="J55" s="43">
        <v>2.965784724778608</v>
      </c>
      <c r="K55" s="48"/>
      <c r="L55" s="47">
        <v>5.7475882143610821</v>
      </c>
      <c r="M55" s="48">
        <v>5.8782152192329242</v>
      </c>
      <c r="N55" s="43">
        <v>6.4567062408082281</v>
      </c>
      <c r="O55" s="53"/>
      <c r="P55" s="54">
        <v>0.19499999999999998</v>
      </c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4"/>
      <c r="AH55" s="14"/>
    </row>
    <row r="56" spans="1:34" x14ac:dyDescent="0.25">
      <c r="A56" s="3" t="s">
        <v>68</v>
      </c>
      <c r="B56" s="3" t="s">
        <v>69</v>
      </c>
      <c r="C56" s="8" t="s">
        <v>212</v>
      </c>
      <c r="D56" s="41">
        <v>189.13</v>
      </c>
      <c r="E56" s="42">
        <v>250.43</v>
      </c>
      <c r="F56" s="43">
        <v>310.02</v>
      </c>
      <c r="G56" s="48"/>
      <c r="H56" s="47">
        <v>13.271942128649279</v>
      </c>
      <c r="I56" s="48">
        <v>18.74671801575295</v>
      </c>
      <c r="J56" s="43">
        <v>20.518438492337523</v>
      </c>
      <c r="K56" s="48"/>
      <c r="L56" s="47">
        <v>39.764024094653514</v>
      </c>
      <c r="M56" s="48">
        <v>40.667751914986546</v>
      </c>
      <c r="N56" s="43">
        <v>44.669975119318558</v>
      </c>
      <c r="O56" s="53"/>
      <c r="P56" s="54">
        <v>0.19499999999999998</v>
      </c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  <c r="AE56" s="14"/>
      <c r="AF56" s="14"/>
      <c r="AG56" s="14"/>
      <c r="AH56" s="14"/>
    </row>
    <row r="57" spans="1:34" x14ac:dyDescent="0.25">
      <c r="A57" s="3" t="s">
        <v>70</v>
      </c>
      <c r="B57" s="3" t="s">
        <v>71</v>
      </c>
      <c r="C57" s="8" t="s">
        <v>212</v>
      </c>
      <c r="D57" s="41">
        <v>149.13999999999999</v>
      </c>
      <c r="E57" s="42">
        <v>197.32</v>
      </c>
      <c r="F57" s="43">
        <v>244.16</v>
      </c>
      <c r="G57" s="48"/>
      <c r="H57" s="47">
        <v>12.895951288503621</v>
      </c>
      <c r="I57" s="48">
        <v>18.21562812789838</v>
      </c>
      <c r="J57" s="43">
        <v>19.937156201288524</v>
      </c>
      <c r="K57" s="48"/>
      <c r="L57" s="47">
        <v>38.637519120325194</v>
      </c>
      <c r="M57" s="48">
        <v>39.515644554878037</v>
      </c>
      <c r="N57" s="43">
        <v>43.40448576504064</v>
      </c>
      <c r="O57" s="53"/>
      <c r="P57" s="54">
        <v>0.19499999999999998</v>
      </c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  <c r="AE57" s="14"/>
      <c r="AF57" s="14"/>
      <c r="AG57" s="14"/>
      <c r="AH57" s="14"/>
    </row>
    <row r="58" spans="1:34" x14ac:dyDescent="0.25">
      <c r="A58" s="3" t="s">
        <v>70</v>
      </c>
      <c r="B58" s="3" t="s">
        <v>72</v>
      </c>
      <c r="C58" s="8" t="s">
        <v>212</v>
      </c>
      <c r="D58" s="41">
        <v>184.19154630981362</v>
      </c>
      <c r="E58" s="42">
        <v>232.39455358777204</v>
      </c>
      <c r="F58" s="43">
        <v>303.41366134554232</v>
      </c>
      <c r="G58" s="48"/>
      <c r="H58" s="47">
        <v>12.895951288503621</v>
      </c>
      <c r="I58" s="48">
        <v>18.21562812789838</v>
      </c>
      <c r="J58" s="43">
        <v>19.937156201288524</v>
      </c>
      <c r="K58" s="48"/>
      <c r="L58" s="47">
        <v>38.637519120325194</v>
      </c>
      <c r="M58" s="48">
        <v>39.515644554878037</v>
      </c>
      <c r="N58" s="43">
        <v>43.40448576504064</v>
      </c>
      <c r="O58" s="53"/>
      <c r="P58" s="54">
        <v>0.19499999999999998</v>
      </c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  <c r="AE58" s="14"/>
      <c r="AF58" s="14"/>
      <c r="AG58" s="14"/>
      <c r="AH58" s="14"/>
    </row>
    <row r="59" spans="1:34" x14ac:dyDescent="0.25">
      <c r="A59" s="3" t="s">
        <v>73</v>
      </c>
      <c r="B59" s="3" t="s">
        <v>74</v>
      </c>
      <c r="C59" s="8" t="s">
        <v>212</v>
      </c>
      <c r="D59" s="41">
        <v>110.30064121516742</v>
      </c>
      <c r="E59" s="42">
        <v>139.16636669376894</v>
      </c>
      <c r="F59" s="43">
        <v>181.69520844112645</v>
      </c>
      <c r="G59" s="48"/>
      <c r="H59" s="47">
        <v>7.7225677545969313</v>
      </c>
      <c r="I59" s="48">
        <v>10.90818500032964</v>
      </c>
      <c r="J59" s="43">
        <v>11.939099036120693</v>
      </c>
      <c r="K59" s="48"/>
      <c r="L59" s="47">
        <v>21.812409756097555</v>
      </c>
      <c r="M59" s="48">
        <v>22.308146341463413</v>
      </c>
      <c r="N59" s="43">
        <v>24.503551219512193</v>
      </c>
      <c r="O59" s="53"/>
      <c r="P59" s="54">
        <v>0.19499999999999998</v>
      </c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/>
      <c r="AE59" s="14"/>
      <c r="AF59" s="14"/>
      <c r="AG59" s="14"/>
      <c r="AH59" s="14"/>
    </row>
    <row r="60" spans="1:34" x14ac:dyDescent="0.25">
      <c r="A60" s="3" t="s">
        <v>73</v>
      </c>
      <c r="B60" s="3" t="s">
        <v>75</v>
      </c>
      <c r="C60" s="8" t="s">
        <v>212</v>
      </c>
      <c r="D60" s="41">
        <v>110.30064121516742</v>
      </c>
      <c r="E60" s="42">
        <v>139.16636669376894</v>
      </c>
      <c r="F60" s="43">
        <v>181.69520844112645</v>
      </c>
      <c r="G60" s="48"/>
      <c r="H60" s="47">
        <v>7.7225677545969313</v>
      </c>
      <c r="I60" s="48">
        <v>10.90818500032964</v>
      </c>
      <c r="J60" s="43">
        <v>11.939099036120693</v>
      </c>
      <c r="K60" s="48"/>
      <c r="L60" s="47">
        <v>21.812409756097555</v>
      </c>
      <c r="M60" s="48">
        <v>22.308146341463413</v>
      </c>
      <c r="N60" s="43">
        <v>24.503551219512193</v>
      </c>
      <c r="O60" s="53"/>
      <c r="P60" s="54">
        <v>0.19499999999999998</v>
      </c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  <c r="AE60" s="14"/>
      <c r="AF60" s="14"/>
      <c r="AG60" s="14"/>
      <c r="AH60" s="14"/>
    </row>
    <row r="61" spans="1:34" s="16" customFormat="1" x14ac:dyDescent="0.25">
      <c r="A61" s="3" t="s">
        <v>73</v>
      </c>
      <c r="B61" s="3" t="s">
        <v>76</v>
      </c>
      <c r="C61" s="8" t="s">
        <v>212</v>
      </c>
      <c r="D61" s="41">
        <v>110.30064121516742</v>
      </c>
      <c r="E61" s="42">
        <v>139.16636669376894</v>
      </c>
      <c r="F61" s="43">
        <v>181.69520844112645</v>
      </c>
      <c r="G61" s="48"/>
      <c r="H61" s="47">
        <v>7.7225677545969313</v>
      </c>
      <c r="I61" s="48">
        <v>10.90818500032964</v>
      </c>
      <c r="J61" s="43">
        <v>11.939099036120693</v>
      </c>
      <c r="K61" s="48"/>
      <c r="L61" s="47">
        <v>21.812409756097555</v>
      </c>
      <c r="M61" s="48">
        <v>22.308146341463413</v>
      </c>
      <c r="N61" s="43">
        <v>24.503551219512193</v>
      </c>
      <c r="O61" s="53"/>
      <c r="P61" s="54">
        <v>0.19499999999999998</v>
      </c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5"/>
      <c r="AH61" s="15"/>
    </row>
    <row r="62" spans="1:34" x14ac:dyDescent="0.25">
      <c r="A62" s="3" t="s">
        <v>77</v>
      </c>
      <c r="B62" s="3" t="s">
        <v>78</v>
      </c>
      <c r="C62" s="8" t="s">
        <v>212</v>
      </c>
      <c r="D62" s="41">
        <v>110.72</v>
      </c>
      <c r="E62" s="42">
        <v>146.29</v>
      </c>
      <c r="F62" s="43">
        <v>180.88</v>
      </c>
      <c r="G62" s="48"/>
      <c r="H62" s="47">
        <v>9.1956263167249723</v>
      </c>
      <c r="I62" s="48">
        <v>12.98889129163377</v>
      </c>
      <c r="J62" s="43">
        <v>14.216449344738368</v>
      </c>
      <c r="K62" s="48"/>
      <c r="L62" s="47">
        <v>26.173437748243902</v>
      </c>
      <c r="M62" s="48">
        <v>26.768288606158535</v>
      </c>
      <c r="N62" s="43">
        <v>29.402628119780488</v>
      </c>
      <c r="O62" s="53"/>
      <c r="P62" s="54">
        <v>0.19499999999999998</v>
      </c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</row>
    <row r="63" spans="1:34" x14ac:dyDescent="0.25">
      <c r="A63" s="3" t="s">
        <v>79</v>
      </c>
      <c r="B63" s="3" t="s">
        <v>80</v>
      </c>
      <c r="C63" s="8" t="s">
        <v>212</v>
      </c>
      <c r="D63" s="41">
        <v>97.78</v>
      </c>
      <c r="E63" s="42">
        <v>129.1</v>
      </c>
      <c r="F63" s="43">
        <v>159.56</v>
      </c>
      <c r="G63" s="48"/>
      <c r="H63" s="47">
        <v>9.1956263167249723</v>
      </c>
      <c r="I63" s="48">
        <v>12.98889129163377</v>
      </c>
      <c r="J63" s="43">
        <v>14.216449344738368</v>
      </c>
      <c r="K63" s="48"/>
      <c r="L63" s="47">
        <v>24.139499999999998</v>
      </c>
      <c r="M63" s="48">
        <v>24.688124999999999</v>
      </c>
      <c r="N63" s="43">
        <v>27.117750000000001</v>
      </c>
      <c r="O63" s="53"/>
      <c r="P63" s="54">
        <v>0.19499999999999998</v>
      </c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</row>
    <row r="64" spans="1:34" x14ac:dyDescent="0.25">
      <c r="A64" s="3" t="s">
        <v>81</v>
      </c>
      <c r="B64" s="3" t="s">
        <v>42</v>
      </c>
      <c r="C64" s="8" t="s">
        <v>212</v>
      </c>
      <c r="D64" s="41">
        <v>92.17</v>
      </c>
      <c r="E64" s="42">
        <v>121.66</v>
      </c>
      <c r="F64" s="43">
        <v>150.32</v>
      </c>
      <c r="G64" s="48"/>
      <c r="H64" s="47">
        <v>11.11717557539048</v>
      </c>
      <c r="I64" s="48">
        <v>15.703094062893706</v>
      </c>
      <c r="J64" s="43">
        <v>17.187166809578425</v>
      </c>
      <c r="K64" s="48"/>
      <c r="L64" s="47">
        <v>27.8124</v>
      </c>
      <c r="M64" s="48">
        <v>28.444500000000001</v>
      </c>
      <c r="N64" s="43">
        <v>31.2438</v>
      </c>
      <c r="O64" s="53"/>
      <c r="P64" s="54">
        <v>0.19499999999999998</v>
      </c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4"/>
      <c r="AH64" s="14"/>
    </row>
    <row r="65" spans="1:34" x14ac:dyDescent="0.25">
      <c r="A65" s="3" t="s">
        <v>82</v>
      </c>
      <c r="B65" s="3" t="s">
        <v>83</v>
      </c>
      <c r="C65" s="8" t="s">
        <v>212</v>
      </c>
      <c r="D65" s="41">
        <v>115.05085650835703</v>
      </c>
      <c r="E65" s="42">
        <v>145.15971538225753</v>
      </c>
      <c r="F65" s="43">
        <v>189.52010726608117</v>
      </c>
      <c r="G65" s="48"/>
      <c r="H65" s="47">
        <v>8.0551484091283854</v>
      </c>
      <c r="I65" s="48">
        <v>11.37795767470991</v>
      </c>
      <c r="J65" s="43">
        <v>12.453269128003056</v>
      </c>
      <c r="K65" s="48"/>
      <c r="L65" s="47">
        <v>22.927304587804876</v>
      </c>
      <c r="M65" s="48">
        <v>23.448379692073171</v>
      </c>
      <c r="N65" s="43">
        <v>25.75599801097561</v>
      </c>
      <c r="O65" s="53"/>
      <c r="P65" s="54">
        <v>0.19499999999999998</v>
      </c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</row>
    <row r="66" spans="1:34" x14ac:dyDescent="0.25">
      <c r="A66" s="3" t="s">
        <v>82</v>
      </c>
      <c r="B66" s="3" t="s">
        <v>84</v>
      </c>
      <c r="C66" s="8" t="s">
        <v>212</v>
      </c>
      <c r="D66" s="41">
        <v>115.05085650835703</v>
      </c>
      <c r="E66" s="42">
        <v>145.15971538225753</v>
      </c>
      <c r="F66" s="43">
        <v>189.52010726608117</v>
      </c>
      <c r="G66" s="48"/>
      <c r="H66" s="47">
        <v>8.0551484091283854</v>
      </c>
      <c r="I66" s="48">
        <v>11.37795767470991</v>
      </c>
      <c r="J66" s="43">
        <v>12.453269128003056</v>
      </c>
      <c r="K66" s="48"/>
      <c r="L66" s="47">
        <v>22.927304587804876</v>
      </c>
      <c r="M66" s="48">
        <v>23.448379692073171</v>
      </c>
      <c r="N66" s="43">
        <v>25.75599801097561</v>
      </c>
      <c r="O66" s="53"/>
      <c r="P66" s="54">
        <v>0.19499999999999998</v>
      </c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14"/>
    </row>
    <row r="67" spans="1:34" x14ac:dyDescent="0.25">
      <c r="A67" s="3" t="s">
        <v>82</v>
      </c>
      <c r="B67" s="3" t="s">
        <v>85</v>
      </c>
      <c r="C67" s="8" t="s">
        <v>212</v>
      </c>
      <c r="D67" s="41">
        <v>115.05085650835703</v>
      </c>
      <c r="E67" s="42">
        <v>145.15971538225753</v>
      </c>
      <c r="F67" s="43">
        <v>189.52010726608117</v>
      </c>
      <c r="G67" s="48"/>
      <c r="H67" s="47">
        <v>8.0551484091283854</v>
      </c>
      <c r="I67" s="48">
        <v>11.37795767470991</v>
      </c>
      <c r="J67" s="43">
        <v>12.453269128003056</v>
      </c>
      <c r="K67" s="48"/>
      <c r="L67" s="47">
        <v>22.927304587804876</v>
      </c>
      <c r="M67" s="48">
        <v>23.448379692073171</v>
      </c>
      <c r="N67" s="43">
        <v>25.75599801097561</v>
      </c>
      <c r="O67" s="53"/>
      <c r="P67" s="54">
        <v>0.19499999999999998</v>
      </c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4"/>
      <c r="AH67" s="14"/>
    </row>
    <row r="68" spans="1:34" x14ac:dyDescent="0.25">
      <c r="A68" s="3" t="s">
        <v>82</v>
      </c>
      <c r="B68" s="3" t="s">
        <v>86</v>
      </c>
      <c r="C68" s="8" t="s">
        <v>212</v>
      </c>
      <c r="D68" s="44">
        <v>115.05085650835703</v>
      </c>
      <c r="E68" s="45">
        <v>145.15971538225753</v>
      </c>
      <c r="F68" s="46">
        <v>189.52010726608117</v>
      </c>
      <c r="G68" s="48"/>
      <c r="H68" s="47">
        <v>8.0551484091283854</v>
      </c>
      <c r="I68" s="48">
        <v>11.37795767470991</v>
      </c>
      <c r="J68" s="43">
        <v>12.453269128003056</v>
      </c>
      <c r="K68" s="48"/>
      <c r="L68" s="47">
        <v>22.927304587804876</v>
      </c>
      <c r="M68" s="48">
        <v>23.448379692073171</v>
      </c>
      <c r="N68" s="43">
        <v>25.75599801097561</v>
      </c>
      <c r="O68" s="53"/>
      <c r="P68" s="54">
        <v>0.19499999999999998</v>
      </c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4"/>
      <c r="AH68" s="14"/>
    </row>
    <row r="69" spans="1:34" x14ac:dyDescent="0.25">
      <c r="A69" s="3" t="s">
        <v>87</v>
      </c>
      <c r="B69" s="3" t="s">
        <v>88</v>
      </c>
      <c r="C69" s="8" t="s">
        <v>212</v>
      </c>
      <c r="D69" s="41">
        <v>132.4</v>
      </c>
      <c r="E69" s="42">
        <v>175.08</v>
      </c>
      <c r="F69" s="43">
        <v>216.58</v>
      </c>
      <c r="G69" s="48"/>
      <c r="H69" s="47">
        <v>23.386435902439022</v>
      </c>
      <c r="I69" s="48">
        <v>26.303687999999998</v>
      </c>
      <c r="J69" s="43">
        <v>31.557162731707315</v>
      </c>
      <c r="K69" s="48"/>
      <c r="L69" s="47">
        <v>36.247092682926827</v>
      </c>
      <c r="M69" s="48">
        <v>37.070890243902433</v>
      </c>
      <c r="N69" s="43">
        <v>40.719136585365852</v>
      </c>
      <c r="O69" s="53"/>
      <c r="P69" s="54">
        <v>0.19499999999999998</v>
      </c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</row>
    <row r="70" spans="1:34" x14ac:dyDescent="0.25">
      <c r="A70" s="3" t="s">
        <v>213</v>
      </c>
      <c r="B70" s="3" t="s">
        <v>214</v>
      </c>
      <c r="C70" s="8" t="s">
        <v>11</v>
      </c>
      <c r="D70" s="44">
        <v>151.69999999999999</v>
      </c>
      <c r="E70" s="45">
        <v>178.34</v>
      </c>
      <c r="F70" s="46">
        <v>264.92</v>
      </c>
      <c r="G70" s="48"/>
      <c r="H70" s="47">
        <v>9.9779999999999998</v>
      </c>
      <c r="I70" s="48">
        <v>14.093999999999999</v>
      </c>
      <c r="J70" s="43">
        <v>15.426</v>
      </c>
      <c r="K70" s="48"/>
      <c r="L70" s="47">
        <v>28.025535999999999</v>
      </c>
      <c r="M70" s="48">
        <v>28.662479999999999</v>
      </c>
      <c r="N70" s="43">
        <v>31.483232000000001</v>
      </c>
      <c r="O70" s="53"/>
      <c r="P70" s="54">
        <v>0.19499999999999998</v>
      </c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</row>
    <row r="71" spans="1:34" x14ac:dyDescent="0.25">
      <c r="A71" s="3" t="s">
        <v>213</v>
      </c>
      <c r="B71" s="3" t="s">
        <v>215</v>
      </c>
      <c r="C71" s="8" t="s">
        <v>11</v>
      </c>
      <c r="D71" s="44">
        <f t="shared" ref="D71:F72" si="0">D$25*0.58</f>
        <v>98.413458126986455</v>
      </c>
      <c r="E71" s="45">
        <f t="shared" si="0"/>
        <v>130.26351356345626</v>
      </c>
      <c r="F71" s="46">
        <f t="shared" si="0"/>
        <v>161.23061663833244</v>
      </c>
      <c r="G71" s="48"/>
      <c r="H71" s="47">
        <v>9.6453999999999986</v>
      </c>
      <c r="I71" s="48">
        <v>13.624199999999998</v>
      </c>
      <c r="J71" s="43">
        <v>14.911799999999999</v>
      </c>
      <c r="K71" s="48"/>
      <c r="L71" s="47">
        <v>27.164639464797641</v>
      </c>
      <c r="M71" s="48">
        <v>27.782017634452135</v>
      </c>
      <c r="N71" s="43">
        <v>30.51612095720774</v>
      </c>
      <c r="O71" s="53"/>
      <c r="P71" s="54">
        <v>0.19499999999999998</v>
      </c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  <c r="AC71" s="14"/>
      <c r="AD71" s="14"/>
      <c r="AE71" s="14"/>
      <c r="AF71" s="14"/>
      <c r="AG71" s="14"/>
      <c r="AH71" s="14"/>
    </row>
    <row r="72" spans="1:34" x14ac:dyDescent="0.25">
      <c r="A72" s="3" t="s">
        <v>213</v>
      </c>
      <c r="B72" s="3" t="s">
        <v>216</v>
      </c>
      <c r="C72" s="8" t="s">
        <v>11</v>
      </c>
      <c r="D72" s="44">
        <f t="shared" si="0"/>
        <v>98.413458126986455</v>
      </c>
      <c r="E72" s="45">
        <f t="shared" si="0"/>
        <v>130.26351356345626</v>
      </c>
      <c r="F72" s="46">
        <f t="shared" si="0"/>
        <v>161.23061663833244</v>
      </c>
      <c r="G72" s="48"/>
      <c r="H72" s="47">
        <v>9.6453999999999986</v>
      </c>
      <c r="I72" s="48">
        <v>13.624199999999998</v>
      </c>
      <c r="J72" s="43">
        <v>14.911799999999999</v>
      </c>
      <c r="K72" s="48"/>
      <c r="L72" s="47">
        <v>27.164639464797641</v>
      </c>
      <c r="M72" s="48">
        <v>27.782017634452135</v>
      </c>
      <c r="N72" s="43">
        <v>30.51612095720774</v>
      </c>
      <c r="O72" s="53"/>
      <c r="P72" s="54">
        <v>0.19499999999999998</v>
      </c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  <c r="AD72" s="14"/>
      <c r="AE72" s="14"/>
      <c r="AF72" s="14"/>
      <c r="AG72" s="14"/>
      <c r="AH72" s="14"/>
    </row>
    <row r="73" spans="1:34" x14ac:dyDescent="0.25">
      <c r="A73" s="3" t="s">
        <v>213</v>
      </c>
      <c r="B73" s="3" t="s">
        <v>217</v>
      </c>
      <c r="C73" s="8" t="s">
        <v>11</v>
      </c>
      <c r="D73" s="44">
        <f t="shared" ref="D73:F73" si="1">D$25*0.59</f>
        <v>100.11024188779658</v>
      </c>
      <c r="E73" s="45">
        <f t="shared" si="1"/>
        <v>132.50943621110204</v>
      </c>
      <c r="F73" s="46">
        <f t="shared" si="1"/>
        <v>164.01045485623473</v>
      </c>
      <c r="G73" s="48"/>
      <c r="H73" s="47">
        <v>9.8116999999999983</v>
      </c>
      <c r="I73" s="48">
        <v>13.859099999999998</v>
      </c>
      <c r="J73" s="43">
        <v>15.168899999999999</v>
      </c>
      <c r="K73" s="48"/>
      <c r="L73" s="47">
        <v>27.632995317638979</v>
      </c>
      <c r="M73" s="48">
        <v>28.261017938494412</v>
      </c>
      <c r="N73" s="43">
        <v>31.042260973711322</v>
      </c>
      <c r="O73" s="53"/>
      <c r="P73" s="54">
        <v>0.19499999999999998</v>
      </c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  <c r="AD73" s="14"/>
      <c r="AE73" s="14"/>
      <c r="AF73" s="14"/>
      <c r="AG73" s="14"/>
      <c r="AH73" s="14"/>
    </row>
    <row r="74" spans="1:34" x14ac:dyDescent="0.25">
      <c r="A74" s="3" t="s">
        <v>89</v>
      </c>
      <c r="B74" s="3" t="s">
        <v>90</v>
      </c>
      <c r="C74" s="8" t="s">
        <v>1</v>
      </c>
      <c r="D74" s="44">
        <v>87.47733433734939</v>
      </c>
      <c r="E74" s="45">
        <v>106.35023144726144</v>
      </c>
      <c r="F74" s="46">
        <v>151.07723390494493</v>
      </c>
      <c r="G74" s="48"/>
      <c r="H74" s="47">
        <v>11.6468213856364</v>
      </c>
      <c r="I74" s="48">
        <v>13.099659871111747</v>
      </c>
      <c r="J74" s="43">
        <v>15.715974820059055</v>
      </c>
      <c r="K74" s="48"/>
      <c r="L74" s="47">
        <v>18.395476074737026</v>
      </c>
      <c r="M74" s="48">
        <v>18.813555076435595</v>
      </c>
      <c r="N74" s="43">
        <v>20.665047798243538</v>
      </c>
      <c r="O74" s="53"/>
      <c r="P74" s="54">
        <v>0.24200000000000002</v>
      </c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  <c r="AC74" s="14"/>
      <c r="AD74" s="14"/>
      <c r="AE74" s="14"/>
      <c r="AF74" s="14"/>
      <c r="AG74" s="14"/>
      <c r="AH74" s="14"/>
    </row>
    <row r="75" spans="1:34" x14ac:dyDescent="0.25">
      <c r="A75" s="3" t="s">
        <v>91</v>
      </c>
      <c r="B75" s="3" t="s">
        <v>92</v>
      </c>
      <c r="C75" s="8" t="s">
        <v>1</v>
      </c>
      <c r="D75" s="41">
        <v>105.98726564232391</v>
      </c>
      <c r="E75" s="42">
        <v>139.4449186007835</v>
      </c>
      <c r="F75" s="43">
        <v>179.12045374750537</v>
      </c>
      <c r="G75" s="48"/>
      <c r="H75" s="47">
        <v>12.173694561600151</v>
      </c>
      <c r="I75" s="48">
        <v>13.692255839729363</v>
      </c>
      <c r="J75" s="43">
        <v>16.426926357190265</v>
      </c>
      <c r="K75" s="48"/>
      <c r="L75" s="47">
        <v>19.317490363784458</v>
      </c>
      <c r="M75" s="48">
        <v>19.756524235688648</v>
      </c>
      <c r="N75" s="43">
        <v>21.700817096978643</v>
      </c>
      <c r="O75" s="53"/>
      <c r="P75" s="54">
        <v>0.26</v>
      </c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4"/>
      <c r="AD75" s="14"/>
      <c r="AE75" s="14"/>
      <c r="AF75" s="14"/>
      <c r="AG75" s="14"/>
      <c r="AH75" s="14"/>
    </row>
    <row r="76" spans="1:34" x14ac:dyDescent="0.25">
      <c r="A76" s="3" t="s">
        <v>93</v>
      </c>
      <c r="B76" s="3" t="s">
        <v>94</v>
      </c>
      <c r="C76" s="8" t="s">
        <v>1</v>
      </c>
      <c r="D76" s="41">
        <v>106.86233946522285</v>
      </c>
      <c r="E76" s="42">
        <v>133.1212418231207</v>
      </c>
      <c r="F76" s="43">
        <v>180.62011780249833</v>
      </c>
      <c r="G76" s="48"/>
      <c r="H76" s="47">
        <v>11.476112475904271</v>
      </c>
      <c r="I76" s="48">
        <v>12.907656526987569</v>
      </c>
      <c r="J76" s="43">
        <v>15.485623822299399</v>
      </c>
      <c r="K76" s="48"/>
      <c r="L76" s="47">
        <v>17.787050335036813</v>
      </c>
      <c r="M76" s="48">
        <v>18.191301479014921</v>
      </c>
      <c r="N76" s="43">
        <v>19.981556545203695</v>
      </c>
      <c r="O76" s="53"/>
      <c r="P76" s="54">
        <v>0.16</v>
      </c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  <c r="AB76" s="14"/>
      <c r="AC76" s="14"/>
      <c r="AD76" s="14"/>
      <c r="AE76" s="14"/>
      <c r="AF76" s="14"/>
      <c r="AG76" s="14"/>
      <c r="AH76" s="14"/>
    </row>
    <row r="77" spans="1:34" x14ac:dyDescent="0.25">
      <c r="A77" s="3" t="s">
        <v>95</v>
      </c>
      <c r="B77" s="3" t="s">
        <v>96</v>
      </c>
      <c r="C77" s="8" t="s">
        <v>1</v>
      </c>
      <c r="D77" s="41">
        <v>97.476500000000001</v>
      </c>
      <c r="E77" s="42">
        <v>150.73850000000002</v>
      </c>
      <c r="F77" s="43">
        <v>172.86500000000001</v>
      </c>
      <c r="G77" s="48"/>
      <c r="H77" s="47">
        <v>12.893871337948514</v>
      </c>
      <c r="I77" s="48">
        <v>14.502268331967972</v>
      </c>
      <c r="J77" s="43">
        <v>17.398717690492639</v>
      </c>
      <c r="K77" s="48"/>
      <c r="L77" s="47">
        <v>19.984462419928253</v>
      </c>
      <c r="M77" s="48">
        <v>20.438654747653896</v>
      </c>
      <c r="N77" s="43">
        <v>22.450077913296024</v>
      </c>
      <c r="O77" s="53"/>
      <c r="P77" s="54">
        <v>0.15</v>
      </c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4"/>
      <c r="AC77" s="14"/>
      <c r="AD77" s="14"/>
      <c r="AE77" s="14"/>
      <c r="AF77" s="14"/>
      <c r="AG77" s="14"/>
      <c r="AH77" s="14"/>
    </row>
    <row r="78" spans="1:34" x14ac:dyDescent="0.25">
      <c r="A78" s="3" t="s">
        <v>97</v>
      </c>
      <c r="B78" s="3" t="s">
        <v>98</v>
      </c>
      <c r="C78" s="8" t="s">
        <v>1</v>
      </c>
      <c r="D78" s="41">
        <v>106.65760000000002</v>
      </c>
      <c r="E78" s="42">
        <v>164.9298</v>
      </c>
      <c r="F78" s="43">
        <v>191.7654</v>
      </c>
      <c r="G78" s="48"/>
      <c r="H78" s="47">
        <v>14.107407105711102</v>
      </c>
      <c r="I78" s="48">
        <v>15.867182008649186</v>
      </c>
      <c r="J78" s="43">
        <v>19.036237228048055</v>
      </c>
      <c r="K78" s="48"/>
      <c r="L78" s="47">
        <v>21.865345151766402</v>
      </c>
      <c r="M78" s="48">
        <v>22.362284814306548</v>
      </c>
      <c r="N78" s="43">
        <v>24.563017605555764</v>
      </c>
      <c r="O78" s="53"/>
      <c r="P78" s="54">
        <v>0.15</v>
      </c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/>
      <c r="AE78" s="14"/>
      <c r="AF78" s="14"/>
      <c r="AG78" s="14"/>
      <c r="AH78" s="14"/>
    </row>
    <row r="79" spans="1:34" x14ac:dyDescent="0.25">
      <c r="A79" s="3" t="s">
        <v>99</v>
      </c>
      <c r="B79" s="3" t="s">
        <v>100</v>
      </c>
      <c r="C79" s="8" t="s">
        <v>1</v>
      </c>
      <c r="D79" s="41">
        <v>60.352100303052687</v>
      </c>
      <c r="E79" s="42">
        <v>86.184877115825245</v>
      </c>
      <c r="F79" s="43">
        <v>120.60856779880255</v>
      </c>
      <c r="G79" s="48"/>
      <c r="H79" s="47">
        <v>6.7283291591356456</v>
      </c>
      <c r="I79" s="48">
        <v>7.5676290180133314</v>
      </c>
      <c r="J79" s="43">
        <v>9.0790652783988754</v>
      </c>
      <c r="K79" s="48"/>
      <c r="L79" s="47">
        <v>10.676662950453435</v>
      </c>
      <c r="M79" s="48">
        <v>10.919314381145558</v>
      </c>
      <c r="N79" s="43">
        <v>11.993913574210678</v>
      </c>
      <c r="O79" s="53"/>
      <c r="P79" s="54">
        <v>0.192</v>
      </c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  <c r="AD79" s="14"/>
      <c r="AE79" s="14"/>
      <c r="AF79" s="14"/>
      <c r="AG79" s="14"/>
      <c r="AH79" s="14"/>
    </row>
    <row r="80" spans="1:34" x14ac:dyDescent="0.25">
      <c r="A80" s="3" t="s">
        <v>101</v>
      </c>
      <c r="B80" s="3" t="s">
        <v>102</v>
      </c>
      <c r="C80" s="8" t="s">
        <v>1</v>
      </c>
      <c r="D80" s="41">
        <v>138.95648518229359</v>
      </c>
      <c r="E80" s="42">
        <v>175.32145741231798</v>
      </c>
      <c r="F80" s="43">
        <v>228.89919098649193</v>
      </c>
      <c r="G80" s="48"/>
      <c r="H80" s="47">
        <v>17.951710478048781</v>
      </c>
      <c r="I80" s="48">
        <v>20.191028399999997</v>
      </c>
      <c r="J80" s="43">
        <v>24.223659014634148</v>
      </c>
      <c r="K80" s="48"/>
      <c r="L80" s="47">
        <v>27.823705853658534</v>
      </c>
      <c r="M80" s="48">
        <v>28.456062804878048</v>
      </c>
      <c r="N80" s="43">
        <v>31.256500731707316</v>
      </c>
      <c r="O80" s="53"/>
      <c r="P80" s="54">
        <v>0.24</v>
      </c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  <c r="AD80" s="14"/>
      <c r="AE80" s="14"/>
      <c r="AF80" s="14"/>
      <c r="AG80" s="14"/>
      <c r="AH80" s="14"/>
    </row>
    <row r="81" spans="1:34" x14ac:dyDescent="0.25">
      <c r="A81" s="3" t="s">
        <v>103</v>
      </c>
      <c r="B81" s="3" t="s">
        <v>104</v>
      </c>
      <c r="C81" s="8" t="s">
        <v>1</v>
      </c>
      <c r="D81" s="41">
        <v>107.59105015152635</v>
      </c>
      <c r="E81" s="42">
        <v>128.6874702490945</v>
      </c>
      <c r="F81" s="43">
        <v>194.18992626949515</v>
      </c>
      <c r="G81" s="48"/>
      <c r="H81" s="47">
        <v>11.046043710037818</v>
      </c>
      <c r="I81" s="48">
        <v>12.423940466828251</v>
      </c>
      <c r="J81" s="43">
        <v>14.905298111836744</v>
      </c>
      <c r="K81" s="48"/>
      <c r="L81" s="47">
        <v>16.957426200058055</v>
      </c>
      <c r="M81" s="48">
        <v>17.342822250059374</v>
      </c>
      <c r="N81" s="43">
        <v>19.049576185779504</v>
      </c>
      <c r="O81" s="53"/>
      <c r="P81" s="54">
        <v>0.16</v>
      </c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14"/>
      <c r="AD81" s="14"/>
      <c r="AE81" s="14"/>
      <c r="AF81" s="14"/>
      <c r="AG81" s="14"/>
      <c r="AH81" s="14"/>
    </row>
    <row r="82" spans="1:34" x14ac:dyDescent="0.25">
      <c r="A82" s="3" t="s">
        <v>105</v>
      </c>
      <c r="B82" s="3" t="s">
        <v>106</v>
      </c>
      <c r="C82" s="8" t="s">
        <v>1</v>
      </c>
      <c r="D82" s="41">
        <v>127.6460735976883</v>
      </c>
      <c r="E82" s="42">
        <v>161.05110622759443</v>
      </c>
      <c r="F82" s="43">
        <v>210.26786148759149</v>
      </c>
      <c r="G82" s="48"/>
      <c r="H82" s="47">
        <v>16.490524741463414</v>
      </c>
      <c r="I82" s="48">
        <v>18.547572599999999</v>
      </c>
      <c r="J82" s="43">
        <v>22.251965839024386</v>
      </c>
      <c r="K82" s="48"/>
      <c r="L82" s="47">
        <v>25.558985609756103</v>
      </c>
      <c r="M82" s="48">
        <v>26.139871646341465</v>
      </c>
      <c r="N82" s="43">
        <v>28.712366951219515</v>
      </c>
      <c r="O82" s="53"/>
      <c r="P82" s="54">
        <v>0.185</v>
      </c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  <c r="AC82" s="14"/>
      <c r="AD82" s="14"/>
      <c r="AE82" s="14"/>
      <c r="AF82" s="14"/>
      <c r="AG82" s="14"/>
      <c r="AH82" s="14"/>
    </row>
    <row r="83" spans="1:34" x14ac:dyDescent="0.25">
      <c r="A83" s="3" t="s">
        <v>107</v>
      </c>
      <c r="B83" s="3" t="s">
        <v>108</v>
      </c>
      <c r="C83" s="8" t="s">
        <v>1</v>
      </c>
      <c r="D83" s="41">
        <v>135.72493901526352</v>
      </c>
      <c r="E83" s="42">
        <v>171.24421421668268</v>
      </c>
      <c r="F83" s="43">
        <v>223.5759539868061</v>
      </c>
      <c r="G83" s="48"/>
      <c r="H83" s="47">
        <v>17.534228839024394</v>
      </c>
      <c r="I83" s="48">
        <v>19.721469600000006</v>
      </c>
      <c r="J83" s="43">
        <v>23.660318107317078</v>
      </c>
      <c r="K83" s="48"/>
      <c r="L83" s="47">
        <v>27.176642926829274</v>
      </c>
      <c r="M83" s="48">
        <v>27.79429390243903</v>
      </c>
      <c r="N83" s="43">
        <v>30.529605365853662</v>
      </c>
      <c r="O83" s="53"/>
      <c r="P83" s="54">
        <v>0.19</v>
      </c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4"/>
      <c r="AD83" s="14"/>
      <c r="AE83" s="14"/>
      <c r="AF83" s="14"/>
      <c r="AG83" s="14"/>
      <c r="AH83" s="14"/>
    </row>
    <row r="84" spans="1:34" x14ac:dyDescent="0.25">
      <c r="A84" s="3" t="s">
        <v>109</v>
      </c>
      <c r="B84" s="3" t="s">
        <v>110</v>
      </c>
      <c r="C84" s="8" t="s">
        <v>1</v>
      </c>
      <c r="D84" s="41">
        <v>114.10124611944713</v>
      </c>
      <c r="E84" s="42">
        <v>133.60047167196393</v>
      </c>
      <c r="F84" s="43">
        <v>160.41323896814251</v>
      </c>
      <c r="G84" s="48"/>
      <c r="H84" s="47">
        <v>16.243533987562447</v>
      </c>
      <c r="I84" s="48">
        <v>18.269771922863974</v>
      </c>
      <c r="J84" s="43">
        <v>21.918681731664236</v>
      </c>
      <c r="K84" s="48"/>
      <c r="L84" s="47">
        <v>25.775602442690005</v>
      </c>
      <c r="M84" s="48">
        <v>26.361411589114777</v>
      </c>
      <c r="N84" s="43">
        <v>28.955709237567348</v>
      </c>
      <c r="O84" s="53"/>
      <c r="P84" s="54">
        <v>0.26</v>
      </c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4"/>
      <c r="AD84" s="14"/>
      <c r="AE84" s="14"/>
      <c r="AF84" s="14"/>
      <c r="AG84" s="14"/>
      <c r="AH84" s="14"/>
    </row>
    <row r="85" spans="1:34" x14ac:dyDescent="0.25">
      <c r="A85" s="3" t="s">
        <v>111</v>
      </c>
      <c r="B85" s="3" t="s">
        <v>112</v>
      </c>
      <c r="C85" s="8" t="s">
        <v>1</v>
      </c>
      <c r="D85" s="41">
        <v>117.50489929041318</v>
      </c>
      <c r="E85" s="42">
        <v>146.79063641067339</v>
      </c>
      <c r="F85" s="43">
        <v>201.11185749131494</v>
      </c>
      <c r="G85" s="48"/>
      <c r="H85" s="47">
        <v>12.723176866223273</v>
      </c>
      <c r="I85" s="48">
        <v>14.310281226864996</v>
      </c>
      <c r="J85" s="43">
        <v>17.16838617507457</v>
      </c>
      <c r="K85" s="48"/>
      <c r="L85" s="47">
        <v>19.532091163391605</v>
      </c>
      <c r="M85" s="48">
        <v>19.97600232619596</v>
      </c>
      <c r="N85" s="43">
        <v>21.941894618615244</v>
      </c>
      <c r="O85" s="53"/>
      <c r="P85" s="54">
        <v>0.16</v>
      </c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4"/>
      <c r="AC85" s="14"/>
      <c r="AD85" s="14"/>
      <c r="AE85" s="14"/>
      <c r="AF85" s="14"/>
      <c r="AG85" s="14"/>
      <c r="AH85" s="14"/>
    </row>
    <row r="86" spans="1:34" x14ac:dyDescent="0.25">
      <c r="A86" s="3" t="s">
        <v>113</v>
      </c>
      <c r="B86" s="3" t="s">
        <v>114</v>
      </c>
      <c r="C86" s="8" t="s">
        <v>1</v>
      </c>
      <c r="D86" s="41">
        <v>95.138921003030518</v>
      </c>
      <c r="E86" s="42">
        <v>114.38474392416289</v>
      </c>
      <c r="F86" s="43">
        <v>137.05022991906273</v>
      </c>
      <c r="G86" s="48"/>
      <c r="H86" s="47">
        <v>12.949923830022673</v>
      </c>
      <c r="I86" s="48">
        <v>14.565312879212872</v>
      </c>
      <c r="J86" s="43">
        <v>17.474353739580284</v>
      </c>
      <c r="K86" s="48"/>
      <c r="L86" s="47">
        <v>20.071339269560102</v>
      </c>
      <c r="M86" s="48">
        <v>20.527506071141012</v>
      </c>
      <c r="N86" s="43">
        <v>22.547673335285047</v>
      </c>
      <c r="O86" s="53"/>
      <c r="P86" s="54">
        <v>0.23</v>
      </c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  <c r="AC86" s="14"/>
      <c r="AD86" s="14"/>
      <c r="AE86" s="14"/>
      <c r="AF86" s="14"/>
      <c r="AG86" s="14"/>
      <c r="AH86" s="14"/>
    </row>
    <row r="87" spans="1:34" x14ac:dyDescent="0.25">
      <c r="A87" s="3" t="s">
        <v>115</v>
      </c>
      <c r="B87" s="3" t="s">
        <v>116</v>
      </c>
      <c r="C87" s="8" t="s">
        <v>1</v>
      </c>
      <c r="D87" s="41">
        <v>125.96485826742553</v>
      </c>
      <c r="E87" s="42">
        <v>155.92436890198832</v>
      </c>
      <c r="F87" s="43">
        <v>227.39563738081159</v>
      </c>
      <c r="G87" s="48"/>
      <c r="H87" s="47">
        <v>15.363898982125351</v>
      </c>
      <c r="I87" s="48">
        <v>17.280410190558168</v>
      </c>
      <c r="J87" s="43">
        <v>20.731720831470387</v>
      </c>
      <c r="K87" s="48"/>
      <c r="L87" s="47">
        <v>24.266383658026754</v>
      </c>
      <c r="M87" s="48">
        <v>24.817892377527361</v>
      </c>
      <c r="N87" s="43">
        <v>27.260288135315768</v>
      </c>
      <c r="O87" s="53"/>
      <c r="P87" s="54">
        <v>9.1000000000000011E-2</v>
      </c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  <c r="AB87" s="14"/>
      <c r="AC87" s="14"/>
      <c r="AD87" s="14"/>
      <c r="AE87" s="14"/>
      <c r="AF87" s="14"/>
      <c r="AG87" s="14"/>
      <c r="AH87" s="14"/>
    </row>
    <row r="88" spans="1:34" x14ac:dyDescent="0.25">
      <c r="A88" s="3" t="s">
        <v>117</v>
      </c>
      <c r="B88" s="3" t="s">
        <v>118</v>
      </c>
      <c r="C88" s="8" t="s">
        <v>1</v>
      </c>
      <c r="D88" s="41">
        <v>107.3254</v>
      </c>
      <c r="E88" s="42">
        <v>131.8434</v>
      </c>
      <c r="F88" s="43">
        <v>145.06960000000001</v>
      </c>
      <c r="G88" s="48"/>
      <c r="H88" s="47">
        <v>15.608838013819362</v>
      </c>
      <c r="I88" s="48">
        <v>17.555903211195378</v>
      </c>
      <c r="J88" s="43">
        <v>21.062236388212771</v>
      </c>
      <c r="K88" s="48"/>
      <c r="L88" s="47">
        <v>25.021897331332003</v>
      </c>
      <c r="M88" s="48">
        <v>25.590576816135002</v>
      </c>
      <c r="N88" s="43">
        <v>28.10901453454829</v>
      </c>
      <c r="O88" s="53"/>
      <c r="P88" s="54">
        <v>0.17</v>
      </c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  <c r="AC88" s="14"/>
      <c r="AD88" s="14"/>
      <c r="AE88" s="14"/>
      <c r="AF88" s="14"/>
      <c r="AG88" s="14"/>
      <c r="AH88" s="14"/>
    </row>
    <row r="89" spans="1:34" x14ac:dyDescent="0.25">
      <c r="A89" s="3" t="s">
        <v>119</v>
      </c>
      <c r="B89" s="3" t="s">
        <v>120</v>
      </c>
      <c r="C89" s="8" t="s">
        <v>1</v>
      </c>
      <c r="D89" s="41">
        <v>76.484921187818756</v>
      </c>
      <c r="E89" s="42">
        <v>105.58739970618672</v>
      </c>
      <c r="F89" s="43">
        <v>132.36847193990687</v>
      </c>
      <c r="G89" s="48"/>
      <c r="H89" s="47">
        <v>10.208092427539698</v>
      </c>
      <c r="I89" s="48">
        <v>11.481462135115821</v>
      </c>
      <c r="J89" s="43">
        <v>13.774584347099376</v>
      </c>
      <c r="K89" s="48"/>
      <c r="L89" s="47">
        <v>16.198429006395184</v>
      </c>
      <c r="M89" s="48">
        <v>16.566575120176896</v>
      </c>
      <c r="N89" s="43">
        <v>18.196936481210177</v>
      </c>
      <c r="O89" s="53"/>
      <c r="P89" s="54">
        <v>0.13999999999999999</v>
      </c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  <c r="AB89" s="14"/>
      <c r="AC89" s="14"/>
      <c r="AD89" s="14"/>
      <c r="AE89" s="14"/>
      <c r="AF89" s="14"/>
      <c r="AG89" s="14"/>
      <c r="AH89" s="14"/>
    </row>
    <row r="90" spans="1:34" x14ac:dyDescent="0.25">
      <c r="A90" s="3" t="s">
        <v>121</v>
      </c>
      <c r="B90" s="3" t="s">
        <v>122</v>
      </c>
      <c r="C90" s="8" t="s">
        <v>1</v>
      </c>
      <c r="D90" s="41">
        <v>94.075817761844917</v>
      </c>
      <c r="E90" s="42">
        <v>116.82222363995859</v>
      </c>
      <c r="F90" s="43">
        <v>158.02610071882623</v>
      </c>
      <c r="G90" s="48"/>
      <c r="H90" s="47">
        <v>9.9466805463131163</v>
      </c>
      <c r="I90" s="48">
        <v>11.187441421914288</v>
      </c>
      <c r="J90" s="43">
        <v>13.42184067507158</v>
      </c>
      <c r="K90" s="48"/>
      <c r="L90" s="47">
        <v>15.269729663153791</v>
      </c>
      <c r="M90" s="48">
        <v>15.616768973680015</v>
      </c>
      <c r="N90" s="43">
        <v>17.153657348867572</v>
      </c>
      <c r="O90" s="53"/>
      <c r="P90" s="54">
        <v>0.16</v>
      </c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  <c r="AB90" s="14"/>
      <c r="AC90" s="14"/>
      <c r="AD90" s="14"/>
      <c r="AE90" s="14"/>
      <c r="AF90" s="14"/>
      <c r="AG90" s="14"/>
      <c r="AH90" s="14"/>
    </row>
    <row r="91" spans="1:34" x14ac:dyDescent="0.25">
      <c r="A91" s="3" t="s">
        <v>123</v>
      </c>
      <c r="B91" s="3" t="s">
        <v>123</v>
      </c>
      <c r="C91" s="8" t="s">
        <v>1</v>
      </c>
      <c r="D91" s="41">
        <v>114.10149493680242</v>
      </c>
      <c r="E91" s="42">
        <v>154.20026424717273</v>
      </c>
      <c r="F91" s="43">
        <v>180.95893081528567</v>
      </c>
      <c r="G91" s="48"/>
      <c r="H91" s="47">
        <v>13.454801275870183</v>
      </c>
      <c r="I91" s="48">
        <v>15.133169343926452</v>
      </c>
      <c r="J91" s="43">
        <v>18.155624702998743</v>
      </c>
      <c r="K91" s="48"/>
      <c r="L91" s="47">
        <v>20.853858660265782</v>
      </c>
      <c r="M91" s="48">
        <v>21.327809993453641</v>
      </c>
      <c r="N91" s="43">
        <v>23.426737326142728</v>
      </c>
      <c r="O91" s="53"/>
      <c r="P91" s="54">
        <v>0.22</v>
      </c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  <c r="AB91" s="14"/>
      <c r="AC91" s="14"/>
      <c r="AD91" s="14"/>
      <c r="AE91" s="14"/>
      <c r="AF91" s="14"/>
      <c r="AG91" s="14"/>
      <c r="AH91" s="14"/>
    </row>
    <row r="92" spans="1:34" x14ac:dyDescent="0.25">
      <c r="A92" s="3" t="s">
        <v>124</v>
      </c>
      <c r="B92" s="3" t="s">
        <v>125</v>
      </c>
      <c r="C92" s="8" t="s">
        <v>1</v>
      </c>
      <c r="D92" s="41">
        <v>127.38051167293408</v>
      </c>
      <c r="E92" s="42">
        <v>160.71604663235456</v>
      </c>
      <c r="F92" s="43">
        <v>209.83040864288751</v>
      </c>
      <c r="G92" s="48"/>
      <c r="H92" s="47">
        <v>16.456216945170734</v>
      </c>
      <c r="I92" s="48">
        <v>18.508985208000002</v>
      </c>
      <c r="J92" s="43">
        <v>22.205671623219516</v>
      </c>
      <c r="K92" s="48"/>
      <c r="L92" s="47">
        <v>25.262898799349596</v>
      </c>
      <c r="M92" s="48">
        <v>25.837055590243903</v>
      </c>
      <c r="N92" s="43">
        <v>28.3797499499187</v>
      </c>
      <c r="O92" s="53"/>
      <c r="P92" s="54">
        <v>0.16</v>
      </c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  <c r="AB92" s="14"/>
      <c r="AC92" s="14"/>
      <c r="AD92" s="14"/>
      <c r="AE92" s="14"/>
      <c r="AF92" s="14"/>
      <c r="AG92" s="14"/>
      <c r="AH92" s="14"/>
    </row>
    <row r="93" spans="1:34" x14ac:dyDescent="0.25">
      <c r="A93" s="3" t="s">
        <v>126</v>
      </c>
      <c r="B93" s="3" t="s">
        <v>127</v>
      </c>
      <c r="C93" s="8" t="s">
        <v>1</v>
      </c>
      <c r="D93" s="41">
        <v>69.009967939241633</v>
      </c>
      <c r="E93" s="42">
        <v>84.215293536107623</v>
      </c>
      <c r="F93" s="43">
        <v>110.09649687707886</v>
      </c>
      <c r="G93" s="48"/>
      <c r="H93" s="47">
        <v>10.024860253659696</v>
      </c>
      <c r="I93" s="48">
        <v>11.275373359835674</v>
      </c>
      <c r="J93" s="43">
        <v>13.527334721165026</v>
      </c>
      <c r="K93" s="48"/>
      <c r="L93" s="47">
        <v>15.611715411127317</v>
      </c>
      <c r="M93" s="48">
        <v>15.966527125016574</v>
      </c>
      <c r="N93" s="43">
        <v>17.537836143668997</v>
      </c>
      <c r="O93" s="53"/>
      <c r="P93" s="54">
        <v>0.17499999999999999</v>
      </c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  <c r="AB93" s="14"/>
      <c r="AC93" s="14"/>
      <c r="AD93" s="14"/>
      <c r="AE93" s="14"/>
      <c r="AF93" s="14"/>
      <c r="AG93" s="14"/>
      <c r="AH93" s="14"/>
    </row>
    <row r="94" spans="1:34" x14ac:dyDescent="0.25">
      <c r="A94" s="3" t="s">
        <v>128</v>
      </c>
      <c r="B94" s="3" t="s">
        <v>129</v>
      </c>
      <c r="C94" s="8" t="s">
        <v>1</v>
      </c>
      <c r="D94" s="41">
        <v>112.61632012713429</v>
      </c>
      <c r="E94" s="42">
        <v>142.64942523468102</v>
      </c>
      <c r="F94" s="43">
        <v>201.6254848658437</v>
      </c>
      <c r="G94" s="48"/>
      <c r="H94" s="47">
        <v>12.841012279524605</v>
      </c>
      <c r="I94" s="48">
        <v>14.442815571121621</v>
      </c>
      <c r="J94" s="43">
        <v>17.327390793333667</v>
      </c>
      <c r="K94" s="48"/>
      <c r="L94" s="47">
        <v>19.712987181664182</v>
      </c>
      <c r="M94" s="48">
        <v>20.161009617611096</v>
      </c>
      <c r="N94" s="43">
        <v>22.145108976804568</v>
      </c>
      <c r="O94" s="53"/>
      <c r="P94" s="54">
        <v>0.16</v>
      </c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  <c r="AB94" s="14"/>
      <c r="AC94" s="14"/>
      <c r="AD94" s="14"/>
      <c r="AE94" s="14"/>
      <c r="AF94" s="14"/>
      <c r="AG94" s="14"/>
      <c r="AH94" s="14"/>
    </row>
    <row r="95" spans="1:34" x14ac:dyDescent="0.25">
      <c r="A95" s="3" t="s">
        <v>130</v>
      </c>
      <c r="B95" s="3" t="s">
        <v>131</v>
      </c>
      <c r="C95" s="8" t="s">
        <v>1</v>
      </c>
      <c r="D95" s="47">
        <v>128.86266340823417</v>
      </c>
      <c r="E95" s="48">
        <v>162.5860781173775</v>
      </c>
      <c r="F95" s="43">
        <v>212.27191637593316</v>
      </c>
      <c r="G95" s="48"/>
      <c r="H95" s="47">
        <v>16.647695297560979</v>
      </c>
      <c r="I95" s="48">
        <v>18.724348800000001</v>
      </c>
      <c r="J95" s="43">
        <v>22.464048468292685</v>
      </c>
      <c r="K95" s="48"/>
      <c r="L95" s="47">
        <v>25.802587317073176</v>
      </c>
      <c r="M95" s="48">
        <v>26.389009756097561</v>
      </c>
      <c r="N95" s="43">
        <v>28.98602341463415</v>
      </c>
      <c r="O95" s="53"/>
      <c r="P95" s="54">
        <v>0.185</v>
      </c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  <c r="AB95" s="14"/>
      <c r="AC95" s="14"/>
      <c r="AD95" s="14"/>
      <c r="AE95" s="14"/>
      <c r="AF95" s="14"/>
      <c r="AG95" s="14"/>
      <c r="AH95" s="14"/>
    </row>
    <row r="96" spans="1:34" x14ac:dyDescent="0.25">
      <c r="A96" s="3" t="s">
        <v>132</v>
      </c>
      <c r="B96" s="3" t="s">
        <v>133</v>
      </c>
      <c r="C96" s="8" t="s">
        <v>1</v>
      </c>
      <c r="D96" s="41">
        <v>86.882687560056169</v>
      </c>
      <c r="E96" s="42">
        <v>108.42987101781358</v>
      </c>
      <c r="F96" s="43">
        <v>133.36937504619704</v>
      </c>
      <c r="G96" s="48"/>
      <c r="H96" s="47">
        <v>13.36411293460654</v>
      </c>
      <c r="I96" s="48">
        <v>15.031168430072469</v>
      </c>
      <c r="J96" s="43">
        <v>18.033251770455099</v>
      </c>
      <c r="K96" s="48"/>
      <c r="L96" s="47">
        <v>21.206472819608468</v>
      </c>
      <c r="M96" s="48">
        <v>21.688438110963208</v>
      </c>
      <c r="N96" s="43">
        <v>23.8228558298199</v>
      </c>
      <c r="O96" s="53"/>
      <c r="P96" s="54">
        <v>0.14000000000000001</v>
      </c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  <c r="AB96" s="14"/>
      <c r="AC96" s="14"/>
      <c r="AD96" s="14"/>
      <c r="AE96" s="14"/>
      <c r="AF96" s="14"/>
      <c r="AG96" s="14"/>
      <c r="AH96" s="14"/>
    </row>
    <row r="97" spans="1:34" x14ac:dyDescent="0.25">
      <c r="A97" s="3" t="s">
        <v>134</v>
      </c>
      <c r="B97" s="3" t="s">
        <v>135</v>
      </c>
      <c r="C97" s="8" t="s">
        <v>1</v>
      </c>
      <c r="D97" s="41">
        <v>78.115377152782912</v>
      </c>
      <c r="E97" s="42">
        <v>124.57979710252052</v>
      </c>
      <c r="F97" s="43">
        <v>145.98522876783204</v>
      </c>
      <c r="G97" s="48"/>
      <c r="H97" s="47">
        <v>10.546656198650167</v>
      </c>
      <c r="I97" s="48">
        <v>11.862258757591517</v>
      </c>
      <c r="J97" s="43">
        <v>14.231435150041918</v>
      </c>
      <c r="K97" s="48"/>
      <c r="L97" s="47">
        <v>16.424308264269346</v>
      </c>
      <c r="M97" s="48">
        <v>16.797587997548195</v>
      </c>
      <c r="N97" s="43">
        <v>18.45068395921167</v>
      </c>
      <c r="O97" s="53"/>
      <c r="P97" s="54">
        <v>0.19</v>
      </c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  <c r="AB97" s="14"/>
      <c r="AC97" s="14"/>
      <c r="AD97" s="14"/>
      <c r="AE97" s="14"/>
      <c r="AF97" s="14"/>
      <c r="AG97" s="14"/>
      <c r="AH97" s="14"/>
    </row>
    <row r="98" spans="1:34" x14ac:dyDescent="0.25">
      <c r="A98" s="3" t="s">
        <v>136</v>
      </c>
      <c r="B98" s="3" t="s">
        <v>137</v>
      </c>
      <c r="C98" s="8" t="s">
        <v>1</v>
      </c>
      <c r="D98" s="41">
        <v>100.22900731853795</v>
      </c>
      <c r="E98" s="42">
        <v>129.61630571041835</v>
      </c>
      <c r="F98" s="43">
        <v>176.80018593299576</v>
      </c>
      <c r="G98" s="48"/>
      <c r="H98" s="47">
        <v>11.0051601653419</v>
      </c>
      <c r="I98" s="48">
        <v>12.377957059672852</v>
      </c>
      <c r="J98" s="43">
        <v>14.850130720003277</v>
      </c>
      <c r="K98" s="48"/>
      <c r="L98" s="47">
        <v>16.894663485173286</v>
      </c>
      <c r="M98" s="48">
        <v>17.278633109836314</v>
      </c>
      <c r="N98" s="43">
        <v>18.979070019058302</v>
      </c>
      <c r="O98" s="53"/>
      <c r="P98" s="54">
        <v>0.16</v>
      </c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  <c r="AB98" s="14"/>
      <c r="AC98" s="14"/>
      <c r="AD98" s="14"/>
      <c r="AE98" s="14"/>
      <c r="AF98" s="14"/>
      <c r="AG98" s="14"/>
      <c r="AH98" s="14"/>
    </row>
    <row r="99" spans="1:34" x14ac:dyDescent="0.25">
      <c r="A99" s="3" t="s">
        <v>138</v>
      </c>
      <c r="B99" s="3" t="s">
        <v>139</v>
      </c>
      <c r="C99" s="8" t="s">
        <v>1</v>
      </c>
      <c r="D99" s="41">
        <v>113.56551267647276</v>
      </c>
      <c r="E99" s="42">
        <v>138.45700820459751</v>
      </c>
      <c r="F99" s="43">
        <v>214.40188617044865</v>
      </c>
      <c r="G99" s="48"/>
      <c r="H99" s="47">
        <v>12.807007288115267</v>
      </c>
      <c r="I99" s="48">
        <v>14.404568756249731</v>
      </c>
      <c r="J99" s="43">
        <v>17.281505176043737</v>
      </c>
      <c r="K99" s="48"/>
      <c r="L99" s="47">
        <v>19.660784135270887</v>
      </c>
      <c r="M99" s="48">
        <v>20.107620138345226</v>
      </c>
      <c r="N99" s="43">
        <v>22.086465294817298</v>
      </c>
      <c r="O99" s="53"/>
      <c r="P99" s="54">
        <v>0.16</v>
      </c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  <c r="AB99" s="14"/>
      <c r="AC99" s="14"/>
      <c r="AD99" s="14"/>
      <c r="AE99" s="14"/>
      <c r="AF99" s="14"/>
      <c r="AG99" s="14"/>
      <c r="AH99" s="14"/>
    </row>
    <row r="100" spans="1:34" x14ac:dyDescent="0.25">
      <c r="A100" s="3" t="s">
        <v>140</v>
      </c>
      <c r="B100" s="3" t="s">
        <v>141</v>
      </c>
      <c r="C100" s="8" t="s">
        <v>1</v>
      </c>
      <c r="D100" s="41">
        <v>93.311582000000016</v>
      </c>
      <c r="E100" s="42">
        <v>149.59726599999999</v>
      </c>
      <c r="F100" s="43">
        <v>167.76177600000003</v>
      </c>
      <c r="G100" s="48"/>
      <c r="H100" s="47">
        <v>12.340916386126489</v>
      </c>
      <c r="I100" s="48">
        <v>13.880337115451791</v>
      </c>
      <c r="J100" s="43">
        <v>16.652571955813539</v>
      </c>
      <c r="K100" s="48"/>
      <c r="L100" s="47">
        <v>19.127426765936789</v>
      </c>
      <c r="M100" s="48">
        <v>19.562141010617172</v>
      </c>
      <c r="N100" s="43">
        <v>21.487304094201718</v>
      </c>
      <c r="O100" s="53"/>
      <c r="P100" s="54">
        <v>0.15</v>
      </c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  <c r="AB100" s="14"/>
      <c r="AC100" s="14"/>
      <c r="AD100" s="14"/>
      <c r="AE100" s="14"/>
      <c r="AF100" s="14"/>
      <c r="AG100" s="14"/>
      <c r="AH100" s="14"/>
    </row>
    <row r="101" spans="1:34" x14ac:dyDescent="0.25">
      <c r="A101" s="3" t="s">
        <v>142</v>
      </c>
      <c r="B101" s="3" t="s">
        <v>143</v>
      </c>
      <c r="C101" s="8" t="s">
        <v>1</v>
      </c>
      <c r="D101" s="41">
        <v>134.41173081898145</v>
      </c>
      <c r="E101" s="42">
        <v>161.91599619336242</v>
      </c>
      <c r="F101" s="43">
        <v>180.21564370980857</v>
      </c>
      <c r="G101" s="48"/>
      <c r="H101" s="47">
        <v>19.228363759005269</v>
      </c>
      <c r="I101" s="48">
        <v>21.626932944264212</v>
      </c>
      <c r="J101" s="43">
        <v>25.946347991576985</v>
      </c>
      <c r="K101" s="48"/>
      <c r="L101" s="47">
        <v>32.924573478919378</v>
      </c>
      <c r="M101" s="48">
        <v>33.672859239803913</v>
      </c>
      <c r="N101" s="43">
        <v>36.98669618086398</v>
      </c>
      <c r="O101" s="53"/>
      <c r="P101" s="54">
        <v>0.192</v>
      </c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</row>
    <row r="102" spans="1:34" x14ac:dyDescent="0.25">
      <c r="A102" s="3" t="s">
        <v>144</v>
      </c>
      <c r="B102" s="3" t="s">
        <v>145</v>
      </c>
      <c r="C102" s="8" t="s">
        <v>1</v>
      </c>
      <c r="D102" s="41">
        <v>114.65050000000001</v>
      </c>
      <c r="E102" s="42">
        <v>177.29900000000001</v>
      </c>
      <c r="F102" s="43">
        <v>205.69680000000002</v>
      </c>
      <c r="G102" s="48"/>
      <c r="H102" s="47">
        <v>15.166729219427573</v>
      </c>
      <c r="I102" s="48">
        <v>17.05864523489447</v>
      </c>
      <c r="J102" s="43">
        <v>20.465664117519506</v>
      </c>
      <c r="K102" s="48"/>
      <c r="L102" s="47">
        <v>23.507209136391367</v>
      </c>
      <c r="M102" s="48">
        <v>24.041463889491173</v>
      </c>
      <c r="N102" s="43">
        <v>26.407449224647447</v>
      </c>
      <c r="O102" s="53"/>
      <c r="P102" s="54">
        <v>0.15</v>
      </c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</row>
    <row r="103" spans="1:34" x14ac:dyDescent="0.25">
      <c r="A103" s="3" t="s">
        <v>146</v>
      </c>
      <c r="B103" s="3" t="s">
        <v>147</v>
      </c>
      <c r="C103" s="8" t="s">
        <v>1</v>
      </c>
      <c r="D103" s="41">
        <v>80.908636401433938</v>
      </c>
      <c r="E103" s="42">
        <v>104.82572621775444</v>
      </c>
      <c r="F103" s="43">
        <v>134.52976014487396</v>
      </c>
      <c r="G103" s="48"/>
      <c r="H103" s="47">
        <v>10.233101876499109</v>
      </c>
      <c r="I103" s="48">
        <v>11.509591292770478</v>
      </c>
      <c r="J103" s="43">
        <v>13.808331569375353</v>
      </c>
      <c r="K103" s="48"/>
      <c r="L103" s="47">
        <v>15.709431758876786</v>
      </c>
      <c r="M103" s="48">
        <v>16.066464298851258</v>
      </c>
      <c r="N103" s="43">
        <v>17.647608404452495</v>
      </c>
      <c r="O103" s="53"/>
      <c r="P103" s="54">
        <v>0.16</v>
      </c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</row>
    <row r="104" spans="1:34" x14ac:dyDescent="0.25">
      <c r="A104" s="3" t="s">
        <v>148</v>
      </c>
      <c r="B104" s="3" t="s">
        <v>149</v>
      </c>
      <c r="C104" s="8" t="s">
        <v>1</v>
      </c>
      <c r="D104" s="41">
        <v>79.719483378298463</v>
      </c>
      <c r="E104" s="42">
        <v>96.537816773227888</v>
      </c>
      <c r="F104" s="43">
        <v>134.06936779325892</v>
      </c>
      <c r="G104" s="48"/>
      <c r="H104" s="47">
        <v>9.1449911989972072</v>
      </c>
      <c r="I104" s="48">
        <v>10.285748382723051</v>
      </c>
      <c r="J104" s="43">
        <v>12.340057999889089</v>
      </c>
      <c r="K104" s="48"/>
      <c r="L104" s="47">
        <v>15.658895289748303</v>
      </c>
      <c r="M104" s="48">
        <v>16.014779273606219</v>
      </c>
      <c r="N104" s="43">
        <v>17.590836916405564</v>
      </c>
      <c r="O104" s="53"/>
      <c r="P104" s="54">
        <v>0.18</v>
      </c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</row>
    <row r="105" spans="1:34" x14ac:dyDescent="0.25">
      <c r="A105" s="3" t="s">
        <v>150</v>
      </c>
      <c r="B105" s="3" t="s">
        <v>151</v>
      </c>
      <c r="C105" s="8" t="s">
        <v>1</v>
      </c>
      <c r="D105" s="41">
        <v>128.73030263877595</v>
      </c>
      <c r="E105" s="42">
        <v>162.41907847734495</v>
      </c>
      <c r="F105" s="43">
        <v>212.05388212580385</v>
      </c>
      <c r="G105" s="48"/>
      <c r="H105" s="47">
        <v>16.630595683902438</v>
      </c>
      <c r="I105" s="48">
        <v>18.705116160000003</v>
      </c>
      <c r="J105" s="43">
        <v>22.440974610731708</v>
      </c>
      <c r="K105" s="48"/>
      <c r="L105" s="47">
        <v>26.389800585365855</v>
      </c>
      <c r="M105" s="48">
        <v>26.989568780487804</v>
      </c>
      <c r="N105" s="43">
        <v>29.645685073170732</v>
      </c>
      <c r="O105" s="53"/>
      <c r="P105" s="54">
        <v>0.16</v>
      </c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</row>
    <row r="106" spans="1:34" x14ac:dyDescent="0.25">
      <c r="A106" s="3" t="s">
        <v>152</v>
      </c>
      <c r="B106" s="3" t="s">
        <v>153</v>
      </c>
      <c r="C106" s="8" t="s">
        <v>1</v>
      </c>
      <c r="D106" s="41">
        <v>137.08297961785794</v>
      </c>
      <c r="E106" s="42">
        <v>178.70495417251828</v>
      </c>
      <c r="F106" s="43">
        <v>234.37822501663095</v>
      </c>
      <c r="G106" s="48"/>
      <c r="H106" s="47">
        <v>17.308694663692869</v>
      </c>
      <c r="I106" s="48">
        <v>19.467802020809838</v>
      </c>
      <c r="J106" s="43">
        <v>23.355987053958234</v>
      </c>
      <c r="K106" s="48"/>
      <c r="L106" s="47">
        <v>26.31609105470212</v>
      </c>
      <c r="M106" s="48">
        <v>26.914184033218074</v>
      </c>
      <c r="N106" s="43">
        <v>29.562881509503029</v>
      </c>
      <c r="O106" s="53"/>
      <c r="P106" s="54">
        <v>0.29000000000000004</v>
      </c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4"/>
      <c r="AB106" s="14"/>
      <c r="AC106" s="14"/>
      <c r="AD106" s="14"/>
      <c r="AE106" s="14"/>
      <c r="AF106" s="14"/>
      <c r="AG106" s="14"/>
      <c r="AH106" s="14"/>
    </row>
    <row r="107" spans="1:34" x14ac:dyDescent="0.25">
      <c r="A107" s="3" t="s">
        <v>152</v>
      </c>
      <c r="B107" s="3" t="s">
        <v>154</v>
      </c>
      <c r="C107" s="8" t="s">
        <v>1</v>
      </c>
      <c r="D107" s="41">
        <v>206.82552020428341</v>
      </c>
      <c r="E107" s="42">
        <v>260.95184823296262</v>
      </c>
      <c r="F107" s="43">
        <v>340.69798317087367</v>
      </c>
      <c r="G107" s="48"/>
      <c r="H107" s="47">
        <v>26.719673092682932</v>
      </c>
      <c r="I107" s="48">
        <v>30.052717200000004</v>
      </c>
      <c r="J107" s="43">
        <v>36.05496260487805</v>
      </c>
      <c r="K107" s="48"/>
      <c r="L107" s="47">
        <v>40.624516390243905</v>
      </c>
      <c r="M107" s="48">
        <v>41.547800853658543</v>
      </c>
      <c r="N107" s="43">
        <v>45.636632048780498</v>
      </c>
      <c r="O107" s="53"/>
      <c r="P107" s="54">
        <v>0.29000000000000004</v>
      </c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  <c r="AB107" s="14"/>
      <c r="AC107" s="14"/>
      <c r="AD107" s="14"/>
      <c r="AE107" s="14"/>
      <c r="AF107" s="14"/>
      <c r="AG107" s="14"/>
      <c r="AH107" s="14"/>
    </row>
    <row r="108" spans="1:34" x14ac:dyDescent="0.25">
      <c r="A108" s="3" t="s">
        <v>155</v>
      </c>
      <c r="B108" s="3" t="s">
        <v>156</v>
      </c>
      <c r="C108" s="8" t="s">
        <v>1</v>
      </c>
      <c r="D108" s="41">
        <v>112.63074226083782</v>
      </c>
      <c r="E108" s="42">
        <v>142.1062561901748</v>
      </c>
      <c r="F108" s="43">
        <v>185.53351971944525</v>
      </c>
      <c r="G108" s="48"/>
      <c r="H108" s="47">
        <v>14.550702497560978</v>
      </c>
      <c r="I108" s="48">
        <v>16.365774600000002</v>
      </c>
      <c r="J108" s="43">
        <v>19.634410668292688</v>
      </c>
      <c r="K108" s="48"/>
      <c r="L108" s="47">
        <v>32.217739024390248</v>
      </c>
      <c r="M108" s="48">
        <v>32.949960365853656</v>
      </c>
      <c r="N108" s="43">
        <v>36.192654878048785</v>
      </c>
      <c r="O108" s="53"/>
      <c r="P108" s="54">
        <v>0.10999999999999999</v>
      </c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  <c r="AB108" s="14"/>
      <c r="AC108" s="14"/>
      <c r="AD108" s="14"/>
      <c r="AE108" s="14"/>
      <c r="AF108" s="14"/>
      <c r="AG108" s="14"/>
      <c r="AH108" s="14"/>
    </row>
    <row r="109" spans="1:34" x14ac:dyDescent="0.25">
      <c r="A109" s="3" t="s">
        <v>157</v>
      </c>
      <c r="B109" s="3" t="s">
        <v>158</v>
      </c>
      <c r="C109" s="8" t="s">
        <v>1</v>
      </c>
      <c r="D109" s="41">
        <v>154.75573893349471</v>
      </c>
      <c r="E109" s="42">
        <v>195.25538269873974</v>
      </c>
      <c r="F109" s="43">
        <v>254.92486655748763</v>
      </c>
      <c r="G109" s="48"/>
      <c r="H109" s="47">
        <v>8.0074672392971351</v>
      </c>
      <c r="I109" s="48">
        <v>11.05447629071711</v>
      </c>
      <c r="J109" s="43">
        <v>11.371873066906689</v>
      </c>
      <c r="K109" s="48"/>
      <c r="L109" s="47">
        <v>29.954333414634139</v>
      </c>
      <c r="M109" s="48">
        <v>30.635113719512187</v>
      </c>
      <c r="N109" s="43">
        <v>33.649997926829258</v>
      </c>
      <c r="O109" s="53"/>
      <c r="P109" s="54">
        <v>0.12</v>
      </c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  <c r="AB109" s="14"/>
      <c r="AC109" s="14"/>
      <c r="AD109" s="14"/>
      <c r="AE109" s="14"/>
      <c r="AF109" s="14"/>
      <c r="AG109" s="14"/>
      <c r="AH109" s="14"/>
    </row>
    <row r="110" spans="1:34" x14ac:dyDescent="0.25">
      <c r="A110" s="3" t="s">
        <v>157</v>
      </c>
      <c r="B110" s="3" t="s">
        <v>159</v>
      </c>
      <c r="C110" s="8" t="s">
        <v>1</v>
      </c>
      <c r="D110" s="41">
        <v>154.75573893349471</v>
      </c>
      <c r="E110" s="42">
        <v>195.25538269873974</v>
      </c>
      <c r="F110" s="43">
        <v>254.92486655748763</v>
      </c>
      <c r="G110" s="48"/>
      <c r="H110" s="47">
        <v>8.0074672392971351</v>
      </c>
      <c r="I110" s="48">
        <v>11.05447629071711</v>
      </c>
      <c r="J110" s="43">
        <v>11.371873066906689</v>
      </c>
      <c r="K110" s="48"/>
      <c r="L110" s="47">
        <v>29.954333414634139</v>
      </c>
      <c r="M110" s="48">
        <v>30.635113719512187</v>
      </c>
      <c r="N110" s="43">
        <v>33.649997926829258</v>
      </c>
      <c r="O110" s="53"/>
      <c r="P110" s="54">
        <v>0.12</v>
      </c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  <c r="AB110" s="14"/>
      <c r="AC110" s="14"/>
      <c r="AD110" s="14"/>
      <c r="AE110" s="14"/>
      <c r="AF110" s="14"/>
      <c r="AG110" s="14"/>
      <c r="AH110" s="14"/>
    </row>
    <row r="111" spans="1:34" x14ac:dyDescent="0.25">
      <c r="A111" s="3" t="s">
        <v>160</v>
      </c>
      <c r="B111" s="3" t="s">
        <v>161</v>
      </c>
      <c r="C111" s="8" t="s">
        <v>1</v>
      </c>
      <c r="D111" s="41">
        <v>111.0340576821088</v>
      </c>
      <c r="E111" s="42">
        <v>135.11149328340971</v>
      </c>
      <c r="F111" s="43">
        <v>209.86973252272895</v>
      </c>
      <c r="G111" s="48"/>
      <c r="H111" s="47">
        <v>12.606897788798719</v>
      </c>
      <c r="I111" s="48">
        <v>14.179497357691313</v>
      </c>
      <c r="J111" s="43">
        <v>17.011481643580879</v>
      </c>
      <c r="K111" s="48"/>
      <c r="L111" s="47">
        <v>19.353584367130615</v>
      </c>
      <c r="M111" s="48">
        <v>19.793438557292671</v>
      </c>
      <c r="N111" s="43">
        <v>21.741364256581797</v>
      </c>
      <c r="O111" s="53"/>
      <c r="P111" s="54">
        <v>0.16</v>
      </c>
      <c r="Q111" s="14"/>
      <c r="R111" s="14"/>
      <c r="S111" s="14"/>
      <c r="T111" s="14"/>
      <c r="U111" s="14"/>
      <c r="V111" s="14"/>
      <c r="W111" s="14"/>
      <c r="X111" s="14"/>
      <c r="Y111" s="14"/>
      <c r="Z111" s="14"/>
      <c r="AA111" s="14"/>
      <c r="AB111" s="14"/>
      <c r="AC111" s="14"/>
      <c r="AD111" s="14"/>
      <c r="AE111" s="14"/>
      <c r="AF111" s="14"/>
      <c r="AG111" s="14"/>
      <c r="AH111" s="14"/>
    </row>
    <row r="112" spans="1:34" x14ac:dyDescent="0.25">
      <c r="A112" s="3" t="s">
        <v>162</v>
      </c>
      <c r="B112" s="3" t="s">
        <v>163</v>
      </c>
      <c r="C112" s="8" t="s">
        <v>2</v>
      </c>
      <c r="D112" s="41">
        <v>91.779880502737043</v>
      </c>
      <c r="E112" s="42">
        <v>123.88577853070019</v>
      </c>
      <c r="F112" s="43">
        <v>175.56255289004983</v>
      </c>
      <c r="G112" s="48"/>
      <c r="H112" s="47">
        <v>5.7395000000000005</v>
      </c>
      <c r="I112" s="48">
        <v>7.9234999999999998</v>
      </c>
      <c r="J112" s="43">
        <v>8.1509999999999998</v>
      </c>
      <c r="K112" s="48"/>
      <c r="L112" s="47">
        <v>19.034400000000002</v>
      </c>
      <c r="M112" s="48">
        <v>19.466999999999999</v>
      </c>
      <c r="N112" s="43">
        <v>21.382800000000003</v>
      </c>
      <c r="O112" s="53"/>
      <c r="P112" s="54">
        <v>0.14000000000000001</v>
      </c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  <c r="AB112" s="14"/>
      <c r="AC112" s="14"/>
      <c r="AD112" s="14"/>
      <c r="AE112" s="14"/>
      <c r="AF112" s="14"/>
      <c r="AG112" s="14"/>
      <c r="AH112" s="14"/>
    </row>
    <row r="113" spans="1:34" x14ac:dyDescent="0.25">
      <c r="A113" s="3" t="s">
        <v>164</v>
      </c>
      <c r="B113" s="3" t="s">
        <v>165</v>
      </c>
      <c r="C113" s="8" t="s">
        <v>2</v>
      </c>
      <c r="D113" s="41">
        <v>95.669168840693061</v>
      </c>
      <c r="E113" s="42">
        <v>126.88701536656114</v>
      </c>
      <c r="F113" s="43">
        <v>179.43851759792938</v>
      </c>
      <c r="G113" s="48"/>
      <c r="H113" s="47">
        <v>6.6229396472163762</v>
      </c>
      <c r="I113" s="48">
        <v>9.1431069421933877</v>
      </c>
      <c r="J113" s="43">
        <v>9.4056243687534931</v>
      </c>
      <c r="K113" s="48"/>
      <c r="L113" s="47">
        <v>25.694592000000004</v>
      </c>
      <c r="M113" s="48">
        <v>26.278560000000002</v>
      </c>
      <c r="N113" s="43">
        <v>28.864704000000003</v>
      </c>
      <c r="O113" s="53"/>
      <c r="P113" s="54">
        <v>0.185</v>
      </c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</row>
    <row r="114" spans="1:34" x14ac:dyDescent="0.25">
      <c r="A114" s="3" t="s">
        <v>164</v>
      </c>
      <c r="B114" s="3" t="s">
        <v>166</v>
      </c>
      <c r="C114" s="8" t="s">
        <v>2</v>
      </c>
      <c r="D114" s="41">
        <v>97.58255221750693</v>
      </c>
      <c r="E114" s="42">
        <v>129.42475567389235</v>
      </c>
      <c r="F114" s="43">
        <v>183.02728794988798</v>
      </c>
      <c r="G114" s="48"/>
      <c r="H114" s="47">
        <v>6.7991000000000001</v>
      </c>
      <c r="I114" s="48">
        <v>9.3863000000000003</v>
      </c>
      <c r="J114" s="43">
        <v>9.6557999999999993</v>
      </c>
      <c r="K114" s="48"/>
      <c r="L114" s="47">
        <v>26.208483840000003</v>
      </c>
      <c r="M114" s="48">
        <v>26.804131200000004</v>
      </c>
      <c r="N114" s="43">
        <v>29.441998080000005</v>
      </c>
      <c r="O114" s="53"/>
      <c r="P114" s="54">
        <v>0.185</v>
      </c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</row>
    <row r="115" spans="1:34" x14ac:dyDescent="0.25">
      <c r="A115" s="3" t="s">
        <v>164</v>
      </c>
      <c r="B115" s="3" t="s">
        <v>167</v>
      </c>
      <c r="C115" s="8" t="s">
        <v>2</v>
      </c>
      <c r="D115" s="41">
        <v>99.495935594320784</v>
      </c>
      <c r="E115" s="42">
        <v>131.96249598122361</v>
      </c>
      <c r="F115" s="43">
        <v>186.61605830184658</v>
      </c>
      <c r="G115" s="48"/>
      <c r="H115" s="47">
        <v>6.8874000000000004</v>
      </c>
      <c r="I115" s="48">
        <v>9.5082000000000004</v>
      </c>
      <c r="J115" s="43">
        <v>9.7812000000000001</v>
      </c>
      <c r="K115" s="48"/>
      <c r="L115" s="47">
        <v>26.722375680000006</v>
      </c>
      <c r="M115" s="48">
        <v>27.329702400000002</v>
      </c>
      <c r="N115" s="43">
        <v>30.019292160000003</v>
      </c>
      <c r="O115" s="53"/>
      <c r="P115" s="54">
        <v>0.185</v>
      </c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  <c r="AB115" s="14"/>
      <c r="AC115" s="14"/>
      <c r="AD115" s="14"/>
      <c r="AE115" s="14"/>
      <c r="AF115" s="14"/>
      <c r="AG115" s="14"/>
      <c r="AH115" s="14"/>
    </row>
    <row r="116" spans="1:34" x14ac:dyDescent="0.25">
      <c r="A116" s="3" t="s">
        <v>164</v>
      </c>
      <c r="B116" s="3" t="s">
        <v>168</v>
      </c>
      <c r="C116" s="8" t="s">
        <v>2</v>
      </c>
      <c r="D116" s="41">
        <v>98.539243905913864</v>
      </c>
      <c r="E116" s="42">
        <v>130.69362582755798</v>
      </c>
      <c r="F116" s="43">
        <v>184.82167312586728</v>
      </c>
      <c r="G116" s="48"/>
      <c r="H116" s="47">
        <v>6.7991000000000001</v>
      </c>
      <c r="I116" s="48">
        <v>9.3863000000000003</v>
      </c>
      <c r="J116" s="43">
        <v>9.6557999999999993</v>
      </c>
      <c r="K116" s="48"/>
      <c r="L116" s="47">
        <v>26.465429760000003</v>
      </c>
      <c r="M116" s="48">
        <v>27.066916800000005</v>
      </c>
      <c r="N116" s="43">
        <v>29.730645120000005</v>
      </c>
      <c r="O116" s="53"/>
      <c r="P116" s="54">
        <v>0.185</v>
      </c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  <c r="AC116" s="14"/>
      <c r="AD116" s="14"/>
      <c r="AE116" s="14"/>
      <c r="AF116" s="14"/>
      <c r="AG116" s="14"/>
      <c r="AH116" s="14"/>
    </row>
    <row r="117" spans="1:34" x14ac:dyDescent="0.25">
      <c r="A117" s="3" t="s">
        <v>162</v>
      </c>
      <c r="B117" s="3" t="s">
        <v>169</v>
      </c>
      <c r="C117" s="8" t="s">
        <v>2</v>
      </c>
      <c r="D117" s="41">
        <v>83.537359551406595</v>
      </c>
      <c r="E117" s="42">
        <v>118.60415717067866</v>
      </c>
      <c r="F117" s="43">
        <v>180.29273521870203</v>
      </c>
      <c r="G117" s="48"/>
      <c r="H117" s="47">
        <v>5.4745999999999997</v>
      </c>
      <c r="I117" s="48">
        <v>7.5577999999999994</v>
      </c>
      <c r="J117" s="43">
        <v>7.774799999999999</v>
      </c>
      <c r="K117" s="48"/>
      <c r="L117" s="47">
        <v>18.22128</v>
      </c>
      <c r="M117" s="48">
        <v>18.635400000000001</v>
      </c>
      <c r="N117" s="43">
        <v>20.469359999999998</v>
      </c>
      <c r="O117" s="53"/>
      <c r="P117" s="54">
        <v>0.15</v>
      </c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14"/>
      <c r="AB117" s="14"/>
      <c r="AC117" s="14"/>
      <c r="AD117" s="14"/>
      <c r="AE117" s="14"/>
      <c r="AF117" s="14"/>
      <c r="AG117" s="14"/>
      <c r="AH117" s="14"/>
    </row>
    <row r="118" spans="1:34" x14ac:dyDescent="0.25">
      <c r="A118" s="3" t="s">
        <v>162</v>
      </c>
      <c r="B118" s="3" t="s">
        <v>170</v>
      </c>
      <c r="C118" s="8" t="s">
        <v>2</v>
      </c>
      <c r="D118" s="41">
        <v>80.119701571770818</v>
      </c>
      <c r="E118" s="42">
        <v>113.63100742948316</v>
      </c>
      <c r="F118" s="43">
        <v>172.49478521380766</v>
      </c>
      <c r="G118" s="48"/>
      <c r="H118" s="47">
        <v>5.298</v>
      </c>
      <c r="I118" s="48">
        <v>7.3139999999999992</v>
      </c>
      <c r="J118" s="43">
        <v>7.5239999999999991</v>
      </c>
      <c r="K118" s="48"/>
      <c r="L118" s="47">
        <v>17.907119999999999</v>
      </c>
      <c r="M118" s="48">
        <v>18.3141</v>
      </c>
      <c r="N118" s="43">
        <v>20.116439999999997</v>
      </c>
      <c r="O118" s="53"/>
      <c r="P118" s="54">
        <v>0.15</v>
      </c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  <c r="AB118" s="14"/>
      <c r="AC118" s="14"/>
      <c r="AD118" s="14"/>
      <c r="AE118" s="14"/>
      <c r="AF118" s="14"/>
      <c r="AG118" s="14"/>
      <c r="AH118" s="14"/>
    </row>
    <row r="119" spans="1:34" x14ac:dyDescent="0.25">
      <c r="A119" s="3" t="s">
        <v>162</v>
      </c>
      <c r="B119" s="3" t="s">
        <v>171</v>
      </c>
      <c r="C119" s="8" t="s">
        <v>2</v>
      </c>
      <c r="D119" s="41">
        <v>72.160235470212669</v>
      </c>
      <c r="E119" s="42">
        <v>101.19859550517288</v>
      </c>
      <c r="F119" s="43">
        <v>160.75103956916161</v>
      </c>
      <c r="G119" s="48"/>
      <c r="H119" s="47">
        <v>5.4745999999999997</v>
      </c>
      <c r="I119" s="48">
        <v>7.5577999999999994</v>
      </c>
      <c r="J119" s="43">
        <v>7.774799999999999</v>
      </c>
      <c r="K119" s="48"/>
      <c r="L119" s="47">
        <v>17.592960000000001</v>
      </c>
      <c r="M119" s="48">
        <v>17.992800000000003</v>
      </c>
      <c r="N119" s="43">
        <v>19.763520000000003</v>
      </c>
      <c r="O119" s="53"/>
      <c r="P119" s="54">
        <v>0.15</v>
      </c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  <c r="AB119" s="14"/>
      <c r="AC119" s="14"/>
      <c r="AD119" s="14"/>
      <c r="AE119" s="14"/>
      <c r="AF119" s="14"/>
      <c r="AG119" s="14"/>
      <c r="AH119" s="14"/>
    </row>
    <row r="120" spans="1:34" x14ac:dyDescent="0.25">
      <c r="A120" s="3" t="s">
        <v>172</v>
      </c>
      <c r="B120" s="3" t="s">
        <v>173</v>
      </c>
      <c r="C120" s="8" t="s">
        <v>2</v>
      </c>
      <c r="D120" s="41">
        <v>48.161794695179545</v>
      </c>
      <c r="E120" s="42">
        <v>59.337637087380344</v>
      </c>
      <c r="F120" s="43">
        <v>91.647312610194561</v>
      </c>
      <c r="G120" s="48"/>
      <c r="H120" s="47">
        <v>2.3841000000000001</v>
      </c>
      <c r="I120" s="48">
        <v>3.2913000000000001</v>
      </c>
      <c r="J120" s="43">
        <v>3.3858000000000001</v>
      </c>
      <c r="K120" s="48"/>
      <c r="L120" s="47">
        <v>9.237008360095988</v>
      </c>
      <c r="M120" s="48">
        <v>9.4469403682799875</v>
      </c>
      <c r="N120" s="43">
        <v>10.376639261666272</v>
      </c>
      <c r="O120" s="53"/>
      <c r="P120" s="54">
        <v>0.15</v>
      </c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  <c r="AB120" s="14"/>
      <c r="AC120" s="14"/>
      <c r="AD120" s="14"/>
      <c r="AE120" s="14"/>
      <c r="AF120" s="14"/>
      <c r="AG120" s="14"/>
      <c r="AH120" s="14"/>
    </row>
    <row r="121" spans="1:34" x14ac:dyDescent="0.25">
      <c r="A121" s="3" t="s">
        <v>172</v>
      </c>
      <c r="B121" s="3" t="s">
        <v>174</v>
      </c>
      <c r="C121" s="8" t="s">
        <v>2</v>
      </c>
      <c r="D121" s="41">
        <v>47.684945242752022</v>
      </c>
      <c r="E121" s="42">
        <v>58.750135730079549</v>
      </c>
      <c r="F121" s="43">
        <v>90.739913475440162</v>
      </c>
      <c r="G121" s="48"/>
      <c r="H121" s="47">
        <v>2.3841000000000001</v>
      </c>
      <c r="I121" s="48">
        <v>3.2913000000000001</v>
      </c>
      <c r="J121" s="43">
        <v>3.3858000000000001</v>
      </c>
      <c r="K121" s="48"/>
      <c r="L121" s="47">
        <v>9.1455528317782058</v>
      </c>
      <c r="M121" s="48">
        <v>9.3534063052277094</v>
      </c>
      <c r="N121" s="43">
        <v>10.273900259075516</v>
      </c>
      <c r="O121" s="53"/>
      <c r="P121" s="54">
        <v>0.15</v>
      </c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  <c r="AB121" s="14"/>
      <c r="AC121" s="14"/>
      <c r="AD121" s="14"/>
      <c r="AE121" s="14"/>
      <c r="AF121" s="14"/>
      <c r="AG121" s="14"/>
      <c r="AH121" s="14"/>
    </row>
    <row r="122" spans="1:34" x14ac:dyDescent="0.25">
      <c r="A122" s="3" t="s">
        <v>172</v>
      </c>
      <c r="B122" s="3" t="s">
        <v>175</v>
      </c>
      <c r="C122" s="8" t="s">
        <v>2</v>
      </c>
      <c r="D122" s="41">
        <v>47.684945242752022</v>
      </c>
      <c r="E122" s="42">
        <v>58.750135730079549</v>
      </c>
      <c r="F122" s="43">
        <v>90.739913475440162</v>
      </c>
      <c r="G122" s="48"/>
      <c r="H122" s="47">
        <v>2.3841000000000001</v>
      </c>
      <c r="I122" s="48">
        <v>3.2913000000000001</v>
      </c>
      <c r="J122" s="43">
        <v>3.3858000000000001</v>
      </c>
      <c r="K122" s="48"/>
      <c r="L122" s="47">
        <v>9.1455528317782058</v>
      </c>
      <c r="M122" s="48">
        <v>9.3534063052277094</v>
      </c>
      <c r="N122" s="43">
        <v>10.273900259075516</v>
      </c>
      <c r="O122" s="53"/>
      <c r="P122" s="54">
        <v>0.15</v>
      </c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  <c r="AB122" s="14"/>
      <c r="AC122" s="14"/>
      <c r="AD122" s="14"/>
      <c r="AE122" s="14"/>
      <c r="AF122" s="14"/>
      <c r="AG122" s="14"/>
      <c r="AH122" s="14"/>
    </row>
    <row r="123" spans="1:34" x14ac:dyDescent="0.25">
      <c r="A123" s="3" t="s">
        <v>172</v>
      </c>
      <c r="B123" s="3" t="s">
        <v>176</v>
      </c>
      <c r="C123" s="8" t="s">
        <v>2</v>
      </c>
      <c r="D123" s="41">
        <v>47.217445779587784</v>
      </c>
      <c r="E123" s="42">
        <v>58.174154007235629</v>
      </c>
      <c r="F123" s="43">
        <v>89.850306480582901</v>
      </c>
      <c r="G123" s="48"/>
      <c r="H123" s="47">
        <v>2.3841000000000001</v>
      </c>
      <c r="I123" s="48">
        <v>3.2913000000000001</v>
      </c>
      <c r="J123" s="43">
        <v>3.3858000000000001</v>
      </c>
      <c r="K123" s="48"/>
      <c r="L123" s="47">
        <v>9.0558905491137143</v>
      </c>
      <c r="M123" s="48">
        <v>9.2617062434117514</v>
      </c>
      <c r="N123" s="43">
        <v>10.173175746731639</v>
      </c>
      <c r="O123" s="53"/>
      <c r="P123" s="54">
        <v>0.15</v>
      </c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  <c r="AB123" s="14"/>
      <c r="AC123" s="14"/>
      <c r="AD123" s="14"/>
      <c r="AE123" s="14"/>
      <c r="AF123" s="14"/>
      <c r="AG123" s="14"/>
      <c r="AH123" s="14"/>
    </row>
    <row r="124" spans="1:34" x14ac:dyDescent="0.25">
      <c r="A124" s="3" t="s">
        <v>172</v>
      </c>
      <c r="B124" s="3" t="s">
        <v>177</v>
      </c>
      <c r="C124" s="8" t="s">
        <v>2</v>
      </c>
      <c r="D124" s="41">
        <v>52.014738270793913</v>
      </c>
      <c r="E124" s="42">
        <v>64.084648054370774</v>
      </c>
      <c r="F124" s="43">
        <v>98.979097619010133</v>
      </c>
      <c r="G124" s="48"/>
      <c r="H124" s="47">
        <v>2.649</v>
      </c>
      <c r="I124" s="48">
        <v>3.6569999999999996</v>
      </c>
      <c r="J124" s="43">
        <v>3.7619999999999996</v>
      </c>
      <c r="K124" s="48"/>
      <c r="L124" s="47">
        <v>9.975969028903668</v>
      </c>
      <c r="M124" s="48">
        <v>10.202695597742387</v>
      </c>
      <c r="N124" s="43">
        <v>11.206770402599574</v>
      </c>
      <c r="O124" s="53"/>
      <c r="P124" s="54">
        <v>0.15</v>
      </c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4"/>
      <c r="AB124" s="14"/>
      <c r="AC124" s="14"/>
      <c r="AD124" s="14"/>
      <c r="AE124" s="14"/>
      <c r="AF124" s="14"/>
      <c r="AG124" s="14"/>
      <c r="AH124" s="14"/>
    </row>
    <row r="125" spans="1:34" x14ac:dyDescent="0.25">
      <c r="A125" s="3" t="s">
        <v>172</v>
      </c>
      <c r="B125" s="3" t="s">
        <v>178</v>
      </c>
      <c r="C125" s="8" t="s">
        <v>2</v>
      </c>
      <c r="D125" s="41">
        <v>50.569884429938519</v>
      </c>
      <c r="E125" s="42">
        <v>62.304518941749365</v>
      </c>
      <c r="F125" s="43">
        <v>96.229678240704288</v>
      </c>
      <c r="G125" s="48"/>
      <c r="H125" s="47">
        <v>2.5606999999999998</v>
      </c>
      <c r="I125" s="48">
        <v>3.5350999999999995</v>
      </c>
      <c r="J125" s="43">
        <v>3.6365999999999996</v>
      </c>
      <c r="K125" s="48"/>
      <c r="L125" s="47">
        <v>9.6988587781007887</v>
      </c>
      <c r="M125" s="48">
        <v>9.9192873866939877</v>
      </c>
      <c r="N125" s="43">
        <v>10.895471224749587</v>
      </c>
      <c r="O125" s="53"/>
      <c r="P125" s="54">
        <v>0.15</v>
      </c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  <c r="AB125" s="14"/>
      <c r="AC125" s="14"/>
      <c r="AD125" s="14"/>
      <c r="AE125" s="14"/>
      <c r="AF125" s="14"/>
      <c r="AG125" s="14"/>
      <c r="AH125" s="14"/>
    </row>
    <row r="126" spans="1:34" x14ac:dyDescent="0.25">
      <c r="A126" s="3" t="s">
        <v>172</v>
      </c>
      <c r="B126" s="3" t="s">
        <v>179</v>
      </c>
      <c r="C126" s="8" t="s">
        <v>2</v>
      </c>
      <c r="D126" s="41">
        <v>47.684945242752022</v>
      </c>
      <c r="E126" s="42">
        <v>58.750135730079549</v>
      </c>
      <c r="F126" s="43">
        <v>90.739913475440162</v>
      </c>
      <c r="G126" s="48"/>
      <c r="H126" s="47">
        <v>2.3841000000000001</v>
      </c>
      <c r="I126" s="48">
        <v>3.2913000000000001</v>
      </c>
      <c r="J126" s="43">
        <v>3.3858000000000001</v>
      </c>
      <c r="K126" s="48"/>
      <c r="L126" s="47">
        <v>9.1455528317782058</v>
      </c>
      <c r="M126" s="48">
        <v>9.3534063052277094</v>
      </c>
      <c r="N126" s="43">
        <v>10.273900259075516</v>
      </c>
      <c r="O126" s="53"/>
      <c r="P126" s="54">
        <v>0.15</v>
      </c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  <c r="AB126" s="14"/>
      <c r="AC126" s="14"/>
      <c r="AD126" s="14"/>
      <c r="AE126" s="14"/>
      <c r="AF126" s="14"/>
      <c r="AG126" s="14"/>
      <c r="AH126" s="14"/>
    </row>
    <row r="127" spans="1:34" x14ac:dyDescent="0.25">
      <c r="A127" s="3" t="s">
        <v>180</v>
      </c>
      <c r="B127" s="3" t="s">
        <v>181</v>
      </c>
      <c r="C127" s="8" t="s">
        <v>2</v>
      </c>
      <c r="D127" s="41">
        <v>92.387707847702004</v>
      </c>
      <c r="E127" s="42">
        <v>99.987395481978027</v>
      </c>
      <c r="F127" s="43">
        <v>133.63377222434147</v>
      </c>
      <c r="G127" s="48"/>
      <c r="H127" s="47">
        <v>4.1501000000000001</v>
      </c>
      <c r="I127" s="48">
        <v>5.7292999999999994</v>
      </c>
      <c r="J127" s="43">
        <v>5.8937999999999997</v>
      </c>
      <c r="K127" s="48"/>
      <c r="L127" s="47">
        <v>15.523199999999999</v>
      </c>
      <c r="M127" s="48">
        <v>15.875999999999999</v>
      </c>
      <c r="N127" s="43">
        <v>17.438400000000001</v>
      </c>
      <c r="O127" s="53"/>
      <c r="P127" s="54">
        <v>0.10500000000000001</v>
      </c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  <c r="AB127" s="14"/>
      <c r="AC127" s="14"/>
      <c r="AD127" s="14"/>
      <c r="AE127" s="14"/>
      <c r="AF127" s="14"/>
      <c r="AG127" s="14"/>
      <c r="AH127" s="14"/>
    </row>
    <row r="128" spans="1:34" x14ac:dyDescent="0.25">
      <c r="A128" s="3" t="s">
        <v>182</v>
      </c>
      <c r="B128" s="3" t="s">
        <v>183</v>
      </c>
      <c r="C128" s="8" t="s">
        <v>2</v>
      </c>
      <c r="D128" s="41">
        <v>133.91857542830294</v>
      </c>
      <c r="E128" s="42">
        <v>163.82349821732475</v>
      </c>
      <c r="F128" s="43">
        <v>230.63275686101971</v>
      </c>
      <c r="G128" s="48"/>
      <c r="H128" s="47">
        <v>9.4860463973836513</v>
      </c>
      <c r="I128" s="48">
        <v>13.095685796614577</v>
      </c>
      <c r="J128" s="43">
        <v>13.471689900701129</v>
      </c>
      <c r="K128" s="48"/>
      <c r="L128" s="47">
        <v>35.135792447799844</v>
      </c>
      <c r="M128" s="48">
        <v>35.934333185249841</v>
      </c>
      <c r="N128" s="43">
        <v>39.470727879671259</v>
      </c>
      <c r="O128" s="53"/>
      <c r="P128" s="54">
        <v>0.26500000000000001</v>
      </c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  <c r="AB128" s="14"/>
      <c r="AC128" s="14"/>
      <c r="AD128" s="14"/>
      <c r="AE128" s="14"/>
      <c r="AF128" s="14"/>
      <c r="AG128" s="14"/>
      <c r="AH128" s="14"/>
    </row>
    <row r="129" spans="1:34" x14ac:dyDescent="0.25">
      <c r="A129" s="3" t="s">
        <v>184</v>
      </c>
      <c r="B129" s="3" t="s">
        <v>185</v>
      </c>
      <c r="C129" s="8" t="s">
        <v>2</v>
      </c>
      <c r="D129" s="41">
        <v>87.216812053443334</v>
      </c>
      <c r="E129" s="42">
        <v>102.67662925768843</v>
      </c>
      <c r="F129" s="43">
        <v>142.93422981820061</v>
      </c>
      <c r="G129" s="48"/>
      <c r="H129" s="47">
        <v>4.1377414029897164</v>
      </c>
      <c r="I129" s="48">
        <v>5.7122386978986004</v>
      </c>
      <c r="J129" s="43">
        <v>5.8762488327849418</v>
      </c>
      <c r="K129" s="48"/>
      <c r="L129" s="47">
        <v>15.554711608987052</v>
      </c>
      <c r="M129" s="48">
        <v>15.908227781918574</v>
      </c>
      <c r="N129" s="43">
        <v>17.473799404901037</v>
      </c>
      <c r="O129" s="53"/>
      <c r="P129" s="54">
        <v>0.08</v>
      </c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4"/>
      <c r="AB129" s="14"/>
      <c r="AC129" s="14"/>
      <c r="AD129" s="14"/>
      <c r="AE129" s="14"/>
      <c r="AF129" s="14"/>
      <c r="AG129" s="14"/>
      <c r="AH129" s="14"/>
    </row>
    <row r="130" spans="1:34" x14ac:dyDescent="0.25">
      <c r="A130" s="3" t="s">
        <v>186</v>
      </c>
      <c r="B130" s="3" t="s">
        <v>187</v>
      </c>
      <c r="C130" s="8" t="s">
        <v>2</v>
      </c>
      <c r="D130" s="41">
        <v>75.636386093378064</v>
      </c>
      <c r="E130" s="42">
        <v>101.57398321347159</v>
      </c>
      <c r="F130" s="43">
        <v>144.33686196298197</v>
      </c>
      <c r="G130" s="48"/>
      <c r="H130" s="47">
        <v>5.5982074303983422</v>
      </c>
      <c r="I130" s="48">
        <v>7.7284426474015611</v>
      </c>
      <c r="J130" s="43">
        <v>7.9503421491727293</v>
      </c>
      <c r="K130" s="48"/>
      <c r="L130" s="47">
        <v>21.767065931055768</v>
      </c>
      <c r="M130" s="48">
        <v>22.261771974943393</v>
      </c>
      <c r="N130" s="43">
        <v>24.452613026445764</v>
      </c>
      <c r="O130" s="53"/>
      <c r="P130" s="54">
        <v>0.15</v>
      </c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  <c r="AB130" s="14"/>
      <c r="AC130" s="14"/>
      <c r="AD130" s="14"/>
      <c r="AE130" s="14"/>
      <c r="AF130" s="14"/>
      <c r="AG130" s="14"/>
      <c r="AH130" s="14"/>
    </row>
    <row r="131" spans="1:34" x14ac:dyDescent="0.25">
      <c r="A131" s="3" t="s">
        <v>188</v>
      </c>
      <c r="B131" s="3" t="s">
        <v>189</v>
      </c>
      <c r="C131" s="8" t="s">
        <v>2</v>
      </c>
      <c r="D131" s="41">
        <v>70.729211114897211</v>
      </c>
      <c r="E131" s="42">
        <v>90.960725957160832</v>
      </c>
      <c r="F131" s="43">
        <v>101.2228796603399</v>
      </c>
      <c r="G131" s="48"/>
      <c r="H131" s="47">
        <v>3.0905</v>
      </c>
      <c r="I131" s="48">
        <v>4.2664999999999997</v>
      </c>
      <c r="J131" s="43">
        <v>4.3889999999999993</v>
      </c>
      <c r="K131" s="48"/>
      <c r="L131" s="47">
        <v>11.858000000000001</v>
      </c>
      <c r="M131" s="48">
        <v>12.1275</v>
      </c>
      <c r="N131" s="43">
        <v>13.321</v>
      </c>
      <c r="O131" s="53"/>
      <c r="P131" s="54">
        <v>0.05</v>
      </c>
      <c r="Q131" s="14"/>
      <c r="R131" s="14"/>
      <c r="S131" s="14"/>
      <c r="T131" s="14"/>
      <c r="U131" s="14"/>
      <c r="V131" s="14"/>
      <c r="W131" s="14"/>
      <c r="X131" s="14"/>
      <c r="Y131" s="14"/>
      <c r="Z131" s="14"/>
      <c r="AA131" s="14"/>
      <c r="AB131" s="14"/>
      <c r="AC131" s="14"/>
      <c r="AD131" s="14"/>
      <c r="AE131" s="14"/>
      <c r="AF131" s="14"/>
      <c r="AG131" s="14"/>
      <c r="AH131" s="14"/>
    </row>
    <row r="132" spans="1:34" x14ac:dyDescent="0.25">
      <c r="A132" s="3" t="s">
        <v>190</v>
      </c>
      <c r="B132" s="3" t="s">
        <v>191</v>
      </c>
      <c r="C132" s="8" t="s">
        <v>2</v>
      </c>
      <c r="D132" s="41">
        <v>66.941001107404375</v>
      </c>
      <c r="E132" s="42">
        <v>71.653793751512865</v>
      </c>
      <c r="F132" s="43">
        <v>93.069227642692013</v>
      </c>
      <c r="G132" s="48"/>
      <c r="H132" s="47">
        <v>4.415</v>
      </c>
      <c r="I132" s="48">
        <v>6.0949999999999998</v>
      </c>
      <c r="J132" s="43">
        <v>6.27</v>
      </c>
      <c r="K132" s="48"/>
      <c r="L132" s="47">
        <v>16.813720000000004</v>
      </c>
      <c r="M132" s="48">
        <v>17.19585</v>
      </c>
      <c r="N132" s="43">
        <v>18.88814</v>
      </c>
      <c r="O132" s="53"/>
      <c r="P132" s="54">
        <v>0.10999999999999999</v>
      </c>
      <c r="Q132" s="14"/>
      <c r="R132" s="14"/>
      <c r="S132" s="14"/>
      <c r="T132" s="14"/>
      <c r="U132" s="14"/>
      <c r="V132" s="14"/>
      <c r="W132" s="14"/>
      <c r="X132" s="14"/>
      <c r="Y132" s="14"/>
      <c r="Z132" s="14"/>
      <c r="AA132" s="14"/>
      <c r="AB132" s="14"/>
      <c r="AC132" s="14"/>
      <c r="AD132" s="14"/>
      <c r="AE132" s="14"/>
      <c r="AF132" s="14"/>
      <c r="AG132" s="14"/>
      <c r="AH132" s="14"/>
    </row>
    <row r="133" spans="1:34" x14ac:dyDescent="0.25">
      <c r="A133" s="3" t="s">
        <v>192</v>
      </c>
      <c r="B133" s="3" t="s">
        <v>192</v>
      </c>
      <c r="C133" s="8" t="s">
        <v>2</v>
      </c>
      <c r="D133" s="41">
        <v>121.72372591961614</v>
      </c>
      <c r="E133" s="42">
        <v>161.12259619445774</v>
      </c>
      <c r="F133" s="43">
        <v>189.96612828571426</v>
      </c>
      <c r="G133" s="48"/>
      <c r="H133" s="47">
        <v>7.9470000000000001</v>
      </c>
      <c r="I133" s="48">
        <v>10.971</v>
      </c>
      <c r="J133" s="43">
        <v>11.286</v>
      </c>
      <c r="K133" s="48"/>
      <c r="L133" s="47">
        <v>29.660400000000003</v>
      </c>
      <c r="M133" s="48">
        <v>30.334500000000002</v>
      </c>
      <c r="N133" s="43">
        <v>33.319800000000001</v>
      </c>
      <c r="O133" s="53"/>
      <c r="P133" s="54">
        <v>0.24000000000000002</v>
      </c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4"/>
      <c r="AB133" s="14"/>
      <c r="AC133" s="14"/>
      <c r="AD133" s="14"/>
      <c r="AE133" s="14"/>
      <c r="AF133" s="14"/>
      <c r="AG133" s="14"/>
      <c r="AH133" s="14"/>
    </row>
    <row r="134" spans="1:34" x14ac:dyDescent="0.25">
      <c r="A134" s="3" t="s">
        <v>193</v>
      </c>
      <c r="B134" s="3" t="s">
        <v>194</v>
      </c>
      <c r="C134" s="8" t="s">
        <v>2</v>
      </c>
      <c r="D134" s="41">
        <v>95.467642135517451</v>
      </c>
      <c r="E134" s="42">
        <v>137.33274489448681</v>
      </c>
      <c r="F134" s="43">
        <v>147.0146821015893</v>
      </c>
      <c r="G134" s="48"/>
      <c r="H134" s="47">
        <v>5.298</v>
      </c>
      <c r="I134" s="48">
        <v>7.3139999999999992</v>
      </c>
      <c r="J134" s="43">
        <v>7.5239999999999991</v>
      </c>
      <c r="K134" s="48"/>
      <c r="L134" s="47">
        <v>17.820880000000002</v>
      </c>
      <c r="M134" s="48">
        <v>18.225900000000003</v>
      </c>
      <c r="N134" s="43">
        <v>20.019560000000002</v>
      </c>
      <c r="O134" s="53"/>
      <c r="P134" s="54">
        <v>0.12</v>
      </c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14"/>
      <c r="AB134" s="14"/>
      <c r="AC134" s="14"/>
      <c r="AD134" s="14"/>
      <c r="AE134" s="14"/>
      <c r="AF134" s="14"/>
      <c r="AG134" s="14"/>
      <c r="AH134" s="14"/>
    </row>
    <row r="135" spans="1:34" x14ac:dyDescent="0.25">
      <c r="A135" s="3" t="s">
        <v>195</v>
      </c>
      <c r="B135" s="3" t="s">
        <v>196</v>
      </c>
      <c r="C135" s="8" t="s">
        <v>2</v>
      </c>
      <c r="D135" s="41">
        <v>66.825423447361288</v>
      </c>
      <c r="E135" s="42">
        <v>84.184882471927679</v>
      </c>
      <c r="F135" s="43">
        <v>125.57002208733799</v>
      </c>
      <c r="G135" s="48"/>
      <c r="H135" s="47">
        <v>4.5916000000000006</v>
      </c>
      <c r="I135" s="48">
        <v>6.3388</v>
      </c>
      <c r="J135" s="43">
        <v>6.5207999999999995</v>
      </c>
      <c r="K135" s="48"/>
      <c r="L135" s="47">
        <v>17.078481349251756</v>
      </c>
      <c r="M135" s="48">
        <v>17.466628652643845</v>
      </c>
      <c r="N135" s="43">
        <v>19.18556671052308</v>
      </c>
      <c r="O135" s="53"/>
      <c r="P135" s="54">
        <v>0.14000000000000001</v>
      </c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  <c r="AB135" s="14"/>
      <c r="AC135" s="14"/>
      <c r="AD135" s="14"/>
      <c r="AE135" s="14"/>
      <c r="AF135" s="14"/>
      <c r="AG135" s="14"/>
      <c r="AH135" s="14"/>
    </row>
    <row r="136" spans="1:34" x14ac:dyDescent="0.25">
      <c r="A136" s="3" t="s">
        <v>197</v>
      </c>
      <c r="B136" s="3" t="s">
        <v>198</v>
      </c>
      <c r="C136" s="8" t="s">
        <v>2</v>
      </c>
      <c r="D136" s="41">
        <v>56.229797051380309</v>
      </c>
      <c r="E136" s="42">
        <v>77.725945551402006</v>
      </c>
      <c r="F136" s="43">
        <v>107.38532918399282</v>
      </c>
      <c r="G136" s="48"/>
      <c r="H136" s="47">
        <v>2.7782264417263529</v>
      </c>
      <c r="I136" s="48">
        <v>3.835399810265486</v>
      </c>
      <c r="J136" s="43">
        <v>3.945522036154979</v>
      </c>
      <c r="K136" s="48"/>
      <c r="L136" s="47">
        <v>10.290397446971154</v>
      </c>
      <c r="M136" s="48">
        <v>10.524270116220498</v>
      </c>
      <c r="N136" s="43">
        <v>11.559991937181881</v>
      </c>
      <c r="O136" s="53"/>
      <c r="P136" s="54">
        <v>0.09</v>
      </c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  <c r="AB136" s="14"/>
      <c r="AC136" s="14"/>
      <c r="AD136" s="14"/>
      <c r="AE136" s="14"/>
      <c r="AF136" s="14"/>
      <c r="AG136" s="14"/>
      <c r="AH136" s="14"/>
    </row>
    <row r="137" spans="1:34" x14ac:dyDescent="0.25">
      <c r="A137" s="3" t="s">
        <v>199</v>
      </c>
      <c r="B137" s="3" t="s">
        <v>200</v>
      </c>
      <c r="C137" s="8" t="s">
        <v>2</v>
      </c>
      <c r="D137" s="41">
        <v>44.063573018249777</v>
      </c>
      <c r="E137" s="42">
        <v>53.134092174198372</v>
      </c>
      <c r="F137" s="43">
        <v>79.08235747111101</v>
      </c>
      <c r="G137" s="48"/>
      <c r="H137" s="47">
        <v>3.2680947453723155</v>
      </c>
      <c r="I137" s="48">
        <v>4.5116732668276924</v>
      </c>
      <c r="J137" s="43">
        <v>4.6412126961459608</v>
      </c>
      <c r="K137" s="48"/>
      <c r="L137" s="47">
        <v>12.466181199895983</v>
      </c>
      <c r="M137" s="48">
        <v>12.749503499893619</v>
      </c>
      <c r="N137" s="43">
        <v>14.004216542740293</v>
      </c>
      <c r="O137" s="53"/>
      <c r="P137" s="54">
        <v>0.14500000000000002</v>
      </c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  <c r="AB137" s="14"/>
      <c r="AC137" s="14"/>
      <c r="AD137" s="14"/>
      <c r="AE137" s="14"/>
      <c r="AF137" s="14"/>
      <c r="AG137" s="14"/>
      <c r="AH137" s="14"/>
    </row>
    <row r="138" spans="1:34" x14ac:dyDescent="0.25">
      <c r="A138" s="3" t="s">
        <v>201</v>
      </c>
      <c r="B138" s="3" t="s">
        <v>202</v>
      </c>
      <c r="C138" s="8" t="s">
        <v>1</v>
      </c>
      <c r="D138" s="41">
        <v>161.5116532079237</v>
      </c>
      <c r="E138" s="42">
        <v>203.77932265873309</v>
      </c>
      <c r="F138" s="43">
        <v>266.0536980745066</v>
      </c>
      <c r="G138" s="48"/>
      <c r="H138" s="47">
        <v>20.865600000000001</v>
      </c>
      <c r="I138" s="48">
        <v>23.468400000000003</v>
      </c>
      <c r="J138" s="43">
        <v>28.155600000000003</v>
      </c>
      <c r="K138" s="48"/>
      <c r="L138" s="47">
        <v>32.863599999999998</v>
      </c>
      <c r="M138" s="48">
        <v>33.610500000000002</v>
      </c>
      <c r="N138" s="43">
        <v>36.918199999999999</v>
      </c>
      <c r="O138" s="53"/>
      <c r="P138" s="54">
        <v>0.15</v>
      </c>
      <c r="Q138" s="14"/>
      <c r="R138" s="14"/>
      <c r="S138" s="14"/>
      <c r="T138" s="14"/>
      <c r="U138" s="14"/>
      <c r="V138" s="14"/>
      <c r="W138" s="14"/>
      <c r="X138" s="14"/>
      <c r="Y138" s="14"/>
      <c r="Z138" s="14"/>
      <c r="AA138" s="14"/>
      <c r="AB138" s="14"/>
      <c r="AC138" s="14"/>
      <c r="AD138" s="14"/>
      <c r="AE138" s="14"/>
      <c r="AF138" s="14"/>
      <c r="AG138" s="14"/>
      <c r="AH138" s="14"/>
    </row>
    <row r="139" spans="1:34" x14ac:dyDescent="0.25">
      <c r="A139" s="3" t="s">
        <v>203</v>
      </c>
      <c r="B139" s="3" t="s">
        <v>204</v>
      </c>
      <c r="C139" s="8" t="s">
        <v>1</v>
      </c>
      <c r="D139" s="41">
        <v>112.4436325439796</v>
      </c>
      <c r="E139" s="42">
        <v>136.94619840250573</v>
      </c>
      <c r="F139" s="43">
        <v>211.7044375046197</v>
      </c>
      <c r="G139" s="48"/>
      <c r="H139" s="47">
        <v>12.606897788798719</v>
      </c>
      <c r="I139" s="48">
        <v>14.179497357691313</v>
      </c>
      <c r="J139" s="43">
        <v>17.011481643580879</v>
      </c>
      <c r="K139" s="48"/>
      <c r="L139" s="47">
        <v>19.219200000000001</v>
      </c>
      <c r="M139" s="48">
        <v>19.655999999999999</v>
      </c>
      <c r="N139" s="43">
        <v>21.590400000000002</v>
      </c>
      <c r="O139" s="53"/>
      <c r="P139" s="54">
        <v>0.16</v>
      </c>
      <c r="Q139" s="14"/>
      <c r="R139" s="14"/>
      <c r="S139" s="14"/>
      <c r="T139" s="14"/>
      <c r="U139" s="14"/>
      <c r="V139" s="14"/>
      <c r="W139" s="14"/>
      <c r="X139" s="14"/>
      <c r="Y139" s="14"/>
      <c r="Z139" s="14"/>
      <c r="AA139" s="14"/>
      <c r="AB139" s="14"/>
      <c r="AC139" s="14"/>
      <c r="AD139" s="14"/>
      <c r="AE139" s="14"/>
      <c r="AF139" s="14"/>
      <c r="AG139" s="14"/>
      <c r="AH139" s="14"/>
    </row>
    <row r="140" spans="1:34" x14ac:dyDescent="0.25">
      <c r="A140" s="13"/>
      <c r="B140" s="3"/>
      <c r="C140" s="1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</row>
    <row r="141" spans="1:34" x14ac:dyDescent="0.25">
      <c r="A141" s="13"/>
      <c r="B141" s="3"/>
      <c r="C141" s="1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</row>
    <row r="142" spans="1:34" x14ac:dyDescent="0.25">
      <c r="A142" s="13"/>
      <c r="B142" s="3"/>
      <c r="C142" s="1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</row>
    <row r="143" spans="1:34" x14ac:dyDescent="0.25">
      <c r="A143" s="13"/>
      <c r="B143" s="3"/>
      <c r="C143" s="1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</row>
    <row r="144" spans="1:34" x14ac:dyDescent="0.25">
      <c r="A144" s="13"/>
      <c r="B144" s="3"/>
      <c r="C144" s="1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</row>
    <row r="145" spans="1:16" x14ac:dyDescent="0.25">
      <c r="A145" s="13"/>
      <c r="B145" s="3"/>
      <c r="C145" s="1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</row>
    <row r="146" spans="1:16" x14ac:dyDescent="0.25">
      <c r="A146" s="13"/>
      <c r="B146" s="3"/>
      <c r="C146" s="1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</row>
    <row r="147" spans="1:16" x14ac:dyDescent="0.25">
      <c r="A147" s="13"/>
      <c r="B147" s="3"/>
      <c r="C147" s="1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</row>
    <row r="148" spans="1:16" x14ac:dyDescent="0.25">
      <c r="A148" s="13"/>
      <c r="B148" s="3"/>
      <c r="C148" s="1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</row>
    <row r="149" spans="1:16" x14ac:dyDescent="0.25">
      <c r="A149" s="13"/>
      <c r="B149" s="3"/>
      <c r="C149" s="1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</row>
    <row r="150" spans="1:16" x14ac:dyDescent="0.25">
      <c r="A150" s="13"/>
      <c r="B150" s="3"/>
      <c r="C150" s="1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</row>
    <row r="151" spans="1:16" x14ac:dyDescent="0.25">
      <c r="A151" s="13"/>
      <c r="B151" s="3"/>
      <c r="C151" s="1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</row>
    <row r="152" spans="1:16" x14ac:dyDescent="0.25">
      <c r="A152" s="13"/>
      <c r="B152" s="3"/>
      <c r="C152" s="1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</row>
    <row r="153" spans="1:16" x14ac:dyDescent="0.25">
      <c r="A153" s="13"/>
      <c r="B153" s="3"/>
      <c r="C153" s="1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</row>
    <row r="154" spans="1:16" x14ac:dyDescent="0.25">
      <c r="A154" s="13"/>
      <c r="B154" s="3"/>
      <c r="C154" s="1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</row>
    <row r="155" spans="1:16" x14ac:dyDescent="0.25">
      <c r="A155" s="13"/>
      <c r="B155" s="3"/>
      <c r="C155" s="1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</row>
    <row r="156" spans="1:16" x14ac:dyDescent="0.25">
      <c r="A156" s="13"/>
      <c r="B156" s="3"/>
      <c r="C156" s="1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</row>
    <row r="157" spans="1:16" x14ac:dyDescent="0.25">
      <c r="A157" s="13"/>
      <c r="B157" s="3"/>
      <c r="C157" s="1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</row>
    <row r="158" spans="1:16" x14ac:dyDescent="0.25">
      <c r="A158" s="13"/>
      <c r="B158" s="3"/>
      <c r="C158" s="1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</row>
    <row r="159" spans="1:16" x14ac:dyDescent="0.25">
      <c r="A159" s="13"/>
      <c r="B159" s="3"/>
      <c r="C159" s="1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</row>
  </sheetData>
  <autoFilter ref="A5:C139" xr:uid="{B593B8AD-AE04-4543-B232-6D3D3239B900}">
    <sortState xmlns:xlrd2="http://schemas.microsoft.com/office/spreadsheetml/2017/richdata2" ref="A69:C139">
      <sortCondition ref="A5:A139"/>
    </sortState>
  </autoFilter>
  <mergeCells count="8">
    <mergeCell ref="D3:F3"/>
    <mergeCell ref="H3:J3"/>
    <mergeCell ref="L3:N3"/>
    <mergeCell ref="D1:P1"/>
    <mergeCell ref="D2:F2"/>
    <mergeCell ref="H2:J2"/>
    <mergeCell ref="L2:N2"/>
    <mergeCell ref="P2:P4"/>
  </mergeCells>
  <pageMargins left="0.70866141732283472" right="0.70866141732283472" top="0.74803149606299213" bottom="0.74803149606299213" header="0.31496062992125984" footer="0.31496062992125984"/>
  <pageSetup paperSize="8" scale="70" orientation="landscape" horizontalDpi="1200" verticalDpi="1200" r:id="rId1"/>
  <colBreaks count="2" manualBreakCount="2">
    <brk id="16" max="1048575" man="1"/>
    <brk id="17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c320d65-e13a-43dc-8d78-ca3fe417b7e7">
      <Terms xmlns="http://schemas.microsoft.com/office/infopath/2007/PartnerControls"/>
    </lcf76f155ced4ddcb4097134ff3c332f>
    <TaxCatchAll xmlns="83758eed-3146-498f-bcdb-578752484d6a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7D60094923D3D4A91BB243F1CADE885" ma:contentTypeVersion="14" ma:contentTypeDescription="Create a new document." ma:contentTypeScope="" ma:versionID="a74411d44b4e904267d7466e2a799de3">
  <xsd:schema xmlns:xsd="http://www.w3.org/2001/XMLSchema" xmlns:xs="http://www.w3.org/2001/XMLSchema" xmlns:p="http://schemas.microsoft.com/office/2006/metadata/properties" xmlns:ns2="1c320d65-e13a-43dc-8d78-ca3fe417b7e7" xmlns:ns3="83758eed-3146-498f-bcdb-578752484d6a" targetNamespace="http://schemas.microsoft.com/office/2006/metadata/properties" ma:root="true" ma:fieldsID="47eb76924a8b60301a8c1dccc30549f7" ns2:_="" ns3:_="">
    <xsd:import namespace="1c320d65-e13a-43dc-8d78-ca3fe417b7e7"/>
    <xsd:import namespace="83758eed-3146-498f-bcdb-578752484d6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320d65-e13a-43dc-8d78-ca3fe417b7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9d3f478-4f1e-489e-aec6-b8552e7cfc2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758eed-3146-498f-bcdb-578752484d6a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48936fe-1996-4ad8-a49e-8271ef20f927}" ma:internalName="TaxCatchAll" ma:showField="CatchAllData" ma:web="83758eed-3146-498f-bcdb-578752484d6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933FA0D-4988-4C73-ACFA-2B4B7B73066C}">
  <ds:schemaRefs>
    <ds:schemaRef ds:uri="http://schemas.microsoft.com/office/2006/metadata/properties"/>
    <ds:schemaRef ds:uri="http://schemas.microsoft.com/office/infopath/2007/PartnerControls"/>
    <ds:schemaRef ds:uri="1c320d65-e13a-43dc-8d78-ca3fe417b7e7"/>
    <ds:schemaRef ds:uri="83758eed-3146-498f-bcdb-578752484d6a"/>
  </ds:schemaRefs>
</ds:datastoreItem>
</file>

<file path=customXml/itemProps2.xml><?xml version="1.0" encoding="utf-8"?>
<ds:datastoreItem xmlns:ds="http://schemas.openxmlformats.org/officeDocument/2006/customXml" ds:itemID="{C375ED60-8B5D-4C14-939F-8D7137FCDA4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04D27C4-DB98-4BF6-AF6F-0072B575DAC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c320d65-e13a-43dc-8d78-ca3fe417b7e7"/>
    <ds:schemaRef ds:uri="83758eed-3146-498f-bcdb-578752484d6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bb24e89f-6132-424b-9c64-0340397f5d20}" enabled="1" method="Privileged" siteId="{0159e9d0-09a0-4edf-96ba-a3deea363c28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6</vt:i4>
      </vt:variant>
    </vt:vector>
  </HeadingPairs>
  <TitlesOfParts>
    <vt:vector size="12" baseType="lpstr">
      <vt:lpstr>Table 1_Activity BYOB Sqm</vt:lpstr>
      <vt:lpstr>Table 1_Activity BYOB SqFt</vt:lpstr>
      <vt:lpstr>Table 2_Team BYOB Sqm</vt:lpstr>
      <vt:lpstr>Table 2_Team BYOB SqFt</vt:lpstr>
      <vt:lpstr>Table 3_Event BYOB Sqm</vt:lpstr>
      <vt:lpstr>Table 3_Event BYOB SqFt</vt:lpstr>
      <vt:lpstr>'Table 1_Activity BYOB SqFt'!Print_Area</vt:lpstr>
      <vt:lpstr>'Table 1_Activity BYOB Sqm'!Print_Area</vt:lpstr>
      <vt:lpstr>'Table 2_Team BYOB SqFt'!Print_Area</vt:lpstr>
      <vt:lpstr>'Table 2_Team BYOB Sqm'!Print_Area</vt:lpstr>
      <vt:lpstr>'Table 3_Event BYOB SqFt'!Print_Area</vt:lpstr>
      <vt:lpstr>'Table 3_Event BYOB Sqm'!Print_Area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Barrett, Amy @ London SMC</dc:creator>
  <cp:keywords/>
  <dc:description/>
  <cp:lastModifiedBy>Oke, Oluwole @ London</cp:lastModifiedBy>
  <cp:revision/>
  <dcterms:created xsi:type="dcterms:W3CDTF">2021-09-30T11:24:36Z</dcterms:created>
  <dcterms:modified xsi:type="dcterms:W3CDTF">2025-04-12T21:38:47Z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0x01010017D60094923D3D4A91BB243F1CADE885</vt:lpwstr>
  </property>
  <property fmtid="{D5CDD505-2E9C-101B-9397-08002B2CF9AE}" pid="3" name="MediaServiceImageTags">
    <vt:lpwstr/>
  </property>
</Properties>
</file>