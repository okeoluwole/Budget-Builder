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oluwole_oke_cbre_com/Documents/Desktop/IDEAS/MMC Budget App/"/>
    </mc:Choice>
  </mc:AlternateContent>
  <xr:revisionPtr revIDLastSave="196" documentId="8_{6449AFEE-3733-4C6A-86FF-7D5EF17C25DE}" xr6:coauthVersionLast="47" xr6:coauthVersionMax="47" xr10:uidLastSave="{A5606970-3F06-49BA-9019-74F81B70F405}"/>
  <bookViews>
    <workbookView xWindow="75" yWindow="-16320" windowWidth="29040" windowHeight="15720" tabRatio="601" firstSheet="3" activeTab="3" xr2:uid="{D0AC5AF4-6D21-423F-8106-85F7BC18E59C}"/>
  </bookViews>
  <sheets>
    <sheet name="FITOUT" sheetId="8" state="hidden" r:id="rId1"/>
    <sheet name="FURNITURE" sheetId="17" state="hidden" r:id="rId2"/>
    <sheet name="TECH" sheetId="16" state="hidden" r:id="rId3"/>
    <sheet name="Table 1_Activity BYOB Sqm" sheetId="20" r:id="rId4"/>
    <sheet name="Table 2_Team BYOB Sqm" sheetId="26" r:id="rId5"/>
    <sheet name="Table 3_Event BYOB Sqm" sheetId="28" r:id="rId6"/>
    <sheet name="Sheet" sheetId="33" state="hidden" r:id="rId7"/>
    <sheet name="Build your Budget" sheetId="15" state="hidden" r:id="rId8"/>
  </sheets>
  <definedNames>
    <definedName name="_xlnm._FilterDatabase" localSheetId="7" hidden="1">'Build your Budget'!$B$4:$D$139</definedName>
    <definedName name="_xlnm._FilterDatabase" localSheetId="0" hidden="1">FITOUT!$B$4:$D$139</definedName>
    <definedName name="_xlnm._FilterDatabase" localSheetId="1" hidden="1">FURNITURE!$B$4:$D$139</definedName>
    <definedName name="_xlnm._FilterDatabase" localSheetId="6" hidden="1">Sheet!$A$2:$K$2</definedName>
    <definedName name="_xlnm._FilterDatabase" localSheetId="3" hidden="1">'Table 1_Activity BYOB Sqm'!$B$3:$D$137</definedName>
    <definedName name="_xlnm._FilterDatabase" localSheetId="4" hidden="1">'Table 2_Team BYOB Sqm'!$B$3:$D$137</definedName>
    <definedName name="_xlnm._FilterDatabase" localSheetId="5" hidden="1">'Table 3_Event BYOB Sqm'!$B$3:$D$137</definedName>
    <definedName name="_xlnm._FilterDatabase" localSheetId="2" hidden="1">TECH!$B$4:$D$139</definedName>
    <definedName name="_xlnm.Print_Area" localSheetId="7">'Build your Budget'!$A$1:$AF$139</definedName>
    <definedName name="_xlnm.Print_Area" localSheetId="0">FITOUT!$A$1:$AF$137</definedName>
    <definedName name="_xlnm.Print_Area" localSheetId="1">FURNITURE!$A$1:$AF$139</definedName>
    <definedName name="_xlnm.Print_Area" localSheetId="3">'Table 1_Activity BYOB Sqm'!$A$1:$G$137</definedName>
    <definedName name="_xlnm.Print_Area" localSheetId="4">'Table 2_Team BYOB Sqm'!$A$1:$G$137</definedName>
    <definedName name="_xlnm.Print_Area" localSheetId="5">'Table 3_Event BYOB Sqm'!$A$1:$G$137</definedName>
    <definedName name="_xlnm.Print_Area" localSheetId="2">TECH!$A$1:$AA$137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3" l="1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62" i="33"/>
  <c r="L63" i="33"/>
  <c r="L64" i="33"/>
  <c r="L65" i="33"/>
  <c r="L66" i="33"/>
  <c r="L67" i="33"/>
  <c r="L68" i="33"/>
  <c r="L69" i="33"/>
  <c r="L70" i="33"/>
  <c r="L71" i="33"/>
  <c r="L72" i="33"/>
  <c r="L73" i="33"/>
  <c r="L74" i="33"/>
  <c r="L75" i="33"/>
  <c r="L76" i="33"/>
  <c r="L77" i="33"/>
  <c r="L78" i="33"/>
  <c r="L79" i="33"/>
  <c r="L80" i="33"/>
  <c r="L81" i="33"/>
  <c r="L82" i="33"/>
  <c r="L83" i="33"/>
  <c r="L84" i="33"/>
  <c r="L85" i="33"/>
  <c r="L86" i="33"/>
  <c r="L87" i="33"/>
  <c r="L88" i="33"/>
  <c r="L89" i="33"/>
  <c r="L90" i="33"/>
  <c r="L91" i="33"/>
  <c r="L92" i="33"/>
  <c r="L93" i="33"/>
  <c r="L94" i="33"/>
  <c r="L95" i="33"/>
  <c r="L96" i="33"/>
  <c r="L97" i="33"/>
  <c r="L98" i="33"/>
  <c r="L99" i="33"/>
  <c r="L100" i="33"/>
  <c r="L101" i="33"/>
  <c r="L102" i="33"/>
  <c r="L103" i="33"/>
  <c r="L104" i="33"/>
  <c r="L105" i="33"/>
  <c r="L106" i="33"/>
  <c r="L107" i="33"/>
  <c r="L108" i="33"/>
  <c r="L109" i="33"/>
  <c r="L110" i="33"/>
  <c r="L111" i="33"/>
  <c r="L112" i="33"/>
  <c r="L113" i="33"/>
  <c r="L114" i="33"/>
  <c r="L115" i="33"/>
  <c r="L116" i="33"/>
  <c r="L117" i="33"/>
  <c r="L118" i="33"/>
  <c r="L119" i="33"/>
  <c r="L120" i="33"/>
  <c r="L121" i="33"/>
  <c r="L122" i="33"/>
  <c r="L123" i="33"/>
  <c r="L124" i="33"/>
  <c r="L125" i="33"/>
  <c r="L126" i="33"/>
  <c r="L127" i="33"/>
  <c r="L128" i="33"/>
  <c r="L129" i="33"/>
  <c r="L130" i="33"/>
  <c r="L131" i="33"/>
  <c r="L132" i="33"/>
  <c r="L133" i="33"/>
  <c r="L134" i="33"/>
  <c r="L135" i="33"/>
  <c r="L136" i="33"/>
  <c r="L3" i="33"/>
  <c r="I67" i="33" l="1"/>
  <c r="J67" i="33"/>
  <c r="K67" i="33"/>
  <c r="I68" i="33"/>
  <c r="J68" i="33"/>
  <c r="K68" i="33"/>
  <c r="I69" i="33"/>
  <c r="J69" i="33"/>
  <c r="K69" i="33"/>
  <c r="I70" i="33"/>
  <c r="J70" i="33"/>
  <c r="K70" i="33"/>
  <c r="J135" i="33" l="1"/>
  <c r="J136" i="33"/>
  <c r="K135" i="33"/>
  <c r="M68" i="8" l="1"/>
  <c r="L68" i="8"/>
  <c r="K68" i="8"/>
  <c r="J68" i="8"/>
  <c r="I68" i="8"/>
  <c r="H68" i="8"/>
  <c r="G68" i="8"/>
  <c r="F68" i="8"/>
  <c r="E68" i="8"/>
  <c r="M63" i="8"/>
  <c r="L63" i="8"/>
  <c r="K63" i="8"/>
  <c r="J63" i="8"/>
  <c r="I63" i="8"/>
  <c r="H63" i="8"/>
  <c r="G63" i="8"/>
  <c r="F63" i="8"/>
  <c r="E63" i="8"/>
  <c r="M62" i="8"/>
  <c r="L62" i="8"/>
  <c r="K62" i="8"/>
  <c r="J62" i="8"/>
  <c r="I62" i="8"/>
  <c r="H62" i="8"/>
  <c r="G62" i="8"/>
  <c r="F62" i="8"/>
  <c r="E62" i="8"/>
  <c r="M61" i="8"/>
  <c r="L61" i="8"/>
  <c r="K61" i="8"/>
  <c r="J61" i="8"/>
  <c r="I61" i="8"/>
  <c r="H61" i="8"/>
  <c r="G61" i="8"/>
  <c r="F61" i="8"/>
  <c r="E61" i="8"/>
  <c r="M56" i="8"/>
  <c r="L56" i="8"/>
  <c r="K56" i="8"/>
  <c r="J56" i="8"/>
  <c r="I56" i="8"/>
  <c r="H56" i="8"/>
  <c r="G56" i="8"/>
  <c r="F56" i="8"/>
  <c r="E56" i="8"/>
  <c r="M55" i="8"/>
  <c r="L55" i="8"/>
  <c r="K55" i="8"/>
  <c r="J55" i="8"/>
  <c r="I55" i="8"/>
  <c r="H55" i="8"/>
  <c r="G55" i="8"/>
  <c r="F55" i="8"/>
  <c r="E55" i="8"/>
  <c r="M54" i="8"/>
  <c r="L54" i="8"/>
  <c r="K54" i="8"/>
  <c r="J54" i="8"/>
  <c r="I54" i="8"/>
  <c r="H54" i="8"/>
  <c r="G54" i="8"/>
  <c r="F54" i="8"/>
  <c r="E54" i="8"/>
  <c r="M53" i="8"/>
  <c r="L53" i="8"/>
  <c r="K53" i="8"/>
  <c r="J53" i="8"/>
  <c r="I53" i="8"/>
  <c r="H53" i="8"/>
  <c r="G53" i="8"/>
  <c r="F53" i="8"/>
  <c r="E53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M47" i="8"/>
  <c r="L47" i="8"/>
  <c r="K47" i="8"/>
  <c r="J47" i="8"/>
  <c r="I47" i="8"/>
  <c r="H47" i="8"/>
  <c r="G47" i="8"/>
  <c r="F47" i="8"/>
  <c r="E47" i="8"/>
  <c r="M46" i="8"/>
  <c r="L46" i="8"/>
  <c r="K46" i="8"/>
  <c r="J46" i="8"/>
  <c r="I46" i="8"/>
  <c r="H46" i="8"/>
  <c r="G46" i="8"/>
  <c r="F46" i="8"/>
  <c r="E46" i="8"/>
  <c r="M45" i="8"/>
  <c r="L45" i="8"/>
  <c r="K45" i="8"/>
  <c r="J45" i="8"/>
  <c r="I45" i="8"/>
  <c r="H45" i="8"/>
  <c r="G45" i="8"/>
  <c r="F45" i="8"/>
  <c r="E45" i="8"/>
  <c r="J96" i="33" l="1"/>
  <c r="K114" i="33"/>
  <c r="K136" i="33"/>
  <c r="K134" i="33"/>
  <c r="K133" i="33"/>
  <c r="K132" i="33"/>
  <c r="K131" i="33"/>
  <c r="K130" i="33"/>
  <c r="K129" i="33"/>
  <c r="K128" i="33"/>
  <c r="K127" i="33"/>
  <c r="K126" i="33"/>
  <c r="K125" i="33"/>
  <c r="K124" i="33"/>
  <c r="K123" i="33"/>
  <c r="K122" i="33"/>
  <c r="K121" i="33"/>
  <c r="K120" i="33"/>
  <c r="K119" i="33"/>
  <c r="K118" i="33"/>
  <c r="K117" i="33"/>
  <c r="K116" i="33"/>
  <c r="K115" i="33"/>
  <c r="K113" i="33"/>
  <c r="K112" i="33"/>
  <c r="K111" i="33"/>
  <c r="K110" i="33"/>
  <c r="K109" i="33"/>
  <c r="K108" i="33"/>
  <c r="K107" i="33"/>
  <c r="K106" i="33"/>
  <c r="K105" i="33"/>
  <c r="K104" i="33"/>
  <c r="K103" i="33"/>
  <c r="K102" i="33"/>
  <c r="K101" i="33"/>
  <c r="K100" i="33"/>
  <c r="K99" i="33"/>
  <c r="K98" i="33"/>
  <c r="K97" i="33"/>
  <c r="K96" i="33"/>
  <c r="K95" i="33"/>
  <c r="K94" i="33"/>
  <c r="K93" i="33"/>
  <c r="K92" i="33"/>
  <c r="K91" i="33"/>
  <c r="K90" i="33"/>
  <c r="K89" i="33"/>
  <c r="K88" i="33"/>
  <c r="K87" i="33"/>
  <c r="K86" i="33"/>
  <c r="K85" i="33"/>
  <c r="K84" i="33"/>
  <c r="K83" i="33"/>
  <c r="K82" i="33"/>
  <c r="K81" i="33"/>
  <c r="K80" i="33"/>
  <c r="K79" i="33"/>
  <c r="K78" i="33"/>
  <c r="K77" i="33"/>
  <c r="K76" i="33"/>
  <c r="K75" i="33"/>
  <c r="K74" i="33"/>
  <c r="K73" i="33"/>
  <c r="K72" i="33"/>
  <c r="K71" i="33"/>
  <c r="K66" i="33"/>
  <c r="K65" i="33"/>
  <c r="K64" i="33"/>
  <c r="K63" i="33"/>
  <c r="K62" i="33"/>
  <c r="K61" i="33"/>
  <c r="K60" i="33"/>
  <c r="K59" i="33"/>
  <c r="K58" i="33"/>
  <c r="K57" i="33"/>
  <c r="K56" i="33"/>
  <c r="K55" i="33"/>
  <c r="K54" i="33"/>
  <c r="K53" i="33"/>
  <c r="K52" i="33"/>
  <c r="K51" i="33"/>
  <c r="K50" i="33"/>
  <c r="K49" i="33"/>
  <c r="K48" i="33"/>
  <c r="K47" i="33"/>
  <c r="K46" i="33"/>
  <c r="K45" i="33"/>
  <c r="K44" i="33"/>
  <c r="K43" i="33"/>
  <c r="K42" i="33"/>
  <c r="K41" i="33"/>
  <c r="K40" i="33"/>
  <c r="K39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K6" i="33"/>
  <c r="K5" i="33"/>
  <c r="K4" i="33"/>
  <c r="K3" i="33"/>
  <c r="J4" i="33"/>
  <c r="J5" i="33"/>
  <c r="J6" i="33"/>
  <c r="J7" i="33"/>
  <c r="J8" i="33"/>
  <c r="J9" i="33"/>
  <c r="J10" i="33"/>
  <c r="J11" i="33"/>
  <c r="J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J44" i="33"/>
  <c r="J45" i="33"/>
  <c r="J46" i="33"/>
  <c r="J47" i="33"/>
  <c r="J48" i="33"/>
  <c r="J49" i="33"/>
  <c r="J50" i="33"/>
  <c r="J51" i="33"/>
  <c r="J52" i="33"/>
  <c r="J53" i="33"/>
  <c r="J54" i="33"/>
  <c r="J55" i="33"/>
  <c r="J56" i="33"/>
  <c r="J57" i="33"/>
  <c r="J58" i="33"/>
  <c r="J59" i="33"/>
  <c r="J60" i="33"/>
  <c r="J61" i="33"/>
  <c r="J62" i="33"/>
  <c r="J63" i="33"/>
  <c r="J64" i="33"/>
  <c r="J65" i="33"/>
  <c r="J66" i="33"/>
  <c r="J71" i="33"/>
  <c r="J72" i="33"/>
  <c r="J73" i="33"/>
  <c r="J74" i="33"/>
  <c r="J75" i="33"/>
  <c r="J76" i="33"/>
  <c r="J77" i="33"/>
  <c r="J78" i="33"/>
  <c r="J79" i="33"/>
  <c r="J80" i="33"/>
  <c r="J81" i="33"/>
  <c r="J82" i="33"/>
  <c r="J83" i="33"/>
  <c r="J84" i="33"/>
  <c r="J85" i="33"/>
  <c r="J86" i="33"/>
  <c r="J87" i="33"/>
  <c r="J88" i="33"/>
  <c r="J89" i="33"/>
  <c r="J90" i="33"/>
  <c r="J91" i="33"/>
  <c r="J92" i="33"/>
  <c r="J93" i="33"/>
  <c r="J94" i="33"/>
  <c r="J95" i="33"/>
  <c r="J97" i="33"/>
  <c r="J98" i="33"/>
  <c r="J99" i="33"/>
  <c r="J100" i="33"/>
  <c r="J101" i="33"/>
  <c r="J102" i="33"/>
  <c r="J103" i="33"/>
  <c r="J104" i="33"/>
  <c r="J105" i="33"/>
  <c r="J106" i="33"/>
  <c r="J107" i="33"/>
  <c r="J108" i="33"/>
  <c r="J109" i="33"/>
  <c r="J110" i="33"/>
  <c r="J111" i="33"/>
  <c r="J112" i="33"/>
  <c r="J113" i="33"/>
  <c r="J114" i="33"/>
  <c r="J115" i="33"/>
  <c r="J116" i="33"/>
  <c r="J117" i="33"/>
  <c r="J118" i="33"/>
  <c r="J119" i="33"/>
  <c r="J120" i="33"/>
  <c r="J121" i="33"/>
  <c r="J122" i="33"/>
  <c r="J123" i="33"/>
  <c r="J124" i="33"/>
  <c r="J125" i="33"/>
  <c r="J126" i="33"/>
  <c r="J127" i="33"/>
  <c r="J128" i="33"/>
  <c r="J129" i="33"/>
  <c r="J130" i="33"/>
  <c r="J131" i="33"/>
  <c r="J132" i="33"/>
  <c r="J133" i="33"/>
  <c r="J134" i="33"/>
  <c r="J3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4" i="33"/>
  <c r="I3" i="33"/>
  <c r="E60" i="17" l="1"/>
  <c r="F60" i="17"/>
  <c r="G60" i="17"/>
  <c r="H60" i="17"/>
  <c r="I60" i="17"/>
  <c r="J60" i="17"/>
  <c r="K60" i="17"/>
  <c r="L60" i="17"/>
  <c r="M60" i="17"/>
  <c r="W139" i="17" l="1"/>
  <c r="V139" i="17"/>
  <c r="U139" i="17"/>
  <c r="T139" i="17"/>
  <c r="S139" i="17"/>
  <c r="R139" i="17"/>
  <c r="Q139" i="17"/>
  <c r="P139" i="17"/>
  <c r="O139" i="17"/>
  <c r="M139" i="17"/>
  <c r="L139" i="17"/>
  <c r="K139" i="17"/>
  <c r="J139" i="17"/>
  <c r="I139" i="17"/>
  <c r="H139" i="17"/>
  <c r="G139" i="17"/>
  <c r="F139" i="17"/>
  <c r="E139" i="17"/>
  <c r="W138" i="17"/>
  <c r="V138" i="17"/>
  <c r="U138" i="17"/>
  <c r="T138" i="17"/>
  <c r="S138" i="17"/>
  <c r="R138" i="17"/>
  <c r="Q138" i="17"/>
  <c r="P138" i="17"/>
  <c r="O138" i="17"/>
  <c r="M138" i="17"/>
  <c r="L138" i="17"/>
  <c r="K138" i="17"/>
  <c r="J138" i="17"/>
  <c r="I138" i="17"/>
  <c r="H138" i="17"/>
  <c r="G138" i="17"/>
  <c r="F138" i="17"/>
  <c r="E138" i="17"/>
  <c r="W137" i="17"/>
  <c r="V137" i="17"/>
  <c r="U137" i="17"/>
  <c r="T137" i="17"/>
  <c r="S137" i="17"/>
  <c r="R137" i="17"/>
  <c r="Q137" i="17"/>
  <c r="P137" i="17"/>
  <c r="O137" i="17"/>
  <c r="M137" i="17"/>
  <c r="L137" i="17"/>
  <c r="K137" i="17"/>
  <c r="J137" i="17"/>
  <c r="I137" i="17"/>
  <c r="H137" i="17"/>
  <c r="G137" i="17"/>
  <c r="F137" i="17"/>
  <c r="E137" i="17"/>
  <c r="W136" i="17"/>
  <c r="V136" i="17"/>
  <c r="U136" i="17"/>
  <c r="T136" i="17"/>
  <c r="S136" i="17"/>
  <c r="R136" i="17"/>
  <c r="Q136" i="17"/>
  <c r="P136" i="17"/>
  <c r="O136" i="17"/>
  <c r="M136" i="17"/>
  <c r="L136" i="17"/>
  <c r="K136" i="17"/>
  <c r="J136" i="17"/>
  <c r="I136" i="17"/>
  <c r="H136" i="17"/>
  <c r="G136" i="17"/>
  <c r="F136" i="17"/>
  <c r="E136" i="17"/>
  <c r="W135" i="17"/>
  <c r="V135" i="17"/>
  <c r="U135" i="17"/>
  <c r="T135" i="17"/>
  <c r="S135" i="17"/>
  <c r="R135" i="17"/>
  <c r="Q135" i="17"/>
  <c r="P135" i="17"/>
  <c r="O135" i="17"/>
  <c r="M135" i="17"/>
  <c r="L135" i="17"/>
  <c r="K135" i="17"/>
  <c r="J135" i="17"/>
  <c r="I135" i="17"/>
  <c r="H135" i="17"/>
  <c r="G135" i="17"/>
  <c r="F135" i="17"/>
  <c r="E135" i="17"/>
  <c r="W134" i="17"/>
  <c r="V134" i="17"/>
  <c r="U134" i="17"/>
  <c r="T134" i="17"/>
  <c r="S134" i="17"/>
  <c r="R134" i="17"/>
  <c r="Q134" i="17"/>
  <c r="P134" i="17"/>
  <c r="O134" i="17"/>
  <c r="M134" i="17"/>
  <c r="L134" i="17"/>
  <c r="K134" i="17"/>
  <c r="J134" i="17"/>
  <c r="I134" i="17"/>
  <c r="H134" i="17"/>
  <c r="G134" i="17"/>
  <c r="F134" i="17"/>
  <c r="E134" i="17"/>
  <c r="W133" i="17"/>
  <c r="V133" i="17"/>
  <c r="U133" i="17"/>
  <c r="T133" i="17"/>
  <c r="S133" i="17"/>
  <c r="R133" i="17"/>
  <c r="Q133" i="17"/>
  <c r="P133" i="17"/>
  <c r="O133" i="17"/>
  <c r="M133" i="17"/>
  <c r="L133" i="17"/>
  <c r="K133" i="17"/>
  <c r="J133" i="17"/>
  <c r="I133" i="17"/>
  <c r="H133" i="17"/>
  <c r="G133" i="17"/>
  <c r="F133" i="17"/>
  <c r="E133" i="17"/>
  <c r="W132" i="17"/>
  <c r="V132" i="17"/>
  <c r="U132" i="17"/>
  <c r="T132" i="17"/>
  <c r="S132" i="17"/>
  <c r="R132" i="17"/>
  <c r="Q132" i="17"/>
  <c r="P132" i="17"/>
  <c r="O132" i="17"/>
  <c r="M132" i="17"/>
  <c r="L132" i="17"/>
  <c r="K132" i="17"/>
  <c r="J132" i="17"/>
  <c r="I132" i="17"/>
  <c r="H132" i="17"/>
  <c r="G132" i="17"/>
  <c r="F132" i="17"/>
  <c r="E132" i="17"/>
  <c r="W131" i="17"/>
  <c r="V131" i="17"/>
  <c r="U131" i="17"/>
  <c r="T131" i="17"/>
  <c r="S131" i="17"/>
  <c r="R131" i="17"/>
  <c r="Q131" i="17"/>
  <c r="P131" i="17"/>
  <c r="O131" i="17"/>
  <c r="M131" i="17"/>
  <c r="L131" i="17"/>
  <c r="K131" i="17"/>
  <c r="J131" i="17"/>
  <c r="I131" i="17"/>
  <c r="H131" i="17"/>
  <c r="G131" i="17"/>
  <c r="F131" i="17"/>
  <c r="E131" i="17"/>
  <c r="W130" i="17"/>
  <c r="V130" i="17"/>
  <c r="U130" i="17"/>
  <c r="T130" i="17"/>
  <c r="S130" i="17"/>
  <c r="R130" i="17"/>
  <c r="Q130" i="17"/>
  <c r="P130" i="17"/>
  <c r="O130" i="17"/>
  <c r="M130" i="17"/>
  <c r="L130" i="17"/>
  <c r="K130" i="17"/>
  <c r="J130" i="17"/>
  <c r="I130" i="17"/>
  <c r="H130" i="17"/>
  <c r="G130" i="17"/>
  <c r="F130" i="17"/>
  <c r="E130" i="17"/>
  <c r="W129" i="17"/>
  <c r="V129" i="17"/>
  <c r="U129" i="17"/>
  <c r="T129" i="17"/>
  <c r="S129" i="17"/>
  <c r="R129" i="17"/>
  <c r="Q129" i="17"/>
  <c r="P129" i="17"/>
  <c r="O129" i="17"/>
  <c r="M129" i="17"/>
  <c r="L129" i="17"/>
  <c r="K129" i="17"/>
  <c r="J129" i="17"/>
  <c r="I129" i="17"/>
  <c r="H129" i="17"/>
  <c r="G129" i="17"/>
  <c r="F129" i="17"/>
  <c r="E129" i="17"/>
  <c r="W128" i="17"/>
  <c r="V128" i="17"/>
  <c r="U128" i="17"/>
  <c r="T128" i="17"/>
  <c r="S128" i="17"/>
  <c r="R128" i="17"/>
  <c r="Q128" i="17"/>
  <c r="P128" i="17"/>
  <c r="O128" i="17"/>
  <c r="M128" i="17"/>
  <c r="L128" i="17"/>
  <c r="K128" i="17"/>
  <c r="J128" i="17"/>
  <c r="I128" i="17"/>
  <c r="H128" i="17"/>
  <c r="G128" i="17"/>
  <c r="F128" i="17"/>
  <c r="E128" i="17"/>
  <c r="W127" i="17"/>
  <c r="V127" i="17"/>
  <c r="U127" i="17"/>
  <c r="T127" i="17"/>
  <c r="S127" i="17"/>
  <c r="R127" i="17"/>
  <c r="Q127" i="17"/>
  <c r="P127" i="17"/>
  <c r="O127" i="17"/>
  <c r="M127" i="17"/>
  <c r="L127" i="17"/>
  <c r="K127" i="17"/>
  <c r="J127" i="17"/>
  <c r="I127" i="17"/>
  <c r="H127" i="17"/>
  <c r="G127" i="17"/>
  <c r="F127" i="17"/>
  <c r="E127" i="17"/>
  <c r="W126" i="17"/>
  <c r="V126" i="17"/>
  <c r="U126" i="17"/>
  <c r="T126" i="17"/>
  <c r="S126" i="17"/>
  <c r="R126" i="17"/>
  <c r="Q126" i="17"/>
  <c r="P126" i="17"/>
  <c r="O126" i="17"/>
  <c r="W125" i="17"/>
  <c r="V125" i="17"/>
  <c r="U125" i="17"/>
  <c r="T125" i="17"/>
  <c r="S125" i="17"/>
  <c r="R125" i="17"/>
  <c r="Q125" i="17"/>
  <c r="P125" i="17"/>
  <c r="O125" i="17"/>
  <c r="W124" i="17"/>
  <c r="V124" i="17"/>
  <c r="U124" i="17"/>
  <c r="T124" i="17"/>
  <c r="S124" i="17"/>
  <c r="R124" i="17"/>
  <c r="Q124" i="17"/>
  <c r="P124" i="17"/>
  <c r="O124" i="17"/>
  <c r="W123" i="17"/>
  <c r="V123" i="17"/>
  <c r="U123" i="17"/>
  <c r="T123" i="17"/>
  <c r="S123" i="17"/>
  <c r="R123" i="17"/>
  <c r="Q123" i="17"/>
  <c r="P123" i="17"/>
  <c r="O123" i="17"/>
  <c r="W122" i="17"/>
  <c r="V122" i="17"/>
  <c r="U122" i="17"/>
  <c r="T122" i="17"/>
  <c r="S122" i="17"/>
  <c r="R122" i="17"/>
  <c r="Q122" i="17"/>
  <c r="P122" i="17"/>
  <c r="O122" i="17"/>
  <c r="W121" i="17"/>
  <c r="V121" i="17"/>
  <c r="U121" i="17"/>
  <c r="T121" i="17"/>
  <c r="S121" i="17"/>
  <c r="R121" i="17"/>
  <c r="Q121" i="17"/>
  <c r="P121" i="17"/>
  <c r="O121" i="17"/>
  <c r="W120" i="17"/>
  <c r="V120" i="17"/>
  <c r="U120" i="17"/>
  <c r="T120" i="17"/>
  <c r="S120" i="17"/>
  <c r="R120" i="17"/>
  <c r="Q120" i="17"/>
  <c r="P120" i="17"/>
  <c r="O120" i="17"/>
  <c r="M120" i="17"/>
  <c r="M126" i="17" s="1"/>
  <c r="L120" i="17"/>
  <c r="L126" i="17" s="1"/>
  <c r="K120" i="17"/>
  <c r="K126" i="17" s="1"/>
  <c r="J120" i="17"/>
  <c r="J121" i="17" s="1"/>
  <c r="I120" i="17"/>
  <c r="I121" i="17" s="1"/>
  <c r="H120" i="17"/>
  <c r="H122" i="17" s="1"/>
  <c r="G120" i="17"/>
  <c r="G122" i="17" s="1"/>
  <c r="F120" i="17"/>
  <c r="F123" i="17" s="1"/>
  <c r="E120" i="17"/>
  <c r="E123" i="17" s="1"/>
  <c r="W119" i="17"/>
  <c r="V119" i="17"/>
  <c r="U119" i="17"/>
  <c r="T119" i="17"/>
  <c r="S119" i="17"/>
  <c r="R119" i="17"/>
  <c r="Q119" i="17"/>
  <c r="P119" i="17"/>
  <c r="O119" i="17"/>
  <c r="M119" i="17"/>
  <c r="L119" i="17"/>
  <c r="K119" i="17"/>
  <c r="J119" i="17"/>
  <c r="I119" i="17"/>
  <c r="H119" i="17"/>
  <c r="G119" i="17"/>
  <c r="F119" i="17"/>
  <c r="E119" i="17"/>
  <c r="W118" i="17"/>
  <c r="V118" i="17"/>
  <c r="U118" i="17"/>
  <c r="T118" i="17"/>
  <c r="S118" i="17"/>
  <c r="R118" i="17"/>
  <c r="Q118" i="17"/>
  <c r="P118" i="17"/>
  <c r="O118" i="17"/>
  <c r="M118" i="17"/>
  <c r="L118" i="17"/>
  <c r="K118" i="17"/>
  <c r="J118" i="17"/>
  <c r="I118" i="17"/>
  <c r="H118" i="17"/>
  <c r="G118" i="17"/>
  <c r="F118" i="17"/>
  <c r="E118" i="17"/>
  <c r="W117" i="17"/>
  <c r="V117" i="17"/>
  <c r="U117" i="17"/>
  <c r="T117" i="17"/>
  <c r="S117" i="17"/>
  <c r="R117" i="17"/>
  <c r="Q117" i="17"/>
  <c r="P117" i="17"/>
  <c r="O117" i="17"/>
  <c r="M117" i="17"/>
  <c r="L117" i="17"/>
  <c r="K117" i="17"/>
  <c r="J117" i="17"/>
  <c r="I117" i="17"/>
  <c r="H117" i="17"/>
  <c r="G117" i="17"/>
  <c r="F117" i="17"/>
  <c r="E117" i="17"/>
  <c r="W116" i="17"/>
  <c r="V116" i="17"/>
  <c r="U116" i="17"/>
  <c r="T116" i="17"/>
  <c r="S116" i="17"/>
  <c r="R116" i="17"/>
  <c r="Q116" i="17"/>
  <c r="P116" i="17"/>
  <c r="O116" i="17"/>
  <c r="W115" i="17"/>
  <c r="V115" i="17"/>
  <c r="U115" i="17"/>
  <c r="T115" i="17"/>
  <c r="S115" i="17"/>
  <c r="R115" i="17"/>
  <c r="Q115" i="17"/>
  <c r="P115" i="17"/>
  <c r="O115" i="17"/>
  <c r="J115" i="17"/>
  <c r="W114" i="17"/>
  <c r="V114" i="17"/>
  <c r="U114" i="17"/>
  <c r="T114" i="17"/>
  <c r="S114" i="17"/>
  <c r="R114" i="17"/>
  <c r="Q114" i="17"/>
  <c r="P114" i="17"/>
  <c r="O114" i="17"/>
  <c r="W113" i="17"/>
  <c r="V113" i="17"/>
  <c r="U113" i="17"/>
  <c r="T113" i="17"/>
  <c r="S113" i="17"/>
  <c r="R113" i="17"/>
  <c r="Q113" i="17"/>
  <c r="P113" i="17"/>
  <c r="O113" i="17"/>
  <c r="M113" i="17"/>
  <c r="M116" i="17" s="1"/>
  <c r="L113" i="17"/>
  <c r="L115" i="17" s="1"/>
  <c r="K113" i="17"/>
  <c r="K115" i="17" s="1"/>
  <c r="J113" i="17"/>
  <c r="J114" i="17" s="1"/>
  <c r="I113" i="17"/>
  <c r="I116" i="17" s="1"/>
  <c r="H113" i="17"/>
  <c r="H114" i="17" s="1"/>
  <c r="G113" i="17"/>
  <c r="G114" i="17" s="1"/>
  <c r="F113" i="17"/>
  <c r="F115" i="17" s="1"/>
  <c r="E113" i="17"/>
  <c r="E115" i="17" s="1"/>
  <c r="W112" i="17"/>
  <c r="V112" i="17"/>
  <c r="U112" i="17"/>
  <c r="T112" i="17"/>
  <c r="S112" i="17"/>
  <c r="R112" i="17"/>
  <c r="Q112" i="17"/>
  <c r="P112" i="17"/>
  <c r="O112" i="17"/>
  <c r="M112" i="17"/>
  <c r="L112" i="17"/>
  <c r="K112" i="17"/>
  <c r="J112" i="17"/>
  <c r="I112" i="17"/>
  <c r="H112" i="17"/>
  <c r="G112" i="17"/>
  <c r="F112" i="17"/>
  <c r="E112" i="17"/>
  <c r="W111" i="17"/>
  <c r="V111" i="17"/>
  <c r="U111" i="17"/>
  <c r="T111" i="17"/>
  <c r="S111" i="17"/>
  <c r="R111" i="17"/>
  <c r="Q111" i="17"/>
  <c r="P111" i="17"/>
  <c r="O111" i="17"/>
  <c r="M111" i="17"/>
  <c r="L111" i="17"/>
  <c r="K111" i="17"/>
  <c r="J111" i="17"/>
  <c r="I111" i="17"/>
  <c r="H111" i="17"/>
  <c r="G111" i="17"/>
  <c r="F111" i="17"/>
  <c r="E111" i="17"/>
  <c r="W110" i="17"/>
  <c r="V110" i="17"/>
  <c r="U110" i="17"/>
  <c r="T110" i="17"/>
  <c r="S110" i="17"/>
  <c r="R110" i="17"/>
  <c r="Q110" i="17"/>
  <c r="P110" i="17"/>
  <c r="O110" i="17"/>
  <c r="M110" i="17"/>
  <c r="L110" i="17"/>
  <c r="K110" i="17"/>
  <c r="J110" i="17"/>
  <c r="I110" i="17"/>
  <c r="H110" i="17"/>
  <c r="G110" i="17"/>
  <c r="F110" i="17"/>
  <c r="E110" i="17"/>
  <c r="W109" i="17"/>
  <c r="V109" i="17"/>
  <c r="U109" i="17"/>
  <c r="T109" i="17"/>
  <c r="S109" i="17"/>
  <c r="R109" i="17"/>
  <c r="Q109" i="17"/>
  <c r="P109" i="17"/>
  <c r="O109" i="17"/>
  <c r="M109" i="17"/>
  <c r="L109" i="17"/>
  <c r="K109" i="17"/>
  <c r="J109" i="17"/>
  <c r="I109" i="17"/>
  <c r="H109" i="17"/>
  <c r="G109" i="17"/>
  <c r="F109" i="17"/>
  <c r="E109" i="17"/>
  <c r="W108" i="17"/>
  <c r="V108" i="17"/>
  <c r="U108" i="17"/>
  <c r="T108" i="17"/>
  <c r="S108" i="17"/>
  <c r="R108" i="17"/>
  <c r="Q108" i="17"/>
  <c r="P108" i="17"/>
  <c r="O108" i="17"/>
  <c r="M108" i="17"/>
  <c r="L108" i="17"/>
  <c r="K108" i="17"/>
  <c r="J108" i="17"/>
  <c r="I108" i="17"/>
  <c r="H108" i="17"/>
  <c r="G108" i="17"/>
  <c r="F108" i="17"/>
  <c r="E108" i="17"/>
  <c r="W107" i="17"/>
  <c r="V107" i="17"/>
  <c r="U107" i="17"/>
  <c r="T107" i="17"/>
  <c r="S107" i="17"/>
  <c r="R107" i="17"/>
  <c r="Q107" i="17"/>
  <c r="P107" i="17"/>
  <c r="O107" i="17"/>
  <c r="M107" i="17"/>
  <c r="L107" i="17"/>
  <c r="K107" i="17"/>
  <c r="J107" i="17"/>
  <c r="I107" i="17"/>
  <c r="H107" i="17"/>
  <c r="G107" i="17"/>
  <c r="F107" i="17"/>
  <c r="E107" i="17"/>
  <c r="W106" i="17"/>
  <c r="V106" i="17"/>
  <c r="U106" i="17"/>
  <c r="T106" i="17"/>
  <c r="S106" i="17"/>
  <c r="R106" i="17"/>
  <c r="Q106" i="17"/>
  <c r="P106" i="17"/>
  <c r="O106" i="17"/>
  <c r="M106" i="17"/>
  <c r="L106" i="17"/>
  <c r="K106" i="17"/>
  <c r="J106" i="17"/>
  <c r="I106" i="17"/>
  <c r="H106" i="17"/>
  <c r="G106" i="17"/>
  <c r="F106" i="17"/>
  <c r="E106" i="17"/>
  <c r="W105" i="17"/>
  <c r="V105" i="17"/>
  <c r="U105" i="17"/>
  <c r="T105" i="17"/>
  <c r="S105" i="17"/>
  <c r="R105" i="17"/>
  <c r="Q105" i="17"/>
  <c r="P105" i="17"/>
  <c r="O105" i="17"/>
  <c r="M105" i="17"/>
  <c r="L105" i="17"/>
  <c r="K105" i="17"/>
  <c r="J105" i="17"/>
  <c r="I105" i="17"/>
  <c r="H105" i="17"/>
  <c r="G105" i="17"/>
  <c r="F105" i="17"/>
  <c r="E105" i="17"/>
  <c r="W104" i="17"/>
  <c r="V104" i="17"/>
  <c r="U104" i="17"/>
  <c r="T104" i="17"/>
  <c r="S104" i="17"/>
  <c r="R104" i="17"/>
  <c r="Q104" i="17"/>
  <c r="P104" i="17"/>
  <c r="O104" i="17"/>
  <c r="M104" i="17"/>
  <c r="L104" i="17"/>
  <c r="K104" i="17"/>
  <c r="J104" i="17"/>
  <c r="I104" i="17"/>
  <c r="H104" i="17"/>
  <c r="G104" i="17"/>
  <c r="F104" i="17"/>
  <c r="E104" i="17"/>
  <c r="W103" i="17"/>
  <c r="V103" i="17"/>
  <c r="U103" i="17"/>
  <c r="T103" i="17"/>
  <c r="S103" i="17"/>
  <c r="R103" i="17"/>
  <c r="Q103" i="17"/>
  <c r="P103" i="17"/>
  <c r="O103" i="17"/>
  <c r="M103" i="17"/>
  <c r="L103" i="17"/>
  <c r="K103" i="17"/>
  <c r="J103" i="17"/>
  <c r="I103" i="17"/>
  <c r="H103" i="17"/>
  <c r="G103" i="17"/>
  <c r="F103" i="17"/>
  <c r="E103" i="17"/>
  <c r="W102" i="17"/>
  <c r="V102" i="17"/>
  <c r="U102" i="17"/>
  <c r="T102" i="17"/>
  <c r="S102" i="17"/>
  <c r="R102" i="17"/>
  <c r="Q102" i="17"/>
  <c r="P102" i="17"/>
  <c r="O102" i="17"/>
  <c r="M102" i="17"/>
  <c r="L102" i="17"/>
  <c r="K102" i="17"/>
  <c r="J102" i="17"/>
  <c r="I102" i="17"/>
  <c r="H102" i="17"/>
  <c r="G102" i="17"/>
  <c r="F102" i="17"/>
  <c r="E102" i="17"/>
  <c r="W101" i="17"/>
  <c r="V101" i="17"/>
  <c r="U101" i="17"/>
  <c r="T101" i="17"/>
  <c r="S101" i="17"/>
  <c r="R101" i="17"/>
  <c r="Q101" i="17"/>
  <c r="P101" i="17"/>
  <c r="O101" i="17"/>
  <c r="M101" i="17"/>
  <c r="L101" i="17"/>
  <c r="K101" i="17"/>
  <c r="J101" i="17"/>
  <c r="I101" i="17"/>
  <c r="H101" i="17"/>
  <c r="G101" i="17"/>
  <c r="F101" i="17"/>
  <c r="E101" i="17"/>
  <c r="W100" i="17"/>
  <c r="V100" i="17"/>
  <c r="U100" i="17"/>
  <c r="T100" i="17"/>
  <c r="S100" i="17"/>
  <c r="R100" i="17"/>
  <c r="Q100" i="17"/>
  <c r="P100" i="17"/>
  <c r="O100" i="17"/>
  <c r="M100" i="17"/>
  <c r="L100" i="17"/>
  <c r="K100" i="17"/>
  <c r="J100" i="17"/>
  <c r="I100" i="17"/>
  <c r="H100" i="17"/>
  <c r="G100" i="17"/>
  <c r="F100" i="17"/>
  <c r="E100" i="17"/>
  <c r="W99" i="17"/>
  <c r="V99" i="17"/>
  <c r="U99" i="17"/>
  <c r="T99" i="17"/>
  <c r="S99" i="17"/>
  <c r="R99" i="17"/>
  <c r="Q99" i="17"/>
  <c r="P99" i="17"/>
  <c r="O99" i="17"/>
  <c r="M99" i="17"/>
  <c r="L99" i="17"/>
  <c r="K99" i="17"/>
  <c r="J99" i="17"/>
  <c r="I99" i="17"/>
  <c r="H99" i="17"/>
  <c r="G99" i="17"/>
  <c r="F99" i="17"/>
  <c r="E99" i="17"/>
  <c r="W98" i="17"/>
  <c r="V98" i="17"/>
  <c r="U98" i="17"/>
  <c r="T98" i="17"/>
  <c r="S98" i="17"/>
  <c r="R98" i="17"/>
  <c r="Q98" i="17"/>
  <c r="P98" i="17"/>
  <c r="O98" i="17"/>
  <c r="M98" i="17"/>
  <c r="L98" i="17"/>
  <c r="K98" i="17"/>
  <c r="J98" i="17"/>
  <c r="I98" i="17"/>
  <c r="H98" i="17"/>
  <c r="G98" i="17"/>
  <c r="F98" i="17"/>
  <c r="E98" i="17"/>
  <c r="W97" i="17"/>
  <c r="V97" i="17"/>
  <c r="U97" i="17"/>
  <c r="T97" i="17"/>
  <c r="S97" i="17"/>
  <c r="R97" i="17"/>
  <c r="Q97" i="17"/>
  <c r="P97" i="17"/>
  <c r="O97" i="17"/>
  <c r="M97" i="17"/>
  <c r="L97" i="17"/>
  <c r="K97" i="17"/>
  <c r="J97" i="17"/>
  <c r="I97" i="17"/>
  <c r="H97" i="17"/>
  <c r="G97" i="17"/>
  <c r="F97" i="17"/>
  <c r="E97" i="17"/>
  <c r="W96" i="17"/>
  <c r="V96" i="17"/>
  <c r="U96" i="17"/>
  <c r="T96" i="17"/>
  <c r="S96" i="17"/>
  <c r="R96" i="17"/>
  <c r="Q96" i="17"/>
  <c r="P96" i="17"/>
  <c r="O96" i="17"/>
  <c r="M96" i="17"/>
  <c r="L96" i="17"/>
  <c r="K96" i="17"/>
  <c r="J96" i="17"/>
  <c r="I96" i="17"/>
  <c r="H96" i="17"/>
  <c r="G96" i="17"/>
  <c r="F96" i="17"/>
  <c r="E96" i="17"/>
  <c r="W68" i="17"/>
  <c r="V68" i="17"/>
  <c r="U68" i="17"/>
  <c r="T68" i="17"/>
  <c r="S68" i="17"/>
  <c r="R68" i="17"/>
  <c r="Q68" i="17"/>
  <c r="P68" i="17"/>
  <c r="O68" i="17"/>
  <c r="M68" i="17"/>
  <c r="L68" i="17"/>
  <c r="K68" i="17"/>
  <c r="J68" i="17"/>
  <c r="I68" i="17"/>
  <c r="H68" i="17"/>
  <c r="G68" i="17"/>
  <c r="F68" i="17"/>
  <c r="E68" i="17"/>
  <c r="W95" i="17"/>
  <c r="V95" i="17"/>
  <c r="U95" i="17"/>
  <c r="T95" i="17"/>
  <c r="S95" i="17"/>
  <c r="R95" i="17"/>
  <c r="Q95" i="17"/>
  <c r="P95" i="17"/>
  <c r="O95" i="17"/>
  <c r="M95" i="17"/>
  <c r="L95" i="17"/>
  <c r="K95" i="17"/>
  <c r="J95" i="17"/>
  <c r="I95" i="17"/>
  <c r="H95" i="17"/>
  <c r="G95" i="17"/>
  <c r="F95" i="17"/>
  <c r="E95" i="17"/>
  <c r="W94" i="17"/>
  <c r="V94" i="17"/>
  <c r="U94" i="17"/>
  <c r="T94" i="17"/>
  <c r="S94" i="17"/>
  <c r="R94" i="17"/>
  <c r="Q94" i="17"/>
  <c r="P94" i="17"/>
  <c r="O94" i="17"/>
  <c r="M94" i="17"/>
  <c r="L94" i="17"/>
  <c r="K94" i="17"/>
  <c r="J94" i="17"/>
  <c r="I94" i="17"/>
  <c r="H94" i="17"/>
  <c r="G94" i="17"/>
  <c r="F94" i="17"/>
  <c r="E94" i="17"/>
  <c r="W93" i="17"/>
  <c r="V93" i="17"/>
  <c r="U93" i="17"/>
  <c r="T93" i="17"/>
  <c r="S93" i="17"/>
  <c r="R93" i="17"/>
  <c r="Q93" i="17"/>
  <c r="P93" i="17"/>
  <c r="O93" i="17"/>
  <c r="M93" i="17"/>
  <c r="L93" i="17"/>
  <c r="K93" i="17"/>
  <c r="J93" i="17"/>
  <c r="I93" i="17"/>
  <c r="H93" i="17"/>
  <c r="G93" i="17"/>
  <c r="F93" i="17"/>
  <c r="E93" i="17"/>
  <c r="W92" i="17"/>
  <c r="V92" i="17"/>
  <c r="U92" i="17"/>
  <c r="T92" i="17"/>
  <c r="S92" i="17"/>
  <c r="R92" i="17"/>
  <c r="Q92" i="17"/>
  <c r="P92" i="17"/>
  <c r="O92" i="17"/>
  <c r="M92" i="17"/>
  <c r="L92" i="17"/>
  <c r="K92" i="17"/>
  <c r="J92" i="17"/>
  <c r="I92" i="17"/>
  <c r="H92" i="17"/>
  <c r="G92" i="17"/>
  <c r="F92" i="17"/>
  <c r="E92" i="17"/>
  <c r="W91" i="17"/>
  <c r="V91" i="17"/>
  <c r="U91" i="17"/>
  <c r="T91" i="17"/>
  <c r="S91" i="17"/>
  <c r="R91" i="17"/>
  <c r="Q91" i="17"/>
  <c r="P91" i="17"/>
  <c r="O91" i="17"/>
  <c r="M91" i="17"/>
  <c r="L91" i="17"/>
  <c r="K91" i="17"/>
  <c r="J91" i="17"/>
  <c r="I91" i="17"/>
  <c r="H91" i="17"/>
  <c r="G91" i="17"/>
  <c r="F91" i="17"/>
  <c r="E91" i="17"/>
  <c r="W90" i="17"/>
  <c r="V90" i="17"/>
  <c r="U90" i="17"/>
  <c r="T90" i="17"/>
  <c r="S90" i="17"/>
  <c r="R90" i="17"/>
  <c r="Q90" i="17"/>
  <c r="P90" i="17"/>
  <c r="O90" i="17"/>
  <c r="M90" i="17"/>
  <c r="L90" i="17"/>
  <c r="K90" i="17"/>
  <c r="J90" i="17"/>
  <c r="I90" i="17"/>
  <c r="H90" i="17"/>
  <c r="G90" i="17"/>
  <c r="F90" i="17"/>
  <c r="E90" i="17"/>
  <c r="W89" i="17"/>
  <c r="V89" i="17"/>
  <c r="U89" i="17"/>
  <c r="T89" i="17"/>
  <c r="S89" i="17"/>
  <c r="R89" i="17"/>
  <c r="Q89" i="17"/>
  <c r="P89" i="17"/>
  <c r="O89" i="17"/>
  <c r="M89" i="17"/>
  <c r="L89" i="17"/>
  <c r="K89" i="17"/>
  <c r="J89" i="17"/>
  <c r="I89" i="17"/>
  <c r="H89" i="17"/>
  <c r="G89" i="17"/>
  <c r="F89" i="17"/>
  <c r="E89" i="17"/>
  <c r="W88" i="17"/>
  <c r="V88" i="17"/>
  <c r="U88" i="17"/>
  <c r="T88" i="17"/>
  <c r="S88" i="17"/>
  <c r="R88" i="17"/>
  <c r="Q88" i="17"/>
  <c r="P88" i="17"/>
  <c r="O88" i="17"/>
  <c r="M88" i="17"/>
  <c r="L88" i="17"/>
  <c r="K88" i="17"/>
  <c r="J88" i="17"/>
  <c r="I88" i="17"/>
  <c r="H88" i="17"/>
  <c r="G88" i="17"/>
  <c r="F88" i="17"/>
  <c r="E88" i="17"/>
  <c r="W87" i="17"/>
  <c r="V87" i="17"/>
  <c r="U87" i="17"/>
  <c r="T87" i="17"/>
  <c r="S87" i="17"/>
  <c r="R87" i="17"/>
  <c r="Q87" i="17"/>
  <c r="P87" i="17"/>
  <c r="O87" i="17"/>
  <c r="M87" i="17"/>
  <c r="L87" i="17"/>
  <c r="K87" i="17"/>
  <c r="J87" i="17"/>
  <c r="I87" i="17"/>
  <c r="H87" i="17"/>
  <c r="G87" i="17"/>
  <c r="F87" i="17"/>
  <c r="E87" i="17"/>
  <c r="W86" i="17"/>
  <c r="V86" i="17"/>
  <c r="U86" i="17"/>
  <c r="T86" i="17"/>
  <c r="S86" i="17"/>
  <c r="R86" i="17"/>
  <c r="Q86" i="17"/>
  <c r="P86" i="17"/>
  <c r="O86" i="17"/>
  <c r="M86" i="17"/>
  <c r="L86" i="17"/>
  <c r="K86" i="17"/>
  <c r="J86" i="17"/>
  <c r="I86" i="17"/>
  <c r="H86" i="17"/>
  <c r="G86" i="17"/>
  <c r="F86" i="17"/>
  <c r="E86" i="17"/>
  <c r="W85" i="17"/>
  <c r="V85" i="17"/>
  <c r="U85" i="17"/>
  <c r="T85" i="17"/>
  <c r="S85" i="17"/>
  <c r="R85" i="17"/>
  <c r="Q85" i="17"/>
  <c r="P85" i="17"/>
  <c r="O85" i="17"/>
  <c r="M85" i="17"/>
  <c r="L85" i="17"/>
  <c r="K85" i="17"/>
  <c r="J85" i="17"/>
  <c r="I85" i="17"/>
  <c r="H85" i="17"/>
  <c r="G85" i="17"/>
  <c r="F85" i="17"/>
  <c r="E85" i="17"/>
  <c r="W80" i="17"/>
  <c r="V80" i="17"/>
  <c r="U80" i="17"/>
  <c r="T80" i="17"/>
  <c r="S80" i="17"/>
  <c r="R80" i="17"/>
  <c r="Q80" i="17"/>
  <c r="P80" i="17"/>
  <c r="O80" i="17"/>
  <c r="M80" i="17"/>
  <c r="L80" i="17"/>
  <c r="K80" i="17"/>
  <c r="J80" i="17"/>
  <c r="I80" i="17"/>
  <c r="H80" i="17"/>
  <c r="G80" i="17"/>
  <c r="F80" i="17"/>
  <c r="E80" i="17"/>
  <c r="W78" i="17"/>
  <c r="V78" i="17"/>
  <c r="U78" i="17"/>
  <c r="T78" i="17"/>
  <c r="S78" i="17"/>
  <c r="R78" i="17"/>
  <c r="Q78" i="17"/>
  <c r="P78" i="17"/>
  <c r="O78" i="17"/>
  <c r="M78" i="17"/>
  <c r="L78" i="17"/>
  <c r="K78" i="17"/>
  <c r="J78" i="17"/>
  <c r="I78" i="17"/>
  <c r="H78" i="17"/>
  <c r="G78" i="17"/>
  <c r="F78" i="17"/>
  <c r="E78" i="17"/>
  <c r="W77" i="17"/>
  <c r="V77" i="17"/>
  <c r="U77" i="17"/>
  <c r="T77" i="17"/>
  <c r="S77" i="17"/>
  <c r="R77" i="17"/>
  <c r="Q77" i="17"/>
  <c r="P77" i="17"/>
  <c r="O77" i="17"/>
  <c r="M77" i="17"/>
  <c r="L77" i="17"/>
  <c r="K77" i="17"/>
  <c r="J77" i="17"/>
  <c r="I77" i="17"/>
  <c r="H77" i="17"/>
  <c r="G77" i="17"/>
  <c r="F77" i="17"/>
  <c r="E77" i="17"/>
  <c r="W76" i="17"/>
  <c r="V76" i="17"/>
  <c r="U76" i="17"/>
  <c r="T76" i="17"/>
  <c r="S76" i="17"/>
  <c r="R76" i="17"/>
  <c r="Q76" i="17"/>
  <c r="P76" i="17"/>
  <c r="O76" i="17"/>
  <c r="M76" i="17"/>
  <c r="L76" i="17"/>
  <c r="K76" i="17"/>
  <c r="J76" i="17"/>
  <c r="I76" i="17"/>
  <c r="H76" i="17"/>
  <c r="G76" i="17"/>
  <c r="F76" i="17"/>
  <c r="E76" i="17"/>
  <c r="W75" i="17"/>
  <c r="V75" i="17"/>
  <c r="U75" i="17"/>
  <c r="T75" i="17"/>
  <c r="S75" i="17"/>
  <c r="R75" i="17"/>
  <c r="Q75" i="17"/>
  <c r="P75" i="17"/>
  <c r="O75" i="17"/>
  <c r="M75" i="17"/>
  <c r="L75" i="17"/>
  <c r="K75" i="17"/>
  <c r="J75" i="17"/>
  <c r="I75" i="17"/>
  <c r="H75" i="17"/>
  <c r="G75" i="17"/>
  <c r="F75" i="17"/>
  <c r="E75" i="17"/>
  <c r="W74" i="17"/>
  <c r="V74" i="17"/>
  <c r="U74" i="17"/>
  <c r="T74" i="17"/>
  <c r="S74" i="17"/>
  <c r="R74" i="17"/>
  <c r="Q74" i="17"/>
  <c r="P74" i="17"/>
  <c r="O74" i="17"/>
  <c r="M74" i="17"/>
  <c r="L74" i="17"/>
  <c r="K74" i="17"/>
  <c r="J74" i="17"/>
  <c r="I74" i="17"/>
  <c r="H74" i="17"/>
  <c r="G74" i="17"/>
  <c r="F74" i="17"/>
  <c r="E74" i="17"/>
  <c r="W73" i="17"/>
  <c r="V73" i="17"/>
  <c r="U73" i="17"/>
  <c r="T73" i="17"/>
  <c r="S73" i="17"/>
  <c r="R73" i="17"/>
  <c r="Q73" i="17"/>
  <c r="P73" i="17"/>
  <c r="O73" i="17"/>
  <c r="M73" i="17"/>
  <c r="L73" i="17"/>
  <c r="K73" i="17"/>
  <c r="J73" i="17"/>
  <c r="I73" i="17"/>
  <c r="H73" i="17"/>
  <c r="G73" i="17"/>
  <c r="F73" i="17"/>
  <c r="E73" i="17"/>
  <c r="W72" i="17"/>
  <c r="V72" i="17"/>
  <c r="U72" i="17"/>
  <c r="T72" i="17"/>
  <c r="S72" i="17"/>
  <c r="R72" i="17"/>
  <c r="Q72" i="17"/>
  <c r="P72" i="17"/>
  <c r="O72" i="17"/>
  <c r="M72" i="17"/>
  <c r="L72" i="17"/>
  <c r="K72" i="17"/>
  <c r="J72" i="17"/>
  <c r="I72" i="17"/>
  <c r="H72" i="17"/>
  <c r="G72" i="17"/>
  <c r="F72" i="17"/>
  <c r="E72" i="17"/>
  <c r="W71" i="17"/>
  <c r="V71" i="17"/>
  <c r="U71" i="17"/>
  <c r="T71" i="17"/>
  <c r="S71" i="17"/>
  <c r="R71" i="17"/>
  <c r="Q71" i="17"/>
  <c r="P71" i="17"/>
  <c r="O71" i="17"/>
  <c r="M71" i="17"/>
  <c r="L71" i="17"/>
  <c r="K71" i="17"/>
  <c r="J71" i="17"/>
  <c r="I71" i="17"/>
  <c r="H71" i="17"/>
  <c r="G71" i="17"/>
  <c r="F71" i="17"/>
  <c r="E71" i="17"/>
  <c r="W70" i="17"/>
  <c r="V70" i="17"/>
  <c r="U70" i="17"/>
  <c r="T70" i="17"/>
  <c r="S70" i="17"/>
  <c r="R70" i="17"/>
  <c r="Q70" i="17"/>
  <c r="P70" i="17"/>
  <c r="O70" i="17"/>
  <c r="M70" i="17"/>
  <c r="L70" i="17"/>
  <c r="K70" i="17"/>
  <c r="J70" i="17"/>
  <c r="I70" i="17"/>
  <c r="H70" i="17"/>
  <c r="G70" i="17"/>
  <c r="F70" i="17"/>
  <c r="E70" i="17"/>
  <c r="W69" i="17"/>
  <c r="V69" i="17"/>
  <c r="U69" i="17"/>
  <c r="T69" i="17"/>
  <c r="S69" i="17"/>
  <c r="R69" i="17"/>
  <c r="Q69" i="17"/>
  <c r="P69" i="17"/>
  <c r="O69" i="17"/>
  <c r="M69" i="17"/>
  <c r="L69" i="17"/>
  <c r="K69" i="17"/>
  <c r="J69" i="17"/>
  <c r="I69" i="17"/>
  <c r="H69" i="17"/>
  <c r="G69" i="17"/>
  <c r="F69" i="17"/>
  <c r="E69" i="17"/>
  <c r="M67" i="17"/>
  <c r="L67" i="17"/>
  <c r="K67" i="17"/>
  <c r="J67" i="17"/>
  <c r="I67" i="17"/>
  <c r="H67" i="17"/>
  <c r="G67" i="17"/>
  <c r="F67" i="17"/>
  <c r="E67" i="17"/>
  <c r="M66" i="17"/>
  <c r="L66" i="17"/>
  <c r="K66" i="17"/>
  <c r="J66" i="17"/>
  <c r="I66" i="17"/>
  <c r="H66" i="17"/>
  <c r="G66" i="17"/>
  <c r="F66" i="17"/>
  <c r="E66" i="17"/>
  <c r="M65" i="17"/>
  <c r="L65" i="17"/>
  <c r="K65" i="17"/>
  <c r="J65" i="17"/>
  <c r="I65" i="17"/>
  <c r="H65" i="17"/>
  <c r="G65" i="17"/>
  <c r="F65" i="17"/>
  <c r="E65" i="17"/>
  <c r="M64" i="17"/>
  <c r="L64" i="17"/>
  <c r="K64" i="17"/>
  <c r="J64" i="17"/>
  <c r="I64" i="17"/>
  <c r="H64" i="17"/>
  <c r="G64" i="17"/>
  <c r="F64" i="17"/>
  <c r="E64" i="17"/>
  <c r="M63" i="17"/>
  <c r="L63" i="17"/>
  <c r="K63" i="17"/>
  <c r="J63" i="17"/>
  <c r="I63" i="17"/>
  <c r="H63" i="17"/>
  <c r="G63" i="17"/>
  <c r="F63" i="17"/>
  <c r="E63" i="17"/>
  <c r="M62" i="17"/>
  <c r="L62" i="17"/>
  <c r="K62" i="17"/>
  <c r="J62" i="17"/>
  <c r="I62" i="17"/>
  <c r="H62" i="17"/>
  <c r="G62" i="17"/>
  <c r="F62" i="17"/>
  <c r="E62" i="17"/>
  <c r="M61" i="17"/>
  <c r="L61" i="17"/>
  <c r="K61" i="17"/>
  <c r="J61" i="17"/>
  <c r="I61" i="17"/>
  <c r="H61" i="17"/>
  <c r="G61" i="17"/>
  <c r="F61" i="17"/>
  <c r="E61" i="17"/>
  <c r="M59" i="17"/>
  <c r="L59" i="17"/>
  <c r="K59" i="17"/>
  <c r="J59" i="17"/>
  <c r="I59" i="17"/>
  <c r="H59" i="17"/>
  <c r="G59" i="17"/>
  <c r="F59" i="17"/>
  <c r="E59" i="17"/>
  <c r="M58" i="17"/>
  <c r="L58" i="17"/>
  <c r="K58" i="17"/>
  <c r="J58" i="17"/>
  <c r="I58" i="17"/>
  <c r="H58" i="17"/>
  <c r="G58" i="17"/>
  <c r="F58" i="17"/>
  <c r="E58" i="17"/>
  <c r="M57" i="17"/>
  <c r="L57" i="17"/>
  <c r="K57" i="17"/>
  <c r="J57" i="17"/>
  <c r="I57" i="17"/>
  <c r="H57" i="17"/>
  <c r="G57" i="17"/>
  <c r="F57" i="17"/>
  <c r="E57" i="17"/>
  <c r="M56" i="17"/>
  <c r="L56" i="17"/>
  <c r="K56" i="17"/>
  <c r="J56" i="17"/>
  <c r="I56" i="17"/>
  <c r="H56" i="17"/>
  <c r="G56" i="17"/>
  <c r="F56" i="17"/>
  <c r="E56" i="17"/>
  <c r="M55" i="17"/>
  <c r="L55" i="17"/>
  <c r="K55" i="17"/>
  <c r="J55" i="17"/>
  <c r="I55" i="17"/>
  <c r="H55" i="17"/>
  <c r="G55" i="17"/>
  <c r="F55" i="17"/>
  <c r="E55" i="17"/>
  <c r="M54" i="17"/>
  <c r="L54" i="17"/>
  <c r="K54" i="17"/>
  <c r="J54" i="17"/>
  <c r="I54" i="17"/>
  <c r="H54" i="17"/>
  <c r="G54" i="17"/>
  <c r="F54" i="17"/>
  <c r="E54" i="17"/>
  <c r="M53" i="17"/>
  <c r="L53" i="17"/>
  <c r="K53" i="17"/>
  <c r="J53" i="17"/>
  <c r="I53" i="17"/>
  <c r="H53" i="17"/>
  <c r="G53" i="17"/>
  <c r="F53" i="17"/>
  <c r="E53" i="17"/>
  <c r="M52" i="17"/>
  <c r="L52" i="17"/>
  <c r="K52" i="17"/>
  <c r="J52" i="17"/>
  <c r="I52" i="17"/>
  <c r="H52" i="17"/>
  <c r="G52" i="17"/>
  <c r="F52" i="17"/>
  <c r="E52" i="17"/>
  <c r="M51" i="17"/>
  <c r="L51" i="17"/>
  <c r="K51" i="17"/>
  <c r="J51" i="17"/>
  <c r="I51" i="17"/>
  <c r="H51" i="17"/>
  <c r="G51" i="17"/>
  <c r="F51" i="17"/>
  <c r="E51" i="17"/>
  <c r="M50" i="17"/>
  <c r="L50" i="17"/>
  <c r="K50" i="17"/>
  <c r="J50" i="17"/>
  <c r="I50" i="17"/>
  <c r="H50" i="17"/>
  <c r="G50" i="17"/>
  <c r="F50" i="17"/>
  <c r="E50" i="17"/>
  <c r="M49" i="17"/>
  <c r="L49" i="17"/>
  <c r="K49" i="17"/>
  <c r="J49" i="17"/>
  <c r="I49" i="17"/>
  <c r="H49" i="17"/>
  <c r="G49" i="17"/>
  <c r="F49" i="17"/>
  <c r="E49" i="17"/>
  <c r="M48" i="17"/>
  <c r="L48" i="17"/>
  <c r="K48" i="17"/>
  <c r="J48" i="17"/>
  <c r="I48" i="17"/>
  <c r="H48" i="17"/>
  <c r="G48" i="17"/>
  <c r="F48" i="17"/>
  <c r="E48" i="17"/>
  <c r="M47" i="17"/>
  <c r="L47" i="17"/>
  <c r="K47" i="17"/>
  <c r="J47" i="17"/>
  <c r="I47" i="17"/>
  <c r="H47" i="17"/>
  <c r="G47" i="17"/>
  <c r="F47" i="17"/>
  <c r="E47" i="17"/>
  <c r="M46" i="17"/>
  <c r="L46" i="17"/>
  <c r="K46" i="17"/>
  <c r="J46" i="17"/>
  <c r="I46" i="17"/>
  <c r="H46" i="17"/>
  <c r="G46" i="17"/>
  <c r="F46" i="17"/>
  <c r="E46" i="17"/>
  <c r="M45" i="17"/>
  <c r="L45" i="17"/>
  <c r="K45" i="17"/>
  <c r="J45" i="17"/>
  <c r="I45" i="17"/>
  <c r="H45" i="17"/>
  <c r="G45" i="17"/>
  <c r="F45" i="17"/>
  <c r="E45" i="17"/>
  <c r="M44" i="17"/>
  <c r="L44" i="17"/>
  <c r="K44" i="17"/>
  <c r="J44" i="17"/>
  <c r="I44" i="17"/>
  <c r="H44" i="17"/>
  <c r="G44" i="17"/>
  <c r="F44" i="17"/>
  <c r="E44" i="17"/>
  <c r="M43" i="17"/>
  <c r="L43" i="17"/>
  <c r="K43" i="17"/>
  <c r="J43" i="17"/>
  <c r="I43" i="17"/>
  <c r="H43" i="17"/>
  <c r="G43" i="17"/>
  <c r="F43" i="17"/>
  <c r="E43" i="17"/>
  <c r="M42" i="17"/>
  <c r="L42" i="17"/>
  <c r="K42" i="17"/>
  <c r="J42" i="17"/>
  <c r="I42" i="17"/>
  <c r="H42" i="17"/>
  <c r="G42" i="17"/>
  <c r="F42" i="17"/>
  <c r="E42" i="17"/>
  <c r="M41" i="17"/>
  <c r="L41" i="17"/>
  <c r="K41" i="17"/>
  <c r="J41" i="17"/>
  <c r="I41" i="17"/>
  <c r="H41" i="17"/>
  <c r="G41" i="17"/>
  <c r="F41" i="17"/>
  <c r="E41" i="17"/>
  <c r="M40" i="17"/>
  <c r="L40" i="17"/>
  <c r="K40" i="17"/>
  <c r="J40" i="17"/>
  <c r="I40" i="17"/>
  <c r="H40" i="17"/>
  <c r="G40" i="17"/>
  <c r="F40" i="17"/>
  <c r="E40" i="17"/>
  <c r="M39" i="17"/>
  <c r="L39" i="17"/>
  <c r="K39" i="17"/>
  <c r="J39" i="17"/>
  <c r="I39" i="17"/>
  <c r="H39" i="17"/>
  <c r="G39" i="17"/>
  <c r="F39" i="17"/>
  <c r="E39" i="17"/>
  <c r="M38" i="17"/>
  <c r="L38" i="17"/>
  <c r="K38" i="17"/>
  <c r="J38" i="17"/>
  <c r="I38" i="17"/>
  <c r="H38" i="17"/>
  <c r="G38" i="17"/>
  <c r="F38" i="17"/>
  <c r="E38" i="17"/>
  <c r="M37" i="17"/>
  <c r="L37" i="17"/>
  <c r="K37" i="17"/>
  <c r="J37" i="17"/>
  <c r="I37" i="17"/>
  <c r="H37" i="17"/>
  <c r="G37" i="17"/>
  <c r="F37" i="17"/>
  <c r="E37" i="17"/>
  <c r="M36" i="17"/>
  <c r="L36" i="17"/>
  <c r="K36" i="17"/>
  <c r="J36" i="17"/>
  <c r="I36" i="17"/>
  <c r="H36" i="17"/>
  <c r="G36" i="17"/>
  <c r="F36" i="17"/>
  <c r="E36" i="17"/>
  <c r="M35" i="17"/>
  <c r="L35" i="17"/>
  <c r="K35" i="17"/>
  <c r="J35" i="17"/>
  <c r="I35" i="17"/>
  <c r="H35" i="17"/>
  <c r="G35" i="17"/>
  <c r="F35" i="17"/>
  <c r="E35" i="17"/>
  <c r="M34" i="17"/>
  <c r="L34" i="17"/>
  <c r="K34" i="17"/>
  <c r="J34" i="17"/>
  <c r="I34" i="17"/>
  <c r="H34" i="17"/>
  <c r="G34" i="17"/>
  <c r="F34" i="17"/>
  <c r="E34" i="17"/>
  <c r="M33" i="17"/>
  <c r="L33" i="17"/>
  <c r="K33" i="17"/>
  <c r="J33" i="17"/>
  <c r="I33" i="17"/>
  <c r="H33" i="17"/>
  <c r="G33" i="17"/>
  <c r="F33" i="17"/>
  <c r="E33" i="17"/>
  <c r="M32" i="17"/>
  <c r="L32" i="17"/>
  <c r="K32" i="17"/>
  <c r="J32" i="17"/>
  <c r="I32" i="17"/>
  <c r="H32" i="17"/>
  <c r="G32" i="17"/>
  <c r="F32" i="17"/>
  <c r="E32" i="17"/>
  <c r="M31" i="17"/>
  <c r="L31" i="17"/>
  <c r="K31" i="17"/>
  <c r="J31" i="17"/>
  <c r="I31" i="17"/>
  <c r="H31" i="17"/>
  <c r="G31" i="17"/>
  <c r="F31" i="17"/>
  <c r="E31" i="17"/>
  <c r="M30" i="17"/>
  <c r="L30" i="17"/>
  <c r="K30" i="17"/>
  <c r="J30" i="17"/>
  <c r="I30" i="17"/>
  <c r="H30" i="17"/>
  <c r="G30" i="17"/>
  <c r="F30" i="17"/>
  <c r="E30" i="17"/>
  <c r="M29" i="17"/>
  <c r="L29" i="17"/>
  <c r="K29" i="17"/>
  <c r="J29" i="17"/>
  <c r="I29" i="17"/>
  <c r="H29" i="17"/>
  <c r="G29" i="17"/>
  <c r="F29" i="17"/>
  <c r="E29" i="17"/>
  <c r="M28" i="17"/>
  <c r="L28" i="17"/>
  <c r="K28" i="17"/>
  <c r="J28" i="17"/>
  <c r="I28" i="17"/>
  <c r="H28" i="17"/>
  <c r="G28" i="17"/>
  <c r="F28" i="17"/>
  <c r="E28" i="17"/>
  <c r="M27" i="17"/>
  <c r="L27" i="17"/>
  <c r="K27" i="17"/>
  <c r="J27" i="17"/>
  <c r="I27" i="17"/>
  <c r="H27" i="17"/>
  <c r="G27" i="17"/>
  <c r="F27" i="17"/>
  <c r="E27" i="17"/>
  <c r="M26" i="17"/>
  <c r="L26" i="17"/>
  <c r="K26" i="17"/>
  <c r="J26" i="17"/>
  <c r="I26" i="17"/>
  <c r="H26" i="17"/>
  <c r="G26" i="17"/>
  <c r="F26" i="17"/>
  <c r="E26" i="17"/>
  <c r="M25" i="17"/>
  <c r="L25" i="17"/>
  <c r="K25" i="17"/>
  <c r="J25" i="17"/>
  <c r="I25" i="17"/>
  <c r="H25" i="17"/>
  <c r="G25" i="17"/>
  <c r="F25" i="17"/>
  <c r="E25" i="17"/>
  <c r="M24" i="17"/>
  <c r="L24" i="17"/>
  <c r="K24" i="17"/>
  <c r="J24" i="17"/>
  <c r="I24" i="17"/>
  <c r="H24" i="17"/>
  <c r="G24" i="17"/>
  <c r="F24" i="17"/>
  <c r="E24" i="17"/>
  <c r="M23" i="17"/>
  <c r="L23" i="17"/>
  <c r="K23" i="17"/>
  <c r="J23" i="17"/>
  <c r="I23" i="17"/>
  <c r="H23" i="17"/>
  <c r="G23" i="17"/>
  <c r="F23" i="17"/>
  <c r="E23" i="17"/>
  <c r="M22" i="17"/>
  <c r="L22" i="17"/>
  <c r="K22" i="17"/>
  <c r="J22" i="17"/>
  <c r="I22" i="17"/>
  <c r="H22" i="17"/>
  <c r="G22" i="17"/>
  <c r="F22" i="17"/>
  <c r="E22" i="17"/>
  <c r="M21" i="17"/>
  <c r="L21" i="17"/>
  <c r="K21" i="17"/>
  <c r="J21" i="17"/>
  <c r="I21" i="17"/>
  <c r="H21" i="17"/>
  <c r="G21" i="17"/>
  <c r="F21" i="17"/>
  <c r="E21" i="17"/>
  <c r="M20" i="17"/>
  <c r="L20" i="17"/>
  <c r="K20" i="17"/>
  <c r="J20" i="17"/>
  <c r="I20" i="17"/>
  <c r="H20" i="17"/>
  <c r="G20" i="17"/>
  <c r="F20" i="17"/>
  <c r="E20" i="17"/>
  <c r="M19" i="17"/>
  <c r="L19" i="17"/>
  <c r="K19" i="17"/>
  <c r="J19" i="17"/>
  <c r="I19" i="17"/>
  <c r="H19" i="17"/>
  <c r="G19" i="17"/>
  <c r="F19" i="17"/>
  <c r="E19" i="17"/>
  <c r="M18" i="17"/>
  <c r="L18" i="17"/>
  <c r="K18" i="17"/>
  <c r="J18" i="17"/>
  <c r="I18" i="17"/>
  <c r="H18" i="17"/>
  <c r="G18" i="17"/>
  <c r="F18" i="17"/>
  <c r="E18" i="17"/>
  <c r="M17" i="17"/>
  <c r="L17" i="17"/>
  <c r="K17" i="17"/>
  <c r="J17" i="17"/>
  <c r="I17" i="17"/>
  <c r="H17" i="17"/>
  <c r="G17" i="17"/>
  <c r="F17" i="17"/>
  <c r="E17" i="17"/>
  <c r="M16" i="17"/>
  <c r="L16" i="17"/>
  <c r="K16" i="17"/>
  <c r="J16" i="17"/>
  <c r="I16" i="17"/>
  <c r="H16" i="17"/>
  <c r="G16" i="17"/>
  <c r="F16" i="17"/>
  <c r="E16" i="17"/>
  <c r="M15" i="17"/>
  <c r="L15" i="17"/>
  <c r="K15" i="17"/>
  <c r="J15" i="17"/>
  <c r="I15" i="17"/>
  <c r="H15" i="17"/>
  <c r="G15" i="17"/>
  <c r="F15" i="17"/>
  <c r="E15" i="17"/>
  <c r="M14" i="17"/>
  <c r="L14" i="17"/>
  <c r="K14" i="17"/>
  <c r="J14" i="17"/>
  <c r="I14" i="17"/>
  <c r="H14" i="17"/>
  <c r="G14" i="17"/>
  <c r="F14" i="17"/>
  <c r="E14" i="17"/>
  <c r="M13" i="17"/>
  <c r="L13" i="17"/>
  <c r="K13" i="17"/>
  <c r="J13" i="17"/>
  <c r="I13" i="17"/>
  <c r="H13" i="17"/>
  <c r="G13" i="17"/>
  <c r="F13" i="17"/>
  <c r="E13" i="17"/>
  <c r="M12" i="17"/>
  <c r="L12" i="17"/>
  <c r="K12" i="17"/>
  <c r="J12" i="17"/>
  <c r="I12" i="17"/>
  <c r="H12" i="17"/>
  <c r="G12" i="17"/>
  <c r="F12" i="17"/>
  <c r="E12" i="17"/>
  <c r="M11" i="17"/>
  <c r="L11" i="17"/>
  <c r="K11" i="17"/>
  <c r="J11" i="17"/>
  <c r="I11" i="17"/>
  <c r="H11" i="17"/>
  <c r="G11" i="17"/>
  <c r="F11" i="17"/>
  <c r="E11" i="17"/>
  <c r="M10" i="17"/>
  <c r="L10" i="17"/>
  <c r="K10" i="17"/>
  <c r="J10" i="17"/>
  <c r="I10" i="17"/>
  <c r="H10" i="17"/>
  <c r="G10" i="17"/>
  <c r="F10" i="17"/>
  <c r="E10" i="17"/>
  <c r="M9" i="17"/>
  <c r="L9" i="17"/>
  <c r="K9" i="17"/>
  <c r="J9" i="17"/>
  <c r="I9" i="17"/>
  <c r="H9" i="17"/>
  <c r="G9" i="17"/>
  <c r="F9" i="17"/>
  <c r="E9" i="17"/>
  <c r="M8" i="17"/>
  <c r="L8" i="17"/>
  <c r="K8" i="17"/>
  <c r="J8" i="17"/>
  <c r="I8" i="17"/>
  <c r="H8" i="17"/>
  <c r="G8" i="17"/>
  <c r="F8" i="17"/>
  <c r="E8" i="17"/>
  <c r="M7" i="17"/>
  <c r="L7" i="17"/>
  <c r="K7" i="17"/>
  <c r="J7" i="17"/>
  <c r="I7" i="17"/>
  <c r="H7" i="17"/>
  <c r="G7" i="17"/>
  <c r="F7" i="17"/>
  <c r="E7" i="17"/>
  <c r="M6" i="17"/>
  <c r="L6" i="17"/>
  <c r="K6" i="17"/>
  <c r="J6" i="17"/>
  <c r="I6" i="17"/>
  <c r="H6" i="17"/>
  <c r="G6" i="17"/>
  <c r="F6" i="17"/>
  <c r="E6" i="17"/>
  <c r="M5" i="17"/>
  <c r="L5" i="17"/>
  <c r="K5" i="17"/>
  <c r="J5" i="17"/>
  <c r="I5" i="17"/>
  <c r="H5" i="17"/>
  <c r="G5" i="17"/>
  <c r="F5" i="17"/>
  <c r="E5" i="17"/>
  <c r="M115" i="17" l="1"/>
  <c r="L125" i="17"/>
  <c r="F114" i="17"/>
  <c r="K121" i="17"/>
  <c r="E114" i="17"/>
  <c r="G124" i="17"/>
  <c r="G123" i="17"/>
  <c r="K124" i="17"/>
  <c r="H123" i="17"/>
  <c r="L124" i="17"/>
  <c r="I123" i="17"/>
  <c r="I122" i="17"/>
  <c r="K123" i="17"/>
  <c r="J122" i="17"/>
  <c r="L123" i="17"/>
  <c r="J116" i="17"/>
  <c r="K122" i="17"/>
  <c r="M123" i="17"/>
  <c r="K116" i="17"/>
  <c r="L122" i="17"/>
  <c r="L116" i="17"/>
  <c r="I115" i="17"/>
  <c r="I114" i="17"/>
  <c r="E122" i="17"/>
  <c r="K114" i="17"/>
  <c r="G121" i="17"/>
  <c r="H121" i="17"/>
  <c r="L121" i="17"/>
  <c r="M121" i="17"/>
  <c r="G126" i="17"/>
  <c r="H126" i="17"/>
  <c r="E116" i="17"/>
  <c r="E125" i="17"/>
  <c r="J126" i="17"/>
  <c r="F116" i="17"/>
  <c r="H125" i="17"/>
  <c r="G115" i="17"/>
  <c r="G116" i="17"/>
  <c r="I125" i="17"/>
  <c r="H115" i="17"/>
  <c r="E124" i="17"/>
  <c r="J125" i="17"/>
  <c r="F124" i="17"/>
  <c r="L114" i="17"/>
  <c r="H116" i="17"/>
  <c r="J123" i="17"/>
  <c r="H124" i="17"/>
  <c r="F125" i="17"/>
  <c r="M114" i="17"/>
  <c r="M122" i="17"/>
  <c r="I124" i="17"/>
  <c r="G125" i="17"/>
  <c r="E126" i="17"/>
  <c r="J124" i="17"/>
  <c r="F126" i="17"/>
  <c r="M124" i="17"/>
  <c r="K125" i="17"/>
  <c r="I126" i="17"/>
  <c r="E121" i="17"/>
  <c r="M125" i="17"/>
  <c r="F121" i="17"/>
  <c r="F122" i="17"/>
  <c r="Z3" i="8" l="1"/>
  <c r="Z60" i="8" s="1"/>
  <c r="Z67" i="8" l="1"/>
  <c r="Z68" i="8"/>
  <c r="W139" i="16"/>
  <c r="V139" i="16"/>
  <c r="U139" i="16"/>
  <c r="T139" i="16"/>
  <c r="S139" i="16"/>
  <c r="R139" i="16"/>
  <c r="Q139" i="16"/>
  <c r="P139" i="16"/>
  <c r="O139" i="16"/>
  <c r="W138" i="16"/>
  <c r="V138" i="16"/>
  <c r="U138" i="16"/>
  <c r="T138" i="16"/>
  <c r="S138" i="16"/>
  <c r="R138" i="16"/>
  <c r="Q138" i="16"/>
  <c r="P138" i="16"/>
  <c r="O138" i="16"/>
  <c r="W137" i="16"/>
  <c r="V137" i="16"/>
  <c r="U137" i="16"/>
  <c r="T137" i="16"/>
  <c r="S137" i="16"/>
  <c r="R137" i="16"/>
  <c r="Q137" i="16"/>
  <c r="P137" i="16"/>
  <c r="O137" i="16"/>
  <c r="W136" i="16"/>
  <c r="V136" i="16"/>
  <c r="U136" i="16"/>
  <c r="T136" i="16"/>
  <c r="S136" i="16"/>
  <c r="R136" i="16"/>
  <c r="Q136" i="16"/>
  <c r="P136" i="16"/>
  <c r="O136" i="16"/>
  <c r="W135" i="16"/>
  <c r="V135" i="16"/>
  <c r="U135" i="16"/>
  <c r="T135" i="16"/>
  <c r="S135" i="16"/>
  <c r="R135" i="16"/>
  <c r="Q135" i="16"/>
  <c r="P135" i="16"/>
  <c r="O135" i="16"/>
  <c r="W134" i="16"/>
  <c r="V134" i="16"/>
  <c r="U134" i="16"/>
  <c r="T134" i="16"/>
  <c r="S134" i="16"/>
  <c r="R134" i="16"/>
  <c r="Q134" i="16"/>
  <c r="P134" i="16"/>
  <c r="O134" i="16"/>
  <c r="W133" i="16"/>
  <c r="V133" i="16"/>
  <c r="U133" i="16"/>
  <c r="T133" i="16"/>
  <c r="S133" i="16"/>
  <c r="R133" i="16"/>
  <c r="Q133" i="16"/>
  <c r="P133" i="16"/>
  <c r="O133" i="16"/>
  <c r="W132" i="16"/>
  <c r="V132" i="16"/>
  <c r="U132" i="16"/>
  <c r="T132" i="16"/>
  <c r="S132" i="16"/>
  <c r="R132" i="16"/>
  <c r="Q132" i="16"/>
  <c r="P132" i="16"/>
  <c r="O132" i="16"/>
  <c r="W131" i="16"/>
  <c r="V131" i="16"/>
  <c r="U131" i="16"/>
  <c r="T131" i="16"/>
  <c r="S131" i="16"/>
  <c r="R131" i="16"/>
  <c r="Q131" i="16"/>
  <c r="P131" i="16"/>
  <c r="O131" i="16"/>
  <c r="W130" i="16"/>
  <c r="V130" i="16"/>
  <c r="U130" i="16"/>
  <c r="T130" i="16"/>
  <c r="S130" i="16"/>
  <c r="R130" i="16"/>
  <c r="Q130" i="16"/>
  <c r="P130" i="16"/>
  <c r="O130" i="16"/>
  <c r="W129" i="16"/>
  <c r="V129" i="16"/>
  <c r="U129" i="16"/>
  <c r="T129" i="16"/>
  <c r="S129" i="16"/>
  <c r="R129" i="16"/>
  <c r="Q129" i="16"/>
  <c r="P129" i="16"/>
  <c r="O129" i="16"/>
  <c r="W128" i="16"/>
  <c r="V128" i="16"/>
  <c r="U128" i="16"/>
  <c r="T128" i="16"/>
  <c r="S128" i="16"/>
  <c r="R128" i="16"/>
  <c r="Q128" i="16"/>
  <c r="P128" i="16"/>
  <c r="O128" i="16"/>
  <c r="W127" i="16"/>
  <c r="V127" i="16"/>
  <c r="U127" i="16"/>
  <c r="T127" i="16"/>
  <c r="S127" i="16"/>
  <c r="R127" i="16"/>
  <c r="Q127" i="16"/>
  <c r="P127" i="16"/>
  <c r="O127" i="16"/>
  <c r="W120" i="16"/>
  <c r="V120" i="16"/>
  <c r="U120" i="16"/>
  <c r="T120" i="16"/>
  <c r="S120" i="16"/>
  <c r="R120" i="16"/>
  <c r="Q120" i="16"/>
  <c r="P120" i="16"/>
  <c r="O120" i="16"/>
  <c r="W119" i="16"/>
  <c r="V119" i="16"/>
  <c r="U119" i="16"/>
  <c r="T119" i="16"/>
  <c r="S119" i="16"/>
  <c r="R119" i="16"/>
  <c r="Q119" i="16"/>
  <c r="P119" i="16"/>
  <c r="O119" i="16"/>
  <c r="W118" i="16"/>
  <c r="V118" i="16"/>
  <c r="U118" i="16"/>
  <c r="T118" i="16"/>
  <c r="S118" i="16"/>
  <c r="R118" i="16"/>
  <c r="Q118" i="16"/>
  <c r="P118" i="16"/>
  <c r="O118" i="16"/>
  <c r="W117" i="16"/>
  <c r="V117" i="16"/>
  <c r="U117" i="16"/>
  <c r="T117" i="16"/>
  <c r="S117" i="16"/>
  <c r="R117" i="16"/>
  <c r="Q117" i="16"/>
  <c r="P117" i="16"/>
  <c r="O117" i="16"/>
  <c r="W113" i="16"/>
  <c r="V113" i="16"/>
  <c r="U113" i="16"/>
  <c r="T113" i="16"/>
  <c r="S113" i="16"/>
  <c r="R113" i="16"/>
  <c r="Q113" i="16"/>
  <c r="P113" i="16"/>
  <c r="O113" i="16"/>
  <c r="W112" i="16"/>
  <c r="V112" i="16"/>
  <c r="U112" i="16"/>
  <c r="T112" i="16"/>
  <c r="S112" i="16"/>
  <c r="R112" i="16"/>
  <c r="Q112" i="16"/>
  <c r="P112" i="16"/>
  <c r="O112" i="16"/>
  <c r="W111" i="16"/>
  <c r="V111" i="16"/>
  <c r="U111" i="16"/>
  <c r="T111" i="16"/>
  <c r="S111" i="16"/>
  <c r="R111" i="16"/>
  <c r="Q111" i="16"/>
  <c r="P111" i="16"/>
  <c r="O111" i="16"/>
  <c r="W110" i="16"/>
  <c r="V110" i="16"/>
  <c r="U110" i="16"/>
  <c r="T110" i="16"/>
  <c r="S110" i="16"/>
  <c r="R110" i="16"/>
  <c r="Q110" i="16"/>
  <c r="P110" i="16"/>
  <c r="O110" i="16"/>
  <c r="W109" i="16"/>
  <c r="V109" i="16"/>
  <c r="U109" i="16"/>
  <c r="T109" i="16"/>
  <c r="S109" i="16"/>
  <c r="R109" i="16"/>
  <c r="Q109" i="16"/>
  <c r="P109" i="16"/>
  <c r="O109" i="16"/>
  <c r="W108" i="16"/>
  <c r="V108" i="16"/>
  <c r="U108" i="16"/>
  <c r="T108" i="16"/>
  <c r="S108" i="16"/>
  <c r="R108" i="16"/>
  <c r="Q108" i="16"/>
  <c r="P108" i="16"/>
  <c r="O108" i="16"/>
  <c r="W107" i="16"/>
  <c r="V107" i="16"/>
  <c r="U107" i="16"/>
  <c r="T107" i="16"/>
  <c r="S107" i="16"/>
  <c r="R107" i="16"/>
  <c r="Q107" i="16"/>
  <c r="P107" i="16"/>
  <c r="O107" i="16"/>
  <c r="W106" i="16"/>
  <c r="V106" i="16"/>
  <c r="U106" i="16"/>
  <c r="T106" i="16"/>
  <c r="S106" i="16"/>
  <c r="R106" i="16"/>
  <c r="Q106" i="16"/>
  <c r="P106" i="16"/>
  <c r="O106" i="16"/>
  <c r="W105" i="16"/>
  <c r="V105" i="16"/>
  <c r="U105" i="16"/>
  <c r="T105" i="16"/>
  <c r="S105" i="16"/>
  <c r="R105" i="16"/>
  <c r="Q105" i="16"/>
  <c r="P105" i="16"/>
  <c r="O105" i="16"/>
  <c r="W104" i="16"/>
  <c r="V104" i="16"/>
  <c r="U104" i="16"/>
  <c r="T104" i="16"/>
  <c r="S104" i="16"/>
  <c r="R104" i="16"/>
  <c r="Q104" i="16"/>
  <c r="P104" i="16"/>
  <c r="O104" i="16"/>
  <c r="W103" i="16"/>
  <c r="V103" i="16"/>
  <c r="U103" i="16"/>
  <c r="T103" i="16"/>
  <c r="S103" i="16"/>
  <c r="R103" i="16"/>
  <c r="Q103" i="16"/>
  <c r="P103" i="16"/>
  <c r="O103" i="16"/>
  <c r="W102" i="16"/>
  <c r="V102" i="16"/>
  <c r="U102" i="16"/>
  <c r="T102" i="16"/>
  <c r="S102" i="16"/>
  <c r="R102" i="16"/>
  <c r="Q102" i="16"/>
  <c r="P102" i="16"/>
  <c r="O102" i="16"/>
  <c r="W101" i="16"/>
  <c r="V101" i="16"/>
  <c r="U101" i="16"/>
  <c r="T101" i="16"/>
  <c r="S101" i="16"/>
  <c r="R101" i="16"/>
  <c r="Q101" i="16"/>
  <c r="P101" i="16"/>
  <c r="O101" i="16"/>
  <c r="W100" i="16"/>
  <c r="V100" i="16"/>
  <c r="U100" i="16"/>
  <c r="T100" i="16"/>
  <c r="S100" i="16"/>
  <c r="R100" i="16"/>
  <c r="Q100" i="16"/>
  <c r="P100" i="16"/>
  <c r="O100" i="16"/>
  <c r="W99" i="16"/>
  <c r="V99" i="16"/>
  <c r="U99" i="16"/>
  <c r="T99" i="16"/>
  <c r="S99" i="16"/>
  <c r="R99" i="16"/>
  <c r="Q99" i="16"/>
  <c r="P99" i="16"/>
  <c r="O99" i="16"/>
  <c r="W98" i="16"/>
  <c r="V98" i="16"/>
  <c r="U98" i="16"/>
  <c r="T98" i="16"/>
  <c r="S98" i="16"/>
  <c r="R98" i="16"/>
  <c r="Q98" i="16"/>
  <c r="P98" i="16"/>
  <c r="O98" i="16"/>
  <c r="W97" i="16"/>
  <c r="V97" i="16"/>
  <c r="U97" i="16"/>
  <c r="T97" i="16"/>
  <c r="S97" i="16"/>
  <c r="R97" i="16"/>
  <c r="Q97" i="16"/>
  <c r="P97" i="16"/>
  <c r="O97" i="16"/>
  <c r="W96" i="16"/>
  <c r="V96" i="16"/>
  <c r="U96" i="16"/>
  <c r="T96" i="16"/>
  <c r="S96" i="16"/>
  <c r="R96" i="16"/>
  <c r="Q96" i="16"/>
  <c r="P96" i="16"/>
  <c r="O96" i="16"/>
  <c r="W95" i="16"/>
  <c r="V95" i="16"/>
  <c r="U95" i="16"/>
  <c r="T95" i="16"/>
  <c r="S95" i="16"/>
  <c r="R95" i="16"/>
  <c r="Q95" i="16"/>
  <c r="P95" i="16"/>
  <c r="O95" i="16"/>
  <c r="W94" i="16"/>
  <c r="V94" i="16"/>
  <c r="U94" i="16"/>
  <c r="T94" i="16"/>
  <c r="S94" i="16"/>
  <c r="R94" i="16"/>
  <c r="Q94" i="16"/>
  <c r="P94" i="16"/>
  <c r="O94" i="16"/>
  <c r="W93" i="16"/>
  <c r="V93" i="16"/>
  <c r="U93" i="16"/>
  <c r="T93" i="16"/>
  <c r="S93" i="16"/>
  <c r="R93" i="16"/>
  <c r="Q93" i="16"/>
  <c r="P93" i="16"/>
  <c r="O93" i="16"/>
  <c r="W92" i="16"/>
  <c r="V92" i="16"/>
  <c r="U92" i="16"/>
  <c r="T92" i="16"/>
  <c r="S92" i="16"/>
  <c r="R92" i="16"/>
  <c r="Q92" i="16"/>
  <c r="P92" i="16"/>
  <c r="O92" i="16"/>
  <c r="W91" i="16"/>
  <c r="V91" i="16"/>
  <c r="U91" i="16"/>
  <c r="T91" i="16"/>
  <c r="S91" i="16"/>
  <c r="R91" i="16"/>
  <c r="Q91" i="16"/>
  <c r="P91" i="16"/>
  <c r="O91" i="16"/>
  <c r="W90" i="16"/>
  <c r="V90" i="16"/>
  <c r="U90" i="16"/>
  <c r="T90" i="16"/>
  <c r="S90" i="16"/>
  <c r="R90" i="16"/>
  <c r="Q90" i="16"/>
  <c r="P90" i="16"/>
  <c r="O90" i="16"/>
  <c r="W89" i="16"/>
  <c r="V89" i="16"/>
  <c r="U89" i="16"/>
  <c r="T89" i="16"/>
  <c r="S89" i="16"/>
  <c r="R89" i="16"/>
  <c r="Q89" i="16"/>
  <c r="P89" i="16"/>
  <c r="O89" i="16"/>
  <c r="W88" i="16"/>
  <c r="V88" i="16"/>
  <c r="U88" i="16"/>
  <c r="T88" i="16"/>
  <c r="S88" i="16"/>
  <c r="R88" i="16"/>
  <c r="Q88" i="16"/>
  <c r="P88" i="16"/>
  <c r="O88" i="16"/>
  <c r="W87" i="16"/>
  <c r="V87" i="16"/>
  <c r="U87" i="16"/>
  <c r="T87" i="16"/>
  <c r="S87" i="16"/>
  <c r="R87" i="16"/>
  <c r="Q87" i="16"/>
  <c r="P87" i="16"/>
  <c r="O87" i="16"/>
  <c r="W86" i="16"/>
  <c r="V86" i="16"/>
  <c r="U86" i="16"/>
  <c r="T86" i="16"/>
  <c r="S86" i="16"/>
  <c r="R86" i="16"/>
  <c r="Q86" i="16"/>
  <c r="P86" i="16"/>
  <c r="O86" i="16"/>
  <c r="W85" i="16"/>
  <c r="V85" i="16"/>
  <c r="U85" i="16"/>
  <c r="T85" i="16"/>
  <c r="S85" i="16"/>
  <c r="R85" i="16"/>
  <c r="Q85" i="16"/>
  <c r="P85" i="16"/>
  <c r="O85" i="16"/>
  <c r="W84" i="16"/>
  <c r="V84" i="16"/>
  <c r="U84" i="16"/>
  <c r="T84" i="16"/>
  <c r="S84" i="16"/>
  <c r="R84" i="16"/>
  <c r="Q84" i="16"/>
  <c r="P84" i="16"/>
  <c r="O84" i="16"/>
  <c r="W83" i="16"/>
  <c r="V83" i="16"/>
  <c r="U83" i="16"/>
  <c r="T83" i="16"/>
  <c r="S83" i="16"/>
  <c r="R83" i="16"/>
  <c r="Q83" i="16"/>
  <c r="P83" i="16"/>
  <c r="O83" i="16"/>
  <c r="W82" i="16"/>
  <c r="V82" i="16"/>
  <c r="U82" i="16"/>
  <c r="T82" i="16"/>
  <c r="S82" i="16"/>
  <c r="R82" i="16"/>
  <c r="Q82" i="16"/>
  <c r="P82" i="16"/>
  <c r="O82" i="16"/>
  <c r="W81" i="16"/>
  <c r="V81" i="16"/>
  <c r="U81" i="16"/>
  <c r="T81" i="16"/>
  <c r="S81" i="16"/>
  <c r="R81" i="16"/>
  <c r="Q81" i="16"/>
  <c r="P81" i="16"/>
  <c r="O81" i="16"/>
  <c r="W80" i="16"/>
  <c r="V80" i="16"/>
  <c r="U80" i="16"/>
  <c r="T80" i="16"/>
  <c r="S80" i="16"/>
  <c r="R80" i="16"/>
  <c r="Q80" i="16"/>
  <c r="P80" i="16"/>
  <c r="O80" i="16"/>
  <c r="W79" i="16"/>
  <c r="V79" i="16"/>
  <c r="U79" i="16"/>
  <c r="T79" i="16"/>
  <c r="S79" i="16"/>
  <c r="R79" i="16"/>
  <c r="Q79" i="16"/>
  <c r="P79" i="16"/>
  <c r="O79" i="16"/>
  <c r="W78" i="16"/>
  <c r="V78" i="16"/>
  <c r="U78" i="16"/>
  <c r="T78" i="16"/>
  <c r="S78" i="16"/>
  <c r="R78" i="16"/>
  <c r="Q78" i="16"/>
  <c r="P78" i="16"/>
  <c r="O78" i="16"/>
  <c r="W77" i="16"/>
  <c r="V77" i="16"/>
  <c r="U77" i="16"/>
  <c r="T77" i="16"/>
  <c r="S77" i="16"/>
  <c r="R77" i="16"/>
  <c r="Q77" i="16"/>
  <c r="P77" i="16"/>
  <c r="O77" i="16"/>
  <c r="W76" i="16"/>
  <c r="V76" i="16"/>
  <c r="U76" i="16"/>
  <c r="T76" i="16"/>
  <c r="S76" i="16"/>
  <c r="R76" i="16"/>
  <c r="Q76" i="16"/>
  <c r="P76" i="16"/>
  <c r="O76" i="16"/>
  <c r="W75" i="16"/>
  <c r="V75" i="16"/>
  <c r="U75" i="16"/>
  <c r="T75" i="16"/>
  <c r="S75" i="16"/>
  <c r="R75" i="16"/>
  <c r="Q75" i="16"/>
  <c r="P75" i="16"/>
  <c r="O75" i="16"/>
  <c r="W74" i="16"/>
  <c r="V74" i="16"/>
  <c r="U74" i="16"/>
  <c r="T74" i="16"/>
  <c r="S74" i="16"/>
  <c r="R74" i="16"/>
  <c r="Q74" i="16"/>
  <c r="P74" i="16"/>
  <c r="O74" i="16"/>
  <c r="W73" i="16"/>
  <c r="V73" i="16"/>
  <c r="U73" i="16"/>
  <c r="T73" i="16"/>
  <c r="S73" i="16"/>
  <c r="R73" i="16"/>
  <c r="Q73" i="16"/>
  <c r="P73" i="16"/>
  <c r="O73" i="16"/>
  <c r="W72" i="16"/>
  <c r="V72" i="16"/>
  <c r="U72" i="16"/>
  <c r="T72" i="16"/>
  <c r="S72" i="16"/>
  <c r="R72" i="16"/>
  <c r="Q72" i="16"/>
  <c r="P72" i="16"/>
  <c r="O72" i="16"/>
  <c r="W71" i="16"/>
  <c r="V71" i="16"/>
  <c r="U71" i="16"/>
  <c r="T71" i="16"/>
  <c r="S71" i="16"/>
  <c r="R71" i="16"/>
  <c r="Q71" i="16"/>
  <c r="P71" i="16"/>
  <c r="O71" i="16"/>
  <c r="W70" i="16"/>
  <c r="V70" i="16"/>
  <c r="U70" i="16"/>
  <c r="T70" i="16"/>
  <c r="S70" i="16"/>
  <c r="R70" i="16"/>
  <c r="Q70" i="16"/>
  <c r="P70" i="16"/>
  <c r="O70" i="16"/>
  <c r="W69" i="16"/>
  <c r="V69" i="16"/>
  <c r="U69" i="16"/>
  <c r="T69" i="16"/>
  <c r="S69" i="16"/>
  <c r="R69" i="16"/>
  <c r="Q69" i="16"/>
  <c r="P69" i="16"/>
  <c r="O69" i="16"/>
  <c r="W68" i="16"/>
  <c r="V68" i="16"/>
  <c r="U68" i="16"/>
  <c r="T68" i="16"/>
  <c r="S68" i="16"/>
  <c r="R68" i="16"/>
  <c r="Q68" i="16"/>
  <c r="P68" i="16"/>
  <c r="O68" i="16"/>
  <c r="W67" i="16"/>
  <c r="V67" i="16"/>
  <c r="U67" i="16"/>
  <c r="T67" i="16"/>
  <c r="S67" i="16"/>
  <c r="R67" i="16"/>
  <c r="Q67" i="16"/>
  <c r="P67" i="16"/>
  <c r="O67" i="16"/>
  <c r="W66" i="16"/>
  <c r="V66" i="16"/>
  <c r="U66" i="16"/>
  <c r="T66" i="16"/>
  <c r="S66" i="16"/>
  <c r="R66" i="16"/>
  <c r="Q66" i="16"/>
  <c r="P66" i="16"/>
  <c r="O66" i="16"/>
  <c r="W65" i="16"/>
  <c r="V65" i="16"/>
  <c r="U65" i="16"/>
  <c r="T65" i="16"/>
  <c r="S65" i="16"/>
  <c r="R65" i="16"/>
  <c r="Q65" i="16"/>
  <c r="P65" i="16"/>
  <c r="O65" i="16"/>
  <c r="W64" i="16"/>
  <c r="V64" i="16"/>
  <c r="U64" i="16"/>
  <c r="T64" i="16"/>
  <c r="S64" i="16"/>
  <c r="R64" i="16"/>
  <c r="Q64" i="16"/>
  <c r="P64" i="16"/>
  <c r="O64" i="16"/>
  <c r="W63" i="16"/>
  <c r="V63" i="16"/>
  <c r="U63" i="16"/>
  <c r="T63" i="16"/>
  <c r="S63" i="16"/>
  <c r="R63" i="16"/>
  <c r="Q63" i="16"/>
  <c r="P63" i="16"/>
  <c r="O63" i="16"/>
  <c r="W62" i="16"/>
  <c r="V62" i="16"/>
  <c r="U62" i="16"/>
  <c r="T62" i="16"/>
  <c r="S62" i="16"/>
  <c r="R62" i="16"/>
  <c r="Q62" i="16"/>
  <c r="P62" i="16"/>
  <c r="O62" i="16"/>
  <c r="W61" i="16"/>
  <c r="V61" i="16"/>
  <c r="U61" i="16"/>
  <c r="T61" i="16"/>
  <c r="S61" i="16"/>
  <c r="R61" i="16"/>
  <c r="Q61" i="16"/>
  <c r="P61" i="16"/>
  <c r="O61" i="16"/>
  <c r="W60" i="16"/>
  <c r="V60" i="16"/>
  <c r="U60" i="16"/>
  <c r="T60" i="16"/>
  <c r="S60" i="16"/>
  <c r="R60" i="16"/>
  <c r="Q60" i="16"/>
  <c r="P60" i="16"/>
  <c r="O60" i="16"/>
  <c r="W59" i="16"/>
  <c r="V59" i="16"/>
  <c r="U59" i="16"/>
  <c r="T59" i="16"/>
  <c r="S59" i="16"/>
  <c r="R59" i="16"/>
  <c r="Q59" i="16"/>
  <c r="P59" i="16"/>
  <c r="O59" i="16"/>
  <c r="W58" i="16"/>
  <c r="V58" i="16"/>
  <c r="U58" i="16"/>
  <c r="T58" i="16"/>
  <c r="S58" i="16"/>
  <c r="R58" i="16"/>
  <c r="Q58" i="16"/>
  <c r="P58" i="16"/>
  <c r="O58" i="16"/>
  <c r="W57" i="16"/>
  <c r="V57" i="16"/>
  <c r="U57" i="16"/>
  <c r="T57" i="16"/>
  <c r="S57" i="16"/>
  <c r="R57" i="16"/>
  <c r="Q57" i="16"/>
  <c r="P57" i="16"/>
  <c r="O57" i="16"/>
  <c r="W56" i="16"/>
  <c r="V56" i="16"/>
  <c r="U56" i="16"/>
  <c r="T56" i="16"/>
  <c r="S56" i="16"/>
  <c r="R56" i="16"/>
  <c r="Q56" i="16"/>
  <c r="P56" i="16"/>
  <c r="O56" i="16"/>
  <c r="W55" i="16"/>
  <c r="V55" i="16"/>
  <c r="U55" i="16"/>
  <c r="T55" i="16"/>
  <c r="S55" i="16"/>
  <c r="R55" i="16"/>
  <c r="Q55" i="16"/>
  <c r="P55" i="16"/>
  <c r="O55" i="16"/>
  <c r="W54" i="16"/>
  <c r="V54" i="16"/>
  <c r="U54" i="16"/>
  <c r="T54" i="16"/>
  <c r="S54" i="16"/>
  <c r="R54" i="16"/>
  <c r="Q54" i="16"/>
  <c r="P54" i="16"/>
  <c r="O54" i="16"/>
  <c r="W53" i="16"/>
  <c r="V53" i="16"/>
  <c r="U53" i="16"/>
  <c r="T53" i="16"/>
  <c r="S53" i="16"/>
  <c r="R53" i="16"/>
  <c r="Q53" i="16"/>
  <c r="P53" i="16"/>
  <c r="O53" i="16"/>
  <c r="W52" i="16"/>
  <c r="V52" i="16"/>
  <c r="U52" i="16"/>
  <c r="T52" i="16"/>
  <c r="S52" i="16"/>
  <c r="R52" i="16"/>
  <c r="Q52" i="16"/>
  <c r="P52" i="16"/>
  <c r="O52" i="16"/>
  <c r="W51" i="16"/>
  <c r="V51" i="16"/>
  <c r="U51" i="16"/>
  <c r="T51" i="16"/>
  <c r="S51" i="16"/>
  <c r="R51" i="16"/>
  <c r="Q51" i="16"/>
  <c r="P51" i="16"/>
  <c r="O51" i="16"/>
  <c r="W50" i="16"/>
  <c r="V50" i="16"/>
  <c r="U50" i="16"/>
  <c r="T50" i="16"/>
  <c r="S50" i="16"/>
  <c r="R50" i="16"/>
  <c r="Q50" i="16"/>
  <c r="P50" i="16"/>
  <c r="O50" i="16"/>
  <c r="W49" i="16"/>
  <c r="V49" i="16"/>
  <c r="U49" i="16"/>
  <c r="T49" i="16"/>
  <c r="S49" i="16"/>
  <c r="R49" i="16"/>
  <c r="Q49" i="16"/>
  <c r="P49" i="16"/>
  <c r="O49" i="16"/>
  <c r="W48" i="16"/>
  <c r="V48" i="16"/>
  <c r="U48" i="16"/>
  <c r="T48" i="16"/>
  <c r="S48" i="16"/>
  <c r="R48" i="16"/>
  <c r="Q48" i="16"/>
  <c r="P48" i="16"/>
  <c r="O48" i="16"/>
  <c r="W47" i="16"/>
  <c r="V47" i="16"/>
  <c r="U47" i="16"/>
  <c r="T47" i="16"/>
  <c r="S47" i="16"/>
  <c r="R47" i="16"/>
  <c r="Q47" i="16"/>
  <c r="P47" i="16"/>
  <c r="O47" i="16"/>
  <c r="W46" i="16"/>
  <c r="V46" i="16"/>
  <c r="U46" i="16"/>
  <c r="T46" i="16"/>
  <c r="S46" i="16"/>
  <c r="R46" i="16"/>
  <c r="Q46" i="16"/>
  <c r="P46" i="16"/>
  <c r="O46" i="16"/>
  <c r="W45" i="16"/>
  <c r="V45" i="16"/>
  <c r="U45" i="16"/>
  <c r="T45" i="16"/>
  <c r="S45" i="16"/>
  <c r="R45" i="16"/>
  <c r="Q45" i="16"/>
  <c r="P45" i="16"/>
  <c r="O45" i="16"/>
  <c r="W44" i="16"/>
  <c r="V44" i="16"/>
  <c r="U44" i="16"/>
  <c r="T44" i="16"/>
  <c r="S44" i="16"/>
  <c r="R44" i="16"/>
  <c r="Q44" i="16"/>
  <c r="P44" i="16"/>
  <c r="O44" i="16"/>
  <c r="W43" i="16"/>
  <c r="V43" i="16"/>
  <c r="U43" i="16"/>
  <c r="T43" i="16"/>
  <c r="S43" i="16"/>
  <c r="R43" i="16"/>
  <c r="Q43" i="16"/>
  <c r="P43" i="16"/>
  <c r="O43" i="16"/>
  <c r="W42" i="16"/>
  <c r="V42" i="16"/>
  <c r="U42" i="16"/>
  <c r="T42" i="16"/>
  <c r="S42" i="16"/>
  <c r="R42" i="16"/>
  <c r="Q42" i="16"/>
  <c r="P42" i="16"/>
  <c r="O42" i="16"/>
  <c r="W41" i="16"/>
  <c r="V41" i="16"/>
  <c r="U41" i="16"/>
  <c r="T41" i="16"/>
  <c r="S41" i="16"/>
  <c r="R41" i="16"/>
  <c r="Q41" i="16"/>
  <c r="P41" i="16"/>
  <c r="O41" i="16"/>
  <c r="W40" i="16"/>
  <c r="V40" i="16"/>
  <c r="U40" i="16"/>
  <c r="T40" i="16"/>
  <c r="S40" i="16"/>
  <c r="R40" i="16"/>
  <c r="Q40" i="16"/>
  <c r="P40" i="16"/>
  <c r="O40" i="16"/>
  <c r="W39" i="16"/>
  <c r="V39" i="16"/>
  <c r="U39" i="16"/>
  <c r="T39" i="16"/>
  <c r="S39" i="16"/>
  <c r="R39" i="16"/>
  <c r="Q39" i="16"/>
  <c r="P39" i="16"/>
  <c r="O39" i="16"/>
  <c r="W38" i="16"/>
  <c r="V38" i="16"/>
  <c r="U38" i="16"/>
  <c r="T38" i="16"/>
  <c r="S38" i="16"/>
  <c r="R38" i="16"/>
  <c r="Q38" i="16"/>
  <c r="P38" i="16"/>
  <c r="O38" i="16"/>
  <c r="W37" i="16"/>
  <c r="V37" i="16"/>
  <c r="U37" i="16"/>
  <c r="T37" i="16"/>
  <c r="S37" i="16"/>
  <c r="R37" i="16"/>
  <c r="Q37" i="16"/>
  <c r="P37" i="16"/>
  <c r="O37" i="16"/>
  <c r="W36" i="16"/>
  <c r="V36" i="16"/>
  <c r="U36" i="16"/>
  <c r="T36" i="16"/>
  <c r="S36" i="16"/>
  <c r="R36" i="16"/>
  <c r="Q36" i="16"/>
  <c r="P36" i="16"/>
  <c r="O36" i="16"/>
  <c r="W35" i="16"/>
  <c r="V35" i="16"/>
  <c r="U35" i="16"/>
  <c r="T35" i="16"/>
  <c r="S35" i="16"/>
  <c r="R35" i="16"/>
  <c r="Q35" i="16"/>
  <c r="P35" i="16"/>
  <c r="O35" i="16"/>
  <c r="W34" i="16"/>
  <c r="V34" i="16"/>
  <c r="U34" i="16"/>
  <c r="T34" i="16"/>
  <c r="S34" i="16"/>
  <c r="R34" i="16"/>
  <c r="Q34" i="16"/>
  <c r="P34" i="16"/>
  <c r="O34" i="16"/>
  <c r="W33" i="16"/>
  <c r="V33" i="16"/>
  <c r="U33" i="16"/>
  <c r="T33" i="16"/>
  <c r="S33" i="16"/>
  <c r="R33" i="16"/>
  <c r="Q33" i="16"/>
  <c r="P33" i="16"/>
  <c r="O33" i="16"/>
  <c r="W32" i="16"/>
  <c r="V32" i="16"/>
  <c r="U32" i="16"/>
  <c r="T32" i="16"/>
  <c r="S32" i="16"/>
  <c r="R32" i="16"/>
  <c r="Q32" i="16"/>
  <c r="P32" i="16"/>
  <c r="O32" i="16"/>
  <c r="W31" i="16"/>
  <c r="V31" i="16"/>
  <c r="U31" i="16"/>
  <c r="T31" i="16"/>
  <c r="S31" i="16"/>
  <c r="R31" i="16"/>
  <c r="Q31" i="16"/>
  <c r="P31" i="16"/>
  <c r="O31" i="16"/>
  <c r="W30" i="16"/>
  <c r="V30" i="16"/>
  <c r="U30" i="16"/>
  <c r="T30" i="16"/>
  <c r="S30" i="16"/>
  <c r="R30" i="16"/>
  <c r="Q30" i="16"/>
  <c r="P30" i="16"/>
  <c r="O30" i="16"/>
  <c r="W29" i="16"/>
  <c r="V29" i="16"/>
  <c r="U29" i="16"/>
  <c r="T29" i="16"/>
  <c r="S29" i="16"/>
  <c r="R29" i="16"/>
  <c r="Q29" i="16"/>
  <c r="P29" i="16"/>
  <c r="O29" i="16"/>
  <c r="W28" i="16"/>
  <c r="V28" i="16"/>
  <c r="U28" i="16"/>
  <c r="T28" i="16"/>
  <c r="S28" i="16"/>
  <c r="R28" i="16"/>
  <c r="Q28" i="16"/>
  <c r="P28" i="16"/>
  <c r="O28" i="16"/>
  <c r="W27" i="16"/>
  <c r="V27" i="16"/>
  <c r="U27" i="16"/>
  <c r="T27" i="16"/>
  <c r="S27" i="16"/>
  <c r="R27" i="16"/>
  <c r="Q27" i="16"/>
  <c r="P27" i="16"/>
  <c r="O27" i="16"/>
  <c r="W26" i="16"/>
  <c r="V26" i="16"/>
  <c r="U26" i="16"/>
  <c r="T26" i="16"/>
  <c r="S26" i="16"/>
  <c r="R26" i="16"/>
  <c r="Q26" i="16"/>
  <c r="P26" i="16"/>
  <c r="O26" i="16"/>
  <c r="W25" i="16"/>
  <c r="V25" i="16"/>
  <c r="U25" i="16"/>
  <c r="T25" i="16"/>
  <c r="S25" i="16"/>
  <c r="R25" i="16"/>
  <c r="Q25" i="16"/>
  <c r="P25" i="16"/>
  <c r="O25" i="16"/>
  <c r="W24" i="16"/>
  <c r="V24" i="16"/>
  <c r="U24" i="16"/>
  <c r="T24" i="16"/>
  <c r="S24" i="16"/>
  <c r="R24" i="16"/>
  <c r="Q24" i="16"/>
  <c r="P24" i="16"/>
  <c r="O24" i="16"/>
  <c r="W23" i="16"/>
  <c r="V23" i="16"/>
  <c r="U23" i="16"/>
  <c r="T23" i="16"/>
  <c r="S23" i="16"/>
  <c r="R23" i="16"/>
  <c r="Q23" i="16"/>
  <c r="P23" i="16"/>
  <c r="O23" i="16"/>
  <c r="W22" i="16"/>
  <c r="V22" i="16"/>
  <c r="U22" i="16"/>
  <c r="T22" i="16"/>
  <c r="S22" i="16"/>
  <c r="R22" i="16"/>
  <c r="Q22" i="16"/>
  <c r="P22" i="16"/>
  <c r="O22" i="16"/>
  <c r="W21" i="16"/>
  <c r="V21" i="16"/>
  <c r="U21" i="16"/>
  <c r="T21" i="16"/>
  <c r="S21" i="16"/>
  <c r="R21" i="16"/>
  <c r="Q21" i="16"/>
  <c r="P21" i="16"/>
  <c r="O21" i="16"/>
  <c r="W20" i="16"/>
  <c r="V20" i="16"/>
  <c r="U20" i="16"/>
  <c r="T20" i="16"/>
  <c r="S20" i="16"/>
  <c r="R20" i="16"/>
  <c r="Q20" i="16"/>
  <c r="P20" i="16"/>
  <c r="O20" i="16"/>
  <c r="W19" i="16"/>
  <c r="V19" i="16"/>
  <c r="U19" i="16"/>
  <c r="T19" i="16"/>
  <c r="S19" i="16"/>
  <c r="R19" i="16"/>
  <c r="Q19" i="16"/>
  <c r="P19" i="16"/>
  <c r="O19" i="16"/>
  <c r="W18" i="16"/>
  <c r="V18" i="16"/>
  <c r="U18" i="16"/>
  <c r="T18" i="16"/>
  <c r="S18" i="16"/>
  <c r="R18" i="16"/>
  <c r="Q18" i="16"/>
  <c r="P18" i="16"/>
  <c r="O18" i="16"/>
  <c r="W17" i="16"/>
  <c r="V17" i="16"/>
  <c r="U17" i="16"/>
  <c r="T17" i="16"/>
  <c r="S17" i="16"/>
  <c r="R17" i="16"/>
  <c r="Q17" i="16"/>
  <c r="P17" i="16"/>
  <c r="O17" i="16"/>
  <c r="W16" i="16"/>
  <c r="V16" i="16"/>
  <c r="U16" i="16"/>
  <c r="T16" i="16"/>
  <c r="S16" i="16"/>
  <c r="R16" i="16"/>
  <c r="Q16" i="16"/>
  <c r="P16" i="16"/>
  <c r="O16" i="16"/>
  <c r="W15" i="16"/>
  <c r="V15" i="16"/>
  <c r="U15" i="16"/>
  <c r="T15" i="16"/>
  <c r="S15" i="16"/>
  <c r="R15" i="16"/>
  <c r="Q15" i="16"/>
  <c r="P15" i="16"/>
  <c r="O15" i="16"/>
  <c r="W14" i="16"/>
  <c r="V14" i="16"/>
  <c r="U14" i="16"/>
  <c r="T14" i="16"/>
  <c r="S14" i="16"/>
  <c r="R14" i="16"/>
  <c r="Q14" i="16"/>
  <c r="P14" i="16"/>
  <c r="O14" i="16"/>
  <c r="W13" i="16"/>
  <c r="V13" i="16"/>
  <c r="U13" i="16"/>
  <c r="T13" i="16"/>
  <c r="S13" i="16"/>
  <c r="R13" i="16"/>
  <c r="Q13" i="16"/>
  <c r="P13" i="16"/>
  <c r="O13" i="16"/>
  <c r="W12" i="16"/>
  <c r="V12" i="16"/>
  <c r="U12" i="16"/>
  <c r="T12" i="16"/>
  <c r="S12" i="16"/>
  <c r="R12" i="16"/>
  <c r="Q12" i="16"/>
  <c r="P12" i="16"/>
  <c r="O12" i="16"/>
  <c r="W11" i="16"/>
  <c r="V11" i="16"/>
  <c r="U11" i="16"/>
  <c r="T11" i="16"/>
  <c r="S11" i="16"/>
  <c r="R11" i="16"/>
  <c r="Q11" i="16"/>
  <c r="P11" i="16"/>
  <c r="O11" i="16"/>
  <c r="W10" i="16"/>
  <c r="V10" i="16"/>
  <c r="U10" i="16"/>
  <c r="T10" i="16"/>
  <c r="S10" i="16"/>
  <c r="R10" i="16"/>
  <c r="Q10" i="16"/>
  <c r="P10" i="16"/>
  <c r="O10" i="16"/>
  <c r="W9" i="16"/>
  <c r="V9" i="16"/>
  <c r="U9" i="16"/>
  <c r="T9" i="16"/>
  <c r="S9" i="16"/>
  <c r="R9" i="16"/>
  <c r="Q9" i="16"/>
  <c r="P9" i="16"/>
  <c r="O9" i="16"/>
  <c r="W8" i="16"/>
  <c r="V8" i="16"/>
  <c r="U8" i="16"/>
  <c r="T8" i="16"/>
  <c r="S8" i="16"/>
  <c r="R8" i="16"/>
  <c r="Q8" i="16"/>
  <c r="P8" i="16"/>
  <c r="O8" i="16"/>
  <c r="W7" i="16"/>
  <c r="V7" i="16"/>
  <c r="U7" i="16"/>
  <c r="T7" i="16"/>
  <c r="S7" i="16"/>
  <c r="R7" i="16"/>
  <c r="Q7" i="16"/>
  <c r="P7" i="16"/>
  <c r="O7" i="16"/>
  <c r="W6" i="16"/>
  <c r="V6" i="16"/>
  <c r="U6" i="16"/>
  <c r="T6" i="16"/>
  <c r="S6" i="16"/>
  <c r="R6" i="16"/>
  <c r="Q6" i="16"/>
  <c r="P6" i="16"/>
  <c r="O6" i="16"/>
  <c r="W5" i="16"/>
  <c r="V5" i="16"/>
  <c r="U5" i="16"/>
  <c r="T5" i="16"/>
  <c r="S5" i="16"/>
  <c r="R5" i="16"/>
  <c r="Q5" i="16"/>
  <c r="P5" i="16"/>
  <c r="O5" i="16"/>
  <c r="W121" i="16" l="1"/>
  <c r="W123" i="16"/>
  <c r="W126" i="16"/>
  <c r="W122" i="16"/>
  <c r="W124" i="16"/>
  <c r="W125" i="16"/>
  <c r="T114" i="16"/>
  <c r="T115" i="16"/>
  <c r="T116" i="16"/>
  <c r="P121" i="16"/>
  <c r="P122" i="16"/>
  <c r="P123" i="16"/>
  <c r="P124" i="16"/>
  <c r="P125" i="16"/>
  <c r="P126" i="16"/>
  <c r="U114" i="16"/>
  <c r="U115" i="16"/>
  <c r="U116" i="16"/>
  <c r="Q121" i="16"/>
  <c r="Q122" i="16"/>
  <c r="Q123" i="16"/>
  <c r="Q124" i="16"/>
  <c r="Q125" i="16"/>
  <c r="Q126" i="16"/>
  <c r="V114" i="16"/>
  <c r="V115" i="16"/>
  <c r="V116" i="16"/>
  <c r="R121" i="16"/>
  <c r="R122" i="16"/>
  <c r="R123" i="16"/>
  <c r="R124" i="16"/>
  <c r="R125" i="16"/>
  <c r="R126" i="16"/>
  <c r="O115" i="16"/>
  <c r="O114" i="16"/>
  <c r="O116" i="16"/>
  <c r="W114" i="16"/>
  <c r="W116" i="16"/>
  <c r="W115" i="16"/>
  <c r="S123" i="16"/>
  <c r="S124" i="16"/>
  <c r="S126" i="16"/>
  <c r="S122" i="16"/>
  <c r="S121" i="16"/>
  <c r="S125" i="16"/>
  <c r="P116" i="16"/>
  <c r="P114" i="16"/>
  <c r="P115" i="16"/>
  <c r="T123" i="16"/>
  <c r="T125" i="16"/>
  <c r="T121" i="16"/>
  <c r="T122" i="16"/>
  <c r="T124" i="16"/>
  <c r="T126" i="16"/>
  <c r="Q114" i="16"/>
  <c r="Q115" i="16"/>
  <c r="Q116" i="16"/>
  <c r="U121" i="16"/>
  <c r="U122" i="16"/>
  <c r="U123" i="16"/>
  <c r="U124" i="16"/>
  <c r="U125" i="16"/>
  <c r="U126" i="16"/>
  <c r="S114" i="16"/>
  <c r="S116" i="16"/>
  <c r="S115" i="16"/>
  <c r="O126" i="16"/>
  <c r="O122" i="16"/>
  <c r="O125" i="16"/>
  <c r="O123" i="16"/>
  <c r="O124" i="16"/>
  <c r="O121" i="16"/>
  <c r="R115" i="16"/>
  <c r="R114" i="16"/>
  <c r="R116" i="16"/>
  <c r="V121" i="16"/>
  <c r="V122" i="16"/>
  <c r="V123" i="16"/>
  <c r="V124" i="16"/>
  <c r="V125" i="16"/>
  <c r="V126" i="16"/>
  <c r="M68" i="16"/>
  <c r="L68" i="16"/>
  <c r="K68" i="16"/>
  <c r="J68" i="16"/>
  <c r="I68" i="16"/>
  <c r="H68" i="16"/>
  <c r="G68" i="16"/>
  <c r="F68" i="16"/>
  <c r="E68" i="16"/>
  <c r="M67" i="16"/>
  <c r="L67" i="16"/>
  <c r="K67" i="16"/>
  <c r="J67" i="16"/>
  <c r="I67" i="16"/>
  <c r="H67" i="16"/>
  <c r="G67" i="16"/>
  <c r="F67" i="16"/>
  <c r="E67" i="16"/>
  <c r="M66" i="16"/>
  <c r="L66" i="16"/>
  <c r="K66" i="16"/>
  <c r="J66" i="16"/>
  <c r="I66" i="16"/>
  <c r="H66" i="16"/>
  <c r="G66" i="16"/>
  <c r="F66" i="16"/>
  <c r="E66" i="16"/>
  <c r="M65" i="16"/>
  <c r="L65" i="16"/>
  <c r="K65" i="16"/>
  <c r="J65" i="16"/>
  <c r="I65" i="16"/>
  <c r="H65" i="16"/>
  <c r="G65" i="16"/>
  <c r="F65" i="16"/>
  <c r="E65" i="16"/>
  <c r="M64" i="16"/>
  <c r="L64" i="16"/>
  <c r="K64" i="16"/>
  <c r="J64" i="16"/>
  <c r="I64" i="16"/>
  <c r="H64" i="16"/>
  <c r="G64" i="16"/>
  <c r="F64" i="16"/>
  <c r="E64" i="16"/>
  <c r="M63" i="16"/>
  <c r="L63" i="16"/>
  <c r="K63" i="16"/>
  <c r="J63" i="16"/>
  <c r="I63" i="16"/>
  <c r="H63" i="16"/>
  <c r="G63" i="16"/>
  <c r="F63" i="16"/>
  <c r="E63" i="16"/>
  <c r="M62" i="16"/>
  <c r="L62" i="16"/>
  <c r="K62" i="16"/>
  <c r="J62" i="16"/>
  <c r="I62" i="16"/>
  <c r="H62" i="16"/>
  <c r="G62" i="16"/>
  <c r="F62" i="16"/>
  <c r="E62" i="16"/>
  <c r="M61" i="16"/>
  <c r="L61" i="16"/>
  <c r="K61" i="16"/>
  <c r="J61" i="16"/>
  <c r="I61" i="16"/>
  <c r="H61" i="16"/>
  <c r="G61" i="16"/>
  <c r="F61" i="16"/>
  <c r="E61" i="16"/>
  <c r="M60" i="16"/>
  <c r="L60" i="16"/>
  <c r="K60" i="16"/>
  <c r="J60" i="16"/>
  <c r="I60" i="16"/>
  <c r="H60" i="16"/>
  <c r="G60" i="16"/>
  <c r="F60" i="16"/>
  <c r="E60" i="16"/>
  <c r="M59" i="16"/>
  <c r="L59" i="16"/>
  <c r="K59" i="16"/>
  <c r="J59" i="16"/>
  <c r="I59" i="16"/>
  <c r="H59" i="16"/>
  <c r="G59" i="16"/>
  <c r="F59" i="16"/>
  <c r="E59" i="16"/>
  <c r="M58" i="16"/>
  <c r="L58" i="16"/>
  <c r="K58" i="16"/>
  <c r="J58" i="16"/>
  <c r="I58" i="16"/>
  <c r="H58" i="16"/>
  <c r="G58" i="16"/>
  <c r="F58" i="16"/>
  <c r="E58" i="16"/>
  <c r="M57" i="16"/>
  <c r="L57" i="16"/>
  <c r="K57" i="16"/>
  <c r="J57" i="16"/>
  <c r="I57" i="16"/>
  <c r="H57" i="16"/>
  <c r="G57" i="16"/>
  <c r="F57" i="16"/>
  <c r="E57" i="16"/>
  <c r="M56" i="16"/>
  <c r="L56" i="16"/>
  <c r="K56" i="16"/>
  <c r="J56" i="16"/>
  <c r="I56" i="16"/>
  <c r="H56" i="16"/>
  <c r="G56" i="16"/>
  <c r="F56" i="16"/>
  <c r="E56" i="16"/>
  <c r="M55" i="16"/>
  <c r="L55" i="16"/>
  <c r="K55" i="16"/>
  <c r="J55" i="16"/>
  <c r="I55" i="16"/>
  <c r="H55" i="16"/>
  <c r="G55" i="16"/>
  <c r="F55" i="16"/>
  <c r="E55" i="16"/>
  <c r="M54" i="16"/>
  <c r="L54" i="16"/>
  <c r="K54" i="16"/>
  <c r="J54" i="16"/>
  <c r="I54" i="16"/>
  <c r="H54" i="16"/>
  <c r="G54" i="16"/>
  <c r="F54" i="16"/>
  <c r="E54" i="16"/>
  <c r="M53" i="16"/>
  <c r="L53" i="16"/>
  <c r="K53" i="16"/>
  <c r="J53" i="16"/>
  <c r="I53" i="16"/>
  <c r="H53" i="16"/>
  <c r="G53" i="16"/>
  <c r="F53" i="16"/>
  <c r="E53" i="16"/>
  <c r="M52" i="16"/>
  <c r="L52" i="16"/>
  <c r="K52" i="16"/>
  <c r="J52" i="16"/>
  <c r="I52" i="16"/>
  <c r="H52" i="16"/>
  <c r="G52" i="16"/>
  <c r="F52" i="16"/>
  <c r="E52" i="16"/>
  <c r="M51" i="16"/>
  <c r="L51" i="16"/>
  <c r="K51" i="16"/>
  <c r="J51" i="16"/>
  <c r="I51" i="16"/>
  <c r="H51" i="16"/>
  <c r="G51" i="16"/>
  <c r="F51" i="16"/>
  <c r="E51" i="16"/>
  <c r="M50" i="16"/>
  <c r="L50" i="16"/>
  <c r="K50" i="16"/>
  <c r="J50" i="16"/>
  <c r="I50" i="16"/>
  <c r="H50" i="16"/>
  <c r="G50" i="16"/>
  <c r="F50" i="16"/>
  <c r="E50" i="16"/>
  <c r="M49" i="16"/>
  <c r="L49" i="16"/>
  <c r="K49" i="16"/>
  <c r="J49" i="16"/>
  <c r="I49" i="16"/>
  <c r="H49" i="16"/>
  <c r="G49" i="16"/>
  <c r="F49" i="16"/>
  <c r="E49" i="16"/>
  <c r="M48" i="16"/>
  <c r="L48" i="16"/>
  <c r="K48" i="16"/>
  <c r="J48" i="16"/>
  <c r="I48" i="16"/>
  <c r="H48" i="16"/>
  <c r="G48" i="16"/>
  <c r="F48" i="16"/>
  <c r="E48" i="16"/>
  <c r="M47" i="16"/>
  <c r="L47" i="16"/>
  <c r="K47" i="16"/>
  <c r="J47" i="16"/>
  <c r="I47" i="16"/>
  <c r="H47" i="16"/>
  <c r="G47" i="16"/>
  <c r="F47" i="16"/>
  <c r="E47" i="16"/>
  <c r="M46" i="16"/>
  <c r="L46" i="16"/>
  <c r="K46" i="16"/>
  <c r="J46" i="16"/>
  <c r="I46" i="16"/>
  <c r="H46" i="16"/>
  <c r="G46" i="16"/>
  <c r="F46" i="16"/>
  <c r="E46" i="16"/>
  <c r="M45" i="16"/>
  <c r="L45" i="16"/>
  <c r="K45" i="16"/>
  <c r="J45" i="16"/>
  <c r="I45" i="16"/>
  <c r="H45" i="16"/>
  <c r="G45" i="16"/>
  <c r="F45" i="16"/>
  <c r="E45" i="16"/>
  <c r="M44" i="16"/>
  <c r="L44" i="16"/>
  <c r="K44" i="16"/>
  <c r="J44" i="16"/>
  <c r="I44" i="16"/>
  <c r="H44" i="16"/>
  <c r="G44" i="16"/>
  <c r="F44" i="16"/>
  <c r="E44" i="16"/>
  <c r="M43" i="16"/>
  <c r="L43" i="16"/>
  <c r="K43" i="16"/>
  <c r="J43" i="16"/>
  <c r="I43" i="16"/>
  <c r="H43" i="16"/>
  <c r="G43" i="16"/>
  <c r="F43" i="16"/>
  <c r="E43" i="16"/>
  <c r="M42" i="16"/>
  <c r="L42" i="16"/>
  <c r="K42" i="16"/>
  <c r="J42" i="16"/>
  <c r="I42" i="16"/>
  <c r="H42" i="16"/>
  <c r="G42" i="16"/>
  <c r="F42" i="16"/>
  <c r="E42" i="16"/>
  <c r="M41" i="16"/>
  <c r="L41" i="16"/>
  <c r="K41" i="16"/>
  <c r="J41" i="16"/>
  <c r="I41" i="16"/>
  <c r="H41" i="16"/>
  <c r="G41" i="16"/>
  <c r="F41" i="16"/>
  <c r="E41" i="16"/>
  <c r="M40" i="16"/>
  <c r="L40" i="16"/>
  <c r="K40" i="16"/>
  <c r="J40" i="16"/>
  <c r="I40" i="16"/>
  <c r="H40" i="16"/>
  <c r="G40" i="16"/>
  <c r="F40" i="16"/>
  <c r="E40" i="16"/>
  <c r="M39" i="16"/>
  <c r="L39" i="16"/>
  <c r="K39" i="16"/>
  <c r="J39" i="16"/>
  <c r="I39" i="16"/>
  <c r="H39" i="16"/>
  <c r="G39" i="16"/>
  <c r="F39" i="16"/>
  <c r="E39" i="16"/>
  <c r="M38" i="16"/>
  <c r="L38" i="16"/>
  <c r="K38" i="16"/>
  <c r="J38" i="16"/>
  <c r="I38" i="16"/>
  <c r="H38" i="16"/>
  <c r="G38" i="16"/>
  <c r="F38" i="16"/>
  <c r="E38" i="16"/>
  <c r="M37" i="16"/>
  <c r="L37" i="16"/>
  <c r="K37" i="16"/>
  <c r="J37" i="16"/>
  <c r="I37" i="16"/>
  <c r="H37" i="16"/>
  <c r="G37" i="16"/>
  <c r="F37" i="16"/>
  <c r="E37" i="16"/>
  <c r="M36" i="16"/>
  <c r="L36" i="16"/>
  <c r="K36" i="16"/>
  <c r="J36" i="16"/>
  <c r="I36" i="16"/>
  <c r="H36" i="16"/>
  <c r="G36" i="16"/>
  <c r="F36" i="16"/>
  <c r="E36" i="16"/>
  <c r="M35" i="16"/>
  <c r="L35" i="16"/>
  <c r="K35" i="16"/>
  <c r="J35" i="16"/>
  <c r="I35" i="16"/>
  <c r="H35" i="16"/>
  <c r="G35" i="16"/>
  <c r="F35" i="16"/>
  <c r="E35" i="16"/>
  <c r="M34" i="16"/>
  <c r="L34" i="16"/>
  <c r="K34" i="16"/>
  <c r="J34" i="16"/>
  <c r="I34" i="16"/>
  <c r="H34" i="16"/>
  <c r="G34" i="16"/>
  <c r="F34" i="16"/>
  <c r="E34" i="16"/>
  <c r="M33" i="16"/>
  <c r="L33" i="16"/>
  <c r="K33" i="16"/>
  <c r="J33" i="16"/>
  <c r="I33" i="16"/>
  <c r="H33" i="16"/>
  <c r="G33" i="16"/>
  <c r="F33" i="16"/>
  <c r="E33" i="16"/>
  <c r="M32" i="16"/>
  <c r="L32" i="16"/>
  <c r="K32" i="16"/>
  <c r="J32" i="16"/>
  <c r="I32" i="16"/>
  <c r="H32" i="16"/>
  <c r="G32" i="16"/>
  <c r="F32" i="16"/>
  <c r="E32" i="16"/>
  <c r="M31" i="16"/>
  <c r="L31" i="16"/>
  <c r="K31" i="16"/>
  <c r="J31" i="16"/>
  <c r="I31" i="16"/>
  <c r="H31" i="16"/>
  <c r="G31" i="16"/>
  <c r="F31" i="16"/>
  <c r="E31" i="16"/>
  <c r="M30" i="16"/>
  <c r="L30" i="16"/>
  <c r="K30" i="16"/>
  <c r="J30" i="16"/>
  <c r="I30" i="16"/>
  <c r="H30" i="16"/>
  <c r="G30" i="16"/>
  <c r="F30" i="16"/>
  <c r="E30" i="16"/>
  <c r="M29" i="16"/>
  <c r="L29" i="16"/>
  <c r="K29" i="16"/>
  <c r="J29" i="16"/>
  <c r="I29" i="16"/>
  <c r="H29" i="16"/>
  <c r="G29" i="16"/>
  <c r="F29" i="16"/>
  <c r="E29" i="16"/>
  <c r="M28" i="16"/>
  <c r="L28" i="16"/>
  <c r="K28" i="16"/>
  <c r="J28" i="16"/>
  <c r="I28" i="16"/>
  <c r="H28" i="16"/>
  <c r="G28" i="16"/>
  <c r="F28" i="16"/>
  <c r="E28" i="16"/>
  <c r="M27" i="16"/>
  <c r="L27" i="16"/>
  <c r="K27" i="16"/>
  <c r="J27" i="16"/>
  <c r="I27" i="16"/>
  <c r="H27" i="16"/>
  <c r="G27" i="16"/>
  <c r="F27" i="16"/>
  <c r="E27" i="16"/>
  <c r="M26" i="16"/>
  <c r="L26" i="16"/>
  <c r="K26" i="16"/>
  <c r="J26" i="16"/>
  <c r="I26" i="16"/>
  <c r="H26" i="16"/>
  <c r="G26" i="16"/>
  <c r="F26" i="16"/>
  <c r="E26" i="16"/>
  <c r="M25" i="16"/>
  <c r="L25" i="16"/>
  <c r="K25" i="16"/>
  <c r="J25" i="16"/>
  <c r="I25" i="16"/>
  <c r="H25" i="16"/>
  <c r="G25" i="16"/>
  <c r="F25" i="16"/>
  <c r="E25" i="16"/>
  <c r="M24" i="16"/>
  <c r="L24" i="16"/>
  <c r="K24" i="16"/>
  <c r="J24" i="16"/>
  <c r="I24" i="16"/>
  <c r="H24" i="16"/>
  <c r="G24" i="16"/>
  <c r="F24" i="16"/>
  <c r="E24" i="16"/>
  <c r="M23" i="16"/>
  <c r="L23" i="16"/>
  <c r="K23" i="16"/>
  <c r="J23" i="16"/>
  <c r="I23" i="16"/>
  <c r="H23" i="16"/>
  <c r="G23" i="16"/>
  <c r="F23" i="16"/>
  <c r="E23" i="16"/>
  <c r="M22" i="16"/>
  <c r="L22" i="16"/>
  <c r="K22" i="16"/>
  <c r="J22" i="16"/>
  <c r="I22" i="16"/>
  <c r="H22" i="16"/>
  <c r="G22" i="16"/>
  <c r="F22" i="16"/>
  <c r="E22" i="16"/>
  <c r="M21" i="16"/>
  <c r="L21" i="16"/>
  <c r="K21" i="16"/>
  <c r="J21" i="16"/>
  <c r="I21" i="16"/>
  <c r="H21" i="16"/>
  <c r="G21" i="16"/>
  <c r="F21" i="16"/>
  <c r="E21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6" i="16"/>
  <c r="L16" i="16"/>
  <c r="K16" i="16"/>
  <c r="J16" i="16"/>
  <c r="I16" i="16"/>
  <c r="H16" i="16"/>
  <c r="G16" i="16"/>
  <c r="F16" i="16"/>
  <c r="E16" i="16"/>
  <c r="M15" i="16"/>
  <c r="L15" i="16"/>
  <c r="K15" i="16"/>
  <c r="J15" i="16"/>
  <c r="I15" i="16"/>
  <c r="H15" i="16"/>
  <c r="G15" i="16"/>
  <c r="F15" i="16"/>
  <c r="E15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10" i="16"/>
  <c r="L10" i="16"/>
  <c r="K10" i="16"/>
  <c r="J10" i="16"/>
  <c r="I10" i="16"/>
  <c r="H10" i="16"/>
  <c r="G10" i="16"/>
  <c r="F10" i="16"/>
  <c r="E10" i="16"/>
  <c r="M9" i="16"/>
  <c r="L9" i="16"/>
  <c r="K9" i="16"/>
  <c r="J9" i="16"/>
  <c r="I9" i="16"/>
  <c r="H9" i="16"/>
  <c r="G9" i="16"/>
  <c r="F9" i="16"/>
  <c r="E9" i="16"/>
  <c r="M8" i="16"/>
  <c r="L8" i="16"/>
  <c r="K8" i="16"/>
  <c r="J8" i="16"/>
  <c r="I8" i="16"/>
  <c r="H8" i="16"/>
  <c r="G8" i="16"/>
  <c r="F8" i="16"/>
  <c r="E8" i="16"/>
  <c r="M7" i="16"/>
  <c r="L7" i="16"/>
  <c r="K7" i="16"/>
  <c r="J7" i="16"/>
  <c r="I7" i="16"/>
  <c r="H7" i="16"/>
  <c r="G7" i="16"/>
  <c r="F7" i="16"/>
  <c r="E7" i="16"/>
  <c r="M6" i="16"/>
  <c r="L6" i="16"/>
  <c r="K6" i="16"/>
  <c r="J6" i="16"/>
  <c r="I6" i="16"/>
  <c r="H6" i="16"/>
  <c r="G6" i="16"/>
  <c r="F6" i="16"/>
  <c r="E6" i="16"/>
  <c r="M5" i="16"/>
  <c r="L5" i="16"/>
  <c r="K5" i="16"/>
  <c r="J5" i="16"/>
  <c r="I5" i="16"/>
  <c r="H5" i="16"/>
  <c r="G5" i="16"/>
  <c r="F5" i="16"/>
  <c r="E5" i="16"/>
  <c r="M139" i="16"/>
  <c r="L139" i="16"/>
  <c r="K139" i="16"/>
  <c r="J139" i="16"/>
  <c r="I139" i="16"/>
  <c r="H139" i="16"/>
  <c r="G139" i="16"/>
  <c r="F139" i="16"/>
  <c r="E139" i="16"/>
  <c r="I149" i="16" s="1"/>
  <c r="M138" i="16"/>
  <c r="L138" i="16"/>
  <c r="K138" i="16"/>
  <c r="J138" i="16"/>
  <c r="I138" i="16"/>
  <c r="H138" i="16"/>
  <c r="G138" i="16"/>
  <c r="F138" i="16"/>
  <c r="E138" i="16"/>
  <c r="M137" i="16"/>
  <c r="L137" i="16"/>
  <c r="K137" i="16"/>
  <c r="J137" i="16"/>
  <c r="I137" i="16"/>
  <c r="H137" i="16"/>
  <c r="G137" i="16"/>
  <c r="F137" i="16"/>
  <c r="E137" i="16"/>
  <c r="M136" i="16"/>
  <c r="L136" i="16"/>
  <c r="K136" i="16"/>
  <c r="J136" i="16"/>
  <c r="I136" i="16"/>
  <c r="H136" i="16"/>
  <c r="G136" i="16"/>
  <c r="F136" i="16"/>
  <c r="E136" i="16"/>
  <c r="M135" i="16"/>
  <c r="L135" i="16"/>
  <c r="K135" i="16"/>
  <c r="J135" i="16"/>
  <c r="I135" i="16"/>
  <c r="H135" i="16"/>
  <c r="G135" i="16"/>
  <c r="F135" i="16"/>
  <c r="E135" i="16"/>
  <c r="M134" i="16"/>
  <c r="L134" i="16"/>
  <c r="K134" i="16"/>
  <c r="J134" i="16"/>
  <c r="I134" i="16"/>
  <c r="H134" i="16"/>
  <c r="G134" i="16"/>
  <c r="F134" i="16"/>
  <c r="E134" i="16"/>
  <c r="M133" i="16"/>
  <c r="L133" i="16"/>
  <c r="K133" i="16"/>
  <c r="J133" i="16"/>
  <c r="I133" i="16"/>
  <c r="H133" i="16"/>
  <c r="G133" i="16"/>
  <c r="F133" i="16"/>
  <c r="E133" i="16"/>
  <c r="M132" i="16"/>
  <c r="L132" i="16"/>
  <c r="K132" i="16"/>
  <c r="J132" i="16"/>
  <c r="I132" i="16"/>
  <c r="H132" i="16"/>
  <c r="G132" i="16"/>
  <c r="F132" i="16"/>
  <c r="E132" i="16"/>
  <c r="M131" i="16"/>
  <c r="L131" i="16"/>
  <c r="K131" i="16"/>
  <c r="J131" i="16"/>
  <c r="I131" i="16"/>
  <c r="H131" i="16"/>
  <c r="G131" i="16"/>
  <c r="F131" i="16"/>
  <c r="E131" i="16"/>
  <c r="M130" i="16"/>
  <c r="L130" i="16"/>
  <c r="K130" i="16"/>
  <c r="J130" i="16"/>
  <c r="I130" i="16"/>
  <c r="H130" i="16"/>
  <c r="G130" i="16"/>
  <c r="F130" i="16"/>
  <c r="E130" i="16"/>
  <c r="M129" i="16"/>
  <c r="L129" i="16"/>
  <c r="K129" i="16"/>
  <c r="J129" i="16"/>
  <c r="I129" i="16"/>
  <c r="H129" i="16"/>
  <c r="G129" i="16"/>
  <c r="F129" i="16"/>
  <c r="E129" i="16"/>
  <c r="M128" i="16"/>
  <c r="L128" i="16"/>
  <c r="K128" i="16"/>
  <c r="J128" i="16"/>
  <c r="I128" i="16"/>
  <c r="H128" i="16"/>
  <c r="G128" i="16"/>
  <c r="F128" i="16"/>
  <c r="E128" i="16"/>
  <c r="M127" i="16"/>
  <c r="L127" i="16"/>
  <c r="K127" i="16"/>
  <c r="J127" i="16"/>
  <c r="I127" i="16"/>
  <c r="H127" i="16"/>
  <c r="G127" i="16"/>
  <c r="F127" i="16"/>
  <c r="E127" i="16"/>
  <c r="M120" i="16"/>
  <c r="L120" i="16"/>
  <c r="K120" i="16"/>
  <c r="J120" i="16"/>
  <c r="I120" i="16"/>
  <c r="H120" i="16"/>
  <c r="G120" i="16"/>
  <c r="F120" i="16"/>
  <c r="E120" i="16"/>
  <c r="M119" i="16"/>
  <c r="L119" i="16"/>
  <c r="K119" i="16"/>
  <c r="J119" i="16"/>
  <c r="I119" i="16"/>
  <c r="H119" i="16"/>
  <c r="G119" i="16"/>
  <c r="F119" i="16"/>
  <c r="E119" i="16"/>
  <c r="M118" i="16"/>
  <c r="L118" i="16"/>
  <c r="K118" i="16"/>
  <c r="J118" i="16"/>
  <c r="I118" i="16"/>
  <c r="H118" i="16"/>
  <c r="G118" i="16"/>
  <c r="F118" i="16"/>
  <c r="E118" i="16"/>
  <c r="M117" i="16"/>
  <c r="L117" i="16"/>
  <c r="K117" i="16"/>
  <c r="J117" i="16"/>
  <c r="I117" i="16"/>
  <c r="H117" i="16"/>
  <c r="G117" i="16"/>
  <c r="F117" i="16"/>
  <c r="E117" i="16"/>
  <c r="M113" i="16"/>
  <c r="L113" i="16"/>
  <c r="K113" i="16"/>
  <c r="J113" i="16"/>
  <c r="I113" i="16"/>
  <c r="H113" i="16"/>
  <c r="G113" i="16"/>
  <c r="F113" i="16"/>
  <c r="E113" i="16"/>
  <c r="M112" i="16"/>
  <c r="L112" i="16"/>
  <c r="K112" i="16"/>
  <c r="J112" i="16"/>
  <c r="I112" i="16"/>
  <c r="H112" i="16"/>
  <c r="G112" i="16"/>
  <c r="F112" i="16"/>
  <c r="E112" i="16"/>
  <c r="M111" i="16"/>
  <c r="L111" i="16"/>
  <c r="K111" i="16"/>
  <c r="J111" i="16"/>
  <c r="I111" i="16"/>
  <c r="H111" i="16"/>
  <c r="G111" i="16"/>
  <c r="F111" i="16"/>
  <c r="E111" i="16"/>
  <c r="M110" i="16"/>
  <c r="L110" i="16"/>
  <c r="K110" i="16"/>
  <c r="J110" i="16"/>
  <c r="I110" i="16"/>
  <c r="H110" i="16"/>
  <c r="G110" i="16"/>
  <c r="F110" i="16"/>
  <c r="E110" i="16"/>
  <c r="M109" i="16"/>
  <c r="L109" i="16"/>
  <c r="K109" i="16"/>
  <c r="J109" i="16"/>
  <c r="I109" i="16"/>
  <c r="H109" i="16"/>
  <c r="G109" i="16"/>
  <c r="F109" i="16"/>
  <c r="E109" i="16"/>
  <c r="M108" i="16"/>
  <c r="L108" i="16"/>
  <c r="K108" i="16"/>
  <c r="J108" i="16"/>
  <c r="I108" i="16"/>
  <c r="H108" i="16"/>
  <c r="G108" i="16"/>
  <c r="F108" i="16"/>
  <c r="E108" i="16"/>
  <c r="M107" i="16"/>
  <c r="L107" i="16"/>
  <c r="K107" i="16"/>
  <c r="J107" i="16"/>
  <c r="I107" i="16"/>
  <c r="H107" i="16"/>
  <c r="G107" i="16"/>
  <c r="F107" i="16"/>
  <c r="E107" i="16"/>
  <c r="M106" i="16"/>
  <c r="L106" i="16"/>
  <c r="K106" i="16"/>
  <c r="J106" i="16"/>
  <c r="I106" i="16"/>
  <c r="H106" i="16"/>
  <c r="G106" i="16"/>
  <c r="F106" i="16"/>
  <c r="E106" i="16"/>
  <c r="M105" i="16"/>
  <c r="L105" i="16"/>
  <c r="K105" i="16"/>
  <c r="J105" i="16"/>
  <c r="I105" i="16"/>
  <c r="H105" i="16"/>
  <c r="G105" i="16"/>
  <c r="F105" i="16"/>
  <c r="E105" i="16"/>
  <c r="M104" i="16"/>
  <c r="L104" i="16"/>
  <c r="K104" i="16"/>
  <c r="J104" i="16"/>
  <c r="I104" i="16"/>
  <c r="H104" i="16"/>
  <c r="G104" i="16"/>
  <c r="F104" i="16"/>
  <c r="E104" i="16"/>
  <c r="M103" i="16"/>
  <c r="L103" i="16"/>
  <c r="K103" i="16"/>
  <c r="J103" i="16"/>
  <c r="I103" i="16"/>
  <c r="H103" i="16"/>
  <c r="G103" i="16"/>
  <c r="F103" i="16"/>
  <c r="E103" i="16"/>
  <c r="M102" i="16"/>
  <c r="L102" i="16"/>
  <c r="K102" i="16"/>
  <c r="J102" i="16"/>
  <c r="I102" i="16"/>
  <c r="H102" i="16"/>
  <c r="G102" i="16"/>
  <c r="F102" i="16"/>
  <c r="E102" i="16"/>
  <c r="M101" i="16"/>
  <c r="L101" i="16"/>
  <c r="K101" i="16"/>
  <c r="J101" i="16"/>
  <c r="I101" i="16"/>
  <c r="H101" i="16"/>
  <c r="G101" i="16"/>
  <c r="F101" i="16"/>
  <c r="E101" i="16"/>
  <c r="M100" i="16"/>
  <c r="L100" i="16"/>
  <c r="K100" i="16"/>
  <c r="J100" i="16"/>
  <c r="I100" i="16"/>
  <c r="H100" i="16"/>
  <c r="G100" i="16"/>
  <c r="F100" i="16"/>
  <c r="E100" i="16"/>
  <c r="M99" i="16"/>
  <c r="L99" i="16"/>
  <c r="K99" i="16"/>
  <c r="J99" i="16"/>
  <c r="I99" i="16"/>
  <c r="H99" i="16"/>
  <c r="G99" i="16"/>
  <c r="F99" i="16"/>
  <c r="E99" i="16"/>
  <c r="M98" i="16"/>
  <c r="L98" i="16"/>
  <c r="K98" i="16"/>
  <c r="J98" i="16"/>
  <c r="I98" i="16"/>
  <c r="H98" i="16"/>
  <c r="G98" i="16"/>
  <c r="F98" i="16"/>
  <c r="E98" i="16"/>
  <c r="M97" i="16"/>
  <c r="L97" i="16"/>
  <c r="K97" i="16"/>
  <c r="J97" i="16"/>
  <c r="I97" i="16"/>
  <c r="H97" i="16"/>
  <c r="G97" i="16"/>
  <c r="F97" i="16"/>
  <c r="E97" i="16"/>
  <c r="M96" i="16"/>
  <c r="L96" i="16"/>
  <c r="K96" i="16"/>
  <c r="J96" i="16"/>
  <c r="I96" i="16"/>
  <c r="H96" i="16"/>
  <c r="G96" i="16"/>
  <c r="F96" i="16"/>
  <c r="E96" i="16"/>
  <c r="M95" i="16"/>
  <c r="L95" i="16"/>
  <c r="K95" i="16"/>
  <c r="J95" i="16"/>
  <c r="I95" i="16"/>
  <c r="H95" i="16"/>
  <c r="G95" i="16"/>
  <c r="F95" i="16"/>
  <c r="E95" i="16"/>
  <c r="M94" i="16"/>
  <c r="L94" i="16"/>
  <c r="K94" i="16"/>
  <c r="J94" i="16"/>
  <c r="I94" i="16"/>
  <c r="H94" i="16"/>
  <c r="G94" i="16"/>
  <c r="F94" i="16"/>
  <c r="E94" i="16"/>
  <c r="M93" i="16"/>
  <c r="L93" i="16"/>
  <c r="K93" i="16"/>
  <c r="J93" i="16"/>
  <c r="I93" i="16"/>
  <c r="H93" i="16"/>
  <c r="G93" i="16"/>
  <c r="F93" i="16"/>
  <c r="E93" i="16"/>
  <c r="M92" i="16"/>
  <c r="L92" i="16"/>
  <c r="K92" i="16"/>
  <c r="J92" i="16"/>
  <c r="I92" i="16"/>
  <c r="H92" i="16"/>
  <c r="G92" i="16"/>
  <c r="F92" i="16"/>
  <c r="E92" i="16"/>
  <c r="M91" i="16"/>
  <c r="L91" i="16"/>
  <c r="K91" i="16"/>
  <c r="J91" i="16"/>
  <c r="I91" i="16"/>
  <c r="H91" i="16"/>
  <c r="G91" i="16"/>
  <c r="F91" i="16"/>
  <c r="E91" i="16"/>
  <c r="M90" i="16"/>
  <c r="L90" i="16"/>
  <c r="K90" i="16"/>
  <c r="J90" i="16"/>
  <c r="I90" i="16"/>
  <c r="H90" i="16"/>
  <c r="G90" i="16"/>
  <c r="F90" i="16"/>
  <c r="E90" i="16"/>
  <c r="M89" i="16"/>
  <c r="L89" i="16"/>
  <c r="K89" i="16"/>
  <c r="J89" i="16"/>
  <c r="I89" i="16"/>
  <c r="H89" i="16"/>
  <c r="G89" i="16"/>
  <c r="F89" i="16"/>
  <c r="E89" i="16"/>
  <c r="M88" i="16"/>
  <c r="L88" i="16"/>
  <c r="K88" i="16"/>
  <c r="J88" i="16"/>
  <c r="I88" i="16"/>
  <c r="H88" i="16"/>
  <c r="G88" i="16"/>
  <c r="F88" i="16"/>
  <c r="E88" i="16"/>
  <c r="M87" i="16"/>
  <c r="L87" i="16"/>
  <c r="K87" i="16"/>
  <c r="J87" i="16"/>
  <c r="I87" i="16"/>
  <c r="H87" i="16"/>
  <c r="G87" i="16"/>
  <c r="F87" i="16"/>
  <c r="E87" i="16"/>
  <c r="M86" i="16"/>
  <c r="L86" i="16"/>
  <c r="K86" i="16"/>
  <c r="J86" i="16"/>
  <c r="I86" i="16"/>
  <c r="H86" i="16"/>
  <c r="G86" i="16"/>
  <c r="F86" i="16"/>
  <c r="E86" i="16"/>
  <c r="M85" i="16"/>
  <c r="L85" i="16"/>
  <c r="K85" i="16"/>
  <c r="J85" i="16"/>
  <c r="I85" i="16"/>
  <c r="H85" i="16"/>
  <c r="G85" i="16"/>
  <c r="F85" i="16"/>
  <c r="E85" i="16"/>
  <c r="M84" i="16"/>
  <c r="L84" i="16"/>
  <c r="K84" i="16"/>
  <c r="J84" i="16"/>
  <c r="I84" i="16"/>
  <c r="H84" i="16"/>
  <c r="G84" i="16"/>
  <c r="F84" i="16"/>
  <c r="E84" i="16"/>
  <c r="M83" i="16"/>
  <c r="L83" i="16"/>
  <c r="K83" i="16"/>
  <c r="J83" i="16"/>
  <c r="I83" i="16"/>
  <c r="H83" i="16"/>
  <c r="G83" i="16"/>
  <c r="F83" i="16"/>
  <c r="E83" i="16"/>
  <c r="M82" i="16"/>
  <c r="L82" i="16"/>
  <c r="K82" i="16"/>
  <c r="J82" i="16"/>
  <c r="I82" i="16"/>
  <c r="H82" i="16"/>
  <c r="G82" i="16"/>
  <c r="F82" i="16"/>
  <c r="E82" i="16"/>
  <c r="M81" i="16"/>
  <c r="L81" i="16"/>
  <c r="K81" i="16"/>
  <c r="J81" i="16"/>
  <c r="I81" i="16"/>
  <c r="H81" i="16"/>
  <c r="G81" i="16"/>
  <c r="F81" i="16"/>
  <c r="E81" i="16"/>
  <c r="M80" i="16"/>
  <c r="L80" i="16"/>
  <c r="K80" i="16"/>
  <c r="J80" i="16"/>
  <c r="I80" i="16"/>
  <c r="H80" i="16"/>
  <c r="G80" i="16"/>
  <c r="F80" i="16"/>
  <c r="E80" i="16"/>
  <c r="M79" i="16"/>
  <c r="L79" i="16"/>
  <c r="K79" i="16"/>
  <c r="J79" i="16"/>
  <c r="I79" i="16"/>
  <c r="H79" i="16"/>
  <c r="G79" i="16"/>
  <c r="F79" i="16"/>
  <c r="E79" i="16"/>
  <c r="M78" i="16"/>
  <c r="L78" i="16"/>
  <c r="K78" i="16"/>
  <c r="J78" i="16"/>
  <c r="I78" i="16"/>
  <c r="H78" i="16"/>
  <c r="G78" i="16"/>
  <c r="F78" i="16"/>
  <c r="E78" i="16"/>
  <c r="M77" i="16"/>
  <c r="L77" i="16"/>
  <c r="K77" i="16"/>
  <c r="J77" i="16"/>
  <c r="I77" i="16"/>
  <c r="H77" i="16"/>
  <c r="G77" i="16"/>
  <c r="F77" i="16"/>
  <c r="E77" i="16"/>
  <c r="M76" i="16"/>
  <c r="L76" i="16"/>
  <c r="K76" i="16"/>
  <c r="J76" i="16"/>
  <c r="I76" i="16"/>
  <c r="H76" i="16"/>
  <c r="G76" i="16"/>
  <c r="F76" i="16"/>
  <c r="E76" i="16"/>
  <c r="M75" i="16"/>
  <c r="L75" i="16"/>
  <c r="K75" i="16"/>
  <c r="J75" i="16"/>
  <c r="I75" i="16"/>
  <c r="H75" i="16"/>
  <c r="G75" i="16"/>
  <c r="F75" i="16"/>
  <c r="E75" i="16"/>
  <c r="M74" i="16"/>
  <c r="L74" i="16"/>
  <c r="K74" i="16"/>
  <c r="J74" i="16"/>
  <c r="I74" i="16"/>
  <c r="H74" i="16"/>
  <c r="G74" i="16"/>
  <c r="F74" i="16"/>
  <c r="E74" i="16"/>
  <c r="M73" i="16"/>
  <c r="L73" i="16"/>
  <c r="K73" i="16"/>
  <c r="J73" i="16"/>
  <c r="I73" i="16"/>
  <c r="H73" i="16"/>
  <c r="G73" i="16"/>
  <c r="F73" i="16"/>
  <c r="E73" i="16"/>
  <c r="M72" i="16"/>
  <c r="L72" i="16"/>
  <c r="K72" i="16"/>
  <c r="J72" i="16"/>
  <c r="I72" i="16"/>
  <c r="H72" i="16"/>
  <c r="G72" i="16"/>
  <c r="F72" i="16"/>
  <c r="E72" i="16"/>
  <c r="M71" i="16"/>
  <c r="L71" i="16"/>
  <c r="K71" i="16"/>
  <c r="J71" i="16"/>
  <c r="I71" i="16"/>
  <c r="H71" i="16"/>
  <c r="G71" i="16"/>
  <c r="F71" i="16"/>
  <c r="E71" i="16"/>
  <c r="M70" i="16"/>
  <c r="L70" i="16"/>
  <c r="K70" i="16"/>
  <c r="J70" i="16"/>
  <c r="I70" i="16"/>
  <c r="H70" i="16"/>
  <c r="G70" i="16"/>
  <c r="F70" i="16"/>
  <c r="E70" i="16"/>
  <c r="M69" i="16"/>
  <c r="L69" i="16"/>
  <c r="K69" i="16"/>
  <c r="J69" i="16"/>
  <c r="I69" i="16"/>
  <c r="H69" i="16"/>
  <c r="G69" i="16"/>
  <c r="F69" i="16"/>
  <c r="E69" i="16"/>
  <c r="E124" i="16" l="1"/>
  <c r="E123" i="16"/>
  <c r="E122" i="16"/>
  <c r="E121" i="16"/>
  <c r="E126" i="16"/>
  <c r="E125" i="16"/>
  <c r="J116" i="16"/>
  <c r="J115" i="16"/>
  <c r="J114" i="16"/>
  <c r="F126" i="16"/>
  <c r="F121" i="16"/>
  <c r="F122" i="16"/>
  <c r="F123" i="16"/>
  <c r="F124" i="16"/>
  <c r="F125" i="16"/>
  <c r="K114" i="16"/>
  <c r="K115" i="16"/>
  <c r="K116" i="16"/>
  <c r="G122" i="16"/>
  <c r="G124" i="16"/>
  <c r="G126" i="16"/>
  <c r="G121" i="16"/>
  <c r="G123" i="16"/>
  <c r="G125" i="16"/>
  <c r="H114" i="16"/>
  <c r="H115" i="16"/>
  <c r="H116" i="16"/>
  <c r="I114" i="16"/>
  <c r="I115" i="16"/>
  <c r="I116" i="16"/>
  <c r="L114" i="16"/>
  <c r="L115" i="16"/>
  <c r="L116" i="16"/>
  <c r="H121" i="16"/>
  <c r="H122" i="16"/>
  <c r="H123" i="16"/>
  <c r="H124" i="16"/>
  <c r="H125" i="16"/>
  <c r="H126" i="16"/>
  <c r="E115" i="16"/>
  <c r="E114" i="16"/>
  <c r="E116" i="16"/>
  <c r="M115" i="16"/>
  <c r="M114" i="16"/>
  <c r="M116" i="16"/>
  <c r="I121" i="16"/>
  <c r="I122" i="16"/>
  <c r="I123" i="16"/>
  <c r="I124" i="16"/>
  <c r="I125" i="16"/>
  <c r="I126" i="16"/>
  <c r="F115" i="16"/>
  <c r="F114" i="16"/>
  <c r="F116" i="16"/>
  <c r="J121" i="16"/>
  <c r="J122" i="16"/>
  <c r="J123" i="16"/>
  <c r="J124" i="16"/>
  <c r="J125" i="16"/>
  <c r="J126" i="16"/>
  <c r="L123" i="16"/>
  <c r="L126" i="16"/>
  <c r="L121" i="16"/>
  <c r="L125" i="16"/>
  <c r="L122" i="16"/>
  <c r="L124" i="16"/>
  <c r="M121" i="16"/>
  <c r="M122" i="16"/>
  <c r="M123" i="16"/>
  <c r="M124" i="16"/>
  <c r="M125" i="16"/>
  <c r="M126" i="16"/>
  <c r="G114" i="16"/>
  <c r="G115" i="16"/>
  <c r="G116" i="16"/>
  <c r="K122" i="16"/>
  <c r="K125" i="16"/>
  <c r="K123" i="16"/>
  <c r="K126" i="16"/>
  <c r="K121" i="16"/>
  <c r="K124" i="16"/>
  <c r="W126" i="15"/>
  <c r="V126" i="15"/>
  <c r="U126" i="15"/>
  <c r="T126" i="15"/>
  <c r="S126" i="15"/>
  <c r="R126" i="15"/>
  <c r="Q126" i="15"/>
  <c r="P126" i="15"/>
  <c r="O126" i="15"/>
  <c r="M126" i="15"/>
  <c r="L126" i="15"/>
  <c r="K126" i="15"/>
  <c r="J126" i="15"/>
  <c r="I126" i="15"/>
  <c r="H126" i="15"/>
  <c r="G126" i="15"/>
  <c r="F126" i="15"/>
  <c r="E126" i="15"/>
  <c r="W125" i="15"/>
  <c r="V125" i="15"/>
  <c r="U125" i="15"/>
  <c r="T125" i="15"/>
  <c r="S125" i="15"/>
  <c r="R125" i="15"/>
  <c r="Q125" i="15"/>
  <c r="P125" i="15"/>
  <c r="O125" i="15"/>
  <c r="M125" i="15"/>
  <c r="L125" i="15"/>
  <c r="K125" i="15"/>
  <c r="J125" i="15"/>
  <c r="I125" i="15"/>
  <c r="H125" i="15"/>
  <c r="G125" i="15"/>
  <c r="F125" i="15"/>
  <c r="E125" i="15"/>
  <c r="W124" i="15"/>
  <c r="V124" i="15"/>
  <c r="U124" i="15"/>
  <c r="T124" i="15"/>
  <c r="S124" i="15"/>
  <c r="R124" i="15"/>
  <c r="Q124" i="15"/>
  <c r="P124" i="15"/>
  <c r="O124" i="15"/>
  <c r="M124" i="15"/>
  <c r="L124" i="15"/>
  <c r="K124" i="15"/>
  <c r="J124" i="15"/>
  <c r="I124" i="15"/>
  <c r="H124" i="15"/>
  <c r="G124" i="15"/>
  <c r="F124" i="15"/>
  <c r="E124" i="15"/>
  <c r="W123" i="15"/>
  <c r="V123" i="15"/>
  <c r="U123" i="15"/>
  <c r="T123" i="15"/>
  <c r="S123" i="15"/>
  <c r="R123" i="15"/>
  <c r="Q123" i="15"/>
  <c r="P123" i="15"/>
  <c r="O123" i="15"/>
  <c r="M123" i="15"/>
  <c r="L123" i="15"/>
  <c r="K123" i="15"/>
  <c r="J123" i="15"/>
  <c r="I123" i="15"/>
  <c r="H123" i="15"/>
  <c r="G123" i="15"/>
  <c r="F123" i="15"/>
  <c r="E123" i="15"/>
  <c r="W122" i="15"/>
  <c r="V122" i="15"/>
  <c r="U122" i="15"/>
  <c r="T122" i="15"/>
  <c r="S122" i="15"/>
  <c r="R122" i="15"/>
  <c r="Q122" i="15"/>
  <c r="P122" i="15"/>
  <c r="O122" i="15"/>
  <c r="M122" i="15"/>
  <c r="L122" i="15"/>
  <c r="K122" i="15"/>
  <c r="J122" i="15"/>
  <c r="I122" i="15"/>
  <c r="H122" i="15"/>
  <c r="G122" i="15"/>
  <c r="F122" i="15"/>
  <c r="E122" i="15"/>
  <c r="W121" i="15"/>
  <c r="V121" i="15"/>
  <c r="U121" i="15"/>
  <c r="T121" i="15"/>
  <c r="S121" i="15"/>
  <c r="R121" i="15"/>
  <c r="Q121" i="15"/>
  <c r="P121" i="15"/>
  <c r="O121" i="15"/>
  <c r="M121" i="15"/>
  <c r="L121" i="15"/>
  <c r="K121" i="15"/>
  <c r="J121" i="15"/>
  <c r="I121" i="15"/>
  <c r="H121" i="15"/>
  <c r="G121" i="15"/>
  <c r="F121" i="15"/>
  <c r="E121" i="15"/>
  <c r="W116" i="15"/>
  <c r="V116" i="15"/>
  <c r="U116" i="15"/>
  <c r="T116" i="15"/>
  <c r="S116" i="15"/>
  <c r="R116" i="15"/>
  <c r="Q116" i="15"/>
  <c r="P116" i="15"/>
  <c r="O116" i="15"/>
  <c r="M116" i="15"/>
  <c r="L116" i="15"/>
  <c r="K116" i="15"/>
  <c r="J116" i="15"/>
  <c r="I116" i="15"/>
  <c r="H116" i="15"/>
  <c r="G116" i="15"/>
  <c r="F116" i="15"/>
  <c r="E116" i="15"/>
  <c r="W115" i="15"/>
  <c r="V115" i="15"/>
  <c r="U115" i="15"/>
  <c r="T115" i="15"/>
  <c r="S115" i="15"/>
  <c r="R115" i="15"/>
  <c r="Q115" i="15"/>
  <c r="P115" i="15"/>
  <c r="O115" i="15"/>
  <c r="M115" i="15"/>
  <c r="L115" i="15"/>
  <c r="K115" i="15"/>
  <c r="J115" i="15"/>
  <c r="I115" i="15"/>
  <c r="H115" i="15"/>
  <c r="G115" i="15"/>
  <c r="F115" i="15"/>
  <c r="E115" i="15"/>
  <c r="W114" i="15"/>
  <c r="V114" i="15"/>
  <c r="U114" i="15"/>
  <c r="T114" i="15"/>
  <c r="S114" i="15"/>
  <c r="R114" i="15"/>
  <c r="Q114" i="15"/>
  <c r="P114" i="15"/>
  <c r="O114" i="15"/>
  <c r="M114" i="15"/>
  <c r="L114" i="15"/>
  <c r="K114" i="15"/>
  <c r="J114" i="15"/>
  <c r="I114" i="15"/>
  <c r="H114" i="15"/>
  <c r="G114" i="15"/>
  <c r="F114" i="15"/>
  <c r="E114" i="15"/>
  <c r="AA3" i="15"/>
  <c r="AA129" i="15" s="1"/>
  <c r="Z3" i="15"/>
  <c r="Z56" i="15" s="1"/>
  <c r="Y3" i="15"/>
  <c r="Y96" i="15" s="1"/>
  <c r="AA3" i="8"/>
  <c r="AA134" i="8" s="1"/>
  <c r="Y3" i="8"/>
  <c r="Y103" i="8" s="1"/>
  <c r="AA113" i="15" l="1"/>
  <c r="Z64" i="15"/>
  <c r="AA131" i="15"/>
  <c r="AA116" i="15"/>
  <c r="AA112" i="15"/>
  <c r="AA121" i="15"/>
  <c r="AA122" i="15"/>
  <c r="AA123" i="15"/>
  <c r="AA120" i="15"/>
  <c r="Z58" i="15"/>
  <c r="AA126" i="15"/>
  <c r="Z59" i="15"/>
  <c r="Z9" i="15"/>
  <c r="AA114" i="15"/>
  <c r="AA125" i="15"/>
  <c r="Z49" i="15"/>
  <c r="AA124" i="15"/>
  <c r="Z62" i="15"/>
  <c r="Z63" i="15"/>
  <c r="AA115" i="15"/>
  <c r="Z25" i="15"/>
  <c r="Z29" i="15"/>
  <c r="Z65" i="15"/>
  <c r="Z17" i="15"/>
  <c r="Z27" i="15"/>
  <c r="Z32" i="15"/>
  <c r="Z15" i="15"/>
  <c r="Z26" i="15"/>
  <c r="AA114" i="8"/>
  <c r="Z28" i="15"/>
  <c r="Z33" i="15"/>
  <c r="AA130" i="15"/>
  <c r="Z45" i="15"/>
  <c r="AA131" i="8"/>
  <c r="AA124" i="8"/>
  <c r="AA125" i="8"/>
  <c r="AA132" i="8"/>
  <c r="AA123" i="8"/>
  <c r="Z41" i="15"/>
  <c r="Z42" i="15"/>
  <c r="Z10" i="15"/>
  <c r="Z46" i="15"/>
  <c r="Z11" i="15"/>
  <c r="Z47" i="15"/>
  <c r="Z12" i="15"/>
  <c r="Z48" i="15"/>
  <c r="AA116" i="8"/>
  <c r="Z16" i="15"/>
  <c r="Z57" i="15"/>
  <c r="Y85" i="15"/>
  <c r="Y139" i="15"/>
  <c r="Y101" i="15"/>
  <c r="Y75" i="15"/>
  <c r="Y100" i="15"/>
  <c r="Y73" i="15"/>
  <c r="Y99" i="15"/>
  <c r="Y68" i="15"/>
  <c r="Y98" i="15"/>
  <c r="Y97" i="15"/>
  <c r="Y95" i="15"/>
  <c r="Y94" i="15"/>
  <c r="Y88" i="15"/>
  <c r="Y89" i="15"/>
  <c r="Y105" i="15"/>
  <c r="Y77" i="15"/>
  <c r="Y104" i="15"/>
  <c r="Y76" i="15"/>
  <c r="Y87" i="8"/>
  <c r="Y110" i="15"/>
  <c r="Y88" i="8"/>
  <c r="Y111" i="15"/>
  <c r="Y101" i="8"/>
  <c r="Y102" i="8"/>
  <c r="Y79" i="15"/>
  <c r="Y84" i="15"/>
  <c r="Y80" i="8"/>
  <c r="Y139" i="8"/>
  <c r="Y93" i="8"/>
  <c r="Y92" i="8"/>
  <c r="Y86" i="8"/>
  <c r="Y85" i="8"/>
  <c r="Y86" i="15"/>
  <c r="Y71" i="8"/>
  <c r="Y102" i="15"/>
  <c r="Y74" i="15"/>
  <c r="AA121" i="8"/>
  <c r="AA133" i="8"/>
  <c r="AA122" i="8"/>
  <c r="Z30" i="15"/>
  <c r="Z60" i="15"/>
  <c r="AA115" i="8"/>
  <c r="AA119" i="15"/>
  <c r="AA128" i="15"/>
  <c r="AA127" i="15"/>
  <c r="Z31" i="15"/>
  <c r="Z61" i="15"/>
  <c r="Z13" i="15"/>
  <c r="Z43" i="15"/>
  <c r="Z14" i="15"/>
  <c r="Z44" i="15"/>
  <c r="AA132" i="15"/>
  <c r="Z18" i="15"/>
  <c r="Z34" i="15"/>
  <c r="Z50" i="15"/>
  <c r="Z66" i="15"/>
  <c r="Y87" i="15"/>
  <c r="Y103" i="15"/>
  <c r="AA133" i="15"/>
  <c r="Z35" i="15"/>
  <c r="AA134" i="15"/>
  <c r="Z51" i="15"/>
  <c r="Z52" i="15"/>
  <c r="AA135" i="15"/>
  <c r="Z5" i="15"/>
  <c r="Z21" i="15"/>
  <c r="Z37" i="15"/>
  <c r="Z53" i="15"/>
  <c r="Y69" i="15"/>
  <c r="Y90" i="15"/>
  <c r="Y106" i="15"/>
  <c r="AA136" i="15"/>
  <c r="Z19" i="15"/>
  <c r="Z6" i="15"/>
  <c r="Z22" i="15"/>
  <c r="Z38" i="15"/>
  <c r="Z54" i="15"/>
  <c r="Y70" i="15"/>
  <c r="Y91" i="15"/>
  <c r="Y107" i="15"/>
  <c r="AA117" i="15"/>
  <c r="AA137" i="15"/>
  <c r="Z20" i="15"/>
  <c r="Z7" i="15"/>
  <c r="Z23" i="15"/>
  <c r="Z39" i="15"/>
  <c r="Z55" i="15"/>
  <c r="Y71" i="15"/>
  <c r="Y92" i="15"/>
  <c r="Y108" i="15"/>
  <c r="AA118" i="15"/>
  <c r="Y138" i="15"/>
  <c r="Z67" i="15"/>
  <c r="Z36" i="15"/>
  <c r="Z8" i="15"/>
  <c r="Z24" i="15"/>
  <c r="Z40" i="15"/>
  <c r="Y72" i="15"/>
  <c r="Y93" i="15"/>
  <c r="Y109" i="15"/>
  <c r="Y94" i="8"/>
  <c r="Y78" i="8"/>
  <c r="Y95" i="8"/>
  <c r="AA120" i="8"/>
  <c r="AA130" i="8"/>
  <c r="AA129" i="8"/>
  <c r="AA117" i="8"/>
  <c r="AA126" i="8"/>
  <c r="Y76" i="8"/>
  <c r="Y96" i="8"/>
  <c r="AA128" i="8"/>
  <c r="AA119" i="8"/>
  <c r="Y75" i="8"/>
  <c r="Y97" i="8"/>
  <c r="AA137" i="8"/>
  <c r="AA112" i="8"/>
  <c r="AA113" i="8"/>
  <c r="AA127" i="8"/>
  <c r="Y74" i="8"/>
  <c r="Y98" i="8"/>
  <c r="AA136" i="8"/>
  <c r="Y73" i="8"/>
  <c r="Y99" i="8"/>
  <c r="AA135" i="8"/>
  <c r="AA118" i="8"/>
  <c r="Y77" i="8"/>
  <c r="Y72" i="8"/>
  <c r="Y100" i="8"/>
  <c r="Y104" i="8"/>
  <c r="Y105" i="8"/>
  <c r="Y89" i="8"/>
  <c r="Y69" i="8"/>
  <c r="Y90" i="8"/>
  <c r="Y70" i="8"/>
  <c r="Y91" i="8"/>
  <c r="Y106" i="8"/>
  <c r="Y107" i="8"/>
  <c r="Y108" i="8"/>
  <c r="Y109" i="8"/>
  <c r="Y110" i="8"/>
  <c r="Y111" i="8"/>
  <c r="Y138" i="8"/>
  <c r="Z45" i="8" l="1"/>
  <c r="Z28" i="8" l="1"/>
  <c r="Z10" i="8"/>
  <c r="Z55" i="8"/>
  <c r="Z27" i="8"/>
  <c r="Z9" i="8"/>
  <c r="Z5" i="8"/>
  <c r="Z26" i="8"/>
  <c r="Z8" i="8"/>
  <c r="Z44" i="8"/>
  <c r="Z25" i="8"/>
  <c r="Z43" i="8"/>
  <c r="Z24" i="8"/>
  <c r="Z42" i="8"/>
  <c r="Z23" i="8"/>
  <c r="Z41" i="8"/>
  <c r="Z22" i="8"/>
  <c r="Z40" i="8"/>
  <c r="Z21" i="8"/>
  <c r="Z65" i="8"/>
  <c r="Z64" i="8"/>
  <c r="Z35" i="8"/>
  <c r="Z38" i="8"/>
  <c r="Z19" i="8"/>
  <c r="Z37" i="8"/>
  <c r="Z18" i="8"/>
  <c r="Z63" i="8"/>
  <c r="Z62" i="8"/>
  <c r="Z17" i="8"/>
  <c r="Z34" i="8"/>
  <c r="Z16" i="8"/>
  <c r="Z32" i="8"/>
  <c r="Z58" i="8"/>
  <c r="Z12" i="8"/>
  <c r="Z57" i="8"/>
  <c r="Z11" i="8"/>
  <c r="Z56" i="8"/>
  <c r="Z15" i="8"/>
  <c r="Z29" i="8"/>
  <c r="Z33" i="8"/>
  <c r="Z49" i="8"/>
  <c r="Z59" i="8"/>
  <c r="Z31" i="8"/>
  <c r="Z48" i="8"/>
  <c r="Z7" i="8"/>
  <c r="Z13" i="8"/>
  <c r="Z6" i="8"/>
  <c r="Z39" i="8"/>
  <c r="Z66" i="8"/>
  <c r="Z54" i="8"/>
  <c r="Z53" i="8"/>
  <c r="Z52" i="8"/>
  <c r="Z36" i="8"/>
  <c r="Z20" i="8"/>
  <c r="Z51" i="8"/>
  <c r="Z50" i="8"/>
  <c r="Z47" i="8"/>
  <c r="Z46" i="8"/>
  <c r="Z30" i="8"/>
  <c r="Z14" i="8"/>
  <c r="Z61" i="8"/>
  <c r="R47" i="17" l="1"/>
  <c r="P47" i="17"/>
  <c r="W47" i="17"/>
  <c r="T47" i="17"/>
  <c r="V47" i="17"/>
  <c r="S47" i="17"/>
  <c r="U47" i="17"/>
  <c r="O47" i="17"/>
  <c r="Q47" i="17"/>
  <c r="P64" i="17"/>
  <c r="R64" i="17"/>
  <c r="V64" i="17"/>
  <c r="U64" i="17"/>
  <c r="Q64" i="17"/>
  <c r="T64" i="17"/>
  <c r="W64" i="17"/>
  <c r="O64" i="17"/>
  <c r="S64" i="17"/>
  <c r="Q58" i="17"/>
  <c r="V58" i="17"/>
  <c r="P58" i="17"/>
  <c r="W58" i="17"/>
  <c r="T58" i="17"/>
  <c r="U58" i="17"/>
  <c r="R58" i="17"/>
  <c r="O58" i="17"/>
  <c r="S58" i="17"/>
  <c r="U24" i="17"/>
  <c r="T24" i="17"/>
  <c r="W24" i="17"/>
  <c r="P24" i="17"/>
  <c r="S24" i="17"/>
  <c r="V24" i="17"/>
  <c r="Q24" i="17"/>
  <c r="O24" i="17"/>
  <c r="R24" i="17"/>
  <c r="V60" i="17"/>
  <c r="T60" i="17"/>
  <c r="U60" i="17"/>
  <c r="P60" i="17"/>
  <c r="R60" i="17"/>
  <c r="S60" i="17"/>
  <c r="Q60" i="17"/>
  <c r="O60" i="17"/>
  <c r="W60" i="17"/>
  <c r="Q67" i="17"/>
  <c r="R67" i="17"/>
  <c r="T67" i="17"/>
  <c r="S67" i="17"/>
  <c r="V67" i="17"/>
  <c r="W67" i="17"/>
  <c r="U67" i="17"/>
  <c r="O67" i="17"/>
  <c r="P67" i="17"/>
  <c r="S40" i="17"/>
  <c r="W40" i="17"/>
  <c r="V40" i="17"/>
  <c r="R40" i="17"/>
  <c r="P40" i="17"/>
  <c r="U40" i="17"/>
  <c r="T40" i="17"/>
  <c r="O40" i="17"/>
  <c r="Q40" i="17"/>
  <c r="W46" i="17"/>
  <c r="Q46" i="17"/>
  <c r="T46" i="17"/>
  <c r="U46" i="17"/>
  <c r="R46" i="17"/>
  <c r="V46" i="17"/>
  <c r="S46" i="17"/>
  <c r="O46" i="17"/>
  <c r="P46" i="17"/>
  <c r="Q53" i="17"/>
  <c r="U53" i="17"/>
  <c r="S53" i="17"/>
  <c r="P53" i="17"/>
  <c r="V53" i="17"/>
  <c r="W53" i="17"/>
  <c r="T53" i="17"/>
  <c r="O53" i="17"/>
  <c r="R53" i="17"/>
  <c r="W14" i="17"/>
  <c r="P14" i="17"/>
  <c r="T14" i="17"/>
  <c r="Q14" i="17"/>
  <c r="S14" i="17"/>
  <c r="V14" i="17"/>
  <c r="R14" i="17"/>
  <c r="O14" i="17"/>
  <c r="U14" i="17"/>
  <c r="T65" i="17"/>
  <c r="V65" i="17"/>
  <c r="P65" i="17"/>
  <c r="Q65" i="17"/>
  <c r="S65" i="17"/>
  <c r="U65" i="17"/>
  <c r="R65" i="17"/>
  <c r="O65" i="17"/>
  <c r="W65" i="17"/>
  <c r="R38" i="17"/>
  <c r="U38" i="17"/>
  <c r="T38" i="17"/>
  <c r="S38" i="17"/>
  <c r="W38" i="17"/>
  <c r="Q38" i="17"/>
  <c r="P38" i="17"/>
  <c r="O38" i="17"/>
  <c r="V38" i="17"/>
  <c r="R7" i="17"/>
  <c r="S7" i="17"/>
  <c r="P7" i="17"/>
  <c r="T7" i="17"/>
  <c r="W7" i="17"/>
  <c r="Q7" i="17"/>
  <c r="U7" i="17"/>
  <c r="O7" i="17"/>
  <c r="V7" i="17"/>
  <c r="V42" i="17"/>
  <c r="S42" i="17"/>
  <c r="P42" i="17"/>
  <c r="Q42" i="17"/>
  <c r="U42" i="17"/>
  <c r="T42" i="17"/>
  <c r="W42" i="17"/>
  <c r="O42" i="17"/>
  <c r="R42" i="17"/>
  <c r="W54" i="17"/>
  <c r="R54" i="17"/>
  <c r="U54" i="17"/>
  <c r="S54" i="17"/>
  <c r="Q54" i="17"/>
  <c r="P54" i="17"/>
  <c r="V54" i="17"/>
  <c r="O54" i="17"/>
  <c r="T54" i="17"/>
  <c r="T19" i="17"/>
  <c r="V19" i="17"/>
  <c r="Q19" i="17"/>
  <c r="R19" i="17"/>
  <c r="U19" i="17"/>
  <c r="W19" i="17"/>
  <c r="P19" i="17"/>
  <c r="O19" i="17"/>
  <c r="S19" i="17"/>
  <c r="P37" i="17"/>
  <c r="V37" i="17"/>
  <c r="T37" i="17"/>
  <c r="R37" i="17"/>
  <c r="S37" i="17"/>
  <c r="Q37" i="17"/>
  <c r="U37" i="17"/>
  <c r="O37" i="17"/>
  <c r="W37" i="17"/>
  <c r="T36" i="17"/>
  <c r="U36" i="17"/>
  <c r="W36" i="17"/>
  <c r="S36" i="17"/>
  <c r="V36" i="17"/>
  <c r="Q36" i="17"/>
  <c r="R36" i="17"/>
  <c r="O36" i="17"/>
  <c r="P36" i="17"/>
  <c r="Q63" i="17"/>
  <c r="T63" i="17"/>
  <c r="V63" i="17"/>
  <c r="U63" i="17"/>
  <c r="P63" i="17"/>
  <c r="R63" i="17"/>
  <c r="W63" i="17"/>
  <c r="O63" i="17"/>
  <c r="S63" i="17"/>
  <c r="U43" i="17"/>
  <c r="Q43" i="17"/>
  <c r="R43" i="17"/>
  <c r="S43" i="17"/>
  <c r="W43" i="17"/>
  <c r="V43" i="17"/>
  <c r="T43" i="17"/>
  <c r="O43" i="17"/>
  <c r="P43" i="17"/>
  <c r="T8" i="17"/>
  <c r="W8" i="17"/>
  <c r="Q8" i="17"/>
  <c r="P8" i="17"/>
  <c r="R8" i="17"/>
  <c r="S8" i="17"/>
  <c r="U8" i="17"/>
  <c r="O8" i="17"/>
  <c r="V8" i="17"/>
  <c r="V29" i="17"/>
  <c r="T29" i="17"/>
  <c r="W29" i="17"/>
  <c r="S29" i="17"/>
  <c r="P29" i="17"/>
  <c r="R29" i="17"/>
  <c r="Q29" i="17"/>
  <c r="O29" i="17"/>
  <c r="U29" i="17"/>
  <c r="Q5" i="17"/>
  <c r="S5" i="17"/>
  <c r="W5" i="17"/>
  <c r="V5" i="17"/>
  <c r="T5" i="17"/>
  <c r="P5" i="17"/>
  <c r="R5" i="17"/>
  <c r="O5" i="17"/>
  <c r="U5" i="17"/>
  <c r="Q21" i="17"/>
  <c r="W21" i="17"/>
  <c r="U21" i="17"/>
  <c r="V21" i="17"/>
  <c r="T21" i="17"/>
  <c r="R21" i="17"/>
  <c r="P21" i="17"/>
  <c r="O21" i="17"/>
  <c r="S21" i="17"/>
  <c r="T11" i="17"/>
  <c r="P11" i="17"/>
  <c r="S11" i="17"/>
  <c r="V11" i="17"/>
  <c r="U11" i="17"/>
  <c r="W11" i="17"/>
  <c r="Q11" i="17"/>
  <c r="O11" i="17"/>
  <c r="R11" i="17"/>
  <c r="R31" i="17"/>
  <c r="V31" i="17"/>
  <c r="W31" i="17"/>
  <c r="U31" i="17"/>
  <c r="P31" i="17"/>
  <c r="S31" i="17"/>
  <c r="Q31" i="17"/>
  <c r="O31" i="17"/>
  <c r="T31" i="17"/>
  <c r="P35" i="17"/>
  <c r="S35" i="17"/>
  <c r="Q35" i="17"/>
  <c r="V35" i="17"/>
  <c r="W35" i="17"/>
  <c r="T35" i="17"/>
  <c r="U35" i="17"/>
  <c r="O35" i="17"/>
  <c r="R35" i="17"/>
  <c r="T44" i="17"/>
  <c r="S44" i="17"/>
  <c r="P44" i="17"/>
  <c r="U44" i="17"/>
  <c r="Q44" i="17"/>
  <c r="W44" i="17"/>
  <c r="R44" i="17"/>
  <c r="O44" i="17"/>
  <c r="V44" i="17"/>
  <c r="P50" i="17"/>
  <c r="T50" i="17"/>
  <c r="R50" i="17"/>
  <c r="Q50" i="17"/>
  <c r="W50" i="17"/>
  <c r="U50" i="17"/>
  <c r="V50" i="17"/>
  <c r="O50" i="17"/>
  <c r="S50" i="17"/>
  <c r="S23" i="17"/>
  <c r="W23" i="17"/>
  <c r="R23" i="17"/>
  <c r="Q23" i="17"/>
  <c r="V23" i="17"/>
  <c r="P23" i="17"/>
  <c r="T23" i="17"/>
  <c r="O23" i="17"/>
  <c r="U23" i="17"/>
  <c r="R17" i="17"/>
  <c r="T17" i="17"/>
  <c r="V17" i="17"/>
  <c r="W17" i="17"/>
  <c r="Q17" i="17"/>
  <c r="P17" i="17"/>
  <c r="U17" i="17"/>
  <c r="O17" i="17"/>
  <c r="S17" i="17"/>
  <c r="T10" i="17"/>
  <c r="P10" i="17"/>
  <c r="S10" i="17"/>
  <c r="U10" i="17"/>
  <c r="V10" i="17"/>
  <c r="W10" i="17"/>
  <c r="R10" i="17"/>
  <c r="O10" i="17"/>
  <c r="Q10" i="17"/>
  <c r="Q61" i="17"/>
  <c r="V61" i="17"/>
  <c r="S61" i="17"/>
  <c r="U61" i="17"/>
  <c r="R61" i="17"/>
  <c r="W61" i="17"/>
  <c r="T61" i="17"/>
  <c r="O61" i="17"/>
  <c r="P61" i="17"/>
  <c r="P20" i="17"/>
  <c r="Q20" i="17"/>
  <c r="U20" i="17"/>
  <c r="T20" i="17"/>
  <c r="R20" i="17"/>
  <c r="S20" i="17"/>
  <c r="V20" i="17"/>
  <c r="O20" i="17"/>
  <c r="W20" i="17"/>
  <c r="Q52" i="17"/>
  <c r="P52" i="17"/>
  <c r="V52" i="17"/>
  <c r="T52" i="17"/>
  <c r="R52" i="17"/>
  <c r="S52" i="17"/>
  <c r="W52" i="17"/>
  <c r="O52" i="17"/>
  <c r="U52" i="17"/>
  <c r="U56" i="17"/>
  <c r="P56" i="17"/>
  <c r="T56" i="17"/>
  <c r="Q56" i="17"/>
  <c r="V56" i="17"/>
  <c r="S56" i="17"/>
  <c r="R56" i="17"/>
  <c r="O56" i="17"/>
  <c r="W56" i="17"/>
  <c r="V39" i="17"/>
  <c r="S39" i="17"/>
  <c r="R39" i="17"/>
  <c r="W39" i="17"/>
  <c r="T39" i="17"/>
  <c r="U39" i="17"/>
  <c r="Q39" i="17"/>
  <c r="O39" i="17"/>
  <c r="P39" i="17"/>
  <c r="S12" i="17"/>
  <c r="V12" i="17"/>
  <c r="R12" i="17"/>
  <c r="T12" i="17"/>
  <c r="P12" i="17"/>
  <c r="W12" i="17"/>
  <c r="Q12" i="17"/>
  <c r="O12" i="17"/>
  <c r="U12" i="17"/>
  <c r="T34" i="17"/>
  <c r="Q34" i="17"/>
  <c r="V34" i="17"/>
  <c r="S34" i="17"/>
  <c r="R34" i="17"/>
  <c r="U34" i="17"/>
  <c r="W34" i="17"/>
  <c r="O34" i="17"/>
  <c r="P34" i="17"/>
  <c r="T9" i="17"/>
  <c r="U9" i="17"/>
  <c r="R9" i="17"/>
  <c r="Q9" i="17"/>
  <c r="S9" i="17"/>
  <c r="W9" i="17"/>
  <c r="V9" i="17"/>
  <c r="O9" i="17"/>
  <c r="P9" i="17"/>
  <c r="U25" i="17"/>
  <c r="W25" i="17"/>
  <c r="P25" i="17"/>
  <c r="V25" i="17"/>
  <c r="T25" i="17"/>
  <c r="S25" i="17"/>
  <c r="Q25" i="17"/>
  <c r="O25" i="17"/>
  <c r="R25" i="17"/>
  <c r="R62" i="17"/>
  <c r="Q62" i="17"/>
  <c r="P62" i="17"/>
  <c r="W62" i="17"/>
  <c r="T62" i="17"/>
  <c r="V62" i="17"/>
  <c r="S62" i="17"/>
  <c r="O62" i="17"/>
  <c r="U62" i="17"/>
  <c r="S6" i="17"/>
  <c r="V6" i="17"/>
  <c r="U6" i="17"/>
  <c r="R6" i="17"/>
  <c r="Q6" i="17"/>
  <c r="W6" i="17"/>
  <c r="T6" i="17"/>
  <c r="O6" i="17"/>
  <c r="P6" i="17"/>
  <c r="T28" i="17"/>
  <c r="V28" i="17"/>
  <c r="W28" i="17"/>
  <c r="R28" i="17"/>
  <c r="U28" i="17"/>
  <c r="Q28" i="17"/>
  <c r="S28" i="17"/>
  <c r="O28" i="17"/>
  <c r="P28" i="17"/>
  <c r="R27" i="17"/>
  <c r="Q27" i="17"/>
  <c r="S27" i="17"/>
  <c r="W27" i="17"/>
  <c r="T27" i="17"/>
  <c r="P27" i="17"/>
  <c r="U27" i="17"/>
  <c r="O27" i="17"/>
  <c r="V27" i="17"/>
  <c r="S22" i="17"/>
  <c r="T22" i="17"/>
  <c r="V22" i="17"/>
  <c r="W22" i="17"/>
  <c r="R22" i="17"/>
  <c r="U22" i="17"/>
  <c r="P22" i="17"/>
  <c r="O22" i="17"/>
  <c r="Q22" i="17"/>
  <c r="V49" i="17"/>
  <c r="S49" i="17"/>
  <c r="U49" i="17"/>
  <c r="Q49" i="17"/>
  <c r="R49" i="17"/>
  <c r="P49" i="17"/>
  <c r="W49" i="17"/>
  <c r="O49" i="17"/>
  <c r="T49" i="17"/>
  <c r="U51" i="17"/>
  <c r="R51" i="17"/>
  <c r="P51" i="17"/>
  <c r="Q51" i="17"/>
  <c r="W51" i="17"/>
  <c r="V51" i="17"/>
  <c r="T51" i="17"/>
  <c r="O51" i="17"/>
  <c r="S51" i="17"/>
  <c r="S33" i="17"/>
  <c r="T33" i="17"/>
  <c r="P33" i="17"/>
  <c r="R33" i="17"/>
  <c r="V33" i="17"/>
  <c r="U33" i="17"/>
  <c r="W33" i="17"/>
  <c r="O33" i="17"/>
  <c r="Q33" i="17"/>
  <c r="U57" i="17"/>
  <c r="T57" i="17"/>
  <c r="P57" i="17"/>
  <c r="W57" i="17"/>
  <c r="Q57" i="17"/>
  <c r="R57" i="17"/>
  <c r="S57" i="17"/>
  <c r="O57" i="17"/>
  <c r="V57" i="17"/>
  <c r="T18" i="17"/>
  <c r="S18" i="17"/>
  <c r="V18" i="17"/>
  <c r="P18" i="17"/>
  <c r="Q18" i="17"/>
  <c r="W18" i="17"/>
  <c r="U18" i="17"/>
  <c r="O18" i="17"/>
  <c r="R18" i="17"/>
  <c r="S45" i="17"/>
  <c r="V45" i="17"/>
  <c r="T45" i="17"/>
  <c r="Q45" i="17"/>
  <c r="P45" i="17"/>
  <c r="W45" i="17"/>
  <c r="U45" i="17"/>
  <c r="O45" i="17"/>
  <c r="R45" i="17"/>
  <c r="T55" i="17"/>
  <c r="V55" i="17"/>
  <c r="Q55" i="17"/>
  <c r="W55" i="17"/>
  <c r="U55" i="17"/>
  <c r="S55" i="17"/>
  <c r="P55" i="17"/>
  <c r="O55" i="17"/>
  <c r="R55" i="17"/>
  <c r="Q26" i="17"/>
  <c r="S26" i="17"/>
  <c r="R26" i="17"/>
  <c r="T26" i="17"/>
  <c r="P26" i="17"/>
  <c r="V26" i="17"/>
  <c r="U26" i="17"/>
  <c r="O26" i="17"/>
  <c r="W26" i="17"/>
  <c r="P13" i="17"/>
  <c r="W13" i="17"/>
  <c r="V13" i="17"/>
  <c r="T13" i="17"/>
  <c r="R13" i="17"/>
  <c r="Q13" i="17"/>
  <c r="S13" i="17"/>
  <c r="O13" i="17"/>
  <c r="U13" i="17"/>
  <c r="Q15" i="17"/>
  <c r="T15" i="17"/>
  <c r="P15" i="17"/>
  <c r="U15" i="17"/>
  <c r="V15" i="17"/>
  <c r="S15" i="17"/>
  <c r="R15" i="17"/>
  <c r="O15" i="17"/>
  <c r="W15" i="17"/>
  <c r="S48" i="17"/>
  <c r="W48" i="17"/>
  <c r="U48" i="17"/>
  <c r="V48" i="17"/>
  <c r="R48" i="17"/>
  <c r="Q48" i="17"/>
  <c r="T48" i="17"/>
  <c r="O48" i="17"/>
  <c r="P48" i="17"/>
  <c r="Q66" i="17"/>
  <c r="R66" i="17"/>
  <c r="V66" i="17"/>
  <c r="S66" i="17"/>
  <c r="P66" i="17"/>
  <c r="U66" i="17"/>
  <c r="W66" i="17"/>
  <c r="O66" i="17"/>
  <c r="T66" i="17"/>
  <c r="S59" i="17"/>
  <c r="R59" i="17"/>
  <c r="W59" i="17"/>
  <c r="U59" i="17"/>
  <c r="Q59" i="17"/>
  <c r="V59" i="17"/>
  <c r="T59" i="17"/>
  <c r="O59" i="17"/>
  <c r="P59" i="17"/>
  <c r="U30" i="17"/>
  <c r="P30" i="17"/>
  <c r="V30" i="17"/>
  <c r="Q30" i="17"/>
  <c r="W30" i="17"/>
  <c r="T30" i="17"/>
  <c r="S30" i="17"/>
  <c r="O30" i="17"/>
  <c r="R30" i="17"/>
  <c r="V16" i="17"/>
  <c r="T16" i="17"/>
  <c r="P16" i="17"/>
  <c r="W16" i="17"/>
  <c r="S16" i="17"/>
  <c r="Q16" i="17"/>
  <c r="R16" i="17"/>
  <c r="O16" i="17"/>
  <c r="U16" i="17"/>
  <c r="V41" i="17"/>
  <c r="P41" i="17"/>
  <c r="S41" i="17"/>
  <c r="U41" i="17"/>
  <c r="R41" i="17"/>
  <c r="W41" i="17"/>
  <c r="T41" i="17"/>
  <c r="O41" i="17"/>
  <c r="Q41" i="17"/>
  <c r="T32" i="17"/>
  <c r="P32" i="17"/>
  <c r="V32" i="17"/>
  <c r="R32" i="17"/>
  <c r="W32" i="17"/>
  <c r="Q32" i="17"/>
  <c r="S32" i="17"/>
  <c r="O32" i="17"/>
  <c r="U32" i="17"/>
</calcChain>
</file>

<file path=xl/sharedStrings.xml><?xml version="1.0" encoding="utf-8"?>
<sst xmlns="http://schemas.openxmlformats.org/spreadsheetml/2006/main" count="3415" uniqueCount="249">
  <si>
    <t>FIT OUT $/M2</t>
  </si>
  <si>
    <t>FIT OUT $/SQFT</t>
  </si>
  <si>
    <t>LOCATION FACTOR</t>
  </si>
  <si>
    <t xml:space="preserve">Activity </t>
  </si>
  <si>
    <t xml:space="preserve"> Team </t>
  </si>
  <si>
    <t>Event</t>
  </si>
  <si>
    <t>EMEA</t>
  </si>
  <si>
    <t>AMERICA</t>
  </si>
  <si>
    <t>APAC</t>
  </si>
  <si>
    <t>Low</t>
  </si>
  <si>
    <t xml:space="preserve">Medium </t>
  </si>
  <si>
    <t xml:space="preserve">High </t>
  </si>
  <si>
    <t>High</t>
  </si>
  <si>
    <t xml:space="preserve">Low </t>
  </si>
  <si>
    <t>COUNTRY</t>
  </si>
  <si>
    <t>CITY</t>
  </si>
  <si>
    <t>REGION</t>
  </si>
  <si>
    <t>United States</t>
  </si>
  <si>
    <t>Cincinnati</t>
  </si>
  <si>
    <t>AMERICAS</t>
  </si>
  <si>
    <t>Charlotte</t>
  </si>
  <si>
    <t>Charleston</t>
  </si>
  <si>
    <t>Chicago</t>
  </si>
  <si>
    <t>Cleveland</t>
  </si>
  <si>
    <t>Boston</t>
  </si>
  <si>
    <t>Baltimore</t>
  </si>
  <si>
    <t>Columbus</t>
  </si>
  <si>
    <t>Austin</t>
  </si>
  <si>
    <t>Atlanta</t>
  </si>
  <si>
    <t>Dallas</t>
  </si>
  <si>
    <t>Denver</t>
  </si>
  <si>
    <t>vh</t>
  </si>
  <si>
    <t>Detroit</t>
  </si>
  <si>
    <t>Houston</t>
  </si>
  <si>
    <t>Indianapolis</t>
  </si>
  <si>
    <t>Kansas City</t>
  </si>
  <si>
    <t>Los Angeles</t>
  </si>
  <si>
    <t>Miami</t>
  </si>
  <si>
    <t>Minneapolis</t>
  </si>
  <si>
    <t>Nashville</t>
  </si>
  <si>
    <t>New York</t>
  </si>
  <si>
    <t>Newark</t>
  </si>
  <si>
    <t>Oakland</t>
  </si>
  <si>
    <t>Orlando</t>
  </si>
  <si>
    <t>Oklahoma</t>
  </si>
  <si>
    <t>Philadelphia</t>
  </si>
  <si>
    <t>Phoenix</t>
  </si>
  <si>
    <t>Portland</t>
  </si>
  <si>
    <t>Sacramento</t>
  </si>
  <si>
    <t>Saddle Brook</t>
  </si>
  <si>
    <t>Salt Lake City</t>
  </si>
  <si>
    <t>San Diego</t>
  </si>
  <si>
    <t>San Francisco</t>
  </si>
  <si>
    <t>San Jose</t>
  </si>
  <si>
    <t>Seattle</t>
  </si>
  <si>
    <t>St. Louis</t>
  </si>
  <si>
    <t>Stamford</t>
  </si>
  <si>
    <t>Tampa</t>
  </si>
  <si>
    <t>Washington DC</t>
  </si>
  <si>
    <t>Tulsa</t>
  </si>
  <si>
    <t>Saint Kitts and Nevis</t>
  </si>
  <si>
    <t>Basseterre</t>
  </si>
  <si>
    <t>Puerto Rico</t>
  </si>
  <si>
    <t>San Juan</t>
  </si>
  <si>
    <t>Barbados</t>
  </si>
  <si>
    <t>Bridgetown</t>
  </si>
  <si>
    <t xml:space="preserve">Saint Lucia </t>
  </si>
  <si>
    <t>Castries</t>
  </si>
  <si>
    <t>Turks &amp; Caicos Islands</t>
  </si>
  <si>
    <t>Cockburn Town</t>
  </si>
  <si>
    <t xml:space="preserve">Cayman Islands </t>
  </si>
  <si>
    <t>George Town</t>
  </si>
  <si>
    <t>Saint Vincent The Grenadines</t>
  </si>
  <si>
    <t>Kingstontown</t>
  </si>
  <si>
    <t xml:space="preserve">Bahamas </t>
  </si>
  <si>
    <t>Nassau</t>
  </si>
  <si>
    <t>St. Maarten</t>
  </si>
  <si>
    <t>Philipsburg</t>
  </si>
  <si>
    <t xml:space="preserve">Trinidad Tobago </t>
  </si>
  <si>
    <t xml:space="preserve">Port of Spain </t>
  </si>
  <si>
    <t>British Virgin Islands</t>
  </si>
  <si>
    <t>Road Town</t>
  </si>
  <si>
    <t>Argentina</t>
  </si>
  <si>
    <t>Buenos Aires</t>
  </si>
  <si>
    <t>Cordoba</t>
  </si>
  <si>
    <t>Brazil</t>
  </si>
  <si>
    <t>Brasilia</t>
  </si>
  <si>
    <t>Rio De Janeiro</t>
  </si>
  <si>
    <t>Sao Paulo</t>
  </si>
  <si>
    <t>Colombia</t>
  </si>
  <si>
    <t>Bogota</t>
  </si>
  <si>
    <t>Chile</t>
  </si>
  <si>
    <t>Santiago</t>
  </si>
  <si>
    <t>Costa Rica</t>
  </si>
  <si>
    <t xml:space="preserve">Mexico </t>
  </si>
  <si>
    <t>Mexico City</t>
  </si>
  <si>
    <t>Guadalajara</t>
  </si>
  <si>
    <t>Monterrey</t>
  </si>
  <si>
    <t>Queretaro</t>
  </si>
  <si>
    <t xml:space="preserve">Panama </t>
  </si>
  <si>
    <t>Panama City</t>
  </si>
  <si>
    <t>Austria</t>
  </si>
  <si>
    <t>Vienna</t>
  </si>
  <si>
    <t xml:space="preserve">Belgium </t>
  </si>
  <si>
    <t>Brussels</t>
  </si>
  <si>
    <t>Botswana</t>
  </si>
  <si>
    <t>Gabarone</t>
  </si>
  <si>
    <t>Bulgaria</t>
  </si>
  <si>
    <t>Sofia</t>
  </si>
  <si>
    <t xml:space="preserve">Croatia </t>
  </si>
  <si>
    <t>Zagreb</t>
  </si>
  <si>
    <t>Czech Republic</t>
  </si>
  <si>
    <t>Prague</t>
  </si>
  <si>
    <t>Denmark</t>
  </si>
  <si>
    <t>Copenhagen</t>
  </si>
  <si>
    <t>Ethiopia</t>
  </si>
  <si>
    <t>Addis Ababa</t>
  </si>
  <si>
    <t>Finland</t>
  </si>
  <si>
    <t>Helsinki</t>
  </si>
  <si>
    <t>France</t>
  </si>
  <si>
    <t>Paris</t>
  </si>
  <si>
    <t>?</t>
  </si>
  <si>
    <t>Germany</t>
  </si>
  <si>
    <t>Berlin</t>
  </si>
  <si>
    <t>Cologne</t>
  </si>
  <si>
    <t>Frankfurt</t>
  </si>
  <si>
    <t>Hamburg</t>
  </si>
  <si>
    <t>Munich</t>
  </si>
  <si>
    <t>Stuttgart</t>
  </si>
  <si>
    <t>Ghana</t>
  </si>
  <si>
    <t>Accra</t>
  </si>
  <si>
    <t>Hungary</t>
  </si>
  <si>
    <t>Budapest</t>
  </si>
  <si>
    <t>Ireland</t>
  </si>
  <si>
    <t>Dublin</t>
  </si>
  <si>
    <t>Israel</t>
  </si>
  <si>
    <t>Tel Aviv</t>
  </si>
  <si>
    <t>Italy</t>
  </si>
  <si>
    <t>Rome</t>
  </si>
  <si>
    <t>Kenya</t>
  </si>
  <si>
    <t>Nairobi</t>
  </si>
  <si>
    <t>Luxembourg</t>
  </si>
  <si>
    <t>Morocco</t>
  </si>
  <si>
    <t>Casablanca</t>
  </si>
  <si>
    <t>Netherlands</t>
  </si>
  <si>
    <t>Amsterdam</t>
  </si>
  <si>
    <t>Nigeria</t>
  </si>
  <si>
    <t>Abuja</t>
  </si>
  <si>
    <t xml:space="preserve">Norway </t>
  </si>
  <si>
    <t>Oslo</t>
  </si>
  <si>
    <t>Poland</t>
  </si>
  <si>
    <t>Warsaw</t>
  </si>
  <si>
    <t>Romania</t>
  </si>
  <si>
    <t>Bucharest</t>
  </si>
  <si>
    <t>Rwanda</t>
  </si>
  <si>
    <t>Kigali</t>
  </si>
  <si>
    <t>Senegal</t>
  </si>
  <si>
    <t>Dakar</t>
  </si>
  <si>
    <t xml:space="preserve">Serbia </t>
  </si>
  <si>
    <t>Belgrade</t>
  </si>
  <si>
    <t>Slovakia</t>
  </si>
  <si>
    <t>Bratislava</t>
  </si>
  <si>
    <t>Slovenia</t>
  </si>
  <si>
    <t>Ljubljana</t>
  </si>
  <si>
    <t>South Africa</t>
  </si>
  <si>
    <t>Johannesburg</t>
  </si>
  <si>
    <t>Spain</t>
  </si>
  <si>
    <t>Madrid</t>
  </si>
  <si>
    <t>Sweden</t>
  </si>
  <si>
    <t>Stockholm</t>
  </si>
  <si>
    <t>Switzerland</t>
  </si>
  <si>
    <t xml:space="preserve">Geneva </t>
  </si>
  <si>
    <t>Zurich</t>
  </si>
  <si>
    <t>Turkey</t>
  </si>
  <si>
    <t>Istanbul</t>
  </si>
  <si>
    <t>UAE</t>
  </si>
  <si>
    <t>Abu Dhabi</t>
  </si>
  <si>
    <t>Dubai</t>
  </si>
  <si>
    <t xml:space="preserve">Uganda </t>
  </si>
  <si>
    <t>Kampala</t>
  </si>
  <si>
    <t>China</t>
  </si>
  <si>
    <t>Hong Kong</t>
  </si>
  <si>
    <t xml:space="preserve">Australia </t>
  </si>
  <si>
    <t>Sydney</t>
  </si>
  <si>
    <t>Brisbane</t>
  </si>
  <si>
    <t>Melborne</t>
  </si>
  <si>
    <t>Perth</t>
  </si>
  <si>
    <t>Beijing</t>
  </si>
  <si>
    <t>Guangzhou</t>
  </si>
  <si>
    <t>Shanghai</t>
  </si>
  <si>
    <t>India</t>
  </si>
  <si>
    <t>Bangalore</t>
  </si>
  <si>
    <t>Chennai</t>
  </si>
  <si>
    <t>Hyderbad</t>
  </si>
  <si>
    <t>Kolkata</t>
  </si>
  <si>
    <t>Mumbai</t>
  </si>
  <si>
    <t>New Delhi</t>
  </si>
  <si>
    <t>Pune</t>
  </si>
  <si>
    <t xml:space="preserve">Indonesia </t>
  </si>
  <si>
    <t>Jakarta</t>
  </si>
  <si>
    <t>Japan</t>
  </si>
  <si>
    <t>Tokyo</t>
  </si>
  <si>
    <t>Malaysia</t>
  </si>
  <si>
    <t>Kuala Lumpur</t>
  </si>
  <si>
    <t>New Zealand</t>
  </si>
  <si>
    <t>Auckland</t>
  </si>
  <si>
    <t>Pakistan</t>
  </si>
  <si>
    <t>Karachi</t>
  </si>
  <si>
    <t xml:space="preserve">Philippines </t>
  </si>
  <si>
    <t>Manila</t>
  </si>
  <si>
    <t>Singapore</t>
  </si>
  <si>
    <t>South Korea</t>
  </si>
  <si>
    <t>Seoul</t>
  </si>
  <si>
    <t>Taiwan</t>
  </si>
  <si>
    <t>Taipei</t>
  </si>
  <si>
    <t>Thailand</t>
  </si>
  <si>
    <t>Bangkok</t>
  </si>
  <si>
    <t>Vietnam</t>
  </si>
  <si>
    <t>Hanoi</t>
  </si>
  <si>
    <t>United Kingdom</t>
  </si>
  <si>
    <t>London</t>
  </si>
  <si>
    <t>Zimbabwe</t>
  </si>
  <si>
    <t>Harare</t>
  </si>
  <si>
    <t>a</t>
  </si>
  <si>
    <t>FURNITURE $/M2</t>
  </si>
  <si>
    <t>FURNITURE $/SQFT</t>
  </si>
  <si>
    <t>TECH $/M2</t>
  </si>
  <si>
    <t>TECH $/SQFT</t>
  </si>
  <si>
    <t>INFLATION 2022 -2023</t>
  </si>
  <si>
    <t>BASED OFF LONDON</t>
  </si>
  <si>
    <t>TECHNOLOGY $/M2</t>
  </si>
  <si>
    <t>Charleston (SC)</t>
  </si>
  <si>
    <t>Saddle Brook (NJ)</t>
  </si>
  <si>
    <t>Stamford (CT)</t>
  </si>
  <si>
    <t>LATAM</t>
  </si>
  <si>
    <t>Canada</t>
  </si>
  <si>
    <t>Toronto</t>
  </si>
  <si>
    <t>Montreal</t>
  </si>
  <si>
    <t>Vancouver</t>
  </si>
  <si>
    <t>Ottawa</t>
  </si>
  <si>
    <t>Activity
FIT-OUT TOTAL
$ per sq m</t>
  </si>
  <si>
    <t>Team
FIT-OUT TOTAL
$ per sq m</t>
  </si>
  <si>
    <t>LF - London</t>
  </si>
  <si>
    <t>LF - Singapore</t>
  </si>
  <si>
    <t>LF - Mexico</t>
  </si>
  <si>
    <t>LF-New York</t>
  </si>
  <si>
    <t>TEAM LAYOUT</t>
  </si>
  <si>
    <t>ACTIVITY LAYOUT</t>
  </si>
  <si>
    <t>EVENT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</si>
</sst>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);\(#,##0\);0_)"/>
    <numFmt numFmtId="165" formatCode="_-[$$-409]* #,##0.00_ ;_-[$$-409]* \-#,##0.00\ ;_-[$$-409]* &quot;-&quot;??_ ;_-@_ "/>
    <numFmt numFmtId="166" formatCode="0.00000000"/>
    <numFmt numFmtId="168" formatCode="[$$-409]#,##0.00"/>
  </numFmts>
  <fonts count="14" x14ac:knownFonts="1">
    <font>
      <sz val="11"/>
      <color theme="1"/>
      <name val="Calibre"/>
      <family val="2"/>
      <scheme val="minor"/>
    </font>
    <font>
      <sz val="10"/>
      <color rgb="FFFFFFFF"/>
      <name val="Calibre"/>
      <family val="2"/>
      <scheme val="minor"/>
    </font>
    <font>
      <sz val="11"/>
      <color rgb="FFFFFFFF"/>
      <name val="Calibre"/>
      <family val="2"/>
      <scheme val="minor"/>
    </font>
    <font>
      <sz val="14"/>
      <color rgb="FFFFFFFF"/>
      <name val="Calibre"/>
      <family val="2"/>
      <scheme val="minor"/>
    </font>
    <font>
      <b/>
      <sz val="10"/>
      <color rgb="FFFFFFFF"/>
      <name val="Calibre"/>
      <family val="2"/>
      <scheme val="minor"/>
    </font>
    <font>
      <sz val="11"/>
      <color rgb="FFFF0000"/>
      <name val="Calibre"/>
      <family val="2"/>
      <scheme val="minor"/>
    </font>
    <font>
      <sz val="10"/>
      <color rgb="FFFF0000"/>
      <name val="Calibre"/>
      <family val="2"/>
      <scheme val="minor"/>
    </font>
    <font>
      <sz val="11"/>
      <color theme="1"/>
      <name val="Calibre"/>
      <family val="2"/>
      <scheme val="minor"/>
    </font>
    <font>
      <sz val="10"/>
      <name val="Arial"/>
      <family val="2"/>
    </font>
    <font>
      <sz val="14"/>
      <color rgb="FF1C1917"/>
      <name val="Segoe U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e"/>
      <family val="2"/>
      <scheme val="minor"/>
    </font>
    <font>
      <sz val="11"/>
      <color rgb="FF0070C0"/>
      <name val="Calibre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BBAD"/>
        <bgColor indexed="64"/>
      </patternFill>
    </fill>
    <fill>
      <patternFill patternType="solid">
        <fgColor rgb="FFC0DDD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0" fontId="8" fillId="0" borderId="0"/>
    <xf numFmtId="0" fontId="10" fillId="0" borderId="0"/>
    <xf numFmtId="0" fontId="7" fillId="0" borderId="0"/>
  </cellStyleXfs>
  <cellXfs count="71">
    <xf numFmtId="0" fontId="0" fillId="0" borderId="0" xfId="0"/>
    <xf numFmtId="49" fontId="1" fillId="3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3" borderId="5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165" fontId="4" fillId="3" borderId="7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0" xfId="0" applyNumberFormat="1"/>
    <xf numFmtId="49" fontId="1" fillId="3" borderId="3" xfId="0" applyNumberFormat="1" applyFont="1" applyFill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  <xf numFmtId="49" fontId="6" fillId="3" borderId="5" xfId="0" applyNumberFormat="1" applyFont="1" applyFill="1" applyBorder="1" applyAlignment="1">
      <alignment horizontal="left" vertical="center" wrapText="1"/>
    </xf>
    <xf numFmtId="49" fontId="6" fillId="3" borderId="3" xfId="0" applyNumberFormat="1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textRotation="90"/>
    </xf>
    <xf numFmtId="9" fontId="5" fillId="2" borderId="0" xfId="0" quotePrefix="1" applyNumberFormat="1" applyFont="1" applyFill="1" applyAlignment="1">
      <alignment horizontal="center" vertical="center" wrapText="1"/>
    </xf>
    <xf numFmtId="0" fontId="0" fillId="4" borderId="0" xfId="0" applyFill="1"/>
    <xf numFmtId="49" fontId="6" fillId="3" borderId="5" xfId="0" applyNumberFormat="1" applyFont="1" applyFill="1" applyBorder="1" applyAlignment="1">
      <alignment horizontal="center" vertical="center" wrapText="1"/>
    </xf>
    <xf numFmtId="43" fontId="0" fillId="0" borderId="0" xfId="0" applyNumberFormat="1"/>
    <xf numFmtId="165" fontId="5" fillId="0" borderId="3" xfId="0" applyNumberFormat="1" applyFont="1" applyBorder="1"/>
    <xf numFmtId="43" fontId="5" fillId="0" borderId="0" xfId="0" applyNumberFormat="1" applyFont="1"/>
    <xf numFmtId="43" fontId="3" fillId="2" borderId="1" xfId="0" applyNumberFormat="1" applyFont="1" applyFill="1" applyBorder="1" applyAlignment="1">
      <alignment horizontal="center" vertical="center" wrapText="1"/>
    </xf>
    <xf numFmtId="0" fontId="0" fillId="0" borderId="0" xfId="1" applyNumberFormat="1" applyFont="1"/>
    <xf numFmtId="43" fontId="0" fillId="0" borderId="0" xfId="0" applyNumberFormat="1" applyAlignment="1">
      <alignment horizontal="center"/>
    </xf>
    <xf numFmtId="49" fontId="1" fillId="5" borderId="5" xfId="0" applyNumberFormat="1" applyFont="1" applyFill="1" applyBorder="1" applyAlignment="1">
      <alignment horizontal="left" vertical="center" wrapText="1"/>
    </xf>
    <xf numFmtId="2" fontId="5" fillId="0" borderId="0" xfId="0" applyNumberFormat="1" applyFont="1"/>
    <xf numFmtId="165" fontId="5" fillId="0" borderId="6" xfId="0" applyNumberFormat="1" applyFont="1" applyBorder="1"/>
    <xf numFmtId="0" fontId="5" fillId="4" borderId="0" xfId="0" applyFont="1" applyFill="1"/>
    <xf numFmtId="0" fontId="5" fillId="0" borderId="0" xfId="0" applyFont="1"/>
    <xf numFmtId="0" fontId="5" fillId="2" borderId="0" xfId="0" applyFont="1" applyFill="1" applyAlignment="1">
      <alignment horizontal="center" vertical="center" textRotation="90"/>
    </xf>
    <xf numFmtId="164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165" fontId="0" fillId="0" borderId="10" xfId="0" applyNumberFormat="1" applyBorder="1"/>
    <xf numFmtId="164" fontId="4" fillId="3" borderId="10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168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5" fontId="0" fillId="6" borderId="3" xfId="0" applyNumberFormat="1" applyFill="1" applyBorder="1"/>
    <xf numFmtId="2" fontId="0" fillId="6" borderId="0" xfId="0" applyNumberFormat="1" applyFill="1"/>
    <xf numFmtId="165" fontId="0" fillId="6" borderId="6" xfId="0" applyNumberFormat="1" applyFill="1" applyBorder="1"/>
    <xf numFmtId="165" fontId="0" fillId="0" borderId="8" xfId="0" applyNumberFormat="1" applyBorder="1"/>
    <xf numFmtId="165" fontId="12" fillId="0" borderId="3" xfId="0" applyNumberFormat="1" applyFont="1" applyBorder="1"/>
    <xf numFmtId="165" fontId="12" fillId="0" borderId="9" xfId="0" applyNumberFormat="1" applyFont="1" applyBorder="1"/>
    <xf numFmtId="165" fontId="12" fillId="0" borderId="10" xfId="0" applyNumberFormat="1" applyFont="1" applyBorder="1"/>
    <xf numFmtId="165" fontId="12" fillId="0" borderId="0" xfId="0" applyNumberFormat="1" applyFont="1"/>
    <xf numFmtId="0" fontId="13" fillId="2" borderId="0" xfId="0" applyFont="1" applyFill="1" applyAlignment="1">
      <alignment horizontal="center" vertical="center" textRotation="90"/>
    </xf>
    <xf numFmtId="0" fontId="13" fillId="4" borderId="0" xfId="0" applyFont="1" applyFill="1"/>
    <xf numFmtId="0" fontId="13" fillId="0" borderId="0" xfId="0" applyFont="1"/>
    <xf numFmtId="168" fontId="13" fillId="0" borderId="0" xfId="0" applyNumberFormat="1" applyFont="1"/>
    <xf numFmtId="2" fontId="13" fillId="0" borderId="0" xfId="0" applyNumberFormat="1" applyFont="1"/>
    <xf numFmtId="4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/>
    <xf numFmtId="0" fontId="0" fillId="0" borderId="0" xfId="0" applyAlignment="1"/>
    <xf numFmtId="0" fontId="3" fillId="2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1" fillId="7" borderId="14" xfId="4" applyFont="1" applyFill="1" applyBorder="1" applyAlignment="1">
      <alignment horizontal="center" vertical="center" wrapText="1"/>
    </xf>
    <xf numFmtId="0" fontId="11" fillId="7" borderId="15" xfId="4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BE2422F-25CC-4790-91E5-4213514FAC4F}"/>
    <cellStyle name="Normal 2 2" xfId="4" xr:uid="{FF90747F-6001-4094-8847-C6528F1BFA5C}"/>
    <cellStyle name="Normal 3" xfId="3" xr:uid="{23E85581-492F-4745-8861-2FDA132B0C1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BRE">
  <a:themeElements>
    <a:clrScheme name="CBRE Excel">
      <a:dk1>
        <a:srgbClr val="435254"/>
      </a:dk1>
      <a:lt1>
        <a:sysClr val="window" lastClr="FFFFFF"/>
      </a:lt1>
      <a:dk2>
        <a:srgbClr val="DBD99A"/>
      </a:dk2>
      <a:lt2>
        <a:srgbClr val="80BBAD"/>
      </a:lt2>
      <a:accent1>
        <a:srgbClr val="80BBAD"/>
      </a:accent1>
      <a:accent2>
        <a:srgbClr val="435254"/>
      </a:accent2>
      <a:accent3>
        <a:srgbClr val="17E88F"/>
      </a:accent3>
      <a:accent4>
        <a:srgbClr val="DBD99A"/>
      </a:accent4>
      <a:accent5>
        <a:srgbClr val="D2785A"/>
      </a:accent5>
      <a:accent6>
        <a:srgbClr val="885073"/>
      </a:accent6>
      <a:hlink>
        <a:srgbClr val="538184"/>
      </a:hlink>
      <a:folHlink>
        <a:srgbClr val="538184"/>
      </a:folHlink>
    </a:clrScheme>
    <a:fontScheme name="CBRE">
      <a:majorFont>
        <a:latin typeface="Financier Display"/>
        <a:ea typeface=""/>
        <a:cs typeface=""/>
      </a:majorFont>
      <a:minorFont>
        <a:latin typeface="Calibr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eladon (DV1)">
      <a:srgbClr val="80BBAD"/>
    </a:custClr>
    <a:custClr name="Dark Grey (DV2)">
      <a:srgbClr val="435254"/>
    </a:custClr>
    <a:custClr name="Accent Green (DV3)">
      <a:srgbClr val="17E88F"/>
    </a:custClr>
    <a:custClr name="Wheat (DV4)">
      <a:srgbClr val="DBD99A"/>
    </a:custClr>
    <a:custClr name="Data Orange (DV5)">
      <a:srgbClr val="D2785A"/>
    </a:custClr>
    <a:custClr name="Data Purple (DV6)">
      <a:srgbClr val="885073"/>
    </a:custClr>
    <a:custClr name="Data Lt. Purple (DV7)">
      <a:srgbClr val="A388BF"/>
    </a:custClr>
    <a:custClr name="Data Blue (DV8)">
      <a:srgbClr val="1F3765"/>
    </a:custClr>
    <a:custClr name="Data Lt. Blue (DV9)">
      <a:srgbClr val="3E7CA6"/>
    </a:custClr>
    <a:custClr name="Light Grey (DV10)">
      <a:srgbClr val="CAD1D3"/>
    </a:custClr>
    <a:custClr name="Negative Value Red">
      <a:srgbClr val="AD2A2A"/>
    </a:custClr>
    <a:custClr name="DataViz Background (20% Lt. Grey)">
      <a:srgbClr val="F6F6F6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Primary Green (Primary)">
      <a:srgbClr val="003F2D"/>
    </a:custClr>
    <a:custClr name="Accent Green (Primary)">
      <a:srgbClr val="17E88F"/>
    </a:custClr>
    <a:custClr name="Dark Green (Primary)">
      <a:srgbClr val="012A2D"/>
    </a:custClr>
    <a:custClr name="Dark Grey (Primary)">
      <a:srgbClr val="435254"/>
    </a:custClr>
    <a:custClr name="Light Grey (Primary)">
      <a:srgbClr val="CAD1D3"/>
    </a:custClr>
    <a:custClr name="Midnight (Secondary)">
      <a:srgbClr val="032842"/>
    </a:custClr>
    <a:custClr name="Sage (Secondary)">
      <a:srgbClr val="538184"/>
    </a:custClr>
    <a:custClr name="Celadon (Secondary)">
      <a:srgbClr val="80BBAD"/>
    </a:custClr>
    <a:custClr name="Wheat (Secondary)">
      <a:srgbClr val="DBD99A"/>
    </a:custClr>
    <a:custClr name="Cement (Secondary)">
      <a:srgbClr val="7F848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Midnight Tint (Secondary)">
      <a:srgbClr val="778F9C"/>
    </a:custClr>
    <a:custClr name="Sage Tint (Secondary)">
      <a:srgbClr val="96B3B6"/>
    </a:custClr>
    <a:custClr name="Celadon Tint (Secondary)">
      <a:srgbClr val="C0D4CB"/>
    </a:custClr>
    <a:custClr name="Wheat Tint (Secondary)">
      <a:srgbClr val="EFECD2"/>
    </a:custClr>
    <a:custClr name="Cement Tint (Secondary)">
      <a:srgbClr val="CBCDCB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B8AD-AE04-4543-B232-6D3D3239B900}">
  <sheetPr filterMode="1"/>
  <dimension ref="A1:AB159"/>
  <sheetViews>
    <sheetView view="pageBreakPreview" topLeftCell="K54" zoomScaleNormal="100" zoomScaleSheetLayoutView="100" workbookViewId="0">
      <selection activeCell="U68" sqref="U68:W68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5" width="11" style="4" bestFit="1" customWidth="1"/>
    <col min="6" max="13" width="11" bestFit="1" customWidth="1"/>
    <col min="14" max="14" width="6" customWidth="1"/>
    <col min="15" max="23" width="9.33203125" bestFit="1" customWidth="1"/>
    <col min="24" max="24" width="6" customWidth="1"/>
    <col min="25" max="25" width="8.5" style="24"/>
    <col min="26" max="26" width="11" style="24" customWidth="1"/>
    <col min="27" max="27" width="8.5" style="24"/>
    <col min="28" max="28" width="6" customWidth="1"/>
  </cols>
  <sheetData>
    <row r="1" spans="1:28" ht="17.5" customHeight="1" x14ac:dyDescent="0.25">
      <c r="A1" s="20"/>
      <c r="B1" s="15"/>
      <c r="C1" s="2"/>
      <c r="D1" s="2"/>
      <c r="E1" s="60" t="s">
        <v>0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1</v>
      </c>
      <c r="P1" s="60"/>
      <c r="Q1" s="60"/>
      <c r="R1" s="60"/>
      <c r="S1" s="60"/>
      <c r="T1" s="60"/>
      <c r="U1" s="60"/>
      <c r="V1" s="60"/>
      <c r="W1" s="60"/>
      <c r="X1" s="22"/>
      <c r="Y1" s="59" t="s">
        <v>2</v>
      </c>
      <c r="Z1" s="59"/>
      <c r="AA1" s="59"/>
      <c r="AB1" s="22"/>
    </row>
    <row r="2" spans="1:28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4" t="s">
        <v>6</v>
      </c>
      <c r="Z2" s="24" t="s">
        <v>7</v>
      </c>
      <c r="AA2" s="24" t="s">
        <v>8</v>
      </c>
      <c r="AB2" s="22"/>
    </row>
    <row r="3" spans="1:28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Y3" s="24">
        <f>O138</f>
        <v>145.4238732537512</v>
      </c>
      <c r="Z3" s="24">
        <f>O25</f>
        <v>213.86533880922462</v>
      </c>
      <c r="AA3" s="24">
        <f>O133</f>
        <v>122.92439594567418</v>
      </c>
      <c r="AB3" s="22"/>
    </row>
    <row r="4" spans="1:28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AB4" s="22"/>
    </row>
    <row r="5" spans="1:28" x14ac:dyDescent="0.25">
      <c r="A5" s="16"/>
      <c r="B5" s="3" t="s">
        <v>17</v>
      </c>
      <c r="C5" s="3" t="s">
        <v>18</v>
      </c>
      <c r="D5" s="11" t="s">
        <v>19</v>
      </c>
      <c r="E5" s="7">
        <v>1812.7573346593736</v>
      </c>
      <c r="F5" s="7">
        <v>2640.9278965688713</v>
      </c>
      <c r="G5" s="7">
        <v>3159.8935852809545</v>
      </c>
      <c r="H5" s="7">
        <v>1744.1546494281451</v>
      </c>
      <c r="I5" s="7">
        <v>2478.8513177523619</v>
      </c>
      <c r="J5" s="7">
        <v>2933.1367478866237</v>
      </c>
      <c r="K5" s="7">
        <v>1826.7707608155147</v>
      </c>
      <c r="L5" s="7">
        <v>2431.3083043262059</v>
      </c>
      <c r="M5" s="7">
        <v>2969.2192938836401</v>
      </c>
      <c r="N5" s="22"/>
      <c r="O5" s="7">
        <v>168.4092966959864</v>
      </c>
      <c r="P5" s="7">
        <v>245.3482334244955</v>
      </c>
      <c r="Q5" s="7">
        <v>293.56133121442826</v>
      </c>
      <c r="R5" s="7">
        <v>162.03595055066893</v>
      </c>
      <c r="S5" s="7">
        <v>230.29094907236305</v>
      </c>
      <c r="T5" s="7">
        <v>272.49510311183383</v>
      </c>
      <c r="U5" s="7">
        <v>169.7111759923128</v>
      </c>
      <c r="V5" s="7">
        <v>225.87409453765983</v>
      </c>
      <c r="W5" s="7">
        <v>275.8472540468623</v>
      </c>
      <c r="X5" s="22"/>
      <c r="Y5"/>
      <c r="Z5" s="10">
        <f>O5/$Z$3</f>
        <v>0.78745484253628117</v>
      </c>
      <c r="AA5"/>
      <c r="AB5" s="22"/>
    </row>
    <row r="6" spans="1:28" x14ac:dyDescent="0.25">
      <c r="A6" s="16"/>
      <c r="B6" s="3" t="s">
        <v>17</v>
      </c>
      <c r="C6" s="3" t="s">
        <v>20</v>
      </c>
      <c r="D6" s="11" t="s">
        <v>19</v>
      </c>
      <c r="E6" s="8">
        <v>1693.3112879164594</v>
      </c>
      <c r="F6" s="8">
        <v>2466.1541521631029</v>
      </c>
      <c r="G6" s="8">
        <v>2950.4485330681255</v>
      </c>
      <c r="H6" s="8">
        <v>1671.2386872202885</v>
      </c>
      <c r="I6" s="8">
        <v>2376.9915464942815</v>
      </c>
      <c r="J6" s="8">
        <v>2805.8960716061661</v>
      </c>
      <c r="K6" s="8">
        <v>1972.5798110392839</v>
      </c>
      <c r="L6" s="8">
        <v>2620.9930382894081</v>
      </c>
      <c r="M6" s="8">
        <v>3225.4336151168573</v>
      </c>
      <c r="N6" s="22"/>
      <c r="O6" s="8">
        <v>157.31248614088253</v>
      </c>
      <c r="P6" s="8">
        <v>229.11135338901616</v>
      </c>
      <c r="Q6" s="8">
        <v>274.10340749501069</v>
      </c>
      <c r="R6" s="8">
        <v>155.26189112277328</v>
      </c>
      <c r="S6" s="8">
        <v>220.82794367654665</v>
      </c>
      <c r="T6" s="8">
        <v>260.67415366989428</v>
      </c>
      <c r="U6" s="8">
        <v>183.25716978342817</v>
      </c>
      <c r="V6" s="8">
        <v>243.49623955946484</v>
      </c>
      <c r="W6" s="8">
        <v>299.65014967846844</v>
      </c>
      <c r="X6" s="22"/>
      <c r="Y6"/>
      <c r="Z6" s="10">
        <f t="shared" ref="Z6:Z44" si="0">O6/$Z$3</f>
        <v>0.73556793736085857</v>
      </c>
      <c r="AA6"/>
      <c r="AB6" s="22"/>
    </row>
    <row r="7" spans="1:28" x14ac:dyDescent="0.25">
      <c r="A7" s="16"/>
      <c r="B7" s="3" t="s">
        <v>17</v>
      </c>
      <c r="C7" s="3" t="s">
        <v>21</v>
      </c>
      <c r="D7" s="11" t="s">
        <v>19</v>
      </c>
      <c r="E7" s="8">
        <v>1693.3112879164594</v>
      </c>
      <c r="F7" s="8">
        <v>2466.1541521631029</v>
      </c>
      <c r="G7" s="8">
        <v>2950.4485330681255</v>
      </c>
      <c r="H7" s="8">
        <v>1671.2386872202885</v>
      </c>
      <c r="I7" s="8">
        <v>2376.9915464942815</v>
      </c>
      <c r="J7" s="8">
        <v>2805.8960716061661</v>
      </c>
      <c r="K7" s="8">
        <v>1972.5798110392839</v>
      </c>
      <c r="L7" s="8">
        <v>2620.9930382894081</v>
      </c>
      <c r="M7" s="8">
        <v>3225.4336151168573</v>
      </c>
      <c r="N7" s="22"/>
      <c r="O7" s="8">
        <v>157.31248614088253</v>
      </c>
      <c r="P7" s="8">
        <v>229.11135338901616</v>
      </c>
      <c r="Q7" s="8">
        <v>274.10340749501069</v>
      </c>
      <c r="R7" s="8">
        <v>155.26189112277328</v>
      </c>
      <c r="S7" s="8">
        <v>220.82794367654665</v>
      </c>
      <c r="T7" s="8">
        <v>260.67415366989428</v>
      </c>
      <c r="U7" s="8">
        <v>183.25716978342817</v>
      </c>
      <c r="V7" s="8">
        <v>243.49623955946484</v>
      </c>
      <c r="W7" s="8">
        <v>299.65014967846844</v>
      </c>
      <c r="X7" s="22"/>
      <c r="Y7"/>
      <c r="Z7" s="10">
        <f t="shared" si="0"/>
        <v>0.73556793736085857</v>
      </c>
      <c r="AA7"/>
      <c r="AB7" s="22"/>
    </row>
    <row r="8" spans="1:28" x14ac:dyDescent="0.25">
      <c r="A8" s="16"/>
      <c r="B8" s="3" t="s">
        <v>17</v>
      </c>
      <c r="C8" s="3" t="s">
        <v>22</v>
      </c>
      <c r="D8" s="11" t="s">
        <v>19</v>
      </c>
      <c r="E8" s="8">
        <v>2218.492789656887</v>
      </c>
      <c r="F8" s="8">
        <v>3234.6056688214817</v>
      </c>
      <c r="G8" s="8">
        <v>3871.3426156141222</v>
      </c>
      <c r="H8" s="8">
        <v>2189.4728990551962</v>
      </c>
      <c r="I8" s="8">
        <v>3117.3779214321235</v>
      </c>
      <c r="J8" s="8">
        <v>3681.2884137245151</v>
      </c>
      <c r="K8" s="8">
        <v>2585.6683242168074</v>
      </c>
      <c r="L8" s="8">
        <v>3438.1829935355545</v>
      </c>
      <c r="M8" s="8">
        <v>4232.8861263053204</v>
      </c>
      <c r="N8" s="22"/>
      <c r="O8" s="8">
        <v>206.10304715795698</v>
      </c>
      <c r="P8" s="8">
        <v>300.50225441643875</v>
      </c>
      <c r="Q8" s="8">
        <v>359.65657106955427</v>
      </c>
      <c r="R8" s="8">
        <v>203.40703304013599</v>
      </c>
      <c r="S8" s="8">
        <v>289.61152893783719</v>
      </c>
      <c r="T8" s="8">
        <v>342.00010163352795</v>
      </c>
      <c r="U8" s="8">
        <v>240.2144929410895</v>
      </c>
      <c r="V8" s="8">
        <v>319.41505284943452</v>
      </c>
      <c r="W8" s="8">
        <v>393.24478897183826</v>
      </c>
      <c r="X8" s="22"/>
      <c r="Y8"/>
      <c r="Z8" s="10">
        <f t="shared" si="0"/>
        <v>0.9637047700460154</v>
      </c>
      <c r="AA8"/>
      <c r="AB8" s="22"/>
    </row>
    <row r="9" spans="1:28" x14ac:dyDescent="0.25">
      <c r="A9" s="16"/>
      <c r="B9" s="3" t="s">
        <v>17</v>
      </c>
      <c r="C9" s="3" t="s">
        <v>23</v>
      </c>
      <c r="D9" s="11" t="s">
        <v>19</v>
      </c>
      <c r="E9" s="8">
        <v>1758.2913973147688</v>
      </c>
      <c r="F9" s="8">
        <v>2556.5693684733965</v>
      </c>
      <c r="G9" s="8">
        <v>3071.177026355047</v>
      </c>
      <c r="H9" s="8">
        <v>1711.5121829935356</v>
      </c>
      <c r="I9" s="8">
        <v>2430.6210840377921</v>
      </c>
      <c r="J9" s="8">
        <v>2880.7702635504725</v>
      </c>
      <c r="K9" s="8">
        <v>1940.2859273993038</v>
      </c>
      <c r="L9" s="8">
        <v>2568.7384385877672</v>
      </c>
      <c r="M9" s="8">
        <v>3179.7702635504725</v>
      </c>
      <c r="N9" s="22"/>
      <c r="O9" s="8">
        <v>163.34928671742182</v>
      </c>
      <c r="P9" s="8">
        <v>237.51113349101928</v>
      </c>
      <c r="Q9" s="8">
        <v>285.31936026313844</v>
      </c>
      <c r="R9" s="8">
        <v>159.00339086406976</v>
      </c>
      <c r="S9" s="8">
        <v>225.81025020326703</v>
      </c>
      <c r="T9" s="8">
        <v>267.63013711286862</v>
      </c>
      <c r="U9" s="8">
        <v>180.25699423460713</v>
      </c>
      <c r="V9" s="8">
        <v>238.6416678985882</v>
      </c>
      <c r="W9" s="8">
        <v>295.40792002365288</v>
      </c>
      <c r="X9" s="22"/>
      <c r="Y9"/>
      <c r="Z9" s="10">
        <f t="shared" si="0"/>
        <v>0.76379504798173536</v>
      </c>
      <c r="AA9"/>
      <c r="AB9" s="22"/>
    </row>
    <row r="10" spans="1:28" x14ac:dyDescent="0.25">
      <c r="A10" s="16"/>
      <c r="B10" s="3" t="s">
        <v>17</v>
      </c>
      <c r="C10" s="3" t="s">
        <v>24</v>
      </c>
      <c r="D10" s="11" t="s">
        <v>19</v>
      </c>
      <c r="E10" s="8">
        <v>2159.7180507210342</v>
      </c>
      <c r="F10" s="8">
        <v>3148.6056688214817</v>
      </c>
      <c r="G10" s="8">
        <v>3768.2819492789658</v>
      </c>
      <c r="H10" s="8">
        <v>2131.4758826454499</v>
      </c>
      <c r="I10" s="8">
        <v>3034.5181501740426</v>
      </c>
      <c r="J10" s="8">
        <v>3583.3207359522626</v>
      </c>
      <c r="K10" s="8">
        <v>2506.1422178020885</v>
      </c>
      <c r="L10" s="8">
        <v>3309.3117851815018</v>
      </c>
      <c r="M10" s="8">
        <v>4058.2222774738934</v>
      </c>
      <c r="N10" s="22"/>
      <c r="O10" s="8">
        <v>200.64273967033779</v>
      </c>
      <c r="P10" s="8">
        <v>292.51265799393894</v>
      </c>
      <c r="Q10" s="8">
        <v>350.0819997782541</v>
      </c>
      <c r="R10" s="8">
        <v>198.01897775149678</v>
      </c>
      <c r="S10" s="8">
        <v>281.91366693768941</v>
      </c>
      <c r="T10" s="8">
        <v>332.89868061201861</v>
      </c>
      <c r="U10" s="8">
        <v>232.82633601892229</v>
      </c>
      <c r="V10" s="8">
        <v>307.44262325375121</v>
      </c>
      <c r="W10" s="8">
        <v>377.01811848621475</v>
      </c>
      <c r="X10" s="22"/>
      <c r="Y10"/>
      <c r="Z10" s="10">
        <f t="shared" si="0"/>
        <v>0.93817324858479356</v>
      </c>
      <c r="AA10"/>
      <c r="AB10" s="22"/>
    </row>
    <row r="11" spans="1:28" x14ac:dyDescent="0.25">
      <c r="A11" s="16"/>
      <c r="B11" s="3" t="s">
        <v>17</v>
      </c>
      <c r="C11" s="3" t="s">
        <v>25</v>
      </c>
      <c r="D11" s="11" t="s">
        <v>19</v>
      </c>
      <c r="E11" s="8">
        <v>1765.8120338140229</v>
      </c>
      <c r="F11" s="8">
        <v>2572.788165091994</v>
      </c>
      <c r="G11" s="8">
        <v>3092.4574838388862</v>
      </c>
      <c r="H11" s="8">
        <v>1745.531576330184</v>
      </c>
      <c r="I11" s="8">
        <v>2479.1447041273</v>
      </c>
      <c r="J11" s="8">
        <v>2938.3734460467431</v>
      </c>
      <c r="K11" s="8">
        <v>2151.858776727996</v>
      </c>
      <c r="L11" s="8">
        <v>2859.9547488811536</v>
      </c>
      <c r="M11" s="8">
        <v>3520.0318249627053</v>
      </c>
      <c r="N11" s="22"/>
      <c r="O11" s="8">
        <v>164.0479710252051</v>
      </c>
      <c r="P11" s="8">
        <v>239.01789674033557</v>
      </c>
      <c r="Q11" s="8">
        <v>287.29636336758074</v>
      </c>
      <c r="R11" s="8">
        <v>162.16387020474536</v>
      </c>
      <c r="S11" s="8">
        <v>230.31820533668414</v>
      </c>
      <c r="T11" s="8">
        <v>272.98160433143613</v>
      </c>
      <c r="U11" s="8">
        <v>199.91259516593982</v>
      </c>
      <c r="V11" s="8">
        <v>265.6963282578165</v>
      </c>
      <c r="W11" s="8">
        <v>327.01899623032006</v>
      </c>
      <c r="X11" s="22"/>
      <c r="Y11"/>
      <c r="Z11" s="10">
        <f t="shared" si="0"/>
        <v>0.7670619836697411</v>
      </c>
      <c r="AA11"/>
      <c r="AB11" s="22"/>
    </row>
    <row r="12" spans="1:28" x14ac:dyDescent="0.25">
      <c r="A12" s="16"/>
      <c r="B12" s="3" t="s">
        <v>17</v>
      </c>
      <c r="C12" s="3" t="s">
        <v>26</v>
      </c>
      <c r="D12" s="11" t="s">
        <v>19</v>
      </c>
      <c r="E12" s="8">
        <v>1717.8080556936848</v>
      </c>
      <c r="F12" s="8">
        <v>2497.442565887618</v>
      </c>
      <c r="G12" s="8">
        <v>3000.0318249627053</v>
      </c>
      <c r="H12" s="8">
        <v>1672.120835405271</v>
      </c>
      <c r="I12" s="8">
        <v>2374.4356041770266</v>
      </c>
      <c r="J12" s="8">
        <v>2814.0716061660864</v>
      </c>
      <c r="K12" s="8">
        <v>1895.551964196917</v>
      </c>
      <c r="L12" s="8">
        <v>2509.3276976628545</v>
      </c>
      <c r="M12" s="8">
        <v>3106.0885131775235</v>
      </c>
      <c r="N12" s="22"/>
      <c r="O12" s="8">
        <v>159.58829181757704</v>
      </c>
      <c r="P12" s="8">
        <v>232.01811848621477</v>
      </c>
      <c r="Q12" s="8">
        <v>278.70980855939092</v>
      </c>
      <c r="R12" s="8">
        <v>155.34384470396924</v>
      </c>
      <c r="S12" s="8">
        <v>220.59049079754601</v>
      </c>
      <c r="T12" s="8">
        <v>261.43367950328923</v>
      </c>
      <c r="U12" s="8">
        <v>176.10110688151377</v>
      </c>
      <c r="V12" s="8">
        <v>233.12227437356788</v>
      </c>
      <c r="W12" s="8">
        <v>288.56271712617337</v>
      </c>
      <c r="X12" s="22"/>
      <c r="Y12"/>
      <c r="Z12" s="10">
        <f t="shared" si="0"/>
        <v>0.7462092394501354</v>
      </c>
      <c r="AA12"/>
      <c r="AB12" s="22"/>
    </row>
    <row r="13" spans="1:28" x14ac:dyDescent="0.25">
      <c r="A13" s="16"/>
      <c r="B13" s="3" t="s">
        <v>17</v>
      </c>
      <c r="C13" s="3" t="s">
        <v>27</v>
      </c>
      <c r="D13" s="11" t="s">
        <v>19</v>
      </c>
      <c r="E13" s="8">
        <v>1612.2665340626554</v>
      </c>
      <c r="F13" s="8">
        <v>2322.8329189457982</v>
      </c>
      <c r="G13" s="8">
        <v>2795.9229239184488</v>
      </c>
      <c r="H13" s="8">
        <v>1649.2710094480358</v>
      </c>
      <c r="I13" s="8">
        <v>2341.8428642466433</v>
      </c>
      <c r="J13" s="8">
        <v>2775.3809050223767</v>
      </c>
      <c r="K13" s="8">
        <v>1784.6752859273993</v>
      </c>
      <c r="L13" s="8">
        <v>2384.5977125808054</v>
      </c>
      <c r="M13" s="8">
        <v>2928.0397812033816</v>
      </c>
      <c r="N13" s="22"/>
      <c r="O13" s="8">
        <v>149.78324340306008</v>
      </c>
      <c r="P13" s="8">
        <v>215.79648347993199</v>
      </c>
      <c r="Q13" s="8">
        <v>259.74762547120997</v>
      </c>
      <c r="R13" s="8">
        <v>153.22104368393821</v>
      </c>
      <c r="S13" s="8">
        <v>217.56255081676397</v>
      </c>
      <c r="T13" s="8">
        <v>257.83922499815208</v>
      </c>
      <c r="U13" s="8">
        <v>165.80041022987655</v>
      </c>
      <c r="V13" s="8">
        <v>221.53457387833541</v>
      </c>
      <c r="W13" s="8">
        <v>272.02158326557765</v>
      </c>
      <c r="X13" s="22"/>
      <c r="Y13"/>
      <c r="Z13" s="10">
        <f t="shared" si="0"/>
        <v>0.70036240672300798</v>
      </c>
      <c r="AA13"/>
      <c r="AB13" s="22"/>
    </row>
    <row r="14" spans="1:28" x14ac:dyDescent="0.25">
      <c r="A14" s="16"/>
      <c r="B14" s="3" t="s">
        <v>17</v>
      </c>
      <c r="C14" s="3" t="s">
        <v>28</v>
      </c>
      <c r="D14" s="11" t="s">
        <v>19</v>
      </c>
      <c r="E14" s="8">
        <v>1701.2466434609646</v>
      </c>
      <c r="F14" s="8">
        <v>2518.8100447538536</v>
      </c>
      <c r="G14" s="8">
        <v>3020.0353058180008</v>
      </c>
      <c r="H14" s="8">
        <v>1412.245151665838</v>
      </c>
      <c r="I14" s="8">
        <v>2014.3615116857286</v>
      </c>
      <c r="J14" s="8">
        <v>2391.2754848334162</v>
      </c>
      <c r="K14" s="8">
        <v>1877.2511188463452</v>
      </c>
      <c r="L14" s="8">
        <v>2485.0228741919441</v>
      </c>
      <c r="M14" s="8">
        <v>3075.9457981103928</v>
      </c>
      <c r="N14" s="22"/>
      <c r="O14" s="8">
        <v>158.04969879518072</v>
      </c>
      <c r="P14" s="8">
        <v>234.00320607583708</v>
      </c>
      <c r="Q14" s="8">
        <v>280.56817761844923</v>
      </c>
      <c r="R14" s="8">
        <v>131.20080013304752</v>
      </c>
      <c r="S14" s="8">
        <v>187.13878520215832</v>
      </c>
      <c r="T14" s="8">
        <v>222.15495417251827</v>
      </c>
      <c r="U14" s="8">
        <v>174.4009165496341</v>
      </c>
      <c r="V14" s="8">
        <v>230.86430076132751</v>
      </c>
      <c r="W14" s="8">
        <v>285.76239005100155</v>
      </c>
      <c r="X14" s="22"/>
      <c r="Y14"/>
      <c r="Z14" s="10">
        <f t="shared" si="0"/>
        <v>0.73901502541356923</v>
      </c>
      <c r="AA14"/>
      <c r="AB14" s="22"/>
    </row>
    <row r="15" spans="1:28" x14ac:dyDescent="0.25">
      <c r="A15" s="16"/>
      <c r="B15" s="3" t="s">
        <v>17</v>
      </c>
      <c r="C15" s="3" t="s">
        <v>29</v>
      </c>
      <c r="D15" s="11" t="s">
        <v>19</v>
      </c>
      <c r="E15" s="8">
        <v>1620.2794629537543</v>
      </c>
      <c r="F15" s="8">
        <v>2355</v>
      </c>
      <c r="G15" s="8">
        <v>2828.6364992541025</v>
      </c>
      <c r="H15" s="8">
        <v>1577.2247637991049</v>
      </c>
      <c r="I15" s="8">
        <v>2239.0795624067628</v>
      </c>
      <c r="J15" s="8">
        <v>2653.3893585280953</v>
      </c>
      <c r="K15" s="8">
        <v>1787.7836897066136</v>
      </c>
      <c r="L15" s="8">
        <v>2366.2003978120338</v>
      </c>
      <c r="M15" s="8">
        <v>2928.5832918945798</v>
      </c>
      <c r="N15" s="22"/>
      <c r="O15" s="8">
        <v>150.527662798433</v>
      </c>
      <c r="P15" s="8">
        <v>218.78487877891934</v>
      </c>
      <c r="Q15" s="8">
        <v>262.78679133712762</v>
      </c>
      <c r="R15" s="8">
        <v>146.52778291078423</v>
      </c>
      <c r="S15" s="8">
        <v>208.01560536625027</v>
      </c>
      <c r="T15" s="8">
        <v>246.50593170226918</v>
      </c>
      <c r="U15" s="8">
        <v>166.08918804050558</v>
      </c>
      <c r="V15" s="8">
        <v>219.82542131717051</v>
      </c>
      <c r="W15" s="8">
        <v>272.07207665015892</v>
      </c>
      <c r="X15" s="22"/>
      <c r="Y15"/>
      <c r="Z15" s="10">
        <f t="shared" si="0"/>
        <v>0.70384319234033965</v>
      </c>
      <c r="AA15"/>
      <c r="AB15" s="22"/>
    </row>
    <row r="16" spans="1:28" x14ac:dyDescent="0.25">
      <c r="A16" s="16"/>
      <c r="B16" s="3" t="s">
        <v>17</v>
      </c>
      <c r="C16" s="3" t="s">
        <v>30</v>
      </c>
      <c r="D16" s="11" t="s">
        <v>19</v>
      </c>
      <c r="E16" s="8">
        <v>1730.6892093485828</v>
      </c>
      <c r="F16" s="8">
        <v>2516.2555942317254</v>
      </c>
      <c r="G16" s="8">
        <v>3022.66882148185</v>
      </c>
      <c r="H16" s="8">
        <v>1684.654400795624</v>
      </c>
      <c r="I16" s="8">
        <v>2392.3127797115862</v>
      </c>
      <c r="J16" s="8">
        <v>2835.2938836399803</v>
      </c>
      <c r="K16" s="8">
        <v>1909.7851815017405</v>
      </c>
      <c r="L16" s="8">
        <v>2528.2312282446542</v>
      </c>
      <c r="M16" s="8">
        <v>3129.5325708602686</v>
      </c>
      <c r="N16" s="22"/>
      <c r="O16" s="8">
        <v>160.78498041244731</v>
      </c>
      <c r="P16" s="8">
        <v>233.76589178801092</v>
      </c>
      <c r="Q16" s="8">
        <v>280.81283723852465</v>
      </c>
      <c r="R16" s="8">
        <v>156.50824155517776</v>
      </c>
      <c r="S16" s="8">
        <v>222.25132123586368</v>
      </c>
      <c r="T16" s="8" t="s">
        <v>31</v>
      </c>
      <c r="U16" s="8">
        <v>177.42340527755192</v>
      </c>
      <c r="V16" s="8">
        <v>234.8784555399512</v>
      </c>
      <c r="W16" s="8">
        <v>290.74072363071917</v>
      </c>
      <c r="X16" s="22"/>
      <c r="Y16"/>
      <c r="Z16" s="10">
        <f t="shared" si="0"/>
        <v>0.75180476325746803</v>
      </c>
      <c r="AA16"/>
      <c r="AB16" s="22"/>
    </row>
    <row r="17" spans="1:28" x14ac:dyDescent="0.25">
      <c r="A17" s="16"/>
      <c r="B17" s="3" t="s">
        <v>17</v>
      </c>
      <c r="C17" s="3" t="s">
        <v>32</v>
      </c>
      <c r="D17" s="11" t="s">
        <v>19</v>
      </c>
      <c r="E17" s="8">
        <v>1817.1770263550472</v>
      </c>
      <c r="F17" s="8">
        <v>2642.5723520636498</v>
      </c>
      <c r="G17" s="8">
        <v>3174.6613625062159</v>
      </c>
      <c r="H17" s="8">
        <v>1768.8080556936848</v>
      </c>
      <c r="I17" s="8">
        <v>2512.345599204376</v>
      </c>
      <c r="J17" s="8">
        <v>2977.7861760318251</v>
      </c>
      <c r="K17" s="8">
        <v>2005.3530581800098</v>
      </c>
      <c r="L17" s="8">
        <v>2655.1551466931874</v>
      </c>
      <c r="M17" s="8">
        <v>3286.9428145201391</v>
      </c>
      <c r="N17" s="22"/>
      <c r="O17" s="8">
        <v>168.81989614901323</v>
      </c>
      <c r="P17" s="8">
        <v>245.50100709586812</v>
      </c>
      <c r="Q17" s="8">
        <v>294.93329144800055</v>
      </c>
      <c r="R17" s="8">
        <v>164.3263083006874</v>
      </c>
      <c r="S17" s="8">
        <v>233.40264431960972</v>
      </c>
      <c r="T17" s="8">
        <v>276.64313696503802</v>
      </c>
      <c r="U17" s="8">
        <v>186.3018792963264</v>
      </c>
      <c r="V17" s="8">
        <v>246.66997745583561</v>
      </c>
      <c r="W17" s="8">
        <v>305.3644947889718</v>
      </c>
      <c r="X17" s="22"/>
      <c r="Y17"/>
      <c r="Z17" s="10">
        <f t="shared" si="0"/>
        <v>0.78937473967956295</v>
      </c>
      <c r="AA17"/>
      <c r="AB17" s="22"/>
    </row>
    <row r="18" spans="1:28" x14ac:dyDescent="0.25">
      <c r="A18" s="16"/>
      <c r="B18" s="3" t="s">
        <v>17</v>
      </c>
      <c r="C18" s="3" t="s">
        <v>33</v>
      </c>
      <c r="D18" s="11" t="s">
        <v>19</v>
      </c>
      <c r="E18" s="8">
        <v>1609.2391844853307</v>
      </c>
      <c r="F18" s="8">
        <v>2338.8751864743908</v>
      </c>
      <c r="G18" s="8">
        <v>2809.2327200397813</v>
      </c>
      <c r="H18" s="8">
        <v>1566.4818498259572</v>
      </c>
      <c r="I18" s="8">
        <v>2223.7563401292891</v>
      </c>
      <c r="J18" s="8">
        <v>2635.1989060169071</v>
      </c>
      <c r="K18" s="8">
        <v>1775.583789159622</v>
      </c>
      <c r="L18" s="8">
        <v>2349.9975136747885</v>
      </c>
      <c r="M18" s="8">
        <v>2908.4883142715066</v>
      </c>
      <c r="N18" s="22"/>
      <c r="O18" s="8">
        <v>149.50199571291299</v>
      </c>
      <c r="P18" s="8">
        <v>217.28684677359743</v>
      </c>
      <c r="Q18" s="8">
        <v>260.98413593022394</v>
      </c>
      <c r="R18" s="8">
        <v>145.52974166605068</v>
      </c>
      <c r="S18" s="8">
        <v>206.59204301870056</v>
      </c>
      <c r="T18" s="8">
        <v>244.81599711730357</v>
      </c>
      <c r="U18" s="8">
        <v>164.95578941533003</v>
      </c>
      <c r="V18" s="8">
        <v>218.32013637371571</v>
      </c>
      <c r="W18" s="8">
        <v>270.20520733239704</v>
      </c>
      <c r="X18" s="22"/>
      <c r="Y18"/>
      <c r="Z18" s="10">
        <f t="shared" si="0"/>
        <v>0.69904733766266824</v>
      </c>
      <c r="AA18"/>
      <c r="AB18" s="22"/>
    </row>
    <row r="19" spans="1:28" x14ac:dyDescent="0.25">
      <c r="A19" s="16"/>
      <c r="B19" s="3" t="s">
        <v>17</v>
      </c>
      <c r="C19" s="3" t="s">
        <v>34</v>
      </c>
      <c r="D19" s="11" t="s">
        <v>19</v>
      </c>
      <c r="E19" s="8">
        <v>1710.4475385380408</v>
      </c>
      <c r="F19" s="8">
        <v>2486.6921929388363</v>
      </c>
      <c r="G19" s="8">
        <v>2987.0964694181998</v>
      </c>
      <c r="H19" s="8">
        <v>1664.959224266534</v>
      </c>
      <c r="I19" s="8">
        <v>2364.2202884137246</v>
      </c>
      <c r="J19" s="8">
        <v>2801.9448035803084</v>
      </c>
      <c r="K19" s="8">
        <v>1887.4181999005471</v>
      </c>
      <c r="L19" s="8">
        <v>2498.5256091496767</v>
      </c>
      <c r="M19" s="8">
        <v>3092.6921929388363</v>
      </c>
      <c r="N19" s="22"/>
      <c r="O19" s="8">
        <v>158.90448296252492</v>
      </c>
      <c r="P19" s="8">
        <v>231.01938428560868</v>
      </c>
      <c r="Q19" s="8">
        <v>277.50808448517995</v>
      </c>
      <c r="R19" s="8">
        <v>154.67851467218566</v>
      </c>
      <c r="S19" s="8">
        <v>219.64146463153224</v>
      </c>
      <c r="T19" s="8">
        <v>260.30707184566484</v>
      </c>
      <c r="U19" s="8">
        <v>175.34546160100524</v>
      </c>
      <c r="V19" s="8">
        <v>232.11873567891195</v>
      </c>
      <c r="W19" s="8">
        <v>287.31816837903762</v>
      </c>
      <c r="X19" s="22"/>
      <c r="Y19"/>
      <c r="Z19" s="10">
        <f t="shared" si="0"/>
        <v>0.74301185899166811</v>
      </c>
      <c r="AA19"/>
      <c r="AB19" s="22"/>
    </row>
    <row r="20" spans="1:28" x14ac:dyDescent="0.25">
      <c r="A20" s="16"/>
      <c r="B20" s="3" t="s">
        <v>17</v>
      </c>
      <c r="C20" s="3" t="s">
        <v>35</v>
      </c>
      <c r="D20" s="11" t="s">
        <v>19</v>
      </c>
      <c r="E20" s="8">
        <v>1796.9353555445052</v>
      </c>
      <c r="F20" s="8">
        <v>2613.0084535057185</v>
      </c>
      <c r="G20" s="8">
        <v>3139.0890104425657</v>
      </c>
      <c r="H20" s="8">
        <v>1749.1123818995525</v>
      </c>
      <c r="I20" s="8">
        <v>2484.2521133764299</v>
      </c>
      <c r="J20" s="8">
        <v>2944.436598707111</v>
      </c>
      <c r="K20" s="8">
        <v>1982.9860765788164</v>
      </c>
      <c r="L20" s="8">
        <v>2625.4495275982099</v>
      </c>
      <c r="M20" s="8">
        <v>3250.1024365987073</v>
      </c>
      <c r="N20" s="22"/>
      <c r="O20" s="8">
        <v>166.93939869909084</v>
      </c>
      <c r="P20" s="8">
        <v>242.75445339640771</v>
      </c>
      <c r="Q20" s="8">
        <v>291.6285386946559</v>
      </c>
      <c r="R20" s="8">
        <v>162.49653522063713</v>
      </c>
      <c r="S20" s="8">
        <v>230.79269532116194</v>
      </c>
      <c r="T20" s="8">
        <v>273.54488506171924</v>
      </c>
      <c r="U20" s="8">
        <v>184.22393561977972</v>
      </c>
      <c r="V20" s="8">
        <v>243.91025759479635</v>
      </c>
      <c r="W20" s="8">
        <v>301.94193953729024</v>
      </c>
      <c r="X20" s="22"/>
      <c r="Y20"/>
      <c r="Z20" s="10">
        <f t="shared" si="0"/>
        <v>0.78058183541376303</v>
      </c>
      <c r="AA20"/>
      <c r="AB20" s="22"/>
    </row>
    <row r="21" spans="1:28" x14ac:dyDescent="0.25">
      <c r="A21" s="16"/>
      <c r="B21" s="3" t="s">
        <v>17</v>
      </c>
      <c r="C21" s="3" t="s">
        <v>36</v>
      </c>
      <c r="D21" s="11" t="s">
        <v>19</v>
      </c>
      <c r="E21" s="8">
        <v>2120.80258577822</v>
      </c>
      <c r="F21" s="8">
        <v>3086.0233714569868</v>
      </c>
      <c r="G21" s="8">
        <v>3708.2516161113872</v>
      </c>
      <c r="H21" s="8">
        <v>2064.2401790154154</v>
      </c>
      <c r="I21" s="8">
        <v>2933.7354549975139</v>
      </c>
      <c r="J21" s="8">
        <v>3478.0248632521134</v>
      </c>
      <c r="K21" s="8">
        <v>2340.8572849328693</v>
      </c>
      <c r="L21" s="8">
        <v>3100.737941322725</v>
      </c>
      <c r="M21" s="8">
        <v>3839.5539532570861</v>
      </c>
      <c r="N21" s="22"/>
      <c r="O21" s="8">
        <v>197.02740409490721</v>
      </c>
      <c r="P21" s="8">
        <v>286.69861963190181</v>
      </c>
      <c r="Q21" s="8">
        <v>344.50504471875229</v>
      </c>
      <c r="R21" s="8">
        <v>191.77262731909229</v>
      </c>
      <c r="S21" s="8">
        <v>272.55072436987211</v>
      </c>
      <c r="T21" s="8">
        <v>323.11645354423825</v>
      </c>
      <c r="U21" s="8">
        <v>217.4709882474684</v>
      </c>
      <c r="V21" s="8">
        <v>288.0656367802498</v>
      </c>
      <c r="W21" s="8">
        <v>356.70333173183531</v>
      </c>
      <c r="X21" s="22"/>
      <c r="Y21"/>
      <c r="Z21" s="10">
        <f t="shared" si="0"/>
        <v>0.92126851967659218</v>
      </c>
      <c r="AA21"/>
      <c r="AB21" s="22"/>
    </row>
    <row r="22" spans="1:28" x14ac:dyDescent="0.25">
      <c r="A22" s="16"/>
      <c r="B22" s="3" t="s">
        <v>17</v>
      </c>
      <c r="C22" s="3" t="s">
        <v>37</v>
      </c>
      <c r="D22" s="11" t="s">
        <v>19</v>
      </c>
      <c r="E22" s="8">
        <v>1660.7633018398806</v>
      </c>
      <c r="F22" s="8">
        <v>2414.126802585778</v>
      </c>
      <c r="G22" s="8">
        <v>2899.7817006464447</v>
      </c>
      <c r="H22" s="8">
        <v>1616.6156141223271</v>
      </c>
      <c r="I22" s="8">
        <v>2295.2645450024861</v>
      </c>
      <c r="J22" s="8">
        <v>2720.0875186474391</v>
      </c>
      <c r="K22" s="8">
        <v>1832.5176529090004</v>
      </c>
      <c r="L22" s="8">
        <v>2425.6121332670314</v>
      </c>
      <c r="M22" s="8">
        <v>3002.2645450024861</v>
      </c>
      <c r="N22" s="22"/>
      <c r="O22" s="8">
        <v>154.28870389533594</v>
      </c>
      <c r="P22" s="8">
        <v>224.27789378372384</v>
      </c>
      <c r="Q22" s="8">
        <v>269.39634304087514</v>
      </c>
      <c r="R22" s="8">
        <v>150.18728287382658</v>
      </c>
      <c r="S22" s="8">
        <v>213.23531857491312</v>
      </c>
      <c r="T22" s="8">
        <v>252.70234311479044</v>
      </c>
      <c r="U22" s="8">
        <v>170.24507539359894</v>
      </c>
      <c r="V22" s="8">
        <v>225.34490723630717</v>
      </c>
      <c r="W22" s="8">
        <v>278.9172333505802</v>
      </c>
      <c r="X22" s="22"/>
      <c r="Y22"/>
      <c r="Z22" s="10">
        <f t="shared" si="0"/>
        <v>0.72142921688196926</v>
      </c>
      <c r="AA22"/>
      <c r="AB22" s="22"/>
    </row>
    <row r="23" spans="1:28" x14ac:dyDescent="0.25">
      <c r="A23" s="16"/>
      <c r="B23" s="3" t="s">
        <v>17</v>
      </c>
      <c r="C23" s="3" t="s">
        <v>38</v>
      </c>
      <c r="D23" s="11" t="s">
        <v>19</v>
      </c>
      <c r="E23" s="8">
        <v>1951.5077076081552</v>
      </c>
      <c r="F23" s="8">
        <v>2838.7657881650921</v>
      </c>
      <c r="G23" s="8">
        <v>3410.7349577324712</v>
      </c>
      <c r="H23" s="8">
        <v>1899.5141720537047</v>
      </c>
      <c r="I23" s="8">
        <v>2698.7782197911488</v>
      </c>
      <c r="J23" s="8">
        <v>3199.1034311287917</v>
      </c>
      <c r="K23" s="8">
        <v>2153.788165091994</v>
      </c>
      <c r="L23" s="8">
        <v>2852.291894579811</v>
      </c>
      <c r="M23" s="8">
        <v>3531.4316260566884</v>
      </c>
      <c r="N23" s="22"/>
      <c r="O23" s="8">
        <v>181.29952324635966</v>
      </c>
      <c r="P23" s="8">
        <v>263.72782541207772</v>
      </c>
      <c r="Q23" s="8">
        <v>316.86506763249315</v>
      </c>
      <c r="R23" s="8">
        <v>176.46920504102297</v>
      </c>
      <c r="S23" s="8">
        <v>250.72266058097418</v>
      </c>
      <c r="T23" s="8">
        <v>297.20401544829622</v>
      </c>
      <c r="U23" s="8">
        <v>200.09183975164461</v>
      </c>
      <c r="V23" s="8">
        <v>264.98443159139623</v>
      </c>
      <c r="W23" s="8">
        <v>328.07806378889791</v>
      </c>
      <c r="X23" s="22"/>
      <c r="Y23"/>
      <c r="Z23" s="10">
        <f t="shared" si="0"/>
        <v>0.84772747307166585</v>
      </c>
      <c r="AA23"/>
      <c r="AB23" s="22"/>
    </row>
    <row r="24" spans="1:28" x14ac:dyDescent="0.25">
      <c r="A24" s="16"/>
      <c r="B24" s="3" t="s">
        <v>17</v>
      </c>
      <c r="C24" s="3" t="s">
        <v>39</v>
      </c>
      <c r="D24" s="11" t="s">
        <v>19</v>
      </c>
      <c r="E24" s="8">
        <v>1655.2431626056689</v>
      </c>
      <c r="F24" s="8">
        <v>2406.0641471904523</v>
      </c>
      <c r="G24" s="8">
        <v>2890.0805569368472</v>
      </c>
      <c r="H24" s="8">
        <v>1611.2446544007955</v>
      </c>
      <c r="I24" s="8">
        <v>2287.6031824962706</v>
      </c>
      <c r="J24" s="8">
        <v>2710.9925410243659</v>
      </c>
      <c r="K24" s="8">
        <v>1826.4177026355046</v>
      </c>
      <c r="L24" s="8">
        <v>2417.5106911984089</v>
      </c>
      <c r="M24" s="8">
        <v>2992.2173048234708</v>
      </c>
      <c r="N24" s="22"/>
      <c r="O24" s="8">
        <v>153.77587035257594</v>
      </c>
      <c r="P24" s="8">
        <v>223.52885468253379</v>
      </c>
      <c r="Q24" s="8">
        <v>268.49508463301055</v>
      </c>
      <c r="R24" s="8">
        <v>149.688308448518</v>
      </c>
      <c r="S24" s="8">
        <v>212.52356049966735</v>
      </c>
      <c r="T24" s="8">
        <v>251.85739892083672</v>
      </c>
      <c r="U24" s="8">
        <v>169.67837608101115</v>
      </c>
      <c r="V24" s="8">
        <v>224.59226476457977</v>
      </c>
      <c r="W24" s="8">
        <v>277.98382179022838</v>
      </c>
      <c r="X24" s="22"/>
      <c r="Y24"/>
      <c r="Z24" s="10">
        <f t="shared" si="0"/>
        <v>0.71903128954313345</v>
      </c>
      <c r="AA24"/>
      <c r="AB24" s="22"/>
    </row>
    <row r="25" spans="1:28" x14ac:dyDescent="0.25">
      <c r="A25" s="16"/>
      <c r="B25" s="3" t="s">
        <v>17</v>
      </c>
      <c r="C25" s="3" t="s">
        <v>40</v>
      </c>
      <c r="D25" s="11" t="s">
        <v>19</v>
      </c>
      <c r="E25" s="8">
        <v>2302.0460815514671</v>
      </c>
      <c r="F25" s="8">
        <v>3357.5815067130779</v>
      </c>
      <c r="G25" s="8">
        <v>4037.3143560417702</v>
      </c>
      <c r="H25" s="8">
        <v>2275.5186474390848</v>
      </c>
      <c r="I25" s="8">
        <v>3235.0939830929888</v>
      </c>
      <c r="J25" s="8">
        <v>3835.7707608155147</v>
      </c>
      <c r="K25" s="8">
        <v>2619.6762804574837</v>
      </c>
      <c r="L25" s="8">
        <v>3646.4286424664347</v>
      </c>
      <c r="M25" s="8">
        <v>4441.1790154152159</v>
      </c>
      <c r="N25" s="22"/>
      <c r="O25" s="8">
        <v>213.86533880922462</v>
      </c>
      <c r="P25" s="8">
        <v>311.92699063123661</v>
      </c>
      <c r="Q25" s="8">
        <v>375.07572483184271</v>
      </c>
      <c r="R25" s="8">
        <v>211.40087959198758</v>
      </c>
      <c r="S25" s="8">
        <v>300.54761992756301</v>
      </c>
      <c r="T25" s="8">
        <v>356.3518645132678</v>
      </c>
      <c r="U25" s="8">
        <v>243.37390974942713</v>
      </c>
      <c r="V25" s="8">
        <v>338.76154926454279</v>
      </c>
      <c r="W25" s="8">
        <v>412.5956741074728</v>
      </c>
      <c r="X25" s="22"/>
      <c r="Y25"/>
      <c r="Z25" s="10">
        <f t="shared" si="0"/>
        <v>1</v>
      </c>
      <c r="AA25"/>
      <c r="AB25" s="22"/>
    </row>
    <row r="26" spans="1:28" x14ac:dyDescent="0.25">
      <c r="A26" s="16"/>
      <c r="B26" s="3" t="s">
        <v>17</v>
      </c>
      <c r="C26" s="3" t="s">
        <v>41</v>
      </c>
      <c r="D26" s="11" t="s">
        <v>19</v>
      </c>
      <c r="E26" s="8">
        <v>2130.0034808552959</v>
      </c>
      <c r="F26" s="8">
        <v>3099.4619592242666</v>
      </c>
      <c r="G26" s="8">
        <v>3724.4206862257583</v>
      </c>
      <c r="H26" s="8">
        <v>2073.1924415713574</v>
      </c>
      <c r="I26" s="8">
        <v>2946.5052212829437</v>
      </c>
      <c r="J26" s="8">
        <v>3493.1829935355545</v>
      </c>
      <c r="K26" s="8">
        <v>2351.023868722029</v>
      </c>
      <c r="L26" s="8">
        <v>3114.2406762804576</v>
      </c>
      <c r="M26" s="8">
        <v>3856.2998508204873</v>
      </c>
      <c r="N26" s="22"/>
      <c r="O26" s="8">
        <v>197.88218826225145</v>
      </c>
      <c r="P26" s="8">
        <v>287.94709512898214</v>
      </c>
      <c r="Q26" s="8">
        <v>346.00718826225142</v>
      </c>
      <c r="R26" s="8">
        <v>192.60431295735086</v>
      </c>
      <c r="S26" s="8">
        <v>273.73706482371199</v>
      </c>
      <c r="T26" s="8">
        <v>324.52467846847509</v>
      </c>
      <c r="U26" s="8">
        <v>218.41548710178134</v>
      </c>
      <c r="V26" s="8">
        <v>289.32007169783424</v>
      </c>
      <c r="W26" s="8">
        <v>358.25906386281321</v>
      </c>
      <c r="X26" s="22"/>
      <c r="Y26"/>
      <c r="Z26" s="10">
        <f t="shared" si="0"/>
        <v>0.92526535325469117</v>
      </c>
      <c r="AA26"/>
      <c r="AB26" s="22"/>
    </row>
    <row r="27" spans="1:28" x14ac:dyDescent="0.25">
      <c r="A27" s="16"/>
      <c r="B27" s="3" t="s">
        <v>17</v>
      </c>
      <c r="C27" s="3" t="s">
        <v>42</v>
      </c>
      <c r="D27" s="11" t="s">
        <v>19</v>
      </c>
      <c r="E27" s="8">
        <v>2210.970164097464</v>
      </c>
      <c r="F27" s="8">
        <v>3217.7155643958231</v>
      </c>
      <c r="G27" s="8">
        <v>3866.7115862754849</v>
      </c>
      <c r="H27" s="8">
        <v>2151.9741422178022</v>
      </c>
      <c r="I27" s="8">
        <v>3058.8766782695175</v>
      </c>
      <c r="J27" s="8">
        <v>3626.5798110392839</v>
      </c>
      <c r="K27" s="8">
        <v>2440.4912978617604</v>
      </c>
      <c r="L27" s="8">
        <v>3233.0626553953257</v>
      </c>
      <c r="M27" s="8">
        <v>4003.6623570363004</v>
      </c>
      <c r="N27" s="22"/>
      <c r="O27" s="8">
        <v>205.404178061941</v>
      </c>
      <c r="P27" s="8">
        <v>298.93312513859115</v>
      </c>
      <c r="Q27" s="8">
        <v>359.22633786680461</v>
      </c>
      <c r="R27" s="8">
        <v>199.92331288343556</v>
      </c>
      <c r="S27" s="8">
        <v>284.17662983221226</v>
      </c>
      <c r="T27" s="8">
        <v>336.91754749057577</v>
      </c>
      <c r="U27" s="8">
        <v>226.72721561090989</v>
      </c>
      <c r="V27" s="8">
        <v>300.3589049449331</v>
      </c>
      <c r="W27" s="8">
        <v>371.94937726365583</v>
      </c>
      <c r="X27" s="22"/>
      <c r="Y27"/>
      <c r="Z27" s="10">
        <f t="shared" si="0"/>
        <v>0.9604369703178911</v>
      </c>
      <c r="AA27"/>
      <c r="AB27" s="22"/>
    </row>
    <row r="28" spans="1:28" x14ac:dyDescent="0.25">
      <c r="A28" s="16"/>
      <c r="B28" s="3" t="s">
        <v>17</v>
      </c>
      <c r="C28" s="3" t="s">
        <v>43</v>
      </c>
      <c r="D28" s="11" t="s">
        <v>19</v>
      </c>
      <c r="E28" s="8">
        <v>1662.6031824962706</v>
      </c>
      <c r="F28" s="8">
        <v>2416.8150174042767</v>
      </c>
      <c r="G28" s="8">
        <v>2903.0154152163104</v>
      </c>
      <c r="H28" s="8">
        <v>1618.4067628045748</v>
      </c>
      <c r="I28" s="8">
        <v>2297.8189955246148</v>
      </c>
      <c r="J28" s="8">
        <v>2723.1188463451022</v>
      </c>
      <c r="K28" s="8">
        <v>1834.5504724017901</v>
      </c>
      <c r="L28" s="8">
        <v>2428.3127797115862</v>
      </c>
      <c r="M28" s="8">
        <v>3005.613625062158</v>
      </c>
      <c r="N28" s="22"/>
      <c r="O28" s="8">
        <v>154.45963301056989</v>
      </c>
      <c r="P28" s="8">
        <v>224.52763508019808</v>
      </c>
      <c r="Q28" s="8">
        <v>269.69676251016335</v>
      </c>
      <c r="R28" s="8">
        <v>150.35368467735972</v>
      </c>
      <c r="S28" s="8">
        <v>213.47263286273929</v>
      </c>
      <c r="T28" s="8">
        <v>252.98396038140291</v>
      </c>
      <c r="U28" s="8">
        <v>170.43392896740335</v>
      </c>
      <c r="V28" s="8">
        <v>225.5958034592357</v>
      </c>
      <c r="W28" s="8">
        <v>279.22837053736419</v>
      </c>
      <c r="X28" s="22"/>
      <c r="Y28"/>
      <c r="Z28" s="10">
        <f t="shared" si="0"/>
        <v>0.72222845399157132</v>
      </c>
      <c r="AA28"/>
      <c r="AB28" s="22"/>
    </row>
    <row r="29" spans="1:28" x14ac:dyDescent="0.25">
      <c r="A29" s="16"/>
      <c r="B29" s="3" t="s">
        <v>17</v>
      </c>
      <c r="C29" s="3" t="s">
        <v>44</v>
      </c>
      <c r="D29" s="11" t="s">
        <v>19</v>
      </c>
      <c r="E29" s="8">
        <v>1653.4931277971157</v>
      </c>
      <c r="F29" s="8">
        <v>2408.4060517155644</v>
      </c>
      <c r="G29" s="8">
        <v>2894.548189955246</v>
      </c>
      <c r="H29" s="8">
        <v>1634.5206364992541</v>
      </c>
      <c r="I29" s="8">
        <v>2320.8040775733466</v>
      </c>
      <c r="J29" s="8">
        <v>2750.4047737444057</v>
      </c>
      <c r="K29" s="8">
        <v>1887.7409249129787</v>
      </c>
      <c r="L29" s="8">
        <v>2622.0696171059176</v>
      </c>
      <c r="M29" s="8">
        <v>3190.4704127299851</v>
      </c>
      <c r="N29" s="22"/>
      <c r="O29" s="8">
        <v>153.61328812181239</v>
      </c>
      <c r="P29" s="8">
        <v>223.74642296178578</v>
      </c>
      <c r="Q29" s="8">
        <v>268.91013794441568</v>
      </c>
      <c r="R29" s="8">
        <v>151.85070034740187</v>
      </c>
      <c r="S29" s="8">
        <v>215.60799948259293</v>
      </c>
      <c r="T29" s="8">
        <v>255.51888535738041</v>
      </c>
      <c r="U29" s="8">
        <v>175.37544349175843</v>
      </c>
      <c r="V29" s="8">
        <v>243.59625619040577</v>
      </c>
      <c r="W29" s="8">
        <v>296.40198832138367</v>
      </c>
      <c r="X29" s="22"/>
      <c r="Y29"/>
      <c r="Z29" s="10">
        <f t="shared" si="0"/>
        <v>0.71827108112568361</v>
      </c>
      <c r="AA29"/>
      <c r="AB29" s="22"/>
    </row>
    <row r="30" spans="1:28" x14ac:dyDescent="0.25">
      <c r="A30" s="16"/>
      <c r="B30" s="3" t="s">
        <v>17</v>
      </c>
      <c r="C30" s="3" t="s">
        <v>45</v>
      </c>
      <c r="D30" s="11" t="s">
        <v>19</v>
      </c>
      <c r="E30" s="8">
        <v>2086.4658677274988</v>
      </c>
      <c r="F30" s="8">
        <v>3042.0734510193934</v>
      </c>
      <c r="G30" s="8">
        <v>3657.4563053207357</v>
      </c>
      <c r="H30" s="8">
        <v>2062.4500248632521</v>
      </c>
      <c r="I30" s="8">
        <v>2931.1819990054701</v>
      </c>
      <c r="J30" s="8">
        <v>3474.9930382894081</v>
      </c>
      <c r="K30" s="8">
        <v>2376.3794132272501</v>
      </c>
      <c r="L30" s="8">
        <v>3305.929388363998</v>
      </c>
      <c r="M30" s="8">
        <v>4025.4410740924914</v>
      </c>
      <c r="N30" s="22"/>
      <c r="O30" s="8">
        <v>193.8374445635302</v>
      </c>
      <c r="P30" s="8">
        <v>282.61557164239781</v>
      </c>
      <c r="Q30" s="8">
        <v>339.786044330697</v>
      </c>
      <c r="R30" s="8">
        <v>191.60631790967551</v>
      </c>
      <c r="S30" s="8">
        <v>272.31350247616228</v>
      </c>
      <c r="T30" s="8">
        <v>322.83479008056764</v>
      </c>
      <c r="U30" s="8">
        <v>220.77107509793774</v>
      </c>
      <c r="V30" s="8">
        <v>307.12839086406973</v>
      </c>
      <c r="W30" s="8">
        <v>373.97266982038582</v>
      </c>
      <c r="X30" s="22"/>
      <c r="Y30"/>
      <c r="Z30" s="10">
        <f t="shared" si="0"/>
        <v>0.9063527808797478</v>
      </c>
      <c r="AA30"/>
      <c r="AB30" s="22"/>
    </row>
    <row r="31" spans="1:28" x14ac:dyDescent="0.25">
      <c r="A31" s="16"/>
      <c r="B31" s="3" t="s">
        <v>17</v>
      </c>
      <c r="C31" s="3" t="s">
        <v>46</v>
      </c>
      <c r="D31" s="11" t="s">
        <v>19</v>
      </c>
      <c r="E31" s="8">
        <v>1703.0870213823969</v>
      </c>
      <c r="F31" s="8">
        <v>2475.9413227250125</v>
      </c>
      <c r="G31" s="8">
        <v>2974.1611138736948</v>
      </c>
      <c r="H31" s="8">
        <v>1657.7971158627549</v>
      </c>
      <c r="I31" s="8">
        <v>2354.0044753853804</v>
      </c>
      <c r="J31" s="8">
        <v>2789.8180009945299</v>
      </c>
      <c r="K31" s="8">
        <v>1879.2849328692193</v>
      </c>
      <c r="L31" s="8">
        <v>2487.7235206364994</v>
      </c>
      <c r="M31" s="8">
        <v>3079.2948781700647</v>
      </c>
      <c r="N31" s="22"/>
      <c r="O31" s="8">
        <v>158.22067410747283</v>
      </c>
      <c r="P31" s="8">
        <v>230.02060388794439</v>
      </c>
      <c r="Q31" s="8">
        <v>276.30636041096903</v>
      </c>
      <c r="R31" s="8">
        <v>154.01313844334391</v>
      </c>
      <c r="S31" s="8">
        <v>218.69239226846034</v>
      </c>
      <c r="T31" s="8">
        <v>259.1804641880405</v>
      </c>
      <c r="U31" s="8">
        <v>174.58986251755488</v>
      </c>
      <c r="V31" s="8">
        <v>231.11519698425602</v>
      </c>
      <c r="W31" s="8">
        <v>286.07352723778547</v>
      </c>
      <c r="X31" s="22"/>
      <c r="Y31"/>
      <c r="Z31" s="10">
        <f t="shared" si="0"/>
        <v>0.73981447853320081</v>
      </c>
      <c r="AA31"/>
      <c r="AB31" s="22"/>
    </row>
    <row r="32" spans="1:28" x14ac:dyDescent="0.25">
      <c r="A32" s="16"/>
      <c r="B32" s="3" t="s">
        <v>17</v>
      </c>
      <c r="C32" s="3" t="s">
        <v>47</v>
      </c>
      <c r="D32" s="11" t="s">
        <v>19</v>
      </c>
      <c r="E32" s="8">
        <v>1791.1745748383889</v>
      </c>
      <c r="F32" s="8">
        <v>2609.9072998508204</v>
      </c>
      <c r="G32" s="8">
        <v>3137.1468622575831</v>
      </c>
      <c r="H32" s="8">
        <v>1770.59870711089</v>
      </c>
      <c r="I32" s="8">
        <v>2514.8990551964198</v>
      </c>
      <c r="J32" s="8">
        <v>2980.8180009945299</v>
      </c>
      <c r="K32" s="8">
        <v>2043.124316260567</v>
      </c>
      <c r="L32" s="8">
        <v>2839.5310790651415</v>
      </c>
      <c r="M32" s="8">
        <v>3455.9840875186474</v>
      </c>
      <c r="N32" s="22"/>
      <c r="O32" s="8">
        <v>166.40420901396999</v>
      </c>
      <c r="P32" s="8">
        <v>242.46634913888681</v>
      </c>
      <c r="Q32" s="8">
        <v>291.44810869243844</v>
      </c>
      <c r="R32" s="8">
        <v>164.49266390716238</v>
      </c>
      <c r="S32" s="8">
        <v>233.63986621331952</v>
      </c>
      <c r="T32" s="8">
        <v>276.92480042870869</v>
      </c>
      <c r="U32" s="8">
        <v>189.81091544090472</v>
      </c>
      <c r="V32" s="8">
        <v>263.79892268460344</v>
      </c>
      <c r="W32" s="8">
        <v>321.06881513785203</v>
      </c>
      <c r="X32" s="22"/>
      <c r="Y32"/>
      <c r="Z32" s="10">
        <f t="shared" si="0"/>
        <v>0.77807937434129226</v>
      </c>
      <c r="AA32"/>
      <c r="AB32" s="22"/>
    </row>
    <row r="33" spans="1:28" x14ac:dyDescent="0.25">
      <c r="A33" s="16"/>
      <c r="B33" s="3" t="s">
        <v>17</v>
      </c>
      <c r="C33" s="3" t="s">
        <v>48</v>
      </c>
      <c r="D33" s="11" t="s">
        <v>19</v>
      </c>
      <c r="E33" s="8">
        <v>2060.0770760815512</v>
      </c>
      <c r="F33" s="8">
        <v>2997.3336648433615</v>
      </c>
      <c r="G33" s="8">
        <v>3601.533565390353</v>
      </c>
      <c r="H33" s="8">
        <v>2005.1536548980607</v>
      </c>
      <c r="I33" s="8">
        <v>2849.4574838388862</v>
      </c>
      <c r="J33" s="8">
        <v>3377.9771258080559</v>
      </c>
      <c r="K33" s="8">
        <v>2273.7563401292891</v>
      </c>
      <c r="L33" s="8">
        <v>3011.6215813028343</v>
      </c>
      <c r="M33" s="8">
        <v>3729.0318249627053</v>
      </c>
      <c r="N33" s="22"/>
      <c r="O33" s="8">
        <v>191.38586554808188</v>
      </c>
      <c r="P33" s="8">
        <v>278.45914332175323</v>
      </c>
      <c r="Q33" s="8">
        <v>334.59069406460196</v>
      </c>
      <c r="R33" s="8">
        <v>186.2833542759997</v>
      </c>
      <c r="S33" s="8">
        <v>264.72110835981965</v>
      </c>
      <c r="T33" s="8">
        <v>313.82179022839824</v>
      </c>
      <c r="U33" s="8">
        <v>211.23715721782835</v>
      </c>
      <c r="V33" s="8">
        <v>279.78652339419023</v>
      </c>
      <c r="W33" s="8">
        <v>346.43557358267424</v>
      </c>
      <c r="X33" s="22"/>
      <c r="Y33"/>
      <c r="Z33" s="10">
        <f t="shared" si="0"/>
        <v>0.89488959086916264</v>
      </c>
      <c r="AA33"/>
      <c r="AB33" s="22"/>
    </row>
    <row r="34" spans="1:28" x14ac:dyDescent="0.25">
      <c r="A34" s="16"/>
      <c r="B34" s="3" t="s">
        <v>17</v>
      </c>
      <c r="C34" s="3" t="s">
        <v>49</v>
      </c>
      <c r="D34" s="11" t="s">
        <v>19</v>
      </c>
      <c r="E34" s="8">
        <v>2071.9733963202389</v>
      </c>
      <c r="F34" s="8">
        <v>3020.8626603679763</v>
      </c>
      <c r="G34" s="8">
        <v>3631.9197314768771</v>
      </c>
      <c r="H34" s="8">
        <v>2048.1253107906514</v>
      </c>
      <c r="I34" s="8">
        <v>2910.7508702138239</v>
      </c>
      <c r="J34" s="8">
        <v>3450.7389358528094</v>
      </c>
      <c r="K34" s="8">
        <v>2360.0228741919441</v>
      </c>
      <c r="L34" s="8">
        <v>3283.0387866732967</v>
      </c>
      <c r="M34" s="8">
        <v>3997.4922923918448</v>
      </c>
      <c r="N34" s="22"/>
      <c r="O34" s="8">
        <v>192.49106086924382</v>
      </c>
      <c r="P34" s="8">
        <v>280.64504074580532</v>
      </c>
      <c r="Q34" s="8">
        <v>337.41363829551329</v>
      </c>
      <c r="R34" s="8">
        <v>190.27551925493384</v>
      </c>
      <c r="S34" s="8">
        <v>270.41540394707664</v>
      </c>
      <c r="T34" s="8">
        <v>320.58152856826075</v>
      </c>
      <c r="U34" s="8">
        <v>219.251515263508</v>
      </c>
      <c r="V34" s="8">
        <v>305.00180168526867</v>
      </c>
      <c r="W34" s="8">
        <v>371.37616416586587</v>
      </c>
      <c r="X34" s="22"/>
      <c r="Y34"/>
      <c r="Z34" s="10">
        <f t="shared" si="0"/>
        <v>0.90005730681282858</v>
      </c>
      <c r="AA34"/>
      <c r="AB34" s="22"/>
    </row>
    <row r="35" spans="1:28" x14ac:dyDescent="0.25">
      <c r="A35" s="16"/>
      <c r="B35" s="3" t="s">
        <v>17</v>
      </c>
      <c r="C35" s="3" t="s">
        <v>50</v>
      </c>
      <c r="D35" s="11" t="s">
        <v>19</v>
      </c>
      <c r="E35" s="8">
        <v>1689.7252958727004</v>
      </c>
      <c r="F35" s="8">
        <v>2461.4327747389361</v>
      </c>
      <c r="G35" s="8">
        <v>2958.3898657384384</v>
      </c>
      <c r="H35" s="8">
        <v>1670.3311785181502</v>
      </c>
      <c r="I35" s="8">
        <v>2371.8816509199405</v>
      </c>
      <c r="J35" s="8">
        <v>2811.0397812033816</v>
      </c>
      <c r="K35" s="8">
        <v>1928.6315266036797</v>
      </c>
      <c r="L35" s="8">
        <v>2679.2963699651914</v>
      </c>
      <c r="M35" s="8">
        <v>3260.3431128791644</v>
      </c>
      <c r="N35" s="22"/>
      <c r="O35" s="8">
        <v>156.97933928967404</v>
      </c>
      <c r="P35" s="8">
        <v>228.6727266427674</v>
      </c>
      <c r="Q35" s="8">
        <v>274.8411754379481</v>
      </c>
      <c r="R35" s="8">
        <v>155.1775814916106</v>
      </c>
      <c r="S35" s="8">
        <v>220.35322270677801</v>
      </c>
      <c r="T35" s="8">
        <v>261.15201603961856</v>
      </c>
      <c r="U35" s="8">
        <v>179.17427378224554</v>
      </c>
      <c r="V35" s="8">
        <v>248.9127522359376</v>
      </c>
      <c r="W35" s="8">
        <v>302.89332175327075</v>
      </c>
      <c r="X35" s="22"/>
      <c r="Y35"/>
      <c r="Z35" s="10">
        <f t="shared" si="0"/>
        <v>0.7340101961529405</v>
      </c>
      <c r="AA35"/>
      <c r="AB35" s="22"/>
    </row>
    <row r="36" spans="1:28" x14ac:dyDescent="0.25">
      <c r="A36" s="16"/>
      <c r="B36" s="3" t="s">
        <v>17</v>
      </c>
      <c r="C36" s="3" t="s">
        <v>51</v>
      </c>
      <c r="D36" s="11" t="s">
        <v>19</v>
      </c>
      <c r="E36" s="8">
        <v>2054.5569368473398</v>
      </c>
      <c r="F36" s="8">
        <v>2989.2710094480358</v>
      </c>
      <c r="G36" s="8">
        <v>3591.8319244157137</v>
      </c>
      <c r="H36" s="8">
        <v>1999.7817006464445</v>
      </c>
      <c r="I36" s="8">
        <v>2841.7956240676281</v>
      </c>
      <c r="J36" s="8">
        <v>3368.8816509199405</v>
      </c>
      <c r="K36" s="8">
        <v>2267.6553953257085</v>
      </c>
      <c r="L36" s="8">
        <v>3003.5196419691697</v>
      </c>
      <c r="M36" s="8">
        <v>3718.9845847836896</v>
      </c>
      <c r="N36" s="22"/>
      <c r="O36" s="8">
        <v>190.87303200532187</v>
      </c>
      <c r="P36" s="8">
        <v>277.71010422056321</v>
      </c>
      <c r="Q36" s="8">
        <v>333.68938945967921</v>
      </c>
      <c r="R36" s="8">
        <v>185.78428745657476</v>
      </c>
      <c r="S36" s="8">
        <v>264.00930408751572</v>
      </c>
      <c r="T36" s="8">
        <v>312.97679983738635</v>
      </c>
      <c r="U36" s="8">
        <v>210.67036551112423</v>
      </c>
      <c r="V36" s="8">
        <v>279.03383472540469</v>
      </c>
      <c r="W36" s="8">
        <v>345.50216202232241</v>
      </c>
      <c r="X36" s="22"/>
      <c r="Y36"/>
      <c r="Z36" s="10">
        <f t="shared" si="0"/>
        <v>0.89249166353032694</v>
      </c>
      <c r="AA36"/>
      <c r="AB36" s="22"/>
    </row>
    <row r="37" spans="1:28" x14ac:dyDescent="0.25">
      <c r="A37" s="16"/>
      <c r="B37" s="3" t="s">
        <v>17</v>
      </c>
      <c r="C37" s="3" t="s">
        <v>52</v>
      </c>
      <c r="D37" s="11" t="s">
        <v>19</v>
      </c>
      <c r="E37" s="8">
        <v>2294.8003480855295</v>
      </c>
      <c r="F37" s="8">
        <v>3346.975867727499</v>
      </c>
      <c r="G37" s="8">
        <v>4024.5463202386873</v>
      </c>
      <c r="H37" s="8">
        <v>2268.3570363003482</v>
      </c>
      <c r="I37" s="8">
        <v>3224.8781700646446</v>
      </c>
      <c r="J37" s="8">
        <v>3823.6444554947789</v>
      </c>
      <c r="K37" s="8">
        <v>2611.4977623073096</v>
      </c>
      <c r="L37" s="8">
        <v>3634.9835902536051</v>
      </c>
      <c r="M37" s="8">
        <v>4427.2048731974146</v>
      </c>
      <c r="N37" s="22"/>
      <c r="O37" s="8">
        <v>213.19219362111019</v>
      </c>
      <c r="P37" s="8">
        <v>310.94170254638186</v>
      </c>
      <c r="Q37" s="8">
        <v>373.88954514376525</v>
      </c>
      <c r="R37" s="8">
        <v>210.73554956020399</v>
      </c>
      <c r="S37" s="8">
        <v>299.59854756449107</v>
      </c>
      <c r="T37" s="8">
        <v>355.22530305270158</v>
      </c>
      <c r="U37" s="8">
        <v>242.61410673368317</v>
      </c>
      <c r="V37" s="8">
        <v>337.69827777367135</v>
      </c>
      <c r="W37" s="8">
        <v>411.29744437874194</v>
      </c>
      <c r="X37" s="22"/>
      <c r="Y37"/>
      <c r="Z37" s="10">
        <f t="shared" si="0"/>
        <v>0.99685248113667024</v>
      </c>
      <c r="AA37"/>
      <c r="AB37" s="22"/>
    </row>
    <row r="38" spans="1:28" x14ac:dyDescent="0.25">
      <c r="A38" s="16"/>
      <c r="B38" s="3" t="s">
        <v>17</v>
      </c>
      <c r="C38" s="3" t="s">
        <v>53</v>
      </c>
      <c r="D38" s="11" t="s">
        <v>19</v>
      </c>
      <c r="E38" s="8">
        <v>2280.8965688712083</v>
      </c>
      <c r="F38" s="8">
        <v>3319.8438587767282</v>
      </c>
      <c r="G38" s="8">
        <v>3989.5992043759325</v>
      </c>
      <c r="H38" s="8">
        <v>2220.0134261561411</v>
      </c>
      <c r="I38" s="8">
        <v>3155.923421183491</v>
      </c>
      <c r="J38" s="8">
        <v>3741.7866732968673</v>
      </c>
      <c r="K38" s="8">
        <v>2517.7593237195424</v>
      </c>
      <c r="L38" s="8">
        <v>3335.6822476379912</v>
      </c>
      <c r="M38" s="8">
        <v>4130.9308801591251</v>
      </c>
      <c r="N38" s="22"/>
      <c r="O38" s="8">
        <v>211.90050077611056</v>
      </c>
      <c r="P38" s="8">
        <v>308.42107694582006</v>
      </c>
      <c r="Q38" s="8">
        <v>370.64287826151229</v>
      </c>
      <c r="R38" s="8">
        <v>206.24431776184491</v>
      </c>
      <c r="S38" s="8">
        <v>293.19249390198831</v>
      </c>
      <c r="T38" s="8">
        <v>347.62052812476901</v>
      </c>
      <c r="U38" s="8">
        <v>233.90559169192105</v>
      </c>
      <c r="V38" s="8">
        <v>309.89249944563528</v>
      </c>
      <c r="W38" s="8">
        <v>383.77291374085297</v>
      </c>
      <c r="X38" s="22"/>
      <c r="Y38"/>
      <c r="Z38" s="10">
        <f t="shared" si="0"/>
        <v>0.99081273270341963</v>
      </c>
      <c r="AA38"/>
      <c r="AB38" s="22"/>
    </row>
    <row r="39" spans="1:28" x14ac:dyDescent="0.25">
      <c r="A39" s="16"/>
      <c r="B39" s="3" t="s">
        <v>17</v>
      </c>
      <c r="C39" s="3" t="s">
        <v>54</v>
      </c>
      <c r="D39" s="11" t="s">
        <v>19</v>
      </c>
      <c r="E39" s="8">
        <v>1928.8565241173544</v>
      </c>
      <c r="F39" s="8">
        <v>2811.4080507210342</v>
      </c>
      <c r="G39" s="8">
        <v>3379.7445350571852</v>
      </c>
      <c r="H39" s="8">
        <v>1906.6762804574839</v>
      </c>
      <c r="I39" s="8">
        <v>2708.994032819493</v>
      </c>
      <c r="J39" s="8">
        <v>3211.230730979612</v>
      </c>
      <c r="K39" s="8">
        <v>2198.5067130780708</v>
      </c>
      <c r="L39" s="8">
        <v>3056.9930382894081</v>
      </c>
      <c r="M39" s="8">
        <v>3721.4977623073096</v>
      </c>
      <c r="N39" s="22"/>
      <c r="O39" s="8">
        <v>179.19517656515632</v>
      </c>
      <c r="P39" s="8">
        <v>261.1862291189297</v>
      </c>
      <c r="Q39" s="8">
        <v>313.9859865843743</v>
      </c>
      <c r="R39" s="8">
        <v>177.13458126986473</v>
      </c>
      <c r="S39" s="8">
        <v>251.67173294404611</v>
      </c>
      <c r="T39" s="8">
        <v>298.33066930297878</v>
      </c>
      <c r="U39" s="8">
        <v>204.24629499593465</v>
      </c>
      <c r="V39" s="8">
        <v>284.00163537585922</v>
      </c>
      <c r="W39" s="8">
        <v>345.73564195432033</v>
      </c>
      <c r="X39" s="22"/>
      <c r="Y39"/>
      <c r="Z39" s="10">
        <f>O39/$Z$3</f>
        <v>0.83788788572703077</v>
      </c>
      <c r="AA39"/>
      <c r="AB39" s="22"/>
    </row>
    <row r="40" spans="1:28" x14ac:dyDescent="0.25">
      <c r="A40" s="16"/>
      <c r="B40" s="3" t="s">
        <v>17</v>
      </c>
      <c r="C40" s="3" t="s">
        <v>55</v>
      </c>
      <c r="D40" s="11" t="s">
        <v>19</v>
      </c>
      <c r="E40" s="8">
        <v>1776.6821034311288</v>
      </c>
      <c r="F40" s="8">
        <v>2588.696509199403</v>
      </c>
      <c r="G40" s="8">
        <v>3111.6097911486822</v>
      </c>
      <c r="H40" s="8">
        <v>1756.2744903033317</v>
      </c>
      <c r="I40" s="8">
        <v>2494.4679264047736</v>
      </c>
      <c r="J40" s="8">
        <v>2956.5638985579312</v>
      </c>
      <c r="K40" s="8">
        <v>2026.7677772252612</v>
      </c>
      <c r="L40" s="8">
        <v>2816.6404773744407</v>
      </c>
      <c r="M40" s="8">
        <v>3428.0358030830434</v>
      </c>
      <c r="N40" s="22"/>
      <c r="O40" s="8">
        <v>165.05782531968362</v>
      </c>
      <c r="P40" s="8">
        <v>240.49581824229429</v>
      </c>
      <c r="Q40" s="8">
        <v>289.07565646019657</v>
      </c>
      <c r="R40" s="8">
        <v>163.16191144947888</v>
      </c>
      <c r="S40" s="8">
        <v>231.74176768423385</v>
      </c>
      <c r="T40" s="8">
        <v>274.6715389164018</v>
      </c>
      <c r="U40" s="8">
        <v>188.29135560647498</v>
      </c>
      <c r="V40" s="8">
        <v>261.67233350580233</v>
      </c>
      <c r="W40" s="8">
        <v>318.47235568039025</v>
      </c>
      <c r="X40" s="22"/>
      <c r="Y40"/>
      <c r="Z40" s="10">
        <f t="shared" si="0"/>
        <v>0.77178390027437305</v>
      </c>
      <c r="AA40"/>
      <c r="AB40" s="22"/>
    </row>
    <row r="41" spans="1:28" x14ac:dyDescent="0.25">
      <c r="A41" s="16"/>
      <c r="B41" s="3" t="s">
        <v>17</v>
      </c>
      <c r="C41" s="3" t="s">
        <v>56</v>
      </c>
      <c r="D41" s="11" t="s">
        <v>19</v>
      </c>
      <c r="E41" s="8">
        <v>2003.1321730482346</v>
      </c>
      <c r="F41" s="8">
        <v>2920.1122874191947</v>
      </c>
      <c r="G41" s="8">
        <v>3510.6203978120338</v>
      </c>
      <c r="H41" s="8">
        <v>1980.0865241173547</v>
      </c>
      <c r="I41" s="8">
        <v>2813.7031327697664</v>
      </c>
      <c r="J41" s="8">
        <v>3335.5325708602686</v>
      </c>
      <c r="K41" s="8">
        <v>2282.3321730482348</v>
      </c>
      <c r="L41" s="8">
        <v>3174.3078070611637</v>
      </c>
      <c r="M41" s="8">
        <v>3864.7349577324712</v>
      </c>
      <c r="N41" s="22"/>
      <c r="O41" s="8">
        <v>186.09555399512158</v>
      </c>
      <c r="P41" s="8">
        <v>271.28510098676918</v>
      </c>
      <c r="Q41" s="8">
        <v>326.14465315248725</v>
      </c>
      <c r="R41" s="8">
        <v>183.95456057358265</v>
      </c>
      <c r="S41" s="8">
        <v>261.39944748318425</v>
      </c>
      <c r="T41" s="8">
        <v>309.87859413112574</v>
      </c>
      <c r="U41" s="8">
        <v>212.03387168305122</v>
      </c>
      <c r="V41" s="8">
        <v>294.90044533964073</v>
      </c>
      <c r="W41" s="8">
        <v>359.04270456057355</v>
      </c>
      <c r="X41" s="22"/>
      <c r="Y41"/>
      <c r="Z41" s="10">
        <f t="shared" si="0"/>
        <v>0.87015294311494451</v>
      </c>
      <c r="AA41"/>
      <c r="AB41" s="22"/>
    </row>
    <row r="42" spans="1:28" x14ac:dyDescent="0.25">
      <c r="A42" s="16"/>
      <c r="B42" s="3" t="s">
        <v>17</v>
      </c>
      <c r="C42" s="3" t="s">
        <v>57</v>
      </c>
      <c r="D42" s="11" t="s">
        <v>19</v>
      </c>
      <c r="E42" s="8">
        <v>1629.9426106414719</v>
      </c>
      <c r="F42" s="8">
        <v>2373.9388314271509</v>
      </c>
      <c r="G42" s="8">
        <v>2853.0510740924915</v>
      </c>
      <c r="H42" s="8">
        <v>1611.2446544007955</v>
      </c>
      <c r="I42" s="8">
        <v>2287.6031824962706</v>
      </c>
      <c r="J42" s="8">
        <v>2710.9925410243659</v>
      </c>
      <c r="K42" s="8">
        <v>1861.1626056688215</v>
      </c>
      <c r="L42" s="8">
        <v>2584.8722028841371</v>
      </c>
      <c r="M42" s="8">
        <v>3145.0542018896072</v>
      </c>
      <c r="N42" s="22"/>
      <c r="O42" s="8">
        <v>151.42539128908268</v>
      </c>
      <c r="P42" s="8">
        <v>220.54433947446225</v>
      </c>
      <c r="Q42" s="8">
        <v>265.05496110207702</v>
      </c>
      <c r="R42" s="8">
        <v>149.688308448518</v>
      </c>
      <c r="S42" s="8">
        <v>212.52356049966735</v>
      </c>
      <c r="T42" s="8">
        <v>251.85739892083672</v>
      </c>
      <c r="U42" s="8">
        <v>172.90625692955871</v>
      </c>
      <c r="V42" s="8">
        <v>240.14053145095718</v>
      </c>
      <c r="W42" s="8">
        <v>292.18271860447925</v>
      </c>
      <c r="X42" s="22"/>
      <c r="Y42"/>
      <c r="Z42" s="10">
        <f t="shared" si="0"/>
        <v>0.70804082668187496</v>
      </c>
      <c r="AA42"/>
      <c r="AB42" s="22"/>
    </row>
    <row r="43" spans="1:28" x14ac:dyDescent="0.25">
      <c r="A43" s="16"/>
      <c r="B43" s="3" t="s">
        <v>17</v>
      </c>
      <c r="C43" s="3" t="s">
        <v>58</v>
      </c>
      <c r="D43" s="11" t="s">
        <v>19</v>
      </c>
      <c r="E43" s="8">
        <v>1800.2326156141223</v>
      </c>
      <c r="F43" s="8">
        <v>2623.1637294878169</v>
      </c>
      <c r="G43" s="8">
        <v>3153.1069070114372</v>
      </c>
      <c r="H43" s="8">
        <v>1779.5509696668323</v>
      </c>
      <c r="I43" s="8">
        <v>2527.6683242168074</v>
      </c>
      <c r="J43" s="8">
        <v>2995.9771258080559</v>
      </c>
      <c r="K43" s="8">
        <v>2053.3465937344604</v>
      </c>
      <c r="L43" s="8">
        <v>2853.8378915962207</v>
      </c>
      <c r="M43" s="8">
        <v>3473.4525111884636</v>
      </c>
      <c r="N43" s="22"/>
      <c r="O43" s="8">
        <v>167.24572169044274</v>
      </c>
      <c r="P43" s="8">
        <v>243.69790172961783</v>
      </c>
      <c r="Q43" s="8">
        <v>292.93083330253529</v>
      </c>
      <c r="R43" s="8">
        <v>165.32434954542094</v>
      </c>
      <c r="S43" s="8">
        <v>234.82616047010126</v>
      </c>
      <c r="T43" s="8">
        <v>278.33311774706186</v>
      </c>
      <c r="U43" s="8">
        <v>190.76058836573284</v>
      </c>
      <c r="V43" s="8">
        <v>265.12805824525094</v>
      </c>
      <c r="W43" s="8">
        <v>322.69167159435284</v>
      </c>
      <c r="X43" s="22"/>
      <c r="Y43"/>
      <c r="Z43" s="10">
        <f t="shared" si="0"/>
        <v>0.78201415255808138</v>
      </c>
      <c r="AA43"/>
      <c r="AB43" s="22"/>
    </row>
    <row r="44" spans="1:28" x14ac:dyDescent="0.25">
      <c r="A44" s="16"/>
      <c r="B44" s="3" t="s">
        <v>17</v>
      </c>
      <c r="C44" s="3" t="s">
        <v>59</v>
      </c>
      <c r="D44" s="11" t="s">
        <v>19</v>
      </c>
      <c r="E44" s="8">
        <v>1571.9712381899553</v>
      </c>
      <c r="F44" s="8">
        <v>2289.0961710591746</v>
      </c>
      <c r="G44" s="8">
        <v>2750.9042963699653</v>
      </c>
      <c r="H44" s="8">
        <v>1553.9482844356041</v>
      </c>
      <c r="I44" s="8">
        <v>2205.879164594729</v>
      </c>
      <c r="J44" s="8">
        <v>2613.9766285430132</v>
      </c>
      <c r="K44" s="8">
        <v>1795.737941322725</v>
      </c>
      <c r="L44" s="8">
        <v>2493.3092988562903</v>
      </c>
      <c r="M44" s="8">
        <v>3033.2590750870213</v>
      </c>
      <c r="N44" s="22"/>
      <c r="O44" s="8">
        <v>146.03971838273338</v>
      </c>
      <c r="P44" s="8">
        <v>212.662262547121</v>
      </c>
      <c r="Q44" s="8">
        <v>255.56529215019586</v>
      </c>
      <c r="R44" s="8">
        <v>144.36534481484219</v>
      </c>
      <c r="S44" s="8">
        <v>204.93121258038286</v>
      </c>
      <c r="T44" s="8">
        <v>242.84439906866729</v>
      </c>
      <c r="U44" s="8">
        <v>166.82815618301424</v>
      </c>
      <c r="V44" s="8">
        <v>231.63412853869465</v>
      </c>
      <c r="W44" s="8">
        <v>281.79669598639958</v>
      </c>
      <c r="X44" s="22"/>
      <c r="Y44"/>
      <c r="Z44" s="10">
        <f t="shared" si="0"/>
        <v>0.68285828454420994</v>
      </c>
      <c r="AA44"/>
      <c r="AB44" s="22"/>
    </row>
    <row r="45" spans="1:28" x14ac:dyDescent="0.25">
      <c r="A45" s="16"/>
      <c r="B45" s="3" t="s">
        <v>60</v>
      </c>
      <c r="C45" s="3" t="s">
        <v>61</v>
      </c>
      <c r="D45" s="11" t="s">
        <v>19</v>
      </c>
      <c r="E45" s="46">
        <f>O45*10.764</f>
        <v>1540.2207599999999</v>
      </c>
      <c r="F45" s="46">
        <f t="shared" ref="F45:F56" si="1">P45*10.764</f>
        <v>2238.0508799999998</v>
      </c>
      <c r="G45" s="46">
        <f t="shared" ref="G45:G56" si="2">Q45*10.764</f>
        <v>2687.9860799999997</v>
      </c>
      <c r="H45" s="46">
        <f t="shared" ref="H45:H56" si="3">R45*10.764</f>
        <v>1499.3175599999997</v>
      </c>
      <c r="I45" s="46">
        <f t="shared" ref="I45:I56" si="4">S45*10.764</f>
        <v>2127.93516</v>
      </c>
      <c r="J45" s="46">
        <f t="shared" ref="J45:J56" si="5">T45*10.764</f>
        <v>2521.4669999999996</v>
      </c>
      <c r="K45" s="46">
        <f t="shared" ref="K45:K56" si="6">U45*10.764</f>
        <v>1699.31268</v>
      </c>
      <c r="L45" s="46">
        <f t="shared" ref="L45:L56" si="7">V45*10.764</f>
        <v>2248.7072399999997</v>
      </c>
      <c r="M45" s="46">
        <f t="shared" ref="M45:M56" si="8">W45*10.764</f>
        <v>2782.8169199999998</v>
      </c>
      <c r="N45" s="22"/>
      <c r="O45" s="46">
        <v>143.09</v>
      </c>
      <c r="P45" s="46">
        <v>207.92</v>
      </c>
      <c r="Q45" s="46">
        <v>249.72</v>
      </c>
      <c r="R45" s="46">
        <v>139.29</v>
      </c>
      <c r="S45" s="46">
        <v>197.69</v>
      </c>
      <c r="T45" s="46">
        <v>234.25</v>
      </c>
      <c r="U45" s="46">
        <v>157.87</v>
      </c>
      <c r="V45" s="46">
        <v>208.91</v>
      </c>
      <c r="W45" s="46">
        <v>258.52999999999997</v>
      </c>
      <c r="X45" s="22"/>
      <c r="Y45"/>
      <c r="Z45" s="10">
        <f t="shared" ref="Z45:Z66" si="9">O45/$Z$3</f>
        <v>0.66906587480097135</v>
      </c>
      <c r="AA45"/>
      <c r="AB45" s="22"/>
    </row>
    <row r="46" spans="1:28" x14ac:dyDescent="0.25">
      <c r="A46" s="16"/>
      <c r="B46" s="3" t="s">
        <v>62</v>
      </c>
      <c r="C46" s="3" t="s">
        <v>63</v>
      </c>
      <c r="D46" s="11" t="s">
        <v>19</v>
      </c>
      <c r="E46" s="46">
        <f t="shared" ref="E46:E56" si="10">O46*10.764</f>
        <v>1684.13544</v>
      </c>
      <c r="F46" s="46">
        <f t="shared" si="1"/>
        <v>2448.2717999999995</v>
      </c>
      <c r="G46" s="46">
        <f t="shared" si="2"/>
        <v>2940.9400800000003</v>
      </c>
      <c r="H46" s="46">
        <f t="shared" si="3"/>
        <v>1639.3571999999999</v>
      </c>
      <c r="I46" s="46">
        <f t="shared" si="4"/>
        <v>2327.7149999999997</v>
      </c>
      <c r="J46" s="46">
        <f t="shared" si="5"/>
        <v>2758.5979199999997</v>
      </c>
      <c r="K46" s="46">
        <f t="shared" si="6"/>
        <v>1858.4045999999998</v>
      </c>
      <c r="L46" s="46">
        <f t="shared" si="7"/>
        <v>2460.0045599999999</v>
      </c>
      <c r="M46" s="46">
        <f t="shared" si="8"/>
        <v>3044.81268</v>
      </c>
      <c r="N46" s="22"/>
      <c r="O46" s="46">
        <v>156.46</v>
      </c>
      <c r="P46" s="46">
        <v>227.45</v>
      </c>
      <c r="Q46" s="46">
        <v>273.22000000000003</v>
      </c>
      <c r="R46" s="46">
        <v>152.30000000000001</v>
      </c>
      <c r="S46" s="46">
        <v>216.25</v>
      </c>
      <c r="T46" s="46">
        <v>256.27999999999997</v>
      </c>
      <c r="U46" s="46">
        <v>172.65</v>
      </c>
      <c r="V46" s="46">
        <v>228.54</v>
      </c>
      <c r="W46" s="46">
        <v>282.87</v>
      </c>
      <c r="X46" s="22"/>
      <c r="Y46"/>
      <c r="Z46" s="10">
        <f t="shared" si="9"/>
        <v>0.73158184898567324</v>
      </c>
      <c r="AA46"/>
      <c r="AB46" s="22"/>
    </row>
    <row r="47" spans="1:28" x14ac:dyDescent="0.25">
      <c r="A47" s="16"/>
      <c r="B47" s="3" t="s">
        <v>64</v>
      </c>
      <c r="C47" s="3" t="s">
        <v>65</v>
      </c>
      <c r="D47" s="11" t="s">
        <v>19</v>
      </c>
      <c r="E47" s="46">
        <f t="shared" si="10"/>
        <v>1630.3154400000001</v>
      </c>
      <c r="F47" s="46">
        <f t="shared" si="1"/>
        <v>2369.6945999999998</v>
      </c>
      <c r="G47" s="46">
        <f t="shared" si="2"/>
        <v>2846.3245200000001</v>
      </c>
      <c r="H47" s="46">
        <f t="shared" si="3"/>
        <v>1587.0441599999999</v>
      </c>
      <c r="I47" s="46">
        <f t="shared" si="4"/>
        <v>2253.0128399999999</v>
      </c>
      <c r="J47" s="46">
        <f t="shared" si="5"/>
        <v>2669.9025599999995</v>
      </c>
      <c r="K47" s="46">
        <f t="shared" si="6"/>
        <v>1798.87968</v>
      </c>
      <c r="L47" s="46">
        <f t="shared" si="7"/>
        <v>2380.8891599999997</v>
      </c>
      <c r="M47" s="46">
        <f t="shared" si="8"/>
        <v>2946.8602799999994</v>
      </c>
      <c r="N47" s="22"/>
      <c r="O47" s="46">
        <v>151.46</v>
      </c>
      <c r="P47" s="46">
        <v>220.15</v>
      </c>
      <c r="Q47" s="46">
        <v>264.43</v>
      </c>
      <c r="R47" s="46">
        <v>147.44</v>
      </c>
      <c r="S47" s="46">
        <v>209.31</v>
      </c>
      <c r="T47" s="46">
        <v>248.04</v>
      </c>
      <c r="U47" s="46">
        <v>167.12</v>
      </c>
      <c r="V47" s="46">
        <v>221.19</v>
      </c>
      <c r="W47" s="46">
        <v>273.77</v>
      </c>
      <c r="X47" s="22"/>
      <c r="Y47"/>
      <c r="Z47" s="10">
        <f t="shared" si="9"/>
        <v>0.7082026514596067</v>
      </c>
      <c r="AA47"/>
      <c r="AB47" s="22"/>
    </row>
    <row r="48" spans="1:28" x14ac:dyDescent="0.25">
      <c r="A48" s="16"/>
      <c r="B48" s="3" t="s">
        <v>66</v>
      </c>
      <c r="C48" s="3" t="s">
        <v>67</v>
      </c>
      <c r="D48" s="11" t="s">
        <v>19</v>
      </c>
      <c r="E48" s="46">
        <f t="shared" si="10"/>
        <v>1630.3154400000001</v>
      </c>
      <c r="F48" s="46">
        <f t="shared" si="1"/>
        <v>2369.6945999999998</v>
      </c>
      <c r="G48" s="46">
        <f t="shared" si="2"/>
        <v>2846.3245200000001</v>
      </c>
      <c r="H48" s="46">
        <f t="shared" si="3"/>
        <v>1587.0441599999999</v>
      </c>
      <c r="I48" s="46">
        <f t="shared" si="4"/>
        <v>2253.0128399999999</v>
      </c>
      <c r="J48" s="46">
        <f t="shared" si="5"/>
        <v>2669.9025599999995</v>
      </c>
      <c r="K48" s="46">
        <f t="shared" si="6"/>
        <v>1798.87968</v>
      </c>
      <c r="L48" s="46">
        <f t="shared" si="7"/>
        <v>2380.8891599999997</v>
      </c>
      <c r="M48" s="46">
        <f t="shared" si="8"/>
        <v>2946.8602799999994</v>
      </c>
      <c r="N48" s="22"/>
      <c r="O48" s="46">
        <v>151.46</v>
      </c>
      <c r="P48" s="46">
        <v>220.15</v>
      </c>
      <c r="Q48" s="46">
        <v>264.43</v>
      </c>
      <c r="R48" s="46">
        <v>147.44</v>
      </c>
      <c r="S48" s="46">
        <v>209.31</v>
      </c>
      <c r="T48" s="46">
        <v>248.04</v>
      </c>
      <c r="U48" s="46">
        <v>167.12</v>
      </c>
      <c r="V48" s="46">
        <v>221.19</v>
      </c>
      <c r="W48" s="46">
        <v>273.77</v>
      </c>
      <c r="X48" s="22"/>
      <c r="Y48"/>
      <c r="Z48" s="10">
        <f t="shared" si="9"/>
        <v>0.7082026514596067</v>
      </c>
      <c r="AA48"/>
      <c r="AB48" s="22"/>
    </row>
    <row r="49" spans="1:28" x14ac:dyDescent="0.25">
      <c r="A49" s="16"/>
      <c r="B49" s="3" t="s">
        <v>68</v>
      </c>
      <c r="C49" s="3" t="s">
        <v>69</v>
      </c>
      <c r="D49" s="11" t="s">
        <v>19</v>
      </c>
      <c r="E49" s="46">
        <f t="shared" si="10"/>
        <v>2018.0347199999999</v>
      </c>
      <c r="F49" s="46">
        <f t="shared" si="1"/>
        <v>2935.8809999999999</v>
      </c>
      <c r="G49" s="46">
        <f t="shared" si="2"/>
        <v>3527.5780800000002</v>
      </c>
      <c r="H49" s="46">
        <f t="shared" si="3"/>
        <v>1964.2147199999997</v>
      </c>
      <c r="I49" s="46">
        <f t="shared" si="4"/>
        <v>2791.1052</v>
      </c>
      <c r="J49" s="46">
        <f t="shared" si="5"/>
        <v>3308.6383199999996</v>
      </c>
      <c r="K49" s="46">
        <f t="shared" si="6"/>
        <v>2227.2868799999997</v>
      </c>
      <c r="L49" s="46">
        <f t="shared" si="7"/>
        <v>2949.8741999999997</v>
      </c>
      <c r="M49" s="46">
        <f t="shared" si="8"/>
        <v>3652.4404799999998</v>
      </c>
      <c r="N49" s="22"/>
      <c r="O49" s="46">
        <v>187.48</v>
      </c>
      <c r="P49" s="46">
        <v>272.75</v>
      </c>
      <c r="Q49" s="46">
        <v>327.72</v>
      </c>
      <c r="R49" s="46">
        <v>182.48</v>
      </c>
      <c r="S49" s="46">
        <v>259.3</v>
      </c>
      <c r="T49" s="46">
        <v>307.38</v>
      </c>
      <c r="U49" s="46">
        <v>206.92</v>
      </c>
      <c r="V49" s="46">
        <v>274.05</v>
      </c>
      <c r="W49" s="46">
        <v>339.32</v>
      </c>
      <c r="X49" s="22"/>
      <c r="Y49"/>
      <c r="Z49" s="10">
        <f t="shared" si="9"/>
        <v>0.87662639043738977</v>
      </c>
      <c r="AA49"/>
      <c r="AB49" s="22"/>
    </row>
    <row r="50" spans="1:28" x14ac:dyDescent="0.25">
      <c r="A50" s="16"/>
      <c r="B50" s="3" t="s">
        <v>70</v>
      </c>
      <c r="C50" s="3" t="s">
        <v>71</v>
      </c>
      <c r="D50" s="11" t="s">
        <v>19</v>
      </c>
      <c r="E50" s="46">
        <f t="shared" si="10"/>
        <v>2020.7257199999997</v>
      </c>
      <c r="F50" s="46">
        <f t="shared" si="1"/>
        <v>2939.9713199999997</v>
      </c>
      <c r="G50" s="46">
        <f t="shared" si="2"/>
        <v>3532.4218799999999</v>
      </c>
      <c r="H50" s="46">
        <f t="shared" si="3"/>
        <v>1966.9057199999997</v>
      </c>
      <c r="I50" s="46">
        <f t="shared" si="4"/>
        <v>2794.8725999999997</v>
      </c>
      <c r="J50" s="46">
        <f t="shared" si="5"/>
        <v>3313.2668399999998</v>
      </c>
      <c r="K50" s="46">
        <f t="shared" si="6"/>
        <v>2230.3007999999995</v>
      </c>
      <c r="L50" s="46">
        <f t="shared" si="7"/>
        <v>2953.96452</v>
      </c>
      <c r="M50" s="46">
        <f t="shared" si="8"/>
        <v>3657.4995600000002</v>
      </c>
      <c r="N50" s="22"/>
      <c r="O50" s="46">
        <v>187.73</v>
      </c>
      <c r="P50" s="46">
        <v>273.13</v>
      </c>
      <c r="Q50" s="46">
        <v>328.17</v>
      </c>
      <c r="R50" s="46">
        <v>182.73</v>
      </c>
      <c r="S50" s="46">
        <v>259.64999999999998</v>
      </c>
      <c r="T50" s="46">
        <v>307.81</v>
      </c>
      <c r="U50" s="46">
        <v>207.2</v>
      </c>
      <c r="V50" s="46">
        <v>274.43</v>
      </c>
      <c r="W50" s="46">
        <v>339.79</v>
      </c>
      <c r="X50" s="22"/>
      <c r="Y50"/>
      <c r="Z50" s="10">
        <f t="shared" si="9"/>
        <v>0.87779535031369305</v>
      </c>
      <c r="AA50"/>
      <c r="AB50" s="22"/>
    </row>
    <row r="51" spans="1:28" x14ac:dyDescent="0.25">
      <c r="A51" s="16"/>
      <c r="B51" s="3" t="s">
        <v>72</v>
      </c>
      <c r="C51" s="3" t="s">
        <v>73</v>
      </c>
      <c r="D51" s="11" t="s">
        <v>19</v>
      </c>
      <c r="E51" s="46">
        <f t="shared" si="10"/>
        <v>1073.6013599999999</v>
      </c>
      <c r="F51" s="46">
        <f t="shared" si="1"/>
        <v>1556.4743999999998</v>
      </c>
      <c r="G51" s="46">
        <f t="shared" si="2"/>
        <v>1867.8769199999999</v>
      </c>
      <c r="H51" s="46">
        <f t="shared" si="3"/>
        <v>1045.29204</v>
      </c>
      <c r="I51" s="46">
        <f t="shared" si="4"/>
        <v>1480.2652800000001</v>
      </c>
      <c r="J51" s="46">
        <f t="shared" si="5"/>
        <v>1752.7021199999999</v>
      </c>
      <c r="K51" s="46">
        <f t="shared" si="6"/>
        <v>1183.7170799999999</v>
      </c>
      <c r="L51" s="46">
        <f t="shared" si="7"/>
        <v>1563.9015599999998</v>
      </c>
      <c r="M51" s="46">
        <f t="shared" si="8"/>
        <v>1933.5373199999999</v>
      </c>
      <c r="N51" s="22"/>
      <c r="O51" s="46">
        <v>99.74</v>
      </c>
      <c r="P51" s="46">
        <v>144.6</v>
      </c>
      <c r="Q51" s="46">
        <v>173.53</v>
      </c>
      <c r="R51" s="46">
        <v>97.11</v>
      </c>
      <c r="S51" s="46">
        <v>137.52000000000001</v>
      </c>
      <c r="T51" s="46">
        <v>162.83000000000001</v>
      </c>
      <c r="U51" s="46">
        <v>109.97</v>
      </c>
      <c r="V51" s="46">
        <v>145.29</v>
      </c>
      <c r="W51" s="46">
        <v>179.63</v>
      </c>
      <c r="X51" s="22"/>
      <c r="Y51"/>
      <c r="Z51" s="10">
        <f t="shared" si="9"/>
        <v>0.4663682322499747</v>
      </c>
      <c r="AA51"/>
      <c r="AB51" s="22"/>
    </row>
    <row r="52" spans="1:28" x14ac:dyDescent="0.25">
      <c r="A52" s="16"/>
      <c r="B52" s="3" t="s">
        <v>74</v>
      </c>
      <c r="C52" s="3" t="s">
        <v>75</v>
      </c>
      <c r="D52" s="11" t="s">
        <v>19</v>
      </c>
      <c r="E52" s="46">
        <f t="shared" si="10"/>
        <v>2028.1528799999996</v>
      </c>
      <c r="F52" s="46">
        <f t="shared" si="1"/>
        <v>2950.7353199999998</v>
      </c>
      <c r="G52" s="46">
        <f t="shared" si="2"/>
        <v>3545.4463199999996</v>
      </c>
      <c r="H52" s="46">
        <f t="shared" si="3"/>
        <v>1974.1176</v>
      </c>
      <c r="I52" s="46">
        <f t="shared" si="4"/>
        <v>2805.0983999999999</v>
      </c>
      <c r="J52" s="46">
        <f t="shared" si="5"/>
        <v>3325.3225199999997</v>
      </c>
      <c r="K52" s="46">
        <f t="shared" si="6"/>
        <v>2238.48144</v>
      </c>
      <c r="L52" s="46">
        <f t="shared" si="7"/>
        <v>2964.7285200000001</v>
      </c>
      <c r="M52" s="46">
        <f t="shared" si="8"/>
        <v>3670.9545600000001</v>
      </c>
      <c r="N52" s="22"/>
      <c r="O52" s="46">
        <v>188.42</v>
      </c>
      <c r="P52" s="46">
        <v>274.13</v>
      </c>
      <c r="Q52" s="46">
        <v>329.38</v>
      </c>
      <c r="R52" s="46">
        <v>183.4</v>
      </c>
      <c r="S52" s="46">
        <v>260.60000000000002</v>
      </c>
      <c r="T52" s="46">
        <v>308.93</v>
      </c>
      <c r="U52" s="46">
        <v>207.96</v>
      </c>
      <c r="V52" s="46">
        <v>275.43</v>
      </c>
      <c r="W52" s="46">
        <v>341.04</v>
      </c>
      <c r="X52" s="22"/>
      <c r="Y52"/>
      <c r="Z52" s="10">
        <f t="shared" si="9"/>
        <v>0.88102167957229027</v>
      </c>
      <c r="AA52"/>
      <c r="AB52" s="22"/>
    </row>
    <row r="53" spans="1:28" x14ac:dyDescent="0.25">
      <c r="A53" s="16"/>
      <c r="B53" s="3" t="s">
        <v>76</v>
      </c>
      <c r="C53" s="3" t="s">
        <v>77</v>
      </c>
      <c r="D53" s="11" t="s">
        <v>19</v>
      </c>
      <c r="E53" s="46">
        <f t="shared" si="10"/>
        <v>1693.1772000000001</v>
      </c>
      <c r="F53" s="46">
        <f t="shared" si="1"/>
        <v>2461.51152</v>
      </c>
      <c r="G53" s="46">
        <f t="shared" si="2"/>
        <v>2956.76316</v>
      </c>
      <c r="H53" s="46">
        <f t="shared" si="3"/>
        <v>1648.1836799999999</v>
      </c>
      <c r="I53" s="46">
        <f t="shared" si="4"/>
        <v>2340.3088799999996</v>
      </c>
      <c r="J53" s="46">
        <f t="shared" si="5"/>
        <v>2773.5598799999998</v>
      </c>
      <c r="K53" s="46">
        <f t="shared" si="6"/>
        <v>1868.3074799999997</v>
      </c>
      <c r="L53" s="46">
        <f t="shared" si="7"/>
        <v>2473.2442799999999</v>
      </c>
      <c r="M53" s="46">
        <f t="shared" si="8"/>
        <v>3061.2815999999993</v>
      </c>
      <c r="N53" s="22"/>
      <c r="O53" s="46">
        <v>157.30000000000001</v>
      </c>
      <c r="P53" s="46">
        <v>228.68</v>
      </c>
      <c r="Q53" s="46">
        <v>274.69</v>
      </c>
      <c r="R53" s="46">
        <v>153.12</v>
      </c>
      <c r="S53" s="46">
        <v>217.42</v>
      </c>
      <c r="T53" s="46">
        <v>257.67</v>
      </c>
      <c r="U53" s="46">
        <v>173.57</v>
      </c>
      <c r="V53" s="46">
        <v>229.77</v>
      </c>
      <c r="W53" s="46">
        <v>284.39999999999998</v>
      </c>
      <c r="X53" s="22"/>
      <c r="Y53"/>
      <c r="Z53" s="10">
        <f t="shared" si="9"/>
        <v>0.73550955417005237</v>
      </c>
      <c r="AA53"/>
      <c r="AB53" s="22"/>
    </row>
    <row r="54" spans="1:28" x14ac:dyDescent="0.25">
      <c r="A54" s="16"/>
      <c r="B54" s="3" t="s">
        <v>78</v>
      </c>
      <c r="C54" s="3" t="s">
        <v>79</v>
      </c>
      <c r="D54" s="11" t="s">
        <v>19</v>
      </c>
      <c r="E54" s="46">
        <f t="shared" si="10"/>
        <v>1777.4593199999999</v>
      </c>
      <c r="F54" s="46">
        <f t="shared" si="1"/>
        <v>2584.5440399999998</v>
      </c>
      <c r="G54" s="46">
        <f t="shared" si="2"/>
        <v>3104.8757999999998</v>
      </c>
      <c r="H54" s="46">
        <f t="shared" si="3"/>
        <v>1730.2053599999999</v>
      </c>
      <c r="I54" s="46">
        <f t="shared" si="4"/>
        <v>2457.2059199999999</v>
      </c>
      <c r="J54" s="46">
        <f t="shared" si="5"/>
        <v>2912.4154799999997</v>
      </c>
      <c r="K54" s="46">
        <f t="shared" si="6"/>
        <v>1961.5237199999997</v>
      </c>
      <c r="L54" s="46">
        <f t="shared" si="7"/>
        <v>2596.9226399999998</v>
      </c>
      <c r="M54" s="46">
        <f t="shared" si="8"/>
        <v>3214.6685999999995</v>
      </c>
      <c r="N54" s="22"/>
      <c r="O54" s="46">
        <v>165.13</v>
      </c>
      <c r="P54" s="46">
        <v>240.11</v>
      </c>
      <c r="Q54" s="46">
        <v>288.45</v>
      </c>
      <c r="R54" s="46">
        <v>160.74</v>
      </c>
      <c r="S54" s="46">
        <v>228.28</v>
      </c>
      <c r="T54" s="46">
        <v>270.57</v>
      </c>
      <c r="U54" s="46">
        <v>182.23</v>
      </c>
      <c r="V54" s="46">
        <v>241.26</v>
      </c>
      <c r="W54" s="46">
        <v>298.64999999999998</v>
      </c>
      <c r="X54" s="22"/>
      <c r="Y54"/>
      <c r="Z54" s="10">
        <f t="shared" si="9"/>
        <v>0.77212137749587251</v>
      </c>
      <c r="AA54"/>
      <c r="AB54" s="22"/>
    </row>
    <row r="55" spans="1:28" x14ac:dyDescent="0.25">
      <c r="A55" s="16"/>
      <c r="B55" s="3" t="s">
        <v>80</v>
      </c>
      <c r="C55" s="3" t="s">
        <v>81</v>
      </c>
      <c r="D55" s="11" t="s">
        <v>19</v>
      </c>
      <c r="E55" s="46">
        <f t="shared" si="10"/>
        <v>1844.7343199999998</v>
      </c>
      <c r="F55" s="46">
        <f t="shared" si="1"/>
        <v>2682.81936</v>
      </c>
      <c r="G55" s="46">
        <f t="shared" si="2"/>
        <v>3223.0645199999999</v>
      </c>
      <c r="H55" s="46">
        <f t="shared" si="3"/>
        <v>1795.6504799999998</v>
      </c>
      <c r="I55" s="46">
        <f t="shared" si="4"/>
        <v>2550.63744</v>
      </c>
      <c r="J55" s="46">
        <f t="shared" si="5"/>
        <v>3023.17704</v>
      </c>
      <c r="K55" s="46">
        <f t="shared" si="6"/>
        <v>2035.7953199999997</v>
      </c>
      <c r="L55" s="46">
        <f t="shared" si="7"/>
        <v>2695.6285199999998</v>
      </c>
      <c r="M55" s="46">
        <f t="shared" si="8"/>
        <v>3337.0552799999996</v>
      </c>
      <c r="N55" s="22"/>
      <c r="O55" s="46">
        <v>171.38</v>
      </c>
      <c r="P55" s="46">
        <v>249.24</v>
      </c>
      <c r="Q55" s="46">
        <v>299.43</v>
      </c>
      <c r="R55" s="46">
        <v>166.82</v>
      </c>
      <c r="S55" s="46">
        <v>236.96</v>
      </c>
      <c r="T55" s="46">
        <v>280.86</v>
      </c>
      <c r="U55" s="46">
        <v>189.13</v>
      </c>
      <c r="V55" s="46">
        <v>250.43</v>
      </c>
      <c r="W55" s="46">
        <v>310.02</v>
      </c>
      <c r="X55" s="22"/>
      <c r="Y55"/>
      <c r="Z55" s="10">
        <f t="shared" si="9"/>
        <v>0.80134537440345566</v>
      </c>
      <c r="AA55"/>
      <c r="AB55" s="22"/>
    </row>
    <row r="56" spans="1:28" x14ac:dyDescent="0.25">
      <c r="A56" s="16"/>
      <c r="B56" s="3" t="s">
        <v>82</v>
      </c>
      <c r="C56" s="3" t="s">
        <v>83</v>
      </c>
      <c r="D56" s="11" t="s">
        <v>19</v>
      </c>
      <c r="E56" s="46">
        <f t="shared" si="10"/>
        <v>1455.18516</v>
      </c>
      <c r="F56" s="46">
        <f t="shared" si="1"/>
        <v>2113.9419599999997</v>
      </c>
      <c r="G56" s="46">
        <f t="shared" si="2"/>
        <v>2538.58176</v>
      </c>
      <c r="H56" s="46">
        <f t="shared" si="3"/>
        <v>1416.65004</v>
      </c>
      <c r="I56" s="46">
        <f t="shared" si="4"/>
        <v>2009.9617199999998</v>
      </c>
      <c r="J56" s="46">
        <f t="shared" si="5"/>
        <v>2381.4273600000001</v>
      </c>
      <c r="K56" s="46">
        <f t="shared" si="6"/>
        <v>1605.3429599999997</v>
      </c>
      <c r="L56" s="46">
        <f t="shared" si="7"/>
        <v>2123.9524799999999</v>
      </c>
      <c r="M56" s="46">
        <f t="shared" si="8"/>
        <v>2628.1382399999998</v>
      </c>
      <c r="N56" s="22"/>
      <c r="O56" s="46">
        <v>135.19</v>
      </c>
      <c r="P56" s="46">
        <v>196.39</v>
      </c>
      <c r="Q56" s="46">
        <v>235.84</v>
      </c>
      <c r="R56" s="46">
        <v>131.61000000000001</v>
      </c>
      <c r="S56" s="46">
        <v>186.73</v>
      </c>
      <c r="T56" s="46">
        <v>221.24</v>
      </c>
      <c r="U56" s="46">
        <v>149.13999999999999</v>
      </c>
      <c r="V56" s="46">
        <v>197.32</v>
      </c>
      <c r="W56" s="46">
        <v>244.16</v>
      </c>
      <c r="X56" s="22"/>
      <c r="Y56"/>
      <c r="Z56" s="10">
        <f t="shared" si="9"/>
        <v>0.63212674270978619</v>
      </c>
      <c r="AA56"/>
      <c r="AB56" s="22"/>
    </row>
    <row r="57" spans="1:28" x14ac:dyDescent="0.25">
      <c r="A57" s="16"/>
      <c r="B57" s="3" t="s">
        <v>82</v>
      </c>
      <c r="C57" s="3" t="s">
        <v>84</v>
      </c>
      <c r="D57" s="11" t="s">
        <v>19</v>
      </c>
      <c r="E57" s="8">
        <v>1785.1517818146938</v>
      </c>
      <c r="F57" s="8">
        <v>2432.3803920661853</v>
      </c>
      <c r="G57" s="8">
        <v>3420.6233810476879</v>
      </c>
      <c r="H57" s="8">
        <v>1653.1489384465935</v>
      </c>
      <c r="I57" s="8">
        <v>2258.4410380955492</v>
      </c>
      <c r="J57" s="8">
        <v>2985.2047706226499</v>
      </c>
      <c r="K57" s="8">
        <v>1982.6374381107653</v>
      </c>
      <c r="L57" s="8">
        <v>2501.4945125720283</v>
      </c>
      <c r="M57" s="8">
        <v>3265.9440472153901</v>
      </c>
      <c r="N57" s="22"/>
      <c r="O57" s="8">
        <v>165.84467778611449</v>
      </c>
      <c r="P57" s="8">
        <v>225.97369393733365</v>
      </c>
      <c r="Q57" s="8">
        <v>317.78372474346304</v>
      </c>
      <c r="R57" s="8">
        <v>153.5813121450264</v>
      </c>
      <c r="S57" s="8">
        <v>209.81433067901125</v>
      </c>
      <c r="T57" s="8">
        <v>277.33234134646631</v>
      </c>
      <c r="U57" s="8">
        <v>184.19154630981362</v>
      </c>
      <c r="V57" s="8">
        <v>232.39455358777204</v>
      </c>
      <c r="W57" s="8">
        <v>303.41366134554232</v>
      </c>
      <c r="X57" s="22"/>
      <c r="Y57"/>
      <c r="Z57" s="10">
        <f t="shared" si="9"/>
        <v>0.77546309612168507</v>
      </c>
      <c r="AA57"/>
      <c r="AB57" s="22"/>
    </row>
    <row r="58" spans="1:28" x14ac:dyDescent="0.25">
      <c r="A58" s="16"/>
      <c r="B58" s="3" t="s">
        <v>85</v>
      </c>
      <c r="C58" s="3" t="s">
        <v>86</v>
      </c>
      <c r="D58" s="11" t="s">
        <v>19</v>
      </c>
      <c r="E58" s="8">
        <v>1069.0142416708104</v>
      </c>
      <c r="F58" s="8">
        <v>1456.5984286424664</v>
      </c>
      <c r="G58" s="8">
        <v>2048.3945101939335</v>
      </c>
      <c r="H58" s="8">
        <v>989.96610641471898</v>
      </c>
      <c r="I58" s="8">
        <v>1352.4371755345601</v>
      </c>
      <c r="J58" s="8">
        <v>1787.6499055196418</v>
      </c>
      <c r="K58" s="8">
        <v>1187.2758826454499</v>
      </c>
      <c r="L58" s="8">
        <v>1497.986494281452</v>
      </c>
      <c r="M58" s="8">
        <v>1955.7668622575832</v>
      </c>
      <c r="N58" s="22"/>
      <c r="O58" s="8">
        <v>99.313864661098364</v>
      </c>
      <c r="P58" s="8">
        <v>135.32132086628721</v>
      </c>
      <c r="Q58" s="8">
        <v>190.30052849434549</v>
      </c>
      <c r="R58" s="8">
        <v>91.970112351245461</v>
      </c>
      <c r="S58" s="8">
        <v>125.6445025500776</v>
      </c>
      <c r="T58" s="8">
        <v>166.07675918397513</v>
      </c>
      <c r="U58" s="8">
        <v>110.30064121516742</v>
      </c>
      <c r="V58" s="8">
        <v>139.16636669376894</v>
      </c>
      <c r="W58" s="8">
        <v>181.69520844112645</v>
      </c>
      <c r="X58" s="22"/>
      <c r="Y58"/>
      <c r="Z58" s="10">
        <f t="shared" si="9"/>
        <v>0.464375691797771</v>
      </c>
      <c r="AA58"/>
      <c r="AB58" s="22"/>
    </row>
    <row r="59" spans="1:28" x14ac:dyDescent="0.25">
      <c r="A59" s="16"/>
      <c r="B59" s="3" t="s">
        <v>85</v>
      </c>
      <c r="C59" s="3" t="s">
        <v>87</v>
      </c>
      <c r="D59" s="11" t="s">
        <v>19</v>
      </c>
      <c r="E59" s="8">
        <v>1069.0142416708104</v>
      </c>
      <c r="F59" s="8">
        <v>1456.5984286424664</v>
      </c>
      <c r="G59" s="8">
        <v>2048.3945101939335</v>
      </c>
      <c r="H59" s="8">
        <v>989.96610641471898</v>
      </c>
      <c r="I59" s="8">
        <v>1352.4371755345601</v>
      </c>
      <c r="J59" s="8">
        <v>1787.6499055196418</v>
      </c>
      <c r="K59" s="8">
        <v>1187.2758826454499</v>
      </c>
      <c r="L59" s="8">
        <v>1497.986494281452</v>
      </c>
      <c r="M59" s="8">
        <v>1955.7668622575832</v>
      </c>
      <c r="N59" s="22"/>
      <c r="O59" s="8">
        <v>99.313864661098364</v>
      </c>
      <c r="P59" s="8">
        <v>135.32132086628721</v>
      </c>
      <c r="Q59" s="8">
        <v>190.30052849434549</v>
      </c>
      <c r="R59" s="8">
        <v>91.970112351245461</v>
      </c>
      <c r="S59" s="8">
        <v>125.6445025500776</v>
      </c>
      <c r="T59" s="8">
        <v>166.07675918397513</v>
      </c>
      <c r="U59" s="8">
        <v>110.30064121516742</v>
      </c>
      <c r="V59" s="8">
        <v>139.16636669376894</v>
      </c>
      <c r="W59" s="8">
        <v>181.69520844112645</v>
      </c>
      <c r="X59" s="22"/>
      <c r="Y59"/>
      <c r="Z59" s="10">
        <f t="shared" si="9"/>
        <v>0.464375691797771</v>
      </c>
      <c r="AA59"/>
      <c r="AB59" s="22"/>
    </row>
    <row r="60" spans="1:28" s="34" customFormat="1" x14ac:dyDescent="0.25">
      <c r="A60" s="35"/>
      <c r="B60" s="3" t="s">
        <v>85</v>
      </c>
      <c r="C60" s="3" t="s">
        <v>88</v>
      </c>
      <c r="D60" s="11" t="s">
        <v>19</v>
      </c>
      <c r="E60" s="8">
        <v>1069.0142416708104</v>
      </c>
      <c r="F60" s="8">
        <v>1456.5984286424664</v>
      </c>
      <c r="G60" s="8">
        <v>2048.3945101939335</v>
      </c>
      <c r="H60" s="8">
        <v>989.96610641471898</v>
      </c>
      <c r="I60" s="8">
        <v>1352.4371755345601</v>
      </c>
      <c r="J60" s="8">
        <v>1787.6499055196418</v>
      </c>
      <c r="K60" s="8">
        <v>1187.2758826454499</v>
      </c>
      <c r="L60" s="8">
        <v>1497.986494281452</v>
      </c>
      <c r="M60" s="8">
        <v>1955.7668622575832</v>
      </c>
      <c r="N60" s="33"/>
      <c r="O60" s="8">
        <v>99.313864661098364</v>
      </c>
      <c r="P60" s="8">
        <v>135.32132086628721</v>
      </c>
      <c r="Q60" s="8">
        <v>190.30052849434549</v>
      </c>
      <c r="R60" s="8">
        <v>91.970112351245461</v>
      </c>
      <c r="S60" s="8">
        <v>125.6445025500776</v>
      </c>
      <c r="T60" s="8">
        <v>166.07675918397513</v>
      </c>
      <c r="U60" s="8">
        <v>110.30064121516742</v>
      </c>
      <c r="V60" s="8">
        <v>139.16636669376894</v>
      </c>
      <c r="W60" s="8">
        <v>181.69520844112645</v>
      </c>
      <c r="X60" s="33"/>
      <c r="Z60" s="10">
        <f t="shared" si="9"/>
        <v>0.464375691797771</v>
      </c>
      <c r="AB60" s="33"/>
    </row>
    <row r="61" spans="1:28" x14ac:dyDescent="0.25">
      <c r="A61" s="16"/>
      <c r="B61" s="3" t="s">
        <v>89</v>
      </c>
      <c r="C61" s="3" t="s">
        <v>90</v>
      </c>
      <c r="D61" s="11" t="s">
        <v>19</v>
      </c>
      <c r="E61" s="46">
        <f t="shared" ref="E61:E63" si="11">O61*10.764</f>
        <v>1080.9208799999999</v>
      </c>
      <c r="F61" s="46">
        <f t="shared" ref="F61:F63" si="12">P61*10.764</f>
        <v>1567.3460400000001</v>
      </c>
      <c r="G61" s="46">
        <f t="shared" ref="G61:G63" si="13">Q61*10.764</f>
        <v>1880.7937199999997</v>
      </c>
      <c r="H61" s="46">
        <f t="shared" ref="H61:H63" si="14">R61*10.764</f>
        <v>1052.5039199999999</v>
      </c>
      <c r="I61" s="46">
        <f t="shared" ref="I61:I63" si="15">S61*10.764</f>
        <v>1490.5987199999997</v>
      </c>
      <c r="J61" s="46">
        <f t="shared" ref="J61:J63" si="16">T61*10.764</f>
        <v>1764.86544</v>
      </c>
      <c r="K61" s="46">
        <f t="shared" ref="K61:K63" si="17">U61*10.764</f>
        <v>1191.79008</v>
      </c>
      <c r="L61" s="46">
        <f t="shared" ref="L61:L63" si="18">V61*10.764</f>
        <v>1574.6655599999999</v>
      </c>
      <c r="M61" s="46">
        <f t="shared" ref="M61:M63" si="19">W61*10.764</f>
        <v>1946.9923199999998</v>
      </c>
      <c r="N61" s="22"/>
      <c r="O61" s="46">
        <v>100.42</v>
      </c>
      <c r="P61" s="46">
        <v>145.61000000000001</v>
      </c>
      <c r="Q61" s="46">
        <v>174.73</v>
      </c>
      <c r="R61" s="46">
        <v>97.78</v>
      </c>
      <c r="S61" s="46">
        <v>138.47999999999999</v>
      </c>
      <c r="T61" s="46">
        <v>163.96</v>
      </c>
      <c r="U61" s="46">
        <v>110.72</v>
      </c>
      <c r="V61" s="46">
        <v>146.29</v>
      </c>
      <c r="W61" s="46">
        <v>180.88</v>
      </c>
      <c r="X61" s="22"/>
      <c r="Y61"/>
      <c r="Z61" s="10">
        <f t="shared" si="9"/>
        <v>0.46954780311351979</v>
      </c>
      <c r="AA61"/>
      <c r="AB61" s="22"/>
    </row>
    <row r="62" spans="1:28" x14ac:dyDescent="0.25">
      <c r="A62" s="16"/>
      <c r="B62" s="3" t="s">
        <v>91</v>
      </c>
      <c r="C62" s="3" t="s">
        <v>92</v>
      </c>
      <c r="D62" s="11" t="s">
        <v>19</v>
      </c>
      <c r="E62" s="46">
        <f t="shared" si="11"/>
        <v>954.87443999999982</v>
      </c>
      <c r="F62" s="46">
        <f t="shared" si="12"/>
        <v>1383.06636</v>
      </c>
      <c r="G62" s="46">
        <f t="shared" si="13"/>
        <v>1659.1629599999997</v>
      </c>
      <c r="H62" s="46">
        <f t="shared" si="14"/>
        <v>929.79431999999986</v>
      </c>
      <c r="I62" s="46">
        <f t="shared" si="15"/>
        <v>1315.5760799999998</v>
      </c>
      <c r="J62" s="46">
        <f t="shared" si="16"/>
        <v>1557.0126</v>
      </c>
      <c r="K62" s="46">
        <f t="shared" si="17"/>
        <v>1052.5039199999999</v>
      </c>
      <c r="L62" s="46">
        <f t="shared" si="18"/>
        <v>1389.6324</v>
      </c>
      <c r="M62" s="46">
        <f t="shared" si="19"/>
        <v>1717.5038399999999</v>
      </c>
      <c r="N62" s="22"/>
      <c r="O62" s="46">
        <v>88.71</v>
      </c>
      <c r="P62" s="46">
        <v>128.49</v>
      </c>
      <c r="Q62" s="46">
        <v>154.13999999999999</v>
      </c>
      <c r="R62" s="46">
        <v>86.38</v>
      </c>
      <c r="S62" s="46">
        <v>122.22</v>
      </c>
      <c r="T62" s="46">
        <v>144.65</v>
      </c>
      <c r="U62" s="46">
        <v>97.78</v>
      </c>
      <c r="V62" s="46">
        <v>129.1</v>
      </c>
      <c r="W62" s="46">
        <v>159.56</v>
      </c>
      <c r="X62" s="22"/>
      <c r="Y62"/>
      <c r="Z62" s="10">
        <f t="shared" si="9"/>
        <v>0.41479372250747198</v>
      </c>
      <c r="AA62"/>
      <c r="AB62" s="22"/>
    </row>
    <row r="63" spans="1:28" x14ac:dyDescent="0.25">
      <c r="A63" s="16"/>
      <c r="B63" s="3" t="s">
        <v>93</v>
      </c>
      <c r="C63" s="3" t="s">
        <v>53</v>
      </c>
      <c r="D63" s="11" t="s">
        <v>19</v>
      </c>
      <c r="E63" s="46">
        <f t="shared" si="11"/>
        <v>900.19331999999986</v>
      </c>
      <c r="F63" s="46">
        <f t="shared" si="12"/>
        <v>1303.30512</v>
      </c>
      <c r="G63" s="46">
        <f t="shared" si="13"/>
        <v>1563.2557199999999</v>
      </c>
      <c r="H63" s="46">
        <f t="shared" si="14"/>
        <v>876.62015999999994</v>
      </c>
      <c r="I63" s="46">
        <f t="shared" si="15"/>
        <v>1239.7975200000001</v>
      </c>
      <c r="J63" s="46">
        <f t="shared" si="16"/>
        <v>1467.0255599999998</v>
      </c>
      <c r="K63" s="46">
        <f t="shared" si="17"/>
        <v>992.11788000000001</v>
      </c>
      <c r="L63" s="46">
        <f t="shared" si="18"/>
        <v>1309.5482399999999</v>
      </c>
      <c r="M63" s="46">
        <f t="shared" si="19"/>
        <v>1618.0444799999998</v>
      </c>
      <c r="N63" s="22"/>
      <c r="O63" s="46">
        <v>83.63</v>
      </c>
      <c r="P63" s="46">
        <v>121.08</v>
      </c>
      <c r="Q63" s="46">
        <v>145.22999999999999</v>
      </c>
      <c r="R63" s="46">
        <v>81.44</v>
      </c>
      <c r="S63" s="46">
        <v>115.18</v>
      </c>
      <c r="T63" s="46">
        <v>136.29</v>
      </c>
      <c r="U63" s="46">
        <v>92.17</v>
      </c>
      <c r="V63" s="46">
        <v>121.66</v>
      </c>
      <c r="W63" s="46">
        <v>150.32</v>
      </c>
      <c r="X63" s="22"/>
      <c r="Y63"/>
      <c r="Z63" s="10">
        <f t="shared" si="9"/>
        <v>0.3910404578209884</v>
      </c>
      <c r="AA63"/>
      <c r="AB63" s="22"/>
    </row>
    <row r="64" spans="1:28" x14ac:dyDescent="0.25">
      <c r="A64" s="16"/>
      <c r="B64" s="3" t="s">
        <v>94</v>
      </c>
      <c r="C64" s="3" t="s">
        <v>95</v>
      </c>
      <c r="D64" s="11" t="s">
        <v>19</v>
      </c>
      <c r="E64" s="8">
        <v>1115.0524853607656</v>
      </c>
      <c r="F64" s="8">
        <v>1519.3284006131278</v>
      </c>
      <c r="G64" s="8">
        <v>2136.610814483839</v>
      </c>
      <c r="H64" s="8">
        <v>1032.6000574654399</v>
      </c>
      <c r="I64" s="8">
        <v>1410.6813315387865</v>
      </c>
      <c r="J64" s="8">
        <v>1864.6369640400296</v>
      </c>
      <c r="K64" s="8">
        <v>1238.407190612879</v>
      </c>
      <c r="L64" s="8">
        <v>1562.4988876432124</v>
      </c>
      <c r="M64" s="8">
        <v>2039.9940576452013</v>
      </c>
      <c r="N64" s="22"/>
      <c r="O64" s="8">
        <v>103.59092265044072</v>
      </c>
      <c r="P64" s="8">
        <v>141.14907853652338</v>
      </c>
      <c r="Q64" s="8">
        <v>198.49602464737785</v>
      </c>
      <c r="R64" s="8">
        <v>95.930903779057928</v>
      </c>
      <c r="S64" s="8">
        <v>131.05551767150655</v>
      </c>
      <c r="T64" s="8">
        <v>173.22903275761786</v>
      </c>
      <c r="U64" s="8">
        <v>115.05085650835703</v>
      </c>
      <c r="V64" s="8">
        <v>145.15971538225753</v>
      </c>
      <c r="W64" s="8">
        <v>189.52010726608117</v>
      </c>
      <c r="X64" s="22"/>
      <c r="Y64"/>
      <c r="Z64" s="10">
        <f t="shared" si="9"/>
        <v>0.48437452851042612</v>
      </c>
      <c r="AA64"/>
      <c r="AB64" s="22"/>
    </row>
    <row r="65" spans="1:28" x14ac:dyDescent="0.25">
      <c r="A65" s="16"/>
      <c r="B65" s="3" t="s">
        <v>94</v>
      </c>
      <c r="C65" s="3" t="s">
        <v>96</v>
      </c>
      <c r="D65" s="11" t="s">
        <v>19</v>
      </c>
      <c r="E65" s="8">
        <v>1115.0524853607656</v>
      </c>
      <c r="F65" s="8">
        <v>1519.3284006131278</v>
      </c>
      <c r="G65" s="8">
        <v>2136.610814483839</v>
      </c>
      <c r="H65" s="8">
        <v>1032.6000574654399</v>
      </c>
      <c r="I65" s="8">
        <v>1410.6813315387865</v>
      </c>
      <c r="J65" s="8">
        <v>1864.6369640400296</v>
      </c>
      <c r="K65" s="8">
        <v>1238.407190612879</v>
      </c>
      <c r="L65" s="8">
        <v>1562.4988876432124</v>
      </c>
      <c r="M65" s="8">
        <v>2039.9940576452013</v>
      </c>
      <c r="N65" s="22"/>
      <c r="O65" s="8">
        <v>103.59092265044072</v>
      </c>
      <c r="P65" s="8">
        <v>141.14907853652338</v>
      </c>
      <c r="Q65" s="8">
        <v>198.49602464737785</v>
      </c>
      <c r="R65" s="8">
        <v>95.930903779057928</v>
      </c>
      <c r="S65" s="8">
        <v>131.05551767150655</v>
      </c>
      <c r="T65" s="8">
        <v>173.22903275761786</v>
      </c>
      <c r="U65" s="8">
        <v>115.05085650835703</v>
      </c>
      <c r="V65" s="8">
        <v>145.15971538225753</v>
      </c>
      <c r="W65" s="8">
        <v>189.52010726608117</v>
      </c>
      <c r="X65" s="22"/>
      <c r="Y65"/>
      <c r="Z65" s="10">
        <f t="shared" si="9"/>
        <v>0.48437452851042612</v>
      </c>
      <c r="AA65"/>
      <c r="AB65" s="22"/>
    </row>
    <row r="66" spans="1:28" x14ac:dyDescent="0.25">
      <c r="A66" s="16"/>
      <c r="B66" s="3" t="s">
        <v>94</v>
      </c>
      <c r="C66" s="3" t="s">
        <v>97</v>
      </c>
      <c r="D66" s="11" t="s">
        <v>19</v>
      </c>
      <c r="E66" s="8">
        <v>1115.0524853607656</v>
      </c>
      <c r="F66" s="8">
        <v>1519.3284006131278</v>
      </c>
      <c r="G66" s="8">
        <v>2136.610814483839</v>
      </c>
      <c r="H66" s="8">
        <v>1032.6000574654399</v>
      </c>
      <c r="I66" s="8">
        <v>1410.6813315387865</v>
      </c>
      <c r="J66" s="8">
        <v>1864.6369640400296</v>
      </c>
      <c r="K66" s="8">
        <v>1238.407190612879</v>
      </c>
      <c r="L66" s="8">
        <v>1562.4988876432124</v>
      </c>
      <c r="M66" s="8">
        <v>2039.9940576452013</v>
      </c>
      <c r="N66" s="22"/>
      <c r="O66" s="8">
        <v>103.59092265044072</v>
      </c>
      <c r="P66" s="8">
        <v>141.14907853652338</v>
      </c>
      <c r="Q66" s="8">
        <v>198.49602464737785</v>
      </c>
      <c r="R66" s="8">
        <v>95.930903779057928</v>
      </c>
      <c r="S66" s="8">
        <v>131.05551767150655</v>
      </c>
      <c r="T66" s="8">
        <v>173.22903275761786</v>
      </c>
      <c r="U66" s="8">
        <v>115.05085650835703</v>
      </c>
      <c r="V66" s="8">
        <v>145.15971538225753</v>
      </c>
      <c r="W66" s="8">
        <v>189.52010726608117</v>
      </c>
      <c r="X66" s="22"/>
      <c r="Y66"/>
      <c r="Z66" s="10">
        <f t="shared" si="9"/>
        <v>0.48437452851042612</v>
      </c>
      <c r="AA66"/>
      <c r="AB66" s="22"/>
    </row>
    <row r="67" spans="1:28" x14ac:dyDescent="0.25">
      <c r="A67" s="16"/>
      <c r="B67" s="3" t="s">
        <v>94</v>
      </c>
      <c r="C67" s="3" t="s">
        <v>98</v>
      </c>
      <c r="D67" s="11" t="s">
        <v>19</v>
      </c>
      <c r="E67" s="9">
        <v>1115.0524853607656</v>
      </c>
      <c r="F67" s="9">
        <v>1519.3284006131278</v>
      </c>
      <c r="G67" s="9">
        <v>2136.610814483839</v>
      </c>
      <c r="H67" s="9">
        <v>1032.6000574654399</v>
      </c>
      <c r="I67" s="9">
        <v>1410.6813315387865</v>
      </c>
      <c r="J67" s="9">
        <v>1864.6369640400296</v>
      </c>
      <c r="K67" s="9">
        <v>1238.407190612879</v>
      </c>
      <c r="L67" s="9">
        <v>1562.4988876432124</v>
      </c>
      <c r="M67" s="9">
        <v>2039.9940576452013</v>
      </c>
      <c r="N67" s="22"/>
      <c r="O67" s="9">
        <v>103.59092265044072</v>
      </c>
      <c r="P67" s="9">
        <v>141.14907853652338</v>
      </c>
      <c r="Q67" s="9">
        <v>198.49602464737785</v>
      </c>
      <c r="R67" s="9">
        <v>95.930903779057928</v>
      </c>
      <c r="S67" s="9">
        <v>131.05551767150655</v>
      </c>
      <c r="T67" s="9">
        <v>173.22903275761786</v>
      </c>
      <c r="U67" s="9">
        <v>115.05085650835703</v>
      </c>
      <c r="V67" s="9">
        <v>145.15971538225753</v>
      </c>
      <c r="W67" s="9">
        <v>189.52010726608117</v>
      </c>
      <c r="X67" s="22"/>
      <c r="Y67"/>
      <c r="Z67" s="10">
        <f>O67/$Z$3</f>
        <v>0.48437452851042612</v>
      </c>
      <c r="AA67"/>
      <c r="AB67" s="22"/>
    </row>
    <row r="68" spans="1:28" x14ac:dyDescent="0.25">
      <c r="A68" s="16"/>
      <c r="B68" s="3" t="s">
        <v>99</v>
      </c>
      <c r="C68" s="3" t="s">
        <v>100</v>
      </c>
      <c r="D68" s="11" t="s">
        <v>19</v>
      </c>
      <c r="E68" s="46">
        <f t="shared" ref="E68:M68" si="20">O68*10.764</f>
        <v>1292.1105600000001</v>
      </c>
      <c r="F68" s="46">
        <f t="shared" si="20"/>
        <v>1875.7346399999999</v>
      </c>
      <c r="G68" s="46">
        <f t="shared" si="20"/>
        <v>2251.9364399999999</v>
      </c>
      <c r="H68" s="46">
        <f t="shared" si="20"/>
        <v>1257.88104</v>
      </c>
      <c r="I68" s="46">
        <f t="shared" si="20"/>
        <v>1783.5947999999999</v>
      </c>
      <c r="J68" s="46">
        <f t="shared" si="20"/>
        <v>2112.6502799999998</v>
      </c>
      <c r="K68" s="46">
        <f t="shared" si="20"/>
        <v>1425.1535999999999</v>
      </c>
      <c r="L68" s="46">
        <f t="shared" si="20"/>
        <v>1884.5611200000001</v>
      </c>
      <c r="M68" s="46">
        <f t="shared" si="20"/>
        <v>2331.26712</v>
      </c>
      <c r="N68" s="22"/>
      <c r="O68" s="46">
        <v>120.04</v>
      </c>
      <c r="P68" s="46">
        <v>174.26</v>
      </c>
      <c r="Q68" s="46">
        <v>209.21</v>
      </c>
      <c r="R68" s="46">
        <v>116.86</v>
      </c>
      <c r="S68" s="46">
        <v>165.7</v>
      </c>
      <c r="T68" s="46">
        <v>196.27</v>
      </c>
      <c r="U68" s="46">
        <v>132.4</v>
      </c>
      <c r="V68" s="46">
        <v>175.08</v>
      </c>
      <c r="W68" s="46">
        <v>216.58</v>
      </c>
      <c r="X68" s="22"/>
      <c r="Z68" s="10">
        <f t="shared" ref="Z68" si="21">O68/$Z$3</f>
        <v>0.56128777420580478</v>
      </c>
      <c r="AB68" s="22"/>
    </row>
    <row r="69" spans="1:28" hidden="1" x14ac:dyDescent="0.25">
      <c r="A69" s="16"/>
      <c r="B69" s="3" t="s">
        <v>101</v>
      </c>
      <c r="C69" s="3" t="s">
        <v>102</v>
      </c>
      <c r="D69" s="11" t="s">
        <v>6</v>
      </c>
      <c r="E69" s="8">
        <v>873.74731476877184</v>
      </c>
      <c r="F69" s="8">
        <v>1173.3920089507708</v>
      </c>
      <c r="G69" s="8">
        <v>1411.0910989557435</v>
      </c>
      <c r="H69" s="8">
        <v>771.91800596718053</v>
      </c>
      <c r="I69" s="8">
        <v>1008.6306315266038</v>
      </c>
      <c r="J69" s="8">
        <v>1222.5923222277474</v>
      </c>
      <c r="K69" s="8">
        <v>941.60585280954751</v>
      </c>
      <c r="L69" s="8">
        <v>1144.7536797613127</v>
      </c>
      <c r="M69" s="8">
        <v>1626.1950452511189</v>
      </c>
      <c r="N69" s="22"/>
      <c r="O69" s="8">
        <v>81.173121165644176</v>
      </c>
      <c r="P69" s="8">
        <v>109.01079763840639</v>
      </c>
      <c r="Q69" s="8">
        <v>131.09358600044348</v>
      </c>
      <c r="R69" s="8">
        <v>71.712945801611355</v>
      </c>
      <c r="S69" s="8">
        <v>93.704089363589333</v>
      </c>
      <c r="T69" s="8">
        <v>113.5816191144948</v>
      </c>
      <c r="U69" s="8">
        <v>87.47733433734939</v>
      </c>
      <c r="V69" s="8">
        <v>106.35023144726144</v>
      </c>
      <c r="W69" s="8">
        <v>151.07723390494493</v>
      </c>
      <c r="X69" s="22"/>
      <c r="Y69" s="24">
        <f>O69/$Y$3</f>
        <v>0.55818291281517851</v>
      </c>
      <c r="AB69" s="22"/>
    </row>
    <row r="70" spans="1:28" hidden="1" x14ac:dyDescent="0.25">
      <c r="A70" s="16"/>
      <c r="B70" s="3" t="s">
        <v>103</v>
      </c>
      <c r="C70" s="3" t="s">
        <v>104</v>
      </c>
      <c r="D70" s="11" t="s">
        <v>6</v>
      </c>
      <c r="E70" s="8">
        <v>913.27346593734467</v>
      </c>
      <c r="F70" s="8">
        <v>1302.7311188463452</v>
      </c>
      <c r="G70" s="8">
        <v>1620.4620586772751</v>
      </c>
      <c r="H70" s="8">
        <v>889.69409249129785</v>
      </c>
      <c r="I70" s="8">
        <v>1329.3587419194432</v>
      </c>
      <c r="J70" s="8">
        <v>1563.1098458478371</v>
      </c>
      <c r="K70" s="8">
        <v>1140.8467165589259</v>
      </c>
      <c r="L70" s="8">
        <v>1500.9848264545003</v>
      </c>
      <c r="M70" s="8">
        <v>1928.0522078567878</v>
      </c>
      <c r="N70" s="22"/>
      <c r="O70" s="8">
        <v>84.845190886244367</v>
      </c>
      <c r="P70" s="8">
        <v>121.02669635597606</v>
      </c>
      <c r="Q70" s="8">
        <v>150.54462635819351</v>
      </c>
      <c r="R70" s="8">
        <v>82.65461323822899</v>
      </c>
      <c r="S70" s="8">
        <v>123.50046335649347</v>
      </c>
      <c r="T70" s="8">
        <v>145.21647479488507</v>
      </c>
      <c r="U70" s="8">
        <v>105.98726564232391</v>
      </c>
      <c r="V70" s="8">
        <v>139.4449186007835</v>
      </c>
      <c r="W70" s="8">
        <v>179.12045374750537</v>
      </c>
      <c r="X70" s="22"/>
      <c r="Y70" s="24">
        <f>O70/$Y$3</f>
        <v>0.58343371681620226</v>
      </c>
      <c r="AB70" s="22"/>
    </row>
    <row r="71" spans="1:28" hidden="1" x14ac:dyDescent="0.25">
      <c r="A71" s="16"/>
      <c r="B71" s="3" t="s">
        <v>105</v>
      </c>
      <c r="C71" s="3" t="s">
        <v>106</v>
      </c>
      <c r="D71" s="11" t="s">
        <v>6</v>
      </c>
      <c r="E71" s="8">
        <v>860.94069169567365</v>
      </c>
      <c r="F71" s="8">
        <v>1268.7336111387367</v>
      </c>
      <c r="G71" s="8">
        <v>1716.5761964196915</v>
      </c>
      <c r="H71" s="8">
        <v>887.75782794629538</v>
      </c>
      <c r="I71" s="8">
        <v>1222.5156086524119</v>
      </c>
      <c r="J71" s="8">
        <v>1554.3876931874688</v>
      </c>
      <c r="K71" s="8">
        <v>1150.2660094480357</v>
      </c>
      <c r="L71" s="8">
        <v>1432.9167821979115</v>
      </c>
      <c r="M71" s="8">
        <v>1944.1945887618099</v>
      </c>
      <c r="N71" s="22"/>
      <c r="O71" s="8">
        <v>79.983356632049663</v>
      </c>
      <c r="P71" s="8">
        <v>117.8682502402247</v>
      </c>
      <c r="Q71" s="8">
        <v>159.473849277478</v>
      </c>
      <c r="R71" s="8">
        <v>82.47472983960381</v>
      </c>
      <c r="S71" s="8">
        <v>113.57449224813362</v>
      </c>
      <c r="T71" s="8">
        <v>144.40616689149235</v>
      </c>
      <c r="U71" s="8">
        <v>106.86233946522285</v>
      </c>
      <c r="V71" s="8">
        <v>133.1212418231207</v>
      </c>
      <c r="W71" s="8">
        <v>180.62011780249833</v>
      </c>
      <c r="X71" s="22"/>
      <c r="Y71" s="24">
        <f t="shared" ref="Y71:Y80" si="22">O71/$Y$3</f>
        <v>0.55000155643280191</v>
      </c>
      <c r="AB71" s="22"/>
    </row>
    <row r="72" spans="1:28" hidden="1" x14ac:dyDescent="0.25">
      <c r="A72" s="16"/>
      <c r="B72" s="3" t="s">
        <v>107</v>
      </c>
      <c r="C72" s="3" t="s">
        <v>108</v>
      </c>
      <c r="D72" s="11" t="s">
        <v>6</v>
      </c>
      <c r="E72" s="8">
        <v>967.29903033316759</v>
      </c>
      <c r="F72" s="8">
        <v>967.29903033316759</v>
      </c>
      <c r="G72" s="8">
        <v>967.29903033316759</v>
      </c>
      <c r="H72" s="8">
        <v>967.29903033316759</v>
      </c>
      <c r="I72" s="8">
        <v>967.29903033316759</v>
      </c>
      <c r="J72" s="8">
        <v>967.29903033316759</v>
      </c>
      <c r="K72" s="8">
        <v>967.29903033316759</v>
      </c>
      <c r="L72" s="8">
        <v>967.29903033316759</v>
      </c>
      <c r="M72" s="8">
        <v>967.29903033316759</v>
      </c>
      <c r="N72" s="22"/>
      <c r="O72" s="8">
        <v>89.864500000000007</v>
      </c>
      <c r="P72" s="8">
        <v>150.76600000000002</v>
      </c>
      <c r="Q72" s="8">
        <v>188.79300000000001</v>
      </c>
      <c r="R72" s="8">
        <v>90.2</v>
      </c>
      <c r="S72" s="8">
        <v>151.11250000000001</v>
      </c>
      <c r="T72" s="8">
        <v>175.16400000000002</v>
      </c>
      <c r="U72" s="8">
        <v>97.476500000000001</v>
      </c>
      <c r="V72" s="8">
        <v>150.73850000000002</v>
      </c>
      <c r="W72" s="8">
        <v>172.86500000000001</v>
      </c>
      <c r="X72" s="22"/>
      <c r="Y72" s="24">
        <f t="shared" si="22"/>
        <v>0.61794874520495524</v>
      </c>
      <c r="AB72" s="22"/>
    </row>
    <row r="73" spans="1:28" hidden="1" x14ac:dyDescent="0.25">
      <c r="A73" s="16"/>
      <c r="B73" s="3" t="s">
        <v>109</v>
      </c>
      <c r="C73" s="3" t="s">
        <v>110</v>
      </c>
      <c r="D73" s="11" t="s">
        <v>6</v>
      </c>
      <c r="E73" s="8">
        <v>1058.3843013426156</v>
      </c>
      <c r="F73" s="8">
        <v>1058.3843013426156</v>
      </c>
      <c r="G73" s="8">
        <v>1058.3843013426156</v>
      </c>
      <c r="H73" s="8">
        <v>1058.3843013426156</v>
      </c>
      <c r="I73" s="8">
        <v>1058.3843013426156</v>
      </c>
      <c r="J73" s="8">
        <v>1058.3843013426156</v>
      </c>
      <c r="K73" s="8">
        <v>1058.3843013426156</v>
      </c>
      <c r="L73" s="8">
        <v>1058.3843013426156</v>
      </c>
      <c r="M73" s="8">
        <v>1058.3843013426156</v>
      </c>
      <c r="N73" s="22"/>
      <c r="O73" s="8">
        <v>98.322300000000013</v>
      </c>
      <c r="P73" s="8">
        <v>164.96189999999999</v>
      </c>
      <c r="Q73" s="8">
        <v>206.57420000000002</v>
      </c>
      <c r="R73" s="8">
        <v>98.68610000000001</v>
      </c>
      <c r="S73" s="8">
        <v>165.34710000000001</v>
      </c>
      <c r="T73" s="8">
        <v>191.65840000000003</v>
      </c>
      <c r="U73" s="8">
        <v>106.65760000000002</v>
      </c>
      <c r="V73" s="8">
        <v>164.9298</v>
      </c>
      <c r="W73" s="8">
        <v>191.7654</v>
      </c>
      <c r="X73" s="22"/>
      <c r="Y73" s="24">
        <f t="shared" si="22"/>
        <v>0.67610838440836118</v>
      </c>
      <c r="AB73" s="22"/>
    </row>
    <row r="74" spans="1:28" hidden="1" x14ac:dyDescent="0.25">
      <c r="A74" s="16"/>
      <c r="B74" s="3" t="s">
        <v>111</v>
      </c>
      <c r="C74" s="3" t="s">
        <v>112</v>
      </c>
      <c r="D74" s="11" t="s">
        <v>6</v>
      </c>
      <c r="E74" s="8">
        <v>504.76085629040273</v>
      </c>
      <c r="F74" s="8">
        <v>844.20454549975136</v>
      </c>
      <c r="G74" s="8">
        <v>1154.8402232720039</v>
      </c>
      <c r="H74" s="8">
        <v>540.41963799104917</v>
      </c>
      <c r="I74" s="8">
        <v>871.09930283441076</v>
      </c>
      <c r="J74" s="8">
        <v>1113.611070611636</v>
      </c>
      <c r="K74" s="8">
        <v>649.62988761810038</v>
      </c>
      <c r="L74" s="8">
        <v>927.69384584783677</v>
      </c>
      <c r="M74" s="8">
        <v>1298.2303838886126</v>
      </c>
      <c r="N74" s="22"/>
      <c r="O74" s="8">
        <v>46.89343641436912</v>
      </c>
      <c r="P74" s="8">
        <v>78.428530425382505</v>
      </c>
      <c r="Q74" s="8">
        <v>107.28729437689405</v>
      </c>
      <c r="R74" s="8">
        <v>50.206218678394549</v>
      </c>
      <c r="S74" s="8">
        <v>80.927114808928962</v>
      </c>
      <c r="T74" s="8">
        <v>103.45701192808041</v>
      </c>
      <c r="U74" s="8">
        <v>60.352100303052687</v>
      </c>
      <c r="V74" s="8">
        <v>86.184877115825245</v>
      </c>
      <c r="W74" s="8">
        <v>120.60856779880255</v>
      </c>
      <c r="X74" s="22"/>
      <c r="Y74" s="24">
        <f t="shared" si="22"/>
        <v>0.32246037301278874</v>
      </c>
      <c r="AB74" s="22"/>
    </row>
    <row r="75" spans="1:28" hidden="1" x14ac:dyDescent="0.25">
      <c r="A75" s="16"/>
      <c r="B75" s="3" t="s">
        <v>113</v>
      </c>
      <c r="C75" s="3" t="s">
        <v>114</v>
      </c>
      <c r="D75" s="11" t="s">
        <v>6</v>
      </c>
      <c r="E75" s="8">
        <v>1346.741596384883</v>
      </c>
      <c r="F75" s="8">
        <v>1835.0192323122824</v>
      </c>
      <c r="G75" s="8">
        <v>2580.5625268125318</v>
      </c>
      <c r="H75" s="8">
        <v>1247.156943799105</v>
      </c>
      <c r="I75" s="8">
        <v>1703.7971336499254</v>
      </c>
      <c r="J75" s="8">
        <v>2252.0770946643461</v>
      </c>
      <c r="K75" s="8">
        <v>1495.7273301093981</v>
      </c>
      <c r="L75" s="8">
        <v>1887.1598188612627</v>
      </c>
      <c r="M75" s="8">
        <v>2463.8704364843366</v>
      </c>
      <c r="N75" s="22"/>
      <c r="O75" s="8">
        <v>125.1153702384692</v>
      </c>
      <c r="P75" s="8">
        <v>170.47747783372756</v>
      </c>
      <c r="Q75" s="8">
        <v>239.74015270068003</v>
      </c>
      <c r="R75" s="8">
        <v>115.86372856364105</v>
      </c>
      <c r="S75" s="8">
        <v>158.28664515901028</v>
      </c>
      <c r="T75" s="8">
        <v>209.22310579911667</v>
      </c>
      <c r="U75" s="8">
        <v>138.95648518229359</v>
      </c>
      <c r="V75" s="8">
        <v>175.32145741231798</v>
      </c>
      <c r="W75" s="8">
        <v>228.89919098649193</v>
      </c>
      <c r="X75" s="22"/>
      <c r="Y75" s="24">
        <f t="shared" si="22"/>
        <v>0.86034959349593487</v>
      </c>
      <c r="AB75" s="22"/>
    </row>
    <row r="76" spans="1:28" hidden="1" x14ac:dyDescent="0.25">
      <c r="A76" s="16"/>
      <c r="B76" s="3" t="s">
        <v>115</v>
      </c>
      <c r="C76" s="3" t="s">
        <v>116</v>
      </c>
      <c r="D76" s="11" t="s">
        <v>6</v>
      </c>
      <c r="E76" s="8">
        <v>828.67683043262048</v>
      </c>
      <c r="F76" s="8">
        <v>1147.6344226752858</v>
      </c>
      <c r="G76" s="8">
        <v>1833.9745211337643</v>
      </c>
      <c r="H76" s="8">
        <v>1016.1419254102436</v>
      </c>
      <c r="I76" s="8">
        <v>1304.4877384385877</v>
      </c>
      <c r="J76" s="8">
        <v>1843.1820537046244</v>
      </c>
      <c r="K76" s="8">
        <v>1158.1098498259571</v>
      </c>
      <c r="L76" s="8">
        <v>1385.1916737941322</v>
      </c>
      <c r="M76" s="8">
        <v>2090.2599801093984</v>
      </c>
      <c r="N76" s="22"/>
      <c r="O76" s="8">
        <v>76.985970230615706</v>
      </c>
      <c r="P76" s="8">
        <v>106.6178590435361</v>
      </c>
      <c r="Q76" s="8">
        <v>170.3804217791411</v>
      </c>
      <c r="R76" s="8">
        <v>94.401905721043661</v>
      </c>
      <c r="S76" s="8">
        <v>121.18989032818388</v>
      </c>
      <c r="T76" s="8">
        <v>171.23582258481778</v>
      </c>
      <c r="U76" s="8">
        <v>107.59105015152635</v>
      </c>
      <c r="V76" s="8">
        <v>128.6874702490945</v>
      </c>
      <c r="W76" s="8">
        <v>194.18992626949515</v>
      </c>
      <c r="X76" s="22"/>
      <c r="Y76" s="24">
        <f t="shared" si="22"/>
        <v>0.529390178573241</v>
      </c>
      <c r="AB76" s="22"/>
    </row>
    <row r="77" spans="1:28" hidden="1" x14ac:dyDescent="0.25">
      <c r="A77" s="16"/>
      <c r="B77" s="3" t="s">
        <v>117</v>
      </c>
      <c r="C77" s="3" t="s">
        <v>118</v>
      </c>
      <c r="D77" s="11" t="s">
        <v>6</v>
      </c>
      <c r="E77" s="8">
        <v>1237.1230943535554</v>
      </c>
      <c r="F77" s="8">
        <v>1685.6572017752362</v>
      </c>
      <c r="G77" s="8">
        <v>2370.5167397463952</v>
      </c>
      <c r="H77" s="8">
        <v>1145.6441693038291</v>
      </c>
      <c r="I77" s="8">
        <v>1565.1159716086522</v>
      </c>
      <c r="J77" s="8">
        <v>2068.7684939358528</v>
      </c>
      <c r="K77" s="8">
        <v>1373.9820823097959</v>
      </c>
      <c r="L77" s="8">
        <v>1733.5537870934857</v>
      </c>
      <c r="M77" s="8">
        <v>2263.3228428170064</v>
      </c>
      <c r="N77" s="22"/>
      <c r="O77" s="8">
        <v>114.93156103301241</v>
      </c>
      <c r="P77" s="8">
        <v>156.60140405656367</v>
      </c>
      <c r="Q77" s="8">
        <v>220.22641934132233</v>
      </c>
      <c r="R77" s="8">
        <v>106.43295995962376</v>
      </c>
      <c r="S77" s="8">
        <v>145.40284846002109</v>
      </c>
      <c r="T77" s="8">
        <v>192.19331811779324</v>
      </c>
      <c r="U77" s="8">
        <v>127.6460735976883</v>
      </c>
      <c r="V77" s="8">
        <v>161.05110622759443</v>
      </c>
      <c r="W77" s="8">
        <v>210.26786148759149</v>
      </c>
      <c r="X77" s="22"/>
      <c r="Y77" s="24">
        <f t="shared" si="22"/>
        <v>0.79032113821138217</v>
      </c>
      <c r="AB77" s="22"/>
    </row>
    <row r="78" spans="1:28" hidden="1" x14ac:dyDescent="0.25">
      <c r="A78" s="16"/>
      <c r="B78" s="3" t="s">
        <v>119</v>
      </c>
      <c r="C78" s="3" t="s">
        <v>120</v>
      </c>
      <c r="D78" s="11" t="s">
        <v>6</v>
      </c>
      <c r="E78" s="8">
        <v>1315.4220243759321</v>
      </c>
      <c r="F78" s="8">
        <v>1792.3443664445549</v>
      </c>
      <c r="G78" s="8">
        <v>2520.5494447936353</v>
      </c>
      <c r="H78" s="8">
        <v>1218.1532939433118</v>
      </c>
      <c r="I78" s="8">
        <v>1664.1739444952757</v>
      </c>
      <c r="J78" s="8">
        <v>2199.7032087419193</v>
      </c>
      <c r="K78" s="8">
        <v>1460.942973595226</v>
      </c>
      <c r="L78" s="8">
        <v>1843.2723812133265</v>
      </c>
      <c r="M78" s="8">
        <v>2406.5711240079563</v>
      </c>
      <c r="N78" s="22"/>
      <c r="O78" s="8">
        <v>122.20571046548156</v>
      </c>
      <c r="P78" s="8">
        <v>166.51288532596644</v>
      </c>
      <c r="Q78" s="8">
        <v>234.16480031229207</v>
      </c>
      <c r="R78" s="8">
        <v>113.16922324820754</v>
      </c>
      <c r="S78" s="8">
        <v>154.6055603878705</v>
      </c>
      <c r="T78" s="8">
        <v>204.35745217588143</v>
      </c>
      <c r="U78" s="8">
        <v>135.72493901526352</v>
      </c>
      <c r="V78" s="8">
        <v>171.24421421668268</v>
      </c>
      <c r="W78" s="8">
        <v>223.5759539868061</v>
      </c>
      <c r="X78" s="22"/>
      <c r="Y78" s="24">
        <f t="shared" si="22"/>
        <v>0.84034146341463423</v>
      </c>
      <c r="AB78" s="22"/>
    </row>
    <row r="79" spans="1:28" hidden="1" x14ac:dyDescent="0.25">
      <c r="A79" s="21" t="s">
        <v>121</v>
      </c>
      <c r="B79" s="18" t="s">
        <v>122</v>
      </c>
      <c r="C79" s="18" t="s">
        <v>123</v>
      </c>
      <c r="D79" s="19" t="s">
        <v>6</v>
      </c>
      <c r="E79" s="8"/>
      <c r="F79" s="8"/>
      <c r="G79" s="8"/>
      <c r="H79" s="8"/>
      <c r="I79" s="8"/>
      <c r="J79" s="8"/>
      <c r="K79" s="8"/>
      <c r="L79" s="8"/>
      <c r="M79" s="8"/>
      <c r="N79" s="22"/>
      <c r="X79" s="22"/>
      <c r="AB79" s="22"/>
    </row>
    <row r="80" spans="1:28" hidden="1" x14ac:dyDescent="0.25">
      <c r="A80" s="16"/>
      <c r="B80" s="3" t="s">
        <v>122</v>
      </c>
      <c r="C80" s="3" t="s">
        <v>124</v>
      </c>
      <c r="D80" s="11" t="s">
        <v>6</v>
      </c>
      <c r="E80" s="8">
        <v>1218.5937891596222</v>
      </c>
      <c r="F80" s="8">
        <v>1429.124669318747</v>
      </c>
      <c r="G80" s="8">
        <v>1720.9361760318252</v>
      </c>
      <c r="H80" s="8">
        <v>1056.8764047737445</v>
      </c>
      <c r="I80" s="8">
        <v>1265.5226802585778</v>
      </c>
      <c r="J80" s="8">
        <v>1546.8560616608654</v>
      </c>
      <c r="K80" s="8">
        <v>1228.1855862754851</v>
      </c>
      <c r="L80" s="8">
        <v>1438.0752113376432</v>
      </c>
      <c r="M80" s="8">
        <v>1726.6877851815018</v>
      </c>
      <c r="N80" s="22"/>
      <c r="O80" s="8">
        <v>113.21014625988617</v>
      </c>
      <c r="P80" s="8">
        <v>132.76894587552664</v>
      </c>
      <c r="Q80" s="8">
        <v>159.87890134156257</v>
      </c>
      <c r="R80" s="8">
        <v>98.186231890753191</v>
      </c>
      <c r="S80" s="8">
        <v>117.56994742774779</v>
      </c>
      <c r="T80" s="8">
        <v>143.70646112055584</v>
      </c>
      <c r="U80" s="8">
        <v>114.10124611944713</v>
      </c>
      <c r="V80" s="8">
        <v>133.60047167196393</v>
      </c>
      <c r="W80" s="8">
        <v>160.41323896814251</v>
      </c>
      <c r="X80" s="22"/>
      <c r="Y80" s="24">
        <f t="shared" si="22"/>
        <v>0.77848391551464835</v>
      </c>
      <c r="AB80" s="22"/>
    </row>
    <row r="81" spans="1:28" hidden="1" x14ac:dyDescent="0.25">
      <c r="A81" s="21" t="s">
        <v>121</v>
      </c>
      <c r="B81" s="18" t="s">
        <v>122</v>
      </c>
      <c r="C81" s="18" t="s">
        <v>125</v>
      </c>
      <c r="D81" s="19" t="s">
        <v>6</v>
      </c>
      <c r="E81" s="8"/>
      <c r="F81" s="8"/>
      <c r="G81" s="8"/>
      <c r="H81" s="8"/>
      <c r="I81" s="8"/>
      <c r="J81" s="8"/>
      <c r="K81" s="8"/>
      <c r="L81" s="8"/>
      <c r="M81" s="8"/>
      <c r="N81" s="22"/>
      <c r="X81" s="22"/>
      <c r="AB81" s="22"/>
    </row>
    <row r="82" spans="1:28" hidden="1" x14ac:dyDescent="0.25">
      <c r="A82" s="21" t="s">
        <v>121</v>
      </c>
      <c r="B82" s="18" t="s">
        <v>122</v>
      </c>
      <c r="C82" s="18" t="s">
        <v>126</v>
      </c>
      <c r="D82" s="19" t="s">
        <v>6</v>
      </c>
      <c r="E82" s="8"/>
      <c r="F82" s="8"/>
      <c r="G82" s="8"/>
      <c r="H82" s="8"/>
      <c r="I82" s="8"/>
      <c r="J82" s="8"/>
      <c r="K82" s="8"/>
      <c r="L82" s="8"/>
      <c r="M82" s="8"/>
      <c r="N82" s="22"/>
      <c r="X82" s="22"/>
      <c r="AB82" s="22"/>
    </row>
    <row r="83" spans="1:28" hidden="1" x14ac:dyDescent="0.25">
      <c r="A83" s="21" t="s">
        <v>121</v>
      </c>
      <c r="B83" s="18" t="s">
        <v>122</v>
      </c>
      <c r="C83" s="18" t="s">
        <v>127</v>
      </c>
      <c r="D83" s="19" t="s">
        <v>6</v>
      </c>
      <c r="E83" s="8"/>
      <c r="F83" s="8"/>
      <c r="G83" s="8"/>
      <c r="H83" s="8"/>
      <c r="I83" s="8"/>
      <c r="J83" s="8"/>
      <c r="K83" s="8"/>
      <c r="L83" s="8"/>
      <c r="M83" s="8"/>
      <c r="N83" s="22"/>
      <c r="X83" s="22"/>
      <c r="AB83" s="22"/>
    </row>
    <row r="84" spans="1:28" hidden="1" x14ac:dyDescent="0.25">
      <c r="A84" s="21" t="s">
        <v>121</v>
      </c>
      <c r="B84" s="18" t="s">
        <v>122</v>
      </c>
      <c r="C84" s="18" t="s">
        <v>128</v>
      </c>
      <c r="D84" s="19" t="s">
        <v>6</v>
      </c>
      <c r="E84" s="8"/>
      <c r="F84" s="8"/>
      <c r="G84" s="8"/>
      <c r="H84" s="8"/>
      <c r="I84" s="8"/>
      <c r="J84" s="8"/>
      <c r="K84" s="8"/>
      <c r="L84" s="8"/>
      <c r="M84" s="8"/>
      <c r="N84" s="22"/>
      <c r="X84" s="22"/>
      <c r="AB84" s="22"/>
    </row>
    <row r="85" spans="1:28" hidden="1" x14ac:dyDescent="0.25">
      <c r="A85" s="21"/>
      <c r="B85" s="3" t="s">
        <v>129</v>
      </c>
      <c r="C85" s="3" t="s">
        <v>130</v>
      </c>
      <c r="D85" s="11" t="s">
        <v>6</v>
      </c>
      <c r="E85" s="8">
        <v>954.49575932371965</v>
      </c>
      <c r="F85" s="8">
        <v>1403.1196260566883</v>
      </c>
      <c r="G85" s="8">
        <v>1891.0941720537048</v>
      </c>
      <c r="H85" s="8">
        <v>934.80283441074096</v>
      </c>
      <c r="I85" s="8">
        <v>1306.9535355544506</v>
      </c>
      <c r="J85" s="8">
        <v>1665.6792739930384</v>
      </c>
      <c r="K85" s="8">
        <v>1264.8225022376928</v>
      </c>
      <c r="L85" s="8">
        <v>1580.0541183490802</v>
      </c>
      <c r="M85" s="8">
        <v>2164.7676340129287</v>
      </c>
      <c r="N85" s="22"/>
      <c r="O85" s="8">
        <v>88.674836092837609</v>
      </c>
      <c r="P85" s="8">
        <v>130.35301796141621</v>
      </c>
      <c r="Q85" s="8">
        <v>175.68696780988986</v>
      </c>
      <c r="R85" s="8">
        <v>86.845318390124916</v>
      </c>
      <c r="S85" s="8">
        <v>121.41896851208514</v>
      </c>
      <c r="T85" s="8">
        <v>154.74540893635893</v>
      </c>
      <c r="U85" s="8">
        <v>117.50489929041318</v>
      </c>
      <c r="V85" s="8">
        <v>146.79063641067339</v>
      </c>
      <c r="W85" s="8">
        <v>201.11185749131494</v>
      </c>
      <c r="X85" s="22"/>
      <c r="Y85" s="24">
        <f t="shared" ref="Y85:Y111" si="23">O85/$Y$3</f>
        <v>0.60976808077521238</v>
      </c>
      <c r="AB85" s="22"/>
    </row>
    <row r="86" spans="1:28" hidden="1" x14ac:dyDescent="0.25">
      <c r="A86" s="21"/>
      <c r="B86" s="3" t="s">
        <v>131</v>
      </c>
      <c r="C86" s="3" t="s">
        <v>132</v>
      </c>
      <c r="D86" s="11" t="s">
        <v>6</v>
      </c>
      <c r="E86" s="8">
        <v>971.50637056190953</v>
      </c>
      <c r="F86" s="8">
        <v>1262.3664107409249</v>
      </c>
      <c r="G86" s="8">
        <v>1412.3895224266535</v>
      </c>
      <c r="H86" s="8">
        <v>947.13959542516159</v>
      </c>
      <c r="I86" s="8">
        <v>1152.0544320238687</v>
      </c>
      <c r="J86" s="8">
        <v>1234.1369499751368</v>
      </c>
      <c r="K86" s="8">
        <v>1024.0751564395823</v>
      </c>
      <c r="L86" s="8">
        <v>1231.2371560815516</v>
      </c>
      <c r="M86" s="8">
        <v>1475.2084022476381</v>
      </c>
      <c r="N86" s="22"/>
      <c r="O86" s="8">
        <v>90.255160728804782</v>
      </c>
      <c r="P86" s="8">
        <v>117.27672278069331</v>
      </c>
      <c r="Q86" s="8">
        <v>131.21421250646756</v>
      </c>
      <c r="R86" s="8">
        <v>87.991431665311538</v>
      </c>
      <c r="S86" s="8">
        <v>107.02848800724368</v>
      </c>
      <c r="T86" s="8">
        <v>114.65414139995565</v>
      </c>
      <c r="U86" s="8">
        <v>95.138921003030518</v>
      </c>
      <c r="V86" s="8">
        <v>114.38474392416289</v>
      </c>
      <c r="W86" s="8">
        <v>137.05022991906273</v>
      </c>
      <c r="X86" s="22"/>
      <c r="Y86" s="24">
        <f t="shared" si="23"/>
        <v>0.62063510419171608</v>
      </c>
      <c r="AB86" s="22"/>
    </row>
    <row r="87" spans="1:28" hidden="1" x14ac:dyDescent="0.25">
      <c r="A87" s="21"/>
      <c r="B87" s="3" t="s">
        <v>133</v>
      </c>
      <c r="C87" s="3" t="s">
        <v>134</v>
      </c>
      <c r="D87" s="11" t="s">
        <v>6</v>
      </c>
      <c r="E87" s="8">
        <v>1152.6033615116858</v>
      </c>
      <c r="F87" s="8">
        <v>1576.4909646941821</v>
      </c>
      <c r="G87" s="8">
        <v>2005.5599005469915</v>
      </c>
      <c r="H87" s="8">
        <v>1141.8405768274492</v>
      </c>
      <c r="I87" s="8">
        <v>1532.6268175037296</v>
      </c>
      <c r="J87" s="8">
        <v>1918.8994778717058</v>
      </c>
      <c r="K87" s="8">
        <v>1355.8854838388861</v>
      </c>
      <c r="L87" s="8">
        <v>1678.3695967180511</v>
      </c>
      <c r="M87" s="8">
        <v>2447.6861884634513</v>
      </c>
      <c r="N87" s="22"/>
      <c r="O87" s="8">
        <v>107.07948481040727</v>
      </c>
      <c r="P87" s="8">
        <v>146.45961129795253</v>
      </c>
      <c r="Q87" s="8">
        <v>186.32109542464335</v>
      </c>
      <c r="R87" s="8">
        <v>106.07959753122921</v>
      </c>
      <c r="S87" s="8">
        <v>142.38453183901248</v>
      </c>
      <c r="T87" s="8">
        <v>178.27014422721561</v>
      </c>
      <c r="U87" s="8">
        <v>125.96485826742553</v>
      </c>
      <c r="V87" s="8">
        <v>155.92436890198832</v>
      </c>
      <c r="W87" s="8">
        <v>227.39563738081159</v>
      </c>
      <c r="X87" s="22"/>
      <c r="Y87" s="24">
        <f t="shared" si="23"/>
        <v>0.73632672830521761</v>
      </c>
      <c r="AB87" s="22"/>
    </row>
    <row r="88" spans="1:28" hidden="1" x14ac:dyDescent="0.25">
      <c r="A88" s="21"/>
      <c r="B88" s="3" t="s">
        <v>135</v>
      </c>
      <c r="C88" s="3" t="s">
        <v>136</v>
      </c>
      <c r="D88" s="11" t="s">
        <v>6</v>
      </c>
      <c r="E88" s="8">
        <v>1170.9677274987569</v>
      </c>
      <c r="F88" s="8">
        <v>1170.9677274987569</v>
      </c>
      <c r="G88" s="8">
        <v>1170.9677274987569</v>
      </c>
      <c r="H88" s="8">
        <v>1170.9677274987569</v>
      </c>
      <c r="I88" s="8">
        <v>1170.9677274987569</v>
      </c>
      <c r="J88" s="8">
        <v>1170.9677274987569</v>
      </c>
      <c r="K88" s="8">
        <v>1170.9677274987569</v>
      </c>
      <c r="L88" s="8">
        <v>1170.9677274987569</v>
      </c>
      <c r="M88" s="8">
        <v>1170.9677274987569</v>
      </c>
      <c r="N88" s="22"/>
      <c r="O88" s="8">
        <v>108.78660000000001</v>
      </c>
      <c r="P88" s="8">
        <v>146.8246</v>
      </c>
      <c r="Q88" s="8">
        <v>157.53919999999999</v>
      </c>
      <c r="R88" s="8">
        <v>98.378799999999998</v>
      </c>
      <c r="S88" s="8">
        <v>127.9902</v>
      </c>
      <c r="T88" s="8">
        <v>141.60380000000001</v>
      </c>
      <c r="U88" s="8">
        <v>107.3254</v>
      </c>
      <c r="V88" s="8">
        <v>131.8434</v>
      </c>
      <c r="W88" s="8">
        <v>145.06960000000001</v>
      </c>
      <c r="X88" s="22"/>
      <c r="Y88" s="24">
        <f t="shared" si="23"/>
        <v>0.74806562063009741</v>
      </c>
      <c r="AB88" s="22"/>
    </row>
    <row r="89" spans="1:28" hidden="1" x14ac:dyDescent="0.25">
      <c r="A89" s="21"/>
      <c r="B89" s="3" t="s">
        <v>137</v>
      </c>
      <c r="C89" s="3" t="s">
        <v>138</v>
      </c>
      <c r="D89" s="11" t="s">
        <v>6</v>
      </c>
      <c r="E89" s="8">
        <v>686.05941819990062</v>
      </c>
      <c r="F89" s="8">
        <v>1162.8963252113376</v>
      </c>
      <c r="G89" s="8">
        <v>1660.5452909000498</v>
      </c>
      <c r="H89" s="8">
        <v>681.51125310790655</v>
      </c>
      <c r="I89" s="8">
        <v>947.87421183490801</v>
      </c>
      <c r="J89" s="8">
        <v>1253.1269617105918</v>
      </c>
      <c r="K89" s="8">
        <v>858.10036051715565</v>
      </c>
      <c r="L89" s="8">
        <v>1039.1328677274989</v>
      </c>
      <c r="M89" s="8">
        <v>1443.1224082545996</v>
      </c>
      <c r="N89" s="22"/>
      <c r="O89" s="8">
        <v>71.145825633823634</v>
      </c>
      <c r="P89" s="8">
        <v>119.5462917621406</v>
      </c>
      <c r="Q89" s="8">
        <v>140.78529547638405</v>
      </c>
      <c r="R89" s="8">
        <v>71.661784869539503</v>
      </c>
      <c r="S89" s="8">
        <v>114.98585076502329</v>
      </c>
      <c r="T89" s="8">
        <v>128.94102067780324</v>
      </c>
      <c r="U89" s="8">
        <v>76.484921187818756</v>
      </c>
      <c r="V89" s="8">
        <v>105.58739970618672</v>
      </c>
      <c r="W89" s="8">
        <v>132.36847193990687</v>
      </c>
      <c r="X89" s="22"/>
      <c r="Y89" s="24">
        <f t="shared" si="23"/>
        <v>0.48923071598898177</v>
      </c>
      <c r="AB89" s="22"/>
    </row>
    <row r="90" spans="1:28" hidden="1" x14ac:dyDescent="0.25">
      <c r="A90" s="16"/>
      <c r="B90" s="3" t="s">
        <v>139</v>
      </c>
      <c r="C90" s="3" t="s">
        <v>140</v>
      </c>
      <c r="D90" s="11" t="s">
        <v>6</v>
      </c>
      <c r="E90" s="8">
        <v>746.2023440079563</v>
      </c>
      <c r="F90" s="8">
        <v>1095.9434756837395</v>
      </c>
      <c r="G90" s="8">
        <v>1467.9147628045748</v>
      </c>
      <c r="H90" s="8">
        <v>731.07117941322724</v>
      </c>
      <c r="I90" s="8">
        <v>1020.2901305818002</v>
      </c>
      <c r="J90" s="8">
        <v>1294.1182460467428</v>
      </c>
      <c r="K90" s="8">
        <v>1012.6319152660368</v>
      </c>
      <c r="L90" s="8">
        <v>1257.4741828940826</v>
      </c>
      <c r="M90" s="8">
        <v>1700.9926338140228</v>
      </c>
      <c r="N90" s="22"/>
      <c r="O90" s="4">
        <v>69.323902071476084</v>
      </c>
      <c r="P90" s="4">
        <v>101.81565200680021</v>
      </c>
      <c r="Q90" s="4">
        <v>136.37263415625694</v>
      </c>
      <c r="R90" s="4">
        <v>67.918182321309772</v>
      </c>
      <c r="S90" s="4">
        <v>94.787283455909531</v>
      </c>
      <c r="T90" s="4">
        <v>120.22654080124177</v>
      </c>
      <c r="U90" s="4">
        <v>94.075817761844917</v>
      </c>
      <c r="V90" s="4">
        <v>116.82222363995859</v>
      </c>
      <c r="W90" s="4">
        <v>158.02610071882623</v>
      </c>
      <c r="X90" s="22"/>
      <c r="Y90" s="24">
        <f t="shared" si="23"/>
        <v>0.47670234962393204</v>
      </c>
      <c r="AB90" s="22"/>
    </row>
    <row r="91" spans="1:28" hidden="1" x14ac:dyDescent="0.25">
      <c r="A91" s="16"/>
      <c r="B91" s="3" t="s">
        <v>141</v>
      </c>
      <c r="C91" s="3" t="s">
        <v>141</v>
      </c>
      <c r="D91" s="11" t="s">
        <v>6</v>
      </c>
      <c r="E91" s="8">
        <v>1009.3823968175037</v>
      </c>
      <c r="F91" s="8">
        <v>1402.8199900546992</v>
      </c>
      <c r="G91" s="8">
        <v>1669.17105917454</v>
      </c>
      <c r="H91" s="8">
        <v>972.71954251616114</v>
      </c>
      <c r="I91" s="8">
        <v>1430.9517652909001</v>
      </c>
      <c r="J91" s="8">
        <v>1594.3575335653904</v>
      </c>
      <c r="K91" s="8">
        <v>1228.1882645450025</v>
      </c>
      <c r="L91" s="8">
        <v>1659.8113376429637</v>
      </c>
      <c r="M91" s="8">
        <v>1947.8415713575334</v>
      </c>
      <c r="N91" s="22"/>
      <c r="O91" s="8">
        <v>93.773930076132743</v>
      </c>
      <c r="P91" s="8">
        <v>130.32518109246803</v>
      </c>
      <c r="Q91" s="8">
        <v>155.06980375489687</v>
      </c>
      <c r="R91" s="8">
        <v>90.367867174218333</v>
      </c>
      <c r="S91" s="8">
        <v>132.93868726439499</v>
      </c>
      <c r="T91" s="8">
        <v>148.11945635301942</v>
      </c>
      <c r="U91" s="8">
        <v>114.10149493680242</v>
      </c>
      <c r="V91" s="8">
        <v>154.20026424717273</v>
      </c>
      <c r="W91" s="8">
        <v>180.95893081528567</v>
      </c>
      <c r="X91" s="22"/>
      <c r="Y91" s="24">
        <f t="shared" si="23"/>
        <v>0.6448317458338213</v>
      </c>
      <c r="AB91" s="22"/>
    </row>
    <row r="92" spans="1:28" hidden="1" x14ac:dyDescent="0.25">
      <c r="A92" s="16"/>
      <c r="B92" s="3" t="s">
        <v>142</v>
      </c>
      <c r="C92" s="3" t="s">
        <v>143</v>
      </c>
      <c r="D92" s="11" t="s">
        <v>6</v>
      </c>
      <c r="E92" s="8">
        <v>1234.5493153031327</v>
      </c>
      <c r="F92" s="8">
        <v>1682.1502676537048</v>
      </c>
      <c r="G92" s="8">
        <v>2365.584986106614</v>
      </c>
      <c r="H92" s="8">
        <v>1143.2607080495277</v>
      </c>
      <c r="I92" s="8">
        <v>1561.859818104127</v>
      </c>
      <c r="J92" s="8">
        <v>2064.4645139728495</v>
      </c>
      <c r="K92" s="8">
        <v>1371.1235742799602</v>
      </c>
      <c r="L92" s="8">
        <v>1729.9472062767777</v>
      </c>
      <c r="M92" s="8">
        <v>2258.6141012667331</v>
      </c>
      <c r="N92" s="22"/>
      <c r="O92" s="8">
        <v>114.6924510807617</v>
      </c>
      <c r="P92" s="8">
        <v>156.27560186689703</v>
      </c>
      <c r="Q92" s="8">
        <v>219.76824816414737</v>
      </c>
      <c r="R92" s="8">
        <v>106.21153096531525</v>
      </c>
      <c r="S92" s="8">
        <v>145.10034436245289</v>
      </c>
      <c r="T92" s="8">
        <v>191.79346854901507</v>
      </c>
      <c r="U92" s="8">
        <v>127.38051167293408</v>
      </c>
      <c r="V92" s="8">
        <v>160.71604663235456</v>
      </c>
      <c r="W92" s="8">
        <v>209.83040864288751</v>
      </c>
      <c r="X92" s="22"/>
      <c r="Y92" s="24">
        <f t="shared" si="23"/>
        <v>0.78867691056910572</v>
      </c>
      <c r="AB92" s="22"/>
    </row>
    <row r="93" spans="1:28" hidden="1" x14ac:dyDescent="0.25">
      <c r="A93" s="16"/>
      <c r="B93" s="3" t="s">
        <v>144</v>
      </c>
      <c r="C93" s="3" t="s">
        <v>145</v>
      </c>
      <c r="D93" s="11" t="s">
        <v>6</v>
      </c>
      <c r="E93" s="8">
        <v>752.06740427647935</v>
      </c>
      <c r="F93" s="8">
        <v>1066.1323570363004</v>
      </c>
      <c r="G93" s="8">
        <v>1396.1472799602188</v>
      </c>
      <c r="H93" s="8">
        <v>778.28000994530089</v>
      </c>
      <c r="I93" s="8">
        <v>974.37520139234221</v>
      </c>
      <c r="J93" s="8">
        <v>1199.1065937344606</v>
      </c>
      <c r="K93" s="8">
        <v>742.82315763301847</v>
      </c>
      <c r="L93" s="8">
        <v>906.49325211337646</v>
      </c>
      <c r="M93" s="8">
        <v>1185.0784733963203</v>
      </c>
      <c r="N93" s="22"/>
      <c r="O93" s="8">
        <v>69.868779566117226</v>
      </c>
      <c r="P93" s="8">
        <v>99.046130996378139</v>
      </c>
      <c r="Q93" s="8">
        <v>129.70527108433734</v>
      </c>
      <c r="R93" s="8">
        <v>72.30399050188484</v>
      </c>
      <c r="S93" s="8">
        <v>90.521681665311561</v>
      </c>
      <c r="T93" s="8">
        <v>111.39974129647423</v>
      </c>
      <c r="U93" s="8">
        <v>69.009967939241633</v>
      </c>
      <c r="V93" s="8">
        <v>84.215293536107623</v>
      </c>
      <c r="W93" s="8">
        <v>110.09649687707886</v>
      </c>
      <c r="X93" s="22"/>
      <c r="Y93" s="24">
        <f t="shared" si="23"/>
        <v>0.48044917249730157</v>
      </c>
      <c r="AB93" s="22"/>
    </row>
    <row r="94" spans="1:28" hidden="1" x14ac:dyDescent="0.25">
      <c r="A94" s="16"/>
      <c r="B94" s="3" t="s">
        <v>146</v>
      </c>
      <c r="C94" s="3" t="s">
        <v>147</v>
      </c>
      <c r="D94" s="11" t="s">
        <v>6</v>
      </c>
      <c r="E94" s="8">
        <v>963.33580009945297</v>
      </c>
      <c r="F94" s="8">
        <v>1403.5290337145698</v>
      </c>
      <c r="G94" s="8">
        <v>1992.8350245648928</v>
      </c>
      <c r="H94" s="8">
        <v>939.43483262058669</v>
      </c>
      <c r="I94" s="8">
        <v>1316.8858406762804</v>
      </c>
      <c r="J94" s="8">
        <v>1755.0051246146195</v>
      </c>
      <c r="K94" s="8">
        <v>1212.2018458478367</v>
      </c>
      <c r="L94" s="8">
        <v>1535.4781294878167</v>
      </c>
      <c r="M94" s="8">
        <v>2170.2963180507209</v>
      </c>
      <c r="N94" s="22"/>
      <c r="O94" s="8">
        <v>89.496096071402164</v>
      </c>
      <c r="P94" s="8">
        <v>130.39105286791334</v>
      </c>
      <c r="Q94" s="8">
        <v>185.13892538251162</v>
      </c>
      <c r="R94" s="8">
        <v>87.275641603222695</v>
      </c>
      <c r="S94" s="8">
        <v>122.34170234311478</v>
      </c>
      <c r="T94" s="8">
        <v>163.04398447778843</v>
      </c>
      <c r="U94" s="8">
        <v>112.61632012713429</v>
      </c>
      <c r="V94" s="8">
        <v>142.64942523468102</v>
      </c>
      <c r="W94" s="8">
        <v>201.6254848658437</v>
      </c>
      <c r="X94" s="22"/>
      <c r="Y94" s="24">
        <f t="shared" si="23"/>
        <v>0.61541543399301268</v>
      </c>
      <c r="AB94" s="22"/>
    </row>
    <row r="95" spans="1:28" hidden="1" x14ac:dyDescent="0.25">
      <c r="A95" s="16"/>
      <c r="B95" s="3" t="s">
        <v>148</v>
      </c>
      <c r="C95" s="3" t="s">
        <v>149</v>
      </c>
      <c r="D95" s="11" t="s">
        <v>6</v>
      </c>
      <c r="E95" s="8">
        <v>1248.914066911984</v>
      </c>
      <c r="F95" s="8">
        <v>1701.723135634013</v>
      </c>
      <c r="G95" s="8">
        <v>2393.1100434808554</v>
      </c>
      <c r="H95" s="8">
        <v>1156.5632597513677</v>
      </c>
      <c r="I95" s="8">
        <v>1580.0330316459474</v>
      </c>
      <c r="J95" s="8">
        <v>2088.4858467628046</v>
      </c>
      <c r="K95" s="8">
        <v>1387.0774526106416</v>
      </c>
      <c r="L95" s="8">
        <v>1750.0762214619592</v>
      </c>
      <c r="M95" s="8">
        <v>2284.8944856489311</v>
      </c>
      <c r="N95" s="22"/>
      <c r="O95" s="8">
        <v>116.02696931406608</v>
      </c>
      <c r="P95" s="8">
        <v>158.09396600635671</v>
      </c>
      <c r="Q95" s="8">
        <v>222.32538886096532</v>
      </c>
      <c r="R95" s="8">
        <v>107.4473684012122</v>
      </c>
      <c r="S95" s="8">
        <v>146.78867740779069</v>
      </c>
      <c r="T95" s="8">
        <v>194.02510522950701</v>
      </c>
      <c r="U95" s="8">
        <v>128.86266340823417</v>
      </c>
      <c r="V95" s="8">
        <v>162.5860781173775</v>
      </c>
      <c r="W95" s="8">
        <v>212.27191637593316</v>
      </c>
      <c r="X95" s="22"/>
      <c r="Y95" s="24">
        <f t="shared" si="23"/>
        <v>0.79785365853658541</v>
      </c>
      <c r="AB95" s="22"/>
    </row>
    <row r="96" spans="1:28" hidden="1" x14ac:dyDescent="0.25">
      <c r="A96" s="16"/>
      <c r="B96" s="3" t="s">
        <v>150</v>
      </c>
      <c r="C96" s="3" t="s">
        <v>151</v>
      </c>
      <c r="D96" s="11" t="s">
        <v>6</v>
      </c>
      <c r="E96" s="8">
        <v>1002.5789358528094</v>
      </c>
      <c r="F96" s="8">
        <v>1381.4179214321232</v>
      </c>
      <c r="G96" s="8">
        <v>1639.8664147190452</v>
      </c>
      <c r="H96" s="8">
        <v>952.93867727498753</v>
      </c>
      <c r="I96" s="8">
        <v>1288.2369368473394</v>
      </c>
      <c r="J96" s="8">
        <v>1490.6664942814518</v>
      </c>
      <c r="K96" s="8">
        <v>935.20507608155151</v>
      </c>
      <c r="L96" s="8">
        <v>1167.1389159622076</v>
      </c>
      <c r="M96" s="8">
        <v>1435.5876877175535</v>
      </c>
      <c r="N96" s="22"/>
      <c r="O96" s="8">
        <v>93.141873013526478</v>
      </c>
      <c r="P96" s="8">
        <v>128.33688003547934</v>
      </c>
      <c r="Q96" s="8">
        <v>152.34733535368466</v>
      </c>
      <c r="R96" s="8">
        <v>88.530179614162165</v>
      </c>
      <c r="S96" s="8">
        <v>119.68015374380958</v>
      </c>
      <c r="T96" s="8">
        <v>138.48632197501661</v>
      </c>
      <c r="U96" s="8">
        <v>86.882687560056169</v>
      </c>
      <c r="V96" s="8">
        <v>108.42987101781358</v>
      </c>
      <c r="W96" s="8">
        <v>133.36937504619704</v>
      </c>
      <c r="X96" s="22"/>
      <c r="Y96" s="24">
        <f t="shared" si="23"/>
        <v>0.64048543701626304</v>
      </c>
      <c r="AB96" s="22"/>
    </row>
    <row r="97" spans="1:28" hidden="1" x14ac:dyDescent="0.25">
      <c r="A97" s="16"/>
      <c r="B97" s="3" t="s">
        <v>152</v>
      </c>
      <c r="C97" s="3" t="s">
        <v>153</v>
      </c>
      <c r="D97" s="11" t="s">
        <v>6</v>
      </c>
      <c r="E97" s="8">
        <v>791.21266036797613</v>
      </c>
      <c r="F97" s="8">
        <v>1361.37093983093</v>
      </c>
      <c r="G97" s="8">
        <v>1695.3626653406266</v>
      </c>
      <c r="H97" s="8">
        <v>760.85922426653406</v>
      </c>
      <c r="I97" s="8">
        <v>1340.9206762804574</v>
      </c>
      <c r="J97" s="8">
        <v>1581.3148184982595</v>
      </c>
      <c r="K97" s="8">
        <v>840.83376429636996</v>
      </c>
      <c r="L97" s="8">
        <v>1340.9766882148185</v>
      </c>
      <c r="M97" s="8">
        <v>1571.3847120835405</v>
      </c>
      <c r="N97" s="22"/>
      <c r="O97" s="8">
        <v>73.505463264099333</v>
      </c>
      <c r="P97" s="8">
        <v>126.47446965777219</v>
      </c>
      <c r="Q97" s="8">
        <v>157.50306378889789</v>
      </c>
      <c r="R97" s="8">
        <v>70.685559723556807</v>
      </c>
      <c r="S97" s="8">
        <v>124.5745934658881</v>
      </c>
      <c r="T97" s="8">
        <v>146.90775833394926</v>
      </c>
      <c r="U97" s="8">
        <v>78.115377152782912</v>
      </c>
      <c r="V97" s="8">
        <v>124.57979710252052</v>
      </c>
      <c r="W97" s="8">
        <v>145.98522876783204</v>
      </c>
      <c r="X97" s="22"/>
      <c r="Y97" s="24">
        <f t="shared" si="23"/>
        <v>0.50545664628144726</v>
      </c>
      <c r="AB97" s="22"/>
    </row>
    <row r="98" spans="1:28" hidden="1" x14ac:dyDescent="0.25">
      <c r="A98" s="16"/>
      <c r="B98" s="3" t="s">
        <v>154</v>
      </c>
      <c r="C98" s="3" t="s">
        <v>155</v>
      </c>
      <c r="D98" s="11" t="s">
        <v>6</v>
      </c>
      <c r="E98" s="8">
        <v>825.60973717056186</v>
      </c>
      <c r="F98" s="8">
        <v>1270.6612336051714</v>
      </c>
      <c r="G98" s="8">
        <v>1716.0124070810539</v>
      </c>
      <c r="H98" s="8">
        <v>866.77743454997506</v>
      </c>
      <c r="I98" s="8">
        <v>1236.1546660815513</v>
      </c>
      <c r="J98" s="8">
        <v>1577.309375743411</v>
      </c>
      <c r="K98" s="8">
        <v>1078.8648354152162</v>
      </c>
      <c r="L98" s="8">
        <v>1395.1896568523121</v>
      </c>
      <c r="M98" s="8">
        <v>1903.0768497165586</v>
      </c>
      <c r="N98" s="22"/>
      <c r="O98" s="8">
        <v>76.70103026138294</v>
      </c>
      <c r="P98" s="8">
        <v>118.04733077001255</v>
      </c>
      <c r="Q98" s="8">
        <v>159.42147196023353</v>
      </c>
      <c r="R98" s="8">
        <v>80.525603374233128</v>
      </c>
      <c r="S98" s="8">
        <v>114.84159183466994</v>
      </c>
      <c r="T98" s="8">
        <v>146.53564355366248</v>
      </c>
      <c r="U98" s="8">
        <v>100.22900731853795</v>
      </c>
      <c r="V98" s="8">
        <v>129.61630571041835</v>
      </c>
      <c r="W98" s="8">
        <v>176.80018593299576</v>
      </c>
      <c r="X98" s="22"/>
      <c r="Y98" s="24">
        <f t="shared" si="23"/>
        <v>0.52743080310855661</v>
      </c>
      <c r="AB98" s="22"/>
    </row>
    <row r="99" spans="1:28" hidden="1" x14ac:dyDescent="0.25">
      <c r="A99" s="16"/>
      <c r="B99" s="3" t="s">
        <v>156</v>
      </c>
      <c r="C99" s="3" t="s">
        <v>157</v>
      </c>
      <c r="D99" s="11" t="s">
        <v>6</v>
      </c>
      <c r="E99" s="8">
        <v>960.78473754351069</v>
      </c>
      <c r="F99" s="8">
        <v>1330.5906227747391</v>
      </c>
      <c r="G99" s="8">
        <v>2126.3472731974143</v>
      </c>
      <c r="H99" s="8">
        <v>962.629915464943</v>
      </c>
      <c r="I99" s="8">
        <v>1296.9146542018896</v>
      </c>
      <c r="J99" s="8">
        <v>1922.9498120338144</v>
      </c>
      <c r="K99" s="8">
        <v>1222.4189525609152</v>
      </c>
      <c r="L99" s="8">
        <v>1490.3509609149678</v>
      </c>
      <c r="M99" s="8">
        <v>2307.8214762804578</v>
      </c>
      <c r="N99" s="22"/>
      <c r="O99" s="8">
        <v>89.259096533372755</v>
      </c>
      <c r="P99" s="8">
        <v>123.61490790154483</v>
      </c>
      <c r="Q99" s="8">
        <v>197.54251822011975</v>
      </c>
      <c r="R99" s="8">
        <v>89.43051777662798</v>
      </c>
      <c r="S99" s="8">
        <v>120.48633350580235</v>
      </c>
      <c r="T99" s="8">
        <v>178.64642952176806</v>
      </c>
      <c r="U99" s="8">
        <v>113.56551267647276</v>
      </c>
      <c r="V99" s="8">
        <v>138.45700820459751</v>
      </c>
      <c r="W99" s="8">
        <v>214.40188617044865</v>
      </c>
      <c r="X99" s="22"/>
      <c r="Y99" s="24">
        <f t="shared" si="23"/>
        <v>0.61378571850870656</v>
      </c>
      <c r="AB99" s="22"/>
    </row>
    <row r="100" spans="1:28" hidden="1" x14ac:dyDescent="0.25">
      <c r="A100" s="16"/>
      <c r="B100" s="3" t="s">
        <v>158</v>
      </c>
      <c r="C100" s="3" t="s">
        <v>159</v>
      </c>
      <c r="D100" s="11" t="s">
        <v>6</v>
      </c>
      <c r="E100" s="8">
        <v>925.81870059671814</v>
      </c>
      <c r="F100" s="8">
        <v>925.81870059671814</v>
      </c>
      <c r="G100" s="8">
        <v>925.81870059671814</v>
      </c>
      <c r="H100" s="8">
        <v>925.81870059671814</v>
      </c>
      <c r="I100" s="8">
        <v>925.81870059671814</v>
      </c>
      <c r="J100" s="8">
        <v>925.81870059671814</v>
      </c>
      <c r="K100" s="8">
        <v>925.81870059671814</v>
      </c>
      <c r="L100" s="8">
        <v>925.81870059671814</v>
      </c>
      <c r="M100" s="8">
        <v>925.81870059671814</v>
      </c>
      <c r="N100" s="22"/>
      <c r="O100" s="8">
        <v>86.010651999999993</v>
      </c>
      <c r="P100" s="8">
        <v>146.28104400000001</v>
      </c>
      <c r="Q100" s="8">
        <v>182.81608800000001</v>
      </c>
      <c r="R100" s="8">
        <v>86.46601600000001</v>
      </c>
      <c r="S100" s="8">
        <v>152.11969500000001</v>
      </c>
      <c r="T100" s="8">
        <v>173.39877100000001</v>
      </c>
      <c r="U100" s="8">
        <v>93.311582000000016</v>
      </c>
      <c r="V100" s="8">
        <v>149.59726599999999</v>
      </c>
      <c r="W100" s="8">
        <v>167.76177600000003</v>
      </c>
      <c r="X100" s="22"/>
      <c r="Y100" s="24">
        <f t="shared" si="23"/>
        <v>0.59144795194609734</v>
      </c>
      <c r="AB100" s="22"/>
    </row>
    <row r="101" spans="1:28" hidden="1" x14ac:dyDescent="0.25">
      <c r="A101" s="16"/>
      <c r="B101" s="3" t="s">
        <v>160</v>
      </c>
      <c r="C101" s="3" t="s">
        <v>161</v>
      </c>
      <c r="D101" s="11" t="s">
        <v>6</v>
      </c>
      <c r="E101" s="8">
        <v>1442.5164296369965</v>
      </c>
      <c r="F101" s="8">
        <v>1664.3682396817503</v>
      </c>
      <c r="G101" s="8">
        <v>1801.1297762307311</v>
      </c>
      <c r="H101" s="8">
        <v>1440.09070611636</v>
      </c>
      <c r="I101" s="8">
        <v>1682.1240676280459</v>
      </c>
      <c r="J101" s="8">
        <v>1781.2898160119344</v>
      </c>
      <c r="K101" s="8">
        <v>1446.8076031824962</v>
      </c>
      <c r="L101" s="8">
        <v>1742.8634609646942</v>
      </c>
      <c r="M101" s="8">
        <v>1939.8408304326208</v>
      </c>
      <c r="N101" s="22"/>
      <c r="O101" s="8">
        <v>134.013070995639</v>
      </c>
      <c r="P101" s="8">
        <v>154.62361085446079</v>
      </c>
      <c r="Q101" s="8">
        <v>167.32906996082491</v>
      </c>
      <c r="R101" s="8">
        <v>133.78771574026166</v>
      </c>
      <c r="S101" s="8">
        <v>156.27316782467292</v>
      </c>
      <c r="T101" s="8">
        <v>165.48589234237565</v>
      </c>
      <c r="U101" s="8">
        <v>134.41173081898145</v>
      </c>
      <c r="V101" s="8">
        <v>161.91599619336242</v>
      </c>
      <c r="W101" s="8">
        <v>180.21564370980857</v>
      </c>
      <c r="X101" s="22"/>
      <c r="Y101" s="24">
        <f t="shared" si="23"/>
        <v>0.92153418828144262</v>
      </c>
      <c r="AB101" s="22"/>
    </row>
    <row r="102" spans="1:28" hidden="1" x14ac:dyDescent="0.25">
      <c r="A102" s="16"/>
      <c r="B102" s="3" t="s">
        <v>162</v>
      </c>
      <c r="C102" s="3" t="s">
        <v>163</v>
      </c>
      <c r="D102" s="11" t="s">
        <v>6</v>
      </c>
      <c r="E102" s="8">
        <v>1137.7632968672301</v>
      </c>
      <c r="F102" s="8">
        <v>1137.7632968672301</v>
      </c>
      <c r="G102" s="8">
        <v>1137.7632968672301</v>
      </c>
      <c r="H102" s="8">
        <v>1137.7632968672301</v>
      </c>
      <c r="I102" s="8">
        <v>1137.7632968672301</v>
      </c>
      <c r="J102" s="8">
        <v>1137.7632968672301</v>
      </c>
      <c r="K102" s="8">
        <v>1137.7632968672301</v>
      </c>
      <c r="L102" s="8">
        <v>1137.7632968672301</v>
      </c>
      <c r="M102" s="8">
        <v>1137.7632968672301</v>
      </c>
      <c r="N102" s="22"/>
      <c r="O102" s="8">
        <v>105.70530000000001</v>
      </c>
      <c r="P102" s="8">
        <v>177.33109999999999</v>
      </c>
      <c r="Q102" s="8">
        <v>222.06780000000001</v>
      </c>
      <c r="R102" s="8">
        <v>106.09050000000001</v>
      </c>
      <c r="S102" s="8">
        <v>177.73770000000002</v>
      </c>
      <c r="T102" s="8">
        <v>206.02850000000004</v>
      </c>
      <c r="U102" s="8">
        <v>114.65050000000001</v>
      </c>
      <c r="V102" s="8">
        <v>177.29900000000001</v>
      </c>
      <c r="W102" s="8">
        <v>205.69680000000002</v>
      </c>
      <c r="X102" s="22"/>
      <c r="Y102" s="24">
        <f t="shared" si="23"/>
        <v>0.72687721510177383</v>
      </c>
      <c r="AB102" s="22"/>
    </row>
    <row r="103" spans="1:28" hidden="1" x14ac:dyDescent="0.25">
      <c r="A103" s="16"/>
      <c r="B103" s="3" t="s">
        <v>164</v>
      </c>
      <c r="C103" s="3" t="s">
        <v>165</v>
      </c>
      <c r="D103" s="11" t="s">
        <v>6</v>
      </c>
      <c r="E103" s="8">
        <v>767.68974042764796</v>
      </c>
      <c r="F103" s="8">
        <v>1088.4362526106415</v>
      </c>
      <c r="G103" s="8">
        <v>1356.5160243659871</v>
      </c>
      <c r="H103" s="8">
        <v>789.99886623570353</v>
      </c>
      <c r="I103" s="8">
        <v>1107.3345609149676</v>
      </c>
      <c r="J103" s="8">
        <v>1324.5906534062653</v>
      </c>
      <c r="K103" s="8">
        <v>870.900401292889</v>
      </c>
      <c r="L103" s="8">
        <v>1128.3439085032321</v>
      </c>
      <c r="M103" s="8">
        <v>1448.0780706116359</v>
      </c>
      <c r="N103" s="22"/>
      <c r="O103" s="8">
        <v>71.320130275704031</v>
      </c>
      <c r="P103" s="8">
        <v>101.11821383694284</v>
      </c>
      <c r="Q103" s="8">
        <v>126.02343692253677</v>
      </c>
      <c r="R103" s="8">
        <v>73.392699016926599</v>
      </c>
      <c r="S103" s="8">
        <v>102.87390984182126</v>
      </c>
      <c r="T103" s="8">
        <v>123.05749704338827</v>
      </c>
      <c r="U103" s="8">
        <v>80.908636401433938</v>
      </c>
      <c r="V103" s="8">
        <v>104.82572621775444</v>
      </c>
      <c r="W103" s="8">
        <v>134.52976014487396</v>
      </c>
      <c r="X103" s="22"/>
      <c r="Y103" s="24">
        <f t="shared" si="23"/>
        <v>0.49042931315174781</v>
      </c>
      <c r="AB103" s="22"/>
    </row>
    <row r="104" spans="1:28" hidden="1" x14ac:dyDescent="0.25">
      <c r="A104" s="16"/>
      <c r="B104" s="3" t="s">
        <v>166</v>
      </c>
      <c r="C104" s="3" t="s">
        <v>167</v>
      </c>
      <c r="D104" s="11" t="s">
        <v>6</v>
      </c>
      <c r="E104" s="8">
        <v>686.05941819990062</v>
      </c>
      <c r="F104" s="8">
        <v>1162.8963252113376</v>
      </c>
      <c r="G104" s="8">
        <v>1660.5452909000498</v>
      </c>
      <c r="H104" s="8">
        <v>681.51125310790655</v>
      </c>
      <c r="I104" s="8">
        <v>947.87421183490801</v>
      </c>
      <c r="J104" s="8">
        <v>1253.1269617105918</v>
      </c>
      <c r="K104" s="8">
        <v>858.10036051715565</v>
      </c>
      <c r="L104" s="8">
        <v>1039.1328677274989</v>
      </c>
      <c r="M104" s="8">
        <v>1443.1224082545996</v>
      </c>
      <c r="N104" s="22"/>
      <c r="O104" s="8">
        <v>63.7364868985143</v>
      </c>
      <c r="P104" s="8">
        <v>108.03572464705447</v>
      </c>
      <c r="Q104" s="8">
        <v>154.26845018109245</v>
      </c>
      <c r="R104" s="8">
        <v>63.31395197353833</v>
      </c>
      <c r="S104" s="8">
        <v>88.059679207628051</v>
      </c>
      <c r="T104" s="8">
        <v>116.41835686303496</v>
      </c>
      <c r="U104" s="8">
        <v>79.719483378298463</v>
      </c>
      <c r="V104" s="8">
        <v>96.537816773227888</v>
      </c>
      <c r="W104" s="8">
        <v>134.06936779325892</v>
      </c>
      <c r="X104" s="22"/>
      <c r="Y104" s="24">
        <f t="shared" si="23"/>
        <v>0.43828076829792612</v>
      </c>
      <c r="AB104" s="22"/>
    </row>
    <row r="105" spans="1:28" hidden="1" x14ac:dyDescent="0.25">
      <c r="A105" s="16"/>
      <c r="B105" s="3" t="s">
        <v>168</v>
      </c>
      <c r="C105" s="3" t="s">
        <v>169</v>
      </c>
      <c r="D105" s="11" t="s">
        <v>6</v>
      </c>
      <c r="E105" s="8">
        <v>1247.6312498219791</v>
      </c>
      <c r="F105" s="8">
        <v>1699.975217519642</v>
      </c>
      <c r="G105" s="8">
        <v>2390.6519700686231</v>
      </c>
      <c r="H105" s="8">
        <v>1155.3753004236698</v>
      </c>
      <c r="I105" s="8">
        <v>1578.4101070353058</v>
      </c>
      <c r="J105" s="8">
        <v>2086.3406668761809</v>
      </c>
      <c r="K105" s="8">
        <v>1385.652721551467</v>
      </c>
      <c r="L105" s="8">
        <v>1748.2786376688214</v>
      </c>
      <c r="M105" s="8">
        <v>2282.5475654142224</v>
      </c>
      <c r="N105" s="22"/>
      <c r="O105" s="8">
        <v>115.90779267647275</v>
      </c>
      <c r="P105" s="8">
        <v>157.93158042131719</v>
      </c>
      <c r="Q105" s="8">
        <v>222.09702822677215</v>
      </c>
      <c r="R105" s="8">
        <v>107.33700426639071</v>
      </c>
      <c r="S105" s="8">
        <v>146.63790400473059</v>
      </c>
      <c r="T105" s="8">
        <v>193.82581311848622</v>
      </c>
      <c r="U105" s="8">
        <v>128.73030263877595</v>
      </c>
      <c r="V105" s="8">
        <v>162.41907847734495</v>
      </c>
      <c r="W105" s="8">
        <v>212.05388212580385</v>
      </c>
      <c r="X105" s="22"/>
      <c r="Y105" s="24">
        <f t="shared" si="23"/>
        <v>0.79703414634146341</v>
      </c>
      <c r="AB105" s="22"/>
    </row>
    <row r="106" spans="1:28" hidden="1" x14ac:dyDescent="0.25">
      <c r="A106" s="16"/>
      <c r="B106" s="3" t="s">
        <v>170</v>
      </c>
      <c r="C106" s="3" t="s">
        <v>171</v>
      </c>
      <c r="D106" s="11" t="s">
        <v>6</v>
      </c>
      <c r="E106" s="8">
        <v>1298.5023968175039</v>
      </c>
      <c r="F106" s="8">
        <v>1781.9915713575338</v>
      </c>
      <c r="G106" s="8">
        <v>2194.8238090502241</v>
      </c>
      <c r="H106" s="8">
        <v>1192.5263749378419</v>
      </c>
      <c r="I106" s="8">
        <v>1626.9779462953757</v>
      </c>
      <c r="J106" s="8">
        <v>1914.6340875186477</v>
      </c>
      <c r="K106" s="8">
        <v>1475.5609199403282</v>
      </c>
      <c r="L106" s="8">
        <v>1923.5797712580807</v>
      </c>
      <c r="M106" s="8">
        <v>2522.8467478866237</v>
      </c>
      <c r="N106" s="22"/>
      <c r="O106" s="8">
        <v>120.63383842116934</v>
      </c>
      <c r="P106" s="8">
        <v>165.55108701677878</v>
      </c>
      <c r="Q106" s="8">
        <v>203.90414480005916</v>
      </c>
      <c r="R106" s="8">
        <v>110.78842394116343</v>
      </c>
      <c r="S106" s="8">
        <v>151.1499672000887</v>
      </c>
      <c r="T106" s="8">
        <v>177.87387972133934</v>
      </c>
      <c r="U106" s="8">
        <v>137.08297961785794</v>
      </c>
      <c r="V106" s="8">
        <v>178.70495417251828</v>
      </c>
      <c r="W106" s="8">
        <v>234.37822501663095</v>
      </c>
      <c r="X106" s="22"/>
      <c r="Y106" s="24">
        <f t="shared" si="23"/>
        <v>0.82953256382240947</v>
      </c>
      <c r="AB106" s="22"/>
    </row>
    <row r="107" spans="1:28" hidden="1" x14ac:dyDescent="0.25">
      <c r="A107" s="16"/>
      <c r="B107" s="3" t="s">
        <v>170</v>
      </c>
      <c r="C107" s="18" t="s">
        <v>172</v>
      </c>
      <c r="D107" s="11" t="s">
        <v>6</v>
      </c>
      <c r="E107" s="8">
        <v>2004.5162403729491</v>
      </c>
      <c r="F107" s="8">
        <v>2731.2781178219798</v>
      </c>
      <c r="G107" s="8">
        <v>3840.959177454004</v>
      </c>
      <c r="H107" s="8">
        <v>1856.2925173247145</v>
      </c>
      <c r="I107" s="8">
        <v>2535.9646081103933</v>
      </c>
      <c r="J107" s="8">
        <v>3352.0351067677784</v>
      </c>
      <c r="K107" s="8">
        <v>2226.2694880905028</v>
      </c>
      <c r="L107" s="8">
        <v>2808.8851753306822</v>
      </c>
      <c r="M107" s="8">
        <v>3667.2724131824975</v>
      </c>
      <c r="N107" s="22"/>
      <c r="O107" s="8">
        <v>186.22413701077318</v>
      </c>
      <c r="P107" s="8">
        <v>253.74197533723856</v>
      </c>
      <c r="Q107" s="8">
        <v>356.83388026923654</v>
      </c>
      <c r="R107" s="8">
        <v>172.45381459919435</v>
      </c>
      <c r="S107" s="8">
        <v>235.59690419238308</v>
      </c>
      <c r="T107" s="8">
        <v>311.41171740843748</v>
      </c>
      <c r="U107" s="8">
        <v>206.82552020428341</v>
      </c>
      <c r="V107" s="8">
        <v>260.95184823296262</v>
      </c>
      <c r="W107" s="8">
        <v>340.69798317087367</v>
      </c>
      <c r="X107" s="22"/>
      <c r="Y107" s="24">
        <f t="shared" si="23"/>
        <v>1.2805609756097562</v>
      </c>
      <c r="AB107" s="22"/>
    </row>
    <row r="108" spans="1:28" hidden="1" x14ac:dyDescent="0.25">
      <c r="A108" s="16"/>
      <c r="B108" s="3" t="s">
        <v>173</v>
      </c>
      <c r="C108" s="3" t="s">
        <v>174</v>
      </c>
      <c r="D108" s="11" t="s">
        <v>6</v>
      </c>
      <c r="E108" s="8">
        <v>1091.5971675261062</v>
      </c>
      <c r="F108" s="8">
        <v>1487.3690704475384</v>
      </c>
      <c r="G108" s="8">
        <v>2091.6668442217801</v>
      </c>
      <c r="H108" s="8">
        <v>1010.8791404127301</v>
      </c>
      <c r="I108" s="8">
        <v>1381.0074108677277</v>
      </c>
      <c r="J108" s="8">
        <v>1825.4140097737445</v>
      </c>
      <c r="K108" s="8">
        <v>1212.3570856663353</v>
      </c>
      <c r="L108" s="8">
        <v>1529.6314589731476</v>
      </c>
      <c r="M108" s="8">
        <v>1997.0824372227748</v>
      </c>
      <c r="N108" s="22"/>
      <c r="O108" s="8">
        <v>101.41187005206409</v>
      </c>
      <c r="P108" s="8">
        <v>138.17998376958752</v>
      </c>
      <c r="Q108" s="8">
        <v>194.32062715878851</v>
      </c>
      <c r="R108" s="8">
        <v>93.912980974665516</v>
      </c>
      <c r="S108" s="8">
        <v>128.29874266644799</v>
      </c>
      <c r="T108" s="8">
        <v>169.58513072173662</v>
      </c>
      <c r="U108" s="8">
        <v>112.63074226083782</v>
      </c>
      <c r="V108" s="8">
        <v>142.1062561901748</v>
      </c>
      <c r="W108" s="8">
        <v>185.53351971944525</v>
      </c>
      <c r="X108" s="22"/>
      <c r="Y108" s="24">
        <f t="shared" si="23"/>
        <v>0.69735365853658537</v>
      </c>
      <c r="AB108" s="22"/>
    </row>
    <row r="109" spans="1:28" hidden="1" x14ac:dyDescent="0.25">
      <c r="A109" s="16"/>
      <c r="B109" s="3" t="s">
        <v>175</v>
      </c>
      <c r="C109" s="3" t="s">
        <v>176</v>
      </c>
      <c r="D109" s="11" t="s">
        <v>6</v>
      </c>
      <c r="E109" s="8">
        <v>1499.8651601442068</v>
      </c>
      <c r="F109" s="8">
        <v>2043.6596167578318</v>
      </c>
      <c r="G109" s="8">
        <v>2873.9706547488813</v>
      </c>
      <c r="H109" s="8">
        <v>1388.9578032322227</v>
      </c>
      <c r="I109" s="8">
        <v>1897.5176586026853</v>
      </c>
      <c r="J109" s="8">
        <v>2508.1366620835406</v>
      </c>
      <c r="K109" s="8">
        <v>1665.7904660616607</v>
      </c>
      <c r="L109" s="8">
        <v>2101.7285509945305</v>
      </c>
      <c r="M109" s="8">
        <v>2744.0107565638991</v>
      </c>
      <c r="N109" s="22"/>
      <c r="O109" s="8">
        <v>139.3408990432589</v>
      </c>
      <c r="P109" s="8">
        <v>189.86064607971764</v>
      </c>
      <c r="Q109" s="8">
        <v>266.99843792501292</v>
      </c>
      <c r="R109" s="8">
        <v>129.03735227566708</v>
      </c>
      <c r="S109" s="8">
        <v>176.28372438142139</v>
      </c>
      <c r="T109" s="8">
        <v>233.01162444794517</v>
      </c>
      <c r="U109" s="8">
        <v>154.75573893349471</v>
      </c>
      <c r="V109" s="8">
        <v>195.25538269873974</v>
      </c>
      <c r="W109" s="8">
        <v>254.92486655748763</v>
      </c>
      <c r="X109" s="22"/>
      <c r="Y109" s="24">
        <f t="shared" si="23"/>
        <v>0.95817073170731692</v>
      </c>
      <c r="AB109" s="22"/>
    </row>
    <row r="110" spans="1:28" hidden="1" x14ac:dyDescent="0.25">
      <c r="A110" s="16"/>
      <c r="B110" s="3" t="s">
        <v>175</v>
      </c>
      <c r="C110" s="3" t="s">
        <v>177</v>
      </c>
      <c r="D110" s="11" t="s">
        <v>6</v>
      </c>
      <c r="E110" s="8">
        <v>1499.8651601442068</v>
      </c>
      <c r="F110" s="8">
        <v>2043.6596167578318</v>
      </c>
      <c r="G110" s="8">
        <v>2873.9706547488813</v>
      </c>
      <c r="H110" s="8">
        <v>1388.9578032322227</v>
      </c>
      <c r="I110" s="8">
        <v>1897.5176586026853</v>
      </c>
      <c r="J110" s="8">
        <v>2508.1366620835406</v>
      </c>
      <c r="K110" s="8">
        <v>1665.7904660616607</v>
      </c>
      <c r="L110" s="8">
        <v>2101.7285509945305</v>
      </c>
      <c r="M110" s="8">
        <v>2744.0107565638991</v>
      </c>
      <c r="N110" s="22"/>
      <c r="O110" s="9">
        <v>139.3408990432589</v>
      </c>
      <c r="P110" s="9">
        <v>189.86064607971764</v>
      </c>
      <c r="Q110" s="9">
        <v>266.99843792501292</v>
      </c>
      <c r="R110" s="9">
        <v>129.03735227566708</v>
      </c>
      <c r="S110" s="9">
        <v>176.28372438142139</v>
      </c>
      <c r="T110" s="9">
        <v>233.01162444794517</v>
      </c>
      <c r="U110" s="9">
        <v>154.75573893349471</v>
      </c>
      <c r="V110" s="9">
        <v>195.25538269873974</v>
      </c>
      <c r="W110" s="9">
        <v>254.92486655748763</v>
      </c>
      <c r="X110" s="22"/>
      <c r="Y110" s="24">
        <f t="shared" si="23"/>
        <v>0.95817073170731692</v>
      </c>
      <c r="AB110" s="22"/>
    </row>
    <row r="111" spans="1:28" hidden="1" x14ac:dyDescent="0.25">
      <c r="A111" s="16"/>
      <c r="B111" s="3" t="s">
        <v>178</v>
      </c>
      <c r="C111" s="3" t="s">
        <v>179</v>
      </c>
      <c r="D111" s="11" t="s">
        <v>6</v>
      </c>
      <c r="E111" s="8">
        <v>945.77247523620088</v>
      </c>
      <c r="F111" s="8">
        <v>1309.8001442715067</v>
      </c>
      <c r="G111" s="8">
        <v>2093.1230970313277</v>
      </c>
      <c r="H111" s="8">
        <v>932.79404394331186</v>
      </c>
      <c r="I111" s="8">
        <v>1261.8555845101939</v>
      </c>
      <c r="J111" s="8">
        <v>1878.1089415464944</v>
      </c>
      <c r="K111" s="8">
        <v>1195.1703760367977</v>
      </c>
      <c r="L111" s="8">
        <v>1454.3398449577326</v>
      </c>
      <c r="M111" s="8">
        <v>2259.037383431129</v>
      </c>
      <c r="N111" s="22"/>
      <c r="O111" s="8">
        <v>87.864423077278431</v>
      </c>
      <c r="P111" s="8">
        <v>121.68342496350432</v>
      </c>
      <c r="Q111" s="8">
        <v>194.4559163708515</v>
      </c>
      <c r="R111" s="8">
        <v>86.65869716765836</v>
      </c>
      <c r="S111" s="8">
        <v>117.22926585714022</v>
      </c>
      <c r="T111" s="8">
        <v>174.48061023773005</v>
      </c>
      <c r="U111" s="8">
        <v>111.0340576821088</v>
      </c>
      <c r="V111" s="8">
        <v>135.11149328340971</v>
      </c>
      <c r="W111" s="8">
        <v>209.86973252272895</v>
      </c>
      <c r="X111" s="22"/>
      <c r="Y111" s="24">
        <f t="shared" si="23"/>
        <v>0.60419531615667499</v>
      </c>
      <c r="AB111" s="22"/>
    </row>
    <row r="112" spans="1:28" hidden="1" x14ac:dyDescent="0.25">
      <c r="A112" s="16"/>
      <c r="B112" s="3" t="s">
        <v>180</v>
      </c>
      <c r="C112" s="3" t="s">
        <v>181</v>
      </c>
      <c r="D112" s="11" t="s">
        <v>8</v>
      </c>
      <c r="E112" s="46">
        <v>987.46489582297363</v>
      </c>
      <c r="F112" s="46">
        <v>1487.1147856787666</v>
      </c>
      <c r="G112" s="46">
        <v>1927.5031282943808</v>
      </c>
      <c r="H112" s="46">
        <v>974.33342839383386</v>
      </c>
      <c r="I112" s="46">
        <v>1340.6164572352063</v>
      </c>
      <c r="J112" s="46">
        <v>1916.1050728493285</v>
      </c>
      <c r="K112" s="46">
        <v>987.90945574341117</v>
      </c>
      <c r="L112" s="46">
        <v>1333.4941315266037</v>
      </c>
      <c r="M112" s="46">
        <v>1889.7377630532073</v>
      </c>
      <c r="N112" s="22"/>
      <c r="O112" s="46">
        <v>91.738579494697433</v>
      </c>
      <c r="P112" s="46">
        <v>138.15761811971188</v>
      </c>
      <c r="Q112" s="46">
        <v>179.07107352301497</v>
      </c>
      <c r="R112" s="46">
        <v>90.518625070265784</v>
      </c>
      <c r="S112" s="46">
        <v>124.54746488124252</v>
      </c>
      <c r="T112" s="46">
        <v>178.01215849732239</v>
      </c>
      <c r="U112" s="46">
        <v>91.779880502737043</v>
      </c>
      <c r="V112" s="46">
        <v>123.88577853070019</v>
      </c>
      <c r="W112" s="46">
        <v>175.56255289004983</v>
      </c>
      <c r="X112" s="22"/>
      <c r="AA112" s="24">
        <f>O112/$AA$3</f>
        <v>0.74630083628998134</v>
      </c>
      <c r="AB112" s="22"/>
    </row>
    <row r="113" spans="1:28" hidden="1" x14ac:dyDescent="0.25">
      <c r="A113" s="16"/>
      <c r="B113" s="3" t="s">
        <v>182</v>
      </c>
      <c r="C113" s="3" t="s">
        <v>183</v>
      </c>
      <c r="D113" s="11" t="s">
        <v>8</v>
      </c>
      <c r="E113" s="8">
        <v>1240.5316360019892</v>
      </c>
      <c r="F113" s="8">
        <v>1794.1551864743908</v>
      </c>
      <c r="G113" s="8">
        <v>2201.2012332173049</v>
      </c>
      <c r="H113" s="8">
        <v>1138.3512282446543</v>
      </c>
      <c r="I113" s="8">
        <v>1628.4400596718051</v>
      </c>
      <c r="J113" s="8">
        <v>2066.7633615116856</v>
      </c>
      <c r="K113" s="8">
        <v>1029.7733664843361</v>
      </c>
      <c r="L113" s="8">
        <v>1365.7991447041275</v>
      </c>
      <c r="M113" s="8">
        <v>1931.4582595723521</v>
      </c>
      <c r="N113" s="22"/>
      <c r="O113" s="8">
        <v>115.24927173254947</v>
      </c>
      <c r="P113" s="8">
        <v>166.68263236135516</v>
      </c>
      <c r="Q113" s="8">
        <v>204.49848411981762</v>
      </c>
      <c r="R113" s="8">
        <v>105.75639203677611</v>
      </c>
      <c r="S113" s="8">
        <v>151.28717840855128</v>
      </c>
      <c r="T113" s="8">
        <v>192.00878506040428</v>
      </c>
      <c r="U113" s="8">
        <v>95.669168840693061</v>
      </c>
      <c r="V113" s="8">
        <v>126.88701536656114</v>
      </c>
      <c r="W113" s="8">
        <v>179.43851759792938</v>
      </c>
      <c r="X113" s="22"/>
      <c r="AA113" s="24">
        <f>O113/$AA$3</f>
        <v>0.93756223771466252</v>
      </c>
      <c r="AB113" s="22"/>
    </row>
    <row r="114" spans="1:28" hidden="1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25">
        <v>1265.3422687220291</v>
      </c>
      <c r="F114" s="25">
        <v>1830.0382902038787</v>
      </c>
      <c r="G114" s="25">
        <v>2245.225257881651</v>
      </c>
      <c r="H114" s="25">
        <v>1161.1182528095474</v>
      </c>
      <c r="I114" s="25">
        <v>1661.0088608652413</v>
      </c>
      <c r="J114" s="25">
        <v>2108.0986287419196</v>
      </c>
      <c r="K114" s="25">
        <v>1050.3688338140228</v>
      </c>
      <c r="L114" s="25">
        <v>1393.1151275982099</v>
      </c>
      <c r="M114" s="25">
        <v>1970.0874247637992</v>
      </c>
      <c r="N114" s="22"/>
      <c r="O114" s="25">
        <v>117.55425716720048</v>
      </c>
      <c r="P114" s="25">
        <v>170.01628500858229</v>
      </c>
      <c r="Q114" s="25">
        <v>208.58845380221399</v>
      </c>
      <c r="R114" s="25">
        <v>107.87151987751163</v>
      </c>
      <c r="S114" s="25">
        <v>154.31292197672232</v>
      </c>
      <c r="T114" s="25">
        <v>195.8489607616124</v>
      </c>
      <c r="U114" s="25">
        <v>97.58255221750693</v>
      </c>
      <c r="V114" s="25">
        <v>129.42475567389235</v>
      </c>
      <c r="W114" s="25">
        <v>183.02728794988798</v>
      </c>
      <c r="X114" s="22"/>
      <c r="AA114" s="26">
        <f t="shared" ref="AA114:AA116" si="24">O114/$AA$3</f>
        <v>0.95631348246895587</v>
      </c>
      <c r="AB114" s="22"/>
    </row>
    <row r="115" spans="1:28" hidden="1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25">
        <v>1290.1529014420689</v>
      </c>
      <c r="F115" s="25">
        <v>1865.9213939333665</v>
      </c>
      <c r="G115" s="25">
        <v>2289.2492825459972</v>
      </c>
      <c r="H115" s="25">
        <v>1183.8852773744404</v>
      </c>
      <c r="I115" s="25">
        <v>1693.5776620586773</v>
      </c>
      <c r="J115" s="25">
        <v>2149.4338959721531</v>
      </c>
      <c r="K115" s="25">
        <v>1070.9643011437095</v>
      </c>
      <c r="L115" s="25">
        <v>1420.4311104922926</v>
      </c>
      <c r="M115" s="25">
        <v>2008.7165899552463</v>
      </c>
      <c r="N115" s="22"/>
      <c r="O115" s="25">
        <v>119.85924260185146</v>
      </c>
      <c r="P115" s="25">
        <v>173.34993765580938</v>
      </c>
      <c r="Q115" s="25">
        <v>212.67842348461033</v>
      </c>
      <c r="R115" s="25">
        <v>109.98664771824714</v>
      </c>
      <c r="S115" s="25">
        <v>157.33866554489333</v>
      </c>
      <c r="T115" s="25">
        <v>199.68913646282047</v>
      </c>
      <c r="U115" s="25">
        <v>99.495935594320784</v>
      </c>
      <c r="V115" s="25">
        <v>131.96249598122361</v>
      </c>
      <c r="W115" s="25">
        <v>186.61605830184658</v>
      </c>
      <c r="X115" s="22"/>
      <c r="AA115" s="26">
        <f t="shared" si="24"/>
        <v>0.97506472722324911</v>
      </c>
      <c r="AB115" s="22"/>
    </row>
    <row r="116" spans="1:28" hidden="1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25">
        <v>1277.747585082049</v>
      </c>
      <c r="F116" s="25">
        <v>1847.9798420686225</v>
      </c>
      <c r="G116" s="25">
        <v>2267.2372702138241</v>
      </c>
      <c r="H116" s="25">
        <v>1172.501765091994</v>
      </c>
      <c r="I116" s="25">
        <v>1677.2932614619592</v>
      </c>
      <c r="J116" s="25">
        <v>2128.7662623570363</v>
      </c>
      <c r="K116" s="25">
        <v>1060.6665674788662</v>
      </c>
      <c r="L116" s="25">
        <v>1406.7731190452514</v>
      </c>
      <c r="M116" s="25">
        <v>1989.4020073595227</v>
      </c>
      <c r="N116" s="22"/>
      <c r="O116" s="25">
        <v>118.70674988452596</v>
      </c>
      <c r="P116" s="25">
        <v>171.68311133219581</v>
      </c>
      <c r="Q116" s="25">
        <v>210.63343864341218</v>
      </c>
      <c r="R116" s="25">
        <v>108.9290837978794</v>
      </c>
      <c r="S116" s="25">
        <v>155.82579376080781</v>
      </c>
      <c r="T116" s="25">
        <v>197.76904861221644</v>
      </c>
      <c r="U116" s="25">
        <v>98.539243905913864</v>
      </c>
      <c r="V116" s="25">
        <v>130.69362582755798</v>
      </c>
      <c r="W116" s="25">
        <v>184.82167312586728</v>
      </c>
      <c r="X116" s="22"/>
      <c r="AA116" s="26">
        <f t="shared" si="24"/>
        <v>0.96568910484610249</v>
      </c>
      <c r="AB116" s="22"/>
    </row>
    <row r="117" spans="1:28" hidden="1" x14ac:dyDescent="0.25">
      <c r="A117" s="16"/>
      <c r="B117" s="3" t="s">
        <v>180</v>
      </c>
      <c r="C117" s="3" t="s">
        <v>187</v>
      </c>
      <c r="D117" s="11" t="s">
        <v>8</v>
      </c>
      <c r="E117" s="46">
        <v>812.25928464694186</v>
      </c>
      <c r="F117" s="46">
        <v>1219.4384362133269</v>
      </c>
      <c r="G117" s="46">
        <v>1658.157023033317</v>
      </c>
      <c r="H117" s="46">
        <v>836.66473224266542</v>
      </c>
      <c r="I117" s="46">
        <v>1313.8716672302337</v>
      </c>
      <c r="J117" s="46">
        <v>1710.136038756837</v>
      </c>
      <c r="K117" s="46">
        <v>899.18778447538546</v>
      </c>
      <c r="L117" s="46">
        <v>1276.643287369468</v>
      </c>
      <c r="M117" s="46">
        <v>1940.6529726205868</v>
      </c>
      <c r="N117" s="22"/>
      <c r="O117" s="46">
        <v>75.461429839272185</v>
      </c>
      <c r="P117" s="46">
        <v>113.28964745244075</v>
      </c>
      <c r="Q117" s="46">
        <v>154.04797731615093</v>
      </c>
      <c r="R117" s="46">
        <v>77.728772307682661</v>
      </c>
      <c r="S117" s="46">
        <v>122.06279018108992</v>
      </c>
      <c r="T117" s="46">
        <v>158.87699056632235</v>
      </c>
      <c r="U117" s="46">
        <v>83.537359551406595</v>
      </c>
      <c r="V117" s="46">
        <v>118.60415717067866</v>
      </c>
      <c r="W117" s="46">
        <v>180.29273521870203</v>
      </c>
      <c r="X117" s="22"/>
      <c r="AA117" s="24">
        <f t="shared" ref="AA117:AA126" si="25">O117/$AA$3</f>
        <v>0.61388489452184891</v>
      </c>
      <c r="AB117" s="22"/>
    </row>
    <row r="118" spans="1:28" hidden="1" x14ac:dyDescent="0.25">
      <c r="A118" s="16"/>
      <c r="B118" s="3" t="s">
        <v>180</v>
      </c>
      <c r="C118" s="3" t="s">
        <v>188</v>
      </c>
      <c r="D118" s="11" t="s">
        <v>8</v>
      </c>
      <c r="E118" s="46">
        <v>771.93229005967191</v>
      </c>
      <c r="F118" s="46">
        <v>1160.7155672153158</v>
      </c>
      <c r="G118" s="46">
        <v>1578.9137613326704</v>
      </c>
      <c r="H118" s="46">
        <v>805.82636232222785</v>
      </c>
      <c r="I118" s="46">
        <v>1262.8163976131277</v>
      </c>
      <c r="J118" s="46">
        <v>1640.0522896220787</v>
      </c>
      <c r="K118" s="46">
        <v>862.40045574838393</v>
      </c>
      <c r="L118" s="46">
        <v>1223.1128008702137</v>
      </c>
      <c r="M118" s="46">
        <v>1856.7166185629042</v>
      </c>
      <c r="N118" s="22"/>
      <c r="O118" s="46">
        <v>71.714925822394477</v>
      </c>
      <c r="P118" s="46">
        <v>107.83410912543928</v>
      </c>
      <c r="Q118" s="46">
        <v>146.68603028016523</v>
      </c>
      <c r="R118" s="46">
        <v>74.863791220861202</v>
      </c>
      <c r="S118" s="46">
        <v>117.31959583544327</v>
      </c>
      <c r="T118" s="46">
        <v>152.36599091612507</v>
      </c>
      <c r="U118" s="46">
        <v>80.119701571770818</v>
      </c>
      <c r="V118" s="46">
        <v>113.63100742948316</v>
      </c>
      <c r="W118" s="46">
        <v>172.49478521380766</v>
      </c>
      <c r="X118" s="22"/>
      <c r="AA118" s="24">
        <f t="shared" si="25"/>
        <v>0.5834067783752912</v>
      </c>
      <c r="AB118" s="22"/>
    </row>
    <row r="119" spans="1:28" hidden="1" x14ac:dyDescent="0.25">
      <c r="A119" s="16"/>
      <c r="B119" s="3" t="s">
        <v>180</v>
      </c>
      <c r="C119" s="3" t="s">
        <v>189</v>
      </c>
      <c r="D119" s="11" t="s">
        <v>8</v>
      </c>
      <c r="E119" s="46">
        <v>809.38724199403293</v>
      </c>
      <c r="F119" s="46">
        <v>1216.6627533814024</v>
      </c>
      <c r="G119" s="46">
        <v>1655.7329346593738</v>
      </c>
      <c r="H119" s="46">
        <v>823.0158639731477</v>
      </c>
      <c r="I119" s="46">
        <v>1192.2828180009944</v>
      </c>
      <c r="J119" s="46">
        <v>1590.3650812779711</v>
      </c>
      <c r="K119" s="46">
        <v>776.72555857782208</v>
      </c>
      <c r="L119" s="46">
        <v>1089.2915621581303</v>
      </c>
      <c r="M119" s="46">
        <v>1730.3081148184986</v>
      </c>
      <c r="N119" s="22"/>
      <c r="O119" s="46">
        <v>75.19460808759213</v>
      </c>
      <c r="P119" s="46">
        <v>113.03177782972736</v>
      </c>
      <c r="Q119" s="46">
        <v>153.82277191904177</v>
      </c>
      <c r="R119" s="46">
        <v>76.460749725763691</v>
      </c>
      <c r="S119" s="46">
        <v>110.76680552597055</v>
      </c>
      <c r="T119" s="46">
        <v>147.74989374464377</v>
      </c>
      <c r="U119" s="46">
        <v>72.160235470212669</v>
      </c>
      <c r="V119" s="46">
        <v>101.19859550517288</v>
      </c>
      <c r="W119" s="46">
        <v>160.75103956916161</v>
      </c>
      <c r="X119" s="22"/>
      <c r="AA119" s="24">
        <f t="shared" si="25"/>
        <v>0.6117142777811494</v>
      </c>
      <c r="AB119" s="22"/>
    </row>
    <row r="120" spans="1:28" hidden="1" x14ac:dyDescent="0.25">
      <c r="A120" s="16"/>
      <c r="B120" s="3" t="s">
        <v>190</v>
      </c>
      <c r="C120" s="3" t="s">
        <v>191</v>
      </c>
      <c r="D120" s="11" t="s">
        <v>8</v>
      </c>
      <c r="E120" s="8">
        <v>453.57549875683736</v>
      </c>
      <c r="F120" s="8">
        <v>562.75089010442571</v>
      </c>
      <c r="G120" s="8">
        <v>758.58851516658387</v>
      </c>
      <c r="H120" s="8">
        <v>416.57961810044759</v>
      </c>
      <c r="I120" s="8">
        <v>578.66105818000995</v>
      </c>
      <c r="J120" s="8">
        <v>702.95440278468425</v>
      </c>
      <c r="K120" s="8">
        <v>518.40874191944306</v>
      </c>
      <c r="L120" s="8">
        <v>638.70439184485326</v>
      </c>
      <c r="M120" s="8">
        <v>986.48250820487317</v>
      </c>
      <c r="N120" s="22"/>
      <c r="O120" s="8">
        <v>42.138583483387748</v>
      </c>
      <c r="P120" s="8">
        <v>52.281319048339888</v>
      </c>
      <c r="Q120" s="8">
        <v>70.475247370059549</v>
      </c>
      <c r="R120" s="8">
        <v>38.701550376763777</v>
      </c>
      <c r="S120" s="8">
        <v>53.759423459899288</v>
      </c>
      <c r="T120" s="8">
        <v>65.306664200214072</v>
      </c>
      <c r="U120" s="8">
        <v>48.161794695179545</v>
      </c>
      <c r="V120" s="8">
        <v>59.337637087380344</v>
      </c>
      <c r="W120" s="8">
        <v>91.647312610194561</v>
      </c>
      <c r="X120" s="22"/>
      <c r="AA120" s="24">
        <f t="shared" si="25"/>
        <v>0.34280081800858053</v>
      </c>
      <c r="AB120" s="22"/>
    </row>
    <row r="121" spans="1:28" hidden="1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25">
        <v>449.08465223449241</v>
      </c>
      <c r="F121" s="25">
        <v>557.17909911329275</v>
      </c>
      <c r="G121" s="25">
        <v>751.07773778869694</v>
      </c>
      <c r="H121" s="25">
        <v>412.45506742618574</v>
      </c>
      <c r="I121" s="25">
        <v>572.93174077228707</v>
      </c>
      <c r="J121" s="25">
        <v>695.99445820265771</v>
      </c>
      <c r="K121" s="25">
        <v>513.27598209845848</v>
      </c>
      <c r="L121" s="25">
        <v>632.38058598500322</v>
      </c>
      <c r="M121" s="25">
        <v>976.71535465829027</v>
      </c>
      <c r="N121" s="22"/>
      <c r="O121" s="25">
        <v>41.721369785532424</v>
      </c>
      <c r="P121" s="25">
        <v>51.763682226079098</v>
      </c>
      <c r="Q121" s="25">
        <v>69.777472643623312</v>
      </c>
      <c r="R121" s="25">
        <v>38.318366709667103</v>
      </c>
      <c r="S121" s="25">
        <v>53.227151940494345</v>
      </c>
      <c r="T121" s="25">
        <v>64.660063564568389</v>
      </c>
      <c r="U121" s="25">
        <v>47.684945242752022</v>
      </c>
      <c r="V121" s="25">
        <v>58.750135730079549</v>
      </c>
      <c r="W121" s="25">
        <v>90.739913475440162</v>
      </c>
      <c r="X121" s="22"/>
      <c r="AA121" s="26">
        <f t="shared" si="25"/>
        <v>0.33940675050354507</v>
      </c>
      <c r="AB121" s="22"/>
    </row>
    <row r="122" spans="1:28" hidden="1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25">
        <v>449.08465223449241</v>
      </c>
      <c r="F122" s="25">
        <v>557.17909911329275</v>
      </c>
      <c r="G122" s="25">
        <v>751.07773778869694</v>
      </c>
      <c r="H122" s="25">
        <v>412.45506742618574</v>
      </c>
      <c r="I122" s="25">
        <v>572.93174077228707</v>
      </c>
      <c r="J122" s="25">
        <v>695.99445820265771</v>
      </c>
      <c r="K122" s="25">
        <v>513.27598209845848</v>
      </c>
      <c r="L122" s="25">
        <v>632.38058598500322</v>
      </c>
      <c r="M122" s="25">
        <v>976.71535465829027</v>
      </c>
      <c r="N122" s="22"/>
      <c r="O122" s="25">
        <v>41.721369785532424</v>
      </c>
      <c r="P122" s="25">
        <v>51.763682226079098</v>
      </c>
      <c r="Q122" s="25">
        <v>69.777472643623312</v>
      </c>
      <c r="R122" s="25">
        <v>38.318366709667103</v>
      </c>
      <c r="S122" s="25">
        <v>53.227151940494345</v>
      </c>
      <c r="T122" s="25">
        <v>64.660063564568389</v>
      </c>
      <c r="U122" s="25">
        <v>47.684945242752022</v>
      </c>
      <c r="V122" s="25">
        <v>58.750135730079549</v>
      </c>
      <c r="W122" s="25">
        <v>90.739913475440162</v>
      </c>
      <c r="X122" s="22"/>
      <c r="AA122" s="26">
        <f t="shared" si="25"/>
        <v>0.33940675050354507</v>
      </c>
      <c r="AB122" s="22"/>
    </row>
    <row r="123" spans="1:28" hidden="1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25">
        <v>444.68186152631114</v>
      </c>
      <c r="F123" s="25">
        <v>551.71655892590752</v>
      </c>
      <c r="G123" s="25">
        <v>743.71423055547439</v>
      </c>
      <c r="H123" s="25">
        <v>408.41139029455644</v>
      </c>
      <c r="I123" s="25">
        <v>567.31476292157834</v>
      </c>
      <c r="J123" s="25">
        <v>689.17098312223948</v>
      </c>
      <c r="K123" s="25">
        <v>508.24386462690495</v>
      </c>
      <c r="L123" s="25">
        <v>626.18077631848359</v>
      </c>
      <c r="M123" s="25">
        <v>967.13971392634619</v>
      </c>
      <c r="N123" s="22"/>
      <c r="O123" s="25">
        <v>41.312336748419362</v>
      </c>
      <c r="P123" s="25">
        <v>51.256195145431263</v>
      </c>
      <c r="Q123" s="25">
        <v>69.093379774568177</v>
      </c>
      <c r="R123" s="25">
        <v>37.94269644780762</v>
      </c>
      <c r="S123" s="25">
        <v>52.705317117548319</v>
      </c>
      <c r="T123" s="25">
        <v>64.0261413727589</v>
      </c>
      <c r="U123" s="25">
        <v>47.217445779587784</v>
      </c>
      <c r="V123" s="25">
        <v>58.174154007235629</v>
      </c>
      <c r="W123" s="25">
        <v>89.850306480582901</v>
      </c>
      <c r="X123" s="22"/>
      <c r="AA123" s="26">
        <f t="shared" si="25"/>
        <v>0.33607923334174561</v>
      </c>
      <c r="AB123" s="22"/>
    </row>
    <row r="124" spans="1:28" hidden="1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25">
        <v>489.86153865738436</v>
      </c>
      <c r="F124" s="25">
        <v>607.77096131277983</v>
      </c>
      <c r="G124" s="25">
        <v>819.27559637991067</v>
      </c>
      <c r="H124" s="25">
        <v>449.90598754848344</v>
      </c>
      <c r="I124" s="25">
        <v>624.95394283441078</v>
      </c>
      <c r="J124" s="25">
        <v>759.19075500745907</v>
      </c>
      <c r="K124" s="25">
        <v>559.88144127299859</v>
      </c>
      <c r="L124" s="25">
        <v>689.80074319244159</v>
      </c>
      <c r="M124" s="25">
        <v>1065.4011088612631</v>
      </c>
      <c r="N124" s="22"/>
      <c r="O124" s="25">
        <v>45.509670162058768</v>
      </c>
      <c r="P124" s="25">
        <v>56.463824572207088</v>
      </c>
      <c r="Q124" s="25">
        <v>76.113267159664318</v>
      </c>
      <c r="R124" s="25">
        <v>41.797674406904882</v>
      </c>
      <c r="S124" s="25">
        <v>58.06017733669124</v>
      </c>
      <c r="T124" s="25">
        <v>70.531197336231202</v>
      </c>
      <c r="U124" s="25">
        <v>52.014738270793913</v>
      </c>
      <c r="V124" s="25">
        <v>64.084648054370774</v>
      </c>
      <c r="W124" s="25">
        <v>98.979097619010133</v>
      </c>
      <c r="X124" s="22"/>
      <c r="AA124" s="26">
        <f t="shared" si="25"/>
        <v>0.37022488344926696</v>
      </c>
      <c r="AB124" s="22"/>
    </row>
    <row r="125" spans="1:28" hidden="1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25">
        <v>476.25427369467923</v>
      </c>
      <c r="F125" s="25">
        <v>590.88843460964699</v>
      </c>
      <c r="G125" s="25">
        <v>796.51794092491309</v>
      </c>
      <c r="H125" s="25">
        <v>437.40859900546997</v>
      </c>
      <c r="I125" s="25">
        <v>607.59411108901043</v>
      </c>
      <c r="J125" s="25">
        <v>738.1021229239185</v>
      </c>
      <c r="K125" s="25">
        <v>544.32917901541521</v>
      </c>
      <c r="L125" s="25">
        <v>670.63961143709594</v>
      </c>
      <c r="M125" s="25">
        <v>1035.8066336151169</v>
      </c>
      <c r="N125" s="22"/>
      <c r="O125" s="25">
        <v>44.245512657557136</v>
      </c>
      <c r="P125" s="25">
        <v>54.895385000756882</v>
      </c>
      <c r="Q125" s="25">
        <v>73.999009738562521</v>
      </c>
      <c r="R125" s="25">
        <v>40.636627895601961</v>
      </c>
      <c r="S125" s="25">
        <v>56.447394632894252</v>
      </c>
      <c r="T125" s="25">
        <v>68.571997410224782</v>
      </c>
      <c r="U125" s="25">
        <v>50.569884429938519</v>
      </c>
      <c r="V125" s="25">
        <v>62.304518941749365</v>
      </c>
      <c r="W125" s="25">
        <v>96.229678240704288</v>
      </c>
      <c r="X125" s="22"/>
      <c r="AA125" s="26">
        <f t="shared" si="25"/>
        <v>0.35994085890900956</v>
      </c>
      <c r="AB125" s="22"/>
    </row>
    <row r="126" spans="1:28" hidden="1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25">
        <v>449.08465223449241</v>
      </c>
      <c r="F126" s="25">
        <v>557.17909911329275</v>
      </c>
      <c r="G126" s="25">
        <v>751.07773778869694</v>
      </c>
      <c r="H126" s="25">
        <v>412.45506742618574</v>
      </c>
      <c r="I126" s="25">
        <v>572.93174077228707</v>
      </c>
      <c r="J126" s="25">
        <v>695.99445820265771</v>
      </c>
      <c r="K126" s="25">
        <v>513.27598209845848</v>
      </c>
      <c r="L126" s="25">
        <v>632.38058598500322</v>
      </c>
      <c r="M126" s="25">
        <v>976.71535465829027</v>
      </c>
      <c r="N126" s="22"/>
      <c r="O126" s="25">
        <v>41.721369785532424</v>
      </c>
      <c r="P126" s="25">
        <v>51.763682226079098</v>
      </c>
      <c r="Q126" s="25">
        <v>69.777472643623312</v>
      </c>
      <c r="R126" s="25">
        <v>38.318366709667103</v>
      </c>
      <c r="S126" s="25">
        <v>53.227151940494345</v>
      </c>
      <c r="T126" s="25">
        <v>64.660063564568389</v>
      </c>
      <c r="U126" s="25">
        <v>47.684945242752022</v>
      </c>
      <c r="V126" s="25">
        <v>58.750135730079549</v>
      </c>
      <c r="W126" s="25">
        <v>90.739913475440162</v>
      </c>
      <c r="X126" s="22"/>
      <c r="AA126" s="26">
        <f t="shared" si="25"/>
        <v>0.33940675050354507</v>
      </c>
      <c r="AB126" s="22"/>
    </row>
    <row r="127" spans="1:28" hidden="1" x14ac:dyDescent="0.25">
      <c r="A127" s="16"/>
      <c r="B127" s="3" t="s">
        <v>198</v>
      </c>
      <c r="C127" s="3" t="s">
        <v>199</v>
      </c>
      <c r="D127" s="11" t="s">
        <v>8</v>
      </c>
      <c r="E127" s="46">
        <v>782.91969863669817</v>
      </c>
      <c r="F127" s="46">
        <v>998.33313265742413</v>
      </c>
      <c r="G127" s="46">
        <v>1254.9884853987865</v>
      </c>
      <c r="H127" s="46">
        <v>705.51674946705123</v>
      </c>
      <c r="I127" s="46">
        <v>811.55899723998004</v>
      </c>
      <c r="J127" s="46">
        <v>1082.7055860186574</v>
      </c>
      <c r="K127" s="46">
        <v>994.45204850187952</v>
      </c>
      <c r="L127" s="46">
        <v>1076.2543262284632</v>
      </c>
      <c r="M127" s="46">
        <v>1438.4205608455891</v>
      </c>
      <c r="N127" s="22"/>
      <c r="O127" s="46">
        <v>72.735690468761149</v>
      </c>
      <c r="P127" s="46">
        <v>92.748272713182416</v>
      </c>
      <c r="Q127" s="46">
        <v>116.59235829009806</v>
      </c>
      <c r="R127" s="46">
        <v>65.544714226911367</v>
      </c>
      <c r="S127" s="46">
        <v>75.396370947331363</v>
      </c>
      <c r="T127" s="46">
        <v>100.58673770832667</v>
      </c>
      <c r="U127" s="46">
        <v>92.387707847702004</v>
      </c>
      <c r="V127" s="46">
        <v>99.987395481978027</v>
      </c>
      <c r="W127" s="46">
        <v>133.63377222434147</v>
      </c>
      <c r="X127" s="22"/>
      <c r="AA127" s="24">
        <f>O127/$AA$3</f>
        <v>0.59171078213722783</v>
      </c>
      <c r="AB127" s="22"/>
    </row>
    <row r="128" spans="1:28" hidden="1" x14ac:dyDescent="0.25">
      <c r="A128" s="16"/>
      <c r="B128" s="3" t="s">
        <v>200</v>
      </c>
      <c r="C128" s="3" t="s">
        <v>201</v>
      </c>
      <c r="D128" s="11" t="s">
        <v>8</v>
      </c>
      <c r="E128" s="8">
        <v>1776.8153242168075</v>
      </c>
      <c r="F128" s="8">
        <v>2284.4697821979116</v>
      </c>
      <c r="G128" s="8">
        <v>2721.0351150671308</v>
      </c>
      <c r="H128" s="8">
        <v>1561.5775945300845</v>
      </c>
      <c r="I128" s="8">
        <v>2098.6411864743909</v>
      </c>
      <c r="J128" s="8">
        <v>2413.9908766782696</v>
      </c>
      <c r="K128" s="8">
        <v>1441.4861540527099</v>
      </c>
      <c r="L128" s="8">
        <v>1763.3797524614617</v>
      </c>
      <c r="M128" s="8">
        <v>2482.5079315763301</v>
      </c>
      <c r="N128" s="22"/>
      <c r="O128" s="8">
        <v>165.07170488547902</v>
      </c>
      <c r="P128" s="8">
        <v>212.23439294288426</v>
      </c>
      <c r="Q128" s="8">
        <v>252.7926787750844</v>
      </c>
      <c r="R128" s="8">
        <v>145.07544612362477</v>
      </c>
      <c r="S128" s="8">
        <v>194.97033477404946</v>
      </c>
      <c r="T128" s="8">
        <v>224.26730800901808</v>
      </c>
      <c r="U128" s="8">
        <v>133.91857542830294</v>
      </c>
      <c r="V128" s="8">
        <v>163.82349821732475</v>
      </c>
      <c r="W128" s="8">
        <v>230.63275686101971</v>
      </c>
      <c r="X128" s="22"/>
      <c r="AA128" s="24">
        <f>O128/$AA$3</f>
        <v>1.3428718003091236</v>
      </c>
      <c r="AB128" s="22"/>
    </row>
    <row r="129" spans="1:28" hidden="1" x14ac:dyDescent="0.25">
      <c r="A129" s="16"/>
      <c r="B129" s="3" t="s">
        <v>202</v>
      </c>
      <c r="C129" s="3" t="s">
        <v>203</v>
      </c>
      <c r="D129" s="11" t="s">
        <v>8</v>
      </c>
      <c r="E129" s="8">
        <v>775.03335156638479</v>
      </c>
      <c r="F129" s="8">
        <v>1050.0586872202884</v>
      </c>
      <c r="G129" s="8">
        <v>1484.9770412729983</v>
      </c>
      <c r="H129" s="8">
        <v>689.8920835405271</v>
      </c>
      <c r="I129" s="8">
        <v>983.19264047737431</v>
      </c>
      <c r="J129" s="8">
        <v>1177.3131526603679</v>
      </c>
      <c r="K129" s="8">
        <v>938.79304326205863</v>
      </c>
      <c r="L129" s="8">
        <v>1105.2009696668324</v>
      </c>
      <c r="M129" s="8">
        <v>1538.5297563401293</v>
      </c>
      <c r="N129" s="22"/>
      <c r="O129" s="8">
        <v>72.003024142400506</v>
      </c>
      <c r="P129" s="8">
        <v>97.553738628219179</v>
      </c>
      <c r="Q129" s="8">
        <v>137.959014973476</v>
      </c>
      <c r="R129" s="8">
        <v>64.093133858594669</v>
      </c>
      <c r="S129" s="8">
        <v>91.341673601331706</v>
      </c>
      <c r="T129" s="8">
        <v>109.37607676217431</v>
      </c>
      <c r="U129" s="8">
        <v>87.216812053443334</v>
      </c>
      <c r="V129" s="8">
        <v>102.67662925768843</v>
      </c>
      <c r="W129" s="8">
        <v>142.93422981820061</v>
      </c>
      <c r="X129" s="22"/>
      <c r="AA129" s="24">
        <f t="shared" ref="AA129:AA137" si="26">O129/$AA$3</f>
        <v>0.585750481736936</v>
      </c>
      <c r="AB129" s="22"/>
    </row>
    <row r="130" spans="1:28" hidden="1" x14ac:dyDescent="0.25">
      <c r="A130" s="16"/>
      <c r="B130" s="3" t="s">
        <v>204</v>
      </c>
      <c r="C130" s="3" t="s">
        <v>205</v>
      </c>
      <c r="D130" s="11" t="s">
        <v>8</v>
      </c>
      <c r="E130" s="8">
        <v>1048.590775733466</v>
      </c>
      <c r="F130" s="8">
        <v>1495.5901491795128</v>
      </c>
      <c r="G130" s="8">
        <v>1911.2608453505718</v>
      </c>
      <c r="H130" s="8">
        <v>741.19373446046734</v>
      </c>
      <c r="I130" s="8">
        <v>1057.8186573843857</v>
      </c>
      <c r="J130" s="8">
        <v>1359.4351069119841</v>
      </c>
      <c r="K130" s="8">
        <v>814.14249627051208</v>
      </c>
      <c r="L130" s="8">
        <v>1093.3321979114869</v>
      </c>
      <c r="M130" s="8">
        <v>1553.6275484833416</v>
      </c>
      <c r="N130" s="22"/>
      <c r="O130" s="8">
        <v>97.417365056667748</v>
      </c>
      <c r="P130" s="8">
        <v>138.94500591602605</v>
      </c>
      <c r="Q130" s="8">
        <v>177.56211460070904</v>
      </c>
      <c r="R130" s="8">
        <v>68.85921779842505</v>
      </c>
      <c r="S130" s="8">
        <v>98.274664144444458</v>
      </c>
      <c r="T130" s="8">
        <v>126.29577633682811</v>
      </c>
      <c r="U130" s="8">
        <v>75.636386093378064</v>
      </c>
      <c r="V130" s="8">
        <v>101.57398321347159</v>
      </c>
      <c r="W130" s="8">
        <v>144.33686196298197</v>
      </c>
      <c r="X130" s="22"/>
      <c r="AA130" s="24">
        <f t="shared" si="26"/>
        <v>0.79249822061131681</v>
      </c>
      <c r="AB130" s="22"/>
    </row>
    <row r="131" spans="1:28" hidden="1" x14ac:dyDescent="0.25">
      <c r="A131" s="16"/>
      <c r="B131" s="3" t="s">
        <v>206</v>
      </c>
      <c r="C131" s="3" t="s">
        <v>207</v>
      </c>
      <c r="D131" s="11" t="s">
        <v>8</v>
      </c>
      <c r="E131" s="46">
        <v>781.64635573097951</v>
      </c>
      <c r="F131" s="46">
        <v>837.30437823222269</v>
      </c>
      <c r="G131" s="46">
        <v>891.45326199651902</v>
      </c>
      <c r="H131" s="46">
        <v>744.78635504724014</v>
      </c>
      <c r="I131" s="46">
        <v>771.44873980606656</v>
      </c>
      <c r="J131" s="46">
        <v>837.44498085529585</v>
      </c>
      <c r="K131" s="46">
        <v>761.32215551964202</v>
      </c>
      <c r="L131" s="46">
        <v>979.09215813028345</v>
      </c>
      <c r="M131" s="46">
        <v>1089.5529543759326</v>
      </c>
      <c r="N131" s="22"/>
      <c r="O131" s="46">
        <v>72.617392927375718</v>
      </c>
      <c r="P131" s="46">
        <v>77.788197422144648</v>
      </c>
      <c r="Q131" s="46">
        <v>82.818798204788138</v>
      </c>
      <c r="R131" s="46">
        <v>69.192983495502574</v>
      </c>
      <c r="S131" s="46">
        <v>71.67000249036748</v>
      </c>
      <c r="T131" s="46">
        <v>77.8012598459012</v>
      </c>
      <c r="U131" s="46">
        <v>70.729211114897211</v>
      </c>
      <c r="V131" s="46">
        <v>90.960725957160832</v>
      </c>
      <c r="W131" s="46">
        <v>101.2228796603399</v>
      </c>
      <c r="X131" s="22"/>
      <c r="AA131" s="24">
        <f t="shared" si="26"/>
        <v>0.59074842197694111</v>
      </c>
      <c r="AB131" s="22"/>
    </row>
    <row r="132" spans="1:28" hidden="1" x14ac:dyDescent="0.25">
      <c r="A132" s="16"/>
      <c r="B132" s="3" t="s">
        <v>208</v>
      </c>
      <c r="C132" s="3" t="s">
        <v>209</v>
      </c>
      <c r="D132" s="11" t="s">
        <v>8</v>
      </c>
      <c r="E132" s="46">
        <v>828.97673316757823</v>
      </c>
      <c r="F132" s="46">
        <v>1204.377152759821</v>
      </c>
      <c r="G132" s="46">
        <v>1547.1323937344603</v>
      </c>
      <c r="H132" s="46">
        <v>849.3382866235703</v>
      </c>
      <c r="I132" s="46">
        <v>1010.882260069617</v>
      </c>
      <c r="J132" s="46">
        <v>1280.2124815017403</v>
      </c>
      <c r="K132" s="46">
        <v>720.54624181998997</v>
      </c>
      <c r="L132" s="46">
        <v>771.27427056190936</v>
      </c>
      <c r="M132" s="46">
        <v>1001.7878594231724</v>
      </c>
      <c r="N132" s="22"/>
      <c r="O132" s="46">
        <v>77.014533130889205</v>
      </c>
      <c r="P132" s="46">
        <v>111.89040707920188</v>
      </c>
      <c r="Q132" s="46">
        <v>143.73344175758419</v>
      </c>
      <c r="R132" s="46">
        <v>78.906185176708291</v>
      </c>
      <c r="S132" s="46">
        <v>93.914125927369923</v>
      </c>
      <c r="T132" s="46">
        <v>118.93574647681048</v>
      </c>
      <c r="U132" s="46">
        <v>66.941001107404375</v>
      </c>
      <c r="V132" s="46">
        <v>71.653793751512865</v>
      </c>
      <c r="W132" s="46">
        <v>93.069227642692013</v>
      </c>
      <c r="X132" s="22"/>
      <c r="AA132" s="24">
        <f t="shared" si="26"/>
        <v>0.62651951663789662</v>
      </c>
      <c r="AB132" s="22"/>
    </row>
    <row r="133" spans="1:28" hidden="1" x14ac:dyDescent="0.25">
      <c r="A133" s="16"/>
      <c r="B133" s="3" t="s">
        <v>210</v>
      </c>
      <c r="C133" s="3" t="s">
        <v>210</v>
      </c>
      <c r="D133" s="11" t="s">
        <v>8</v>
      </c>
      <c r="E133" s="46">
        <v>1323.1459055196422</v>
      </c>
      <c r="F133" s="46">
        <v>2024.6085012431624</v>
      </c>
      <c r="G133" s="46">
        <v>2400.2929965191447</v>
      </c>
      <c r="H133" s="46">
        <v>1220.2865862754848</v>
      </c>
      <c r="I133" s="46">
        <v>1907.1311277971158</v>
      </c>
      <c r="J133" s="46">
        <v>2217.8611939333664</v>
      </c>
      <c r="K133" s="46">
        <v>1310.2220134261561</v>
      </c>
      <c r="L133" s="46">
        <v>1734.3075131775236</v>
      </c>
      <c r="M133" s="46">
        <v>2044.7764082545996</v>
      </c>
      <c r="N133" s="22"/>
      <c r="O133" s="46">
        <v>122.92439594567418</v>
      </c>
      <c r="P133" s="46">
        <v>188.09246660068956</v>
      </c>
      <c r="Q133" s="46">
        <v>222.99473206915195</v>
      </c>
      <c r="R133" s="46">
        <v>113.36844324784556</v>
      </c>
      <c r="S133" s="46">
        <v>177.17845091436337</v>
      </c>
      <c r="T133" s="46">
        <v>206.0462466144582</v>
      </c>
      <c r="U133" s="46">
        <v>121.72372591961614</v>
      </c>
      <c r="V133" s="46">
        <v>161.12259619445774</v>
      </c>
      <c r="W133" s="46">
        <v>189.96612828571426</v>
      </c>
      <c r="X133" s="22">
        <v>178.00386487183857</v>
      </c>
      <c r="AA133" s="24">
        <f t="shared" si="26"/>
        <v>1</v>
      </c>
      <c r="AB133" s="22"/>
    </row>
    <row r="134" spans="1:28" hidden="1" x14ac:dyDescent="0.25">
      <c r="A134" s="16"/>
      <c r="B134" s="3" t="s">
        <v>211</v>
      </c>
      <c r="C134" s="3" t="s">
        <v>212</v>
      </c>
      <c r="D134" s="11" t="s">
        <v>8</v>
      </c>
      <c r="E134" s="46">
        <v>850.50802821979119</v>
      </c>
      <c r="F134" s="46">
        <v>1451.4087023122827</v>
      </c>
      <c r="G134" s="46">
        <v>1585.8698882705121</v>
      </c>
      <c r="H134" s="46">
        <v>860.02830842864239</v>
      </c>
      <c r="I134" s="46">
        <v>1195.3563785927399</v>
      </c>
      <c r="J134" s="46">
        <v>1273.9843634510196</v>
      </c>
      <c r="K134" s="46">
        <v>1027.6041531824962</v>
      </c>
      <c r="L134" s="46">
        <v>1478.2359327697666</v>
      </c>
      <c r="M134" s="46">
        <v>1582.451336673297</v>
      </c>
      <c r="N134" s="22"/>
      <c r="O134" s="46">
        <v>79.014857832178976</v>
      </c>
      <c r="P134" s="46">
        <v>134.84041121826502</v>
      </c>
      <c r="Q134" s="46">
        <v>147.33227624471726</v>
      </c>
      <c r="R134" s="46">
        <v>79.899321661167647</v>
      </c>
      <c r="S134" s="46">
        <v>111.05234892490083</v>
      </c>
      <c r="T134" s="46">
        <v>118.35713481647169</v>
      </c>
      <c r="U134" s="46">
        <v>95.467642135517451</v>
      </c>
      <c r="V134" s="46">
        <v>137.33274489448681</v>
      </c>
      <c r="W134" s="46">
        <v>147.0146821015893</v>
      </c>
      <c r="X134" s="22">
        <v>120.39584843172042</v>
      </c>
      <c r="AA134" s="24">
        <f t="shared" si="26"/>
        <v>0.64279232144528253</v>
      </c>
      <c r="AB134" s="22"/>
    </row>
    <row r="135" spans="1:28" hidden="1" x14ac:dyDescent="0.25">
      <c r="A135" s="16"/>
      <c r="B135" s="3" t="s">
        <v>213</v>
      </c>
      <c r="C135" s="3" t="s">
        <v>214</v>
      </c>
      <c r="D135" s="11" t="s">
        <v>8</v>
      </c>
      <c r="E135" s="8">
        <v>835.39582815514666</v>
      </c>
      <c r="F135" s="8">
        <v>1257.1376777424166</v>
      </c>
      <c r="G135" s="8">
        <v>1731.7612144604673</v>
      </c>
      <c r="H135" s="8">
        <v>807.84112961710582</v>
      </c>
      <c r="I135" s="8">
        <v>1155.7776893088017</v>
      </c>
      <c r="J135" s="8">
        <v>1511.2864640775731</v>
      </c>
      <c r="K135" s="8">
        <v>719.30217544505217</v>
      </c>
      <c r="L135" s="8">
        <v>906.1576564395823</v>
      </c>
      <c r="M135" s="8">
        <v>1351.6231607458974</v>
      </c>
      <c r="N135" s="22"/>
      <c r="O135" s="8">
        <v>77.610887146401083</v>
      </c>
      <c r="P135" s="8">
        <v>116.79202498559228</v>
      </c>
      <c r="Q135" s="8">
        <v>160.88603707396643</v>
      </c>
      <c r="R135" s="8">
        <v>75.050969408588514</v>
      </c>
      <c r="S135" s="8">
        <v>107.37536481282822</v>
      </c>
      <c r="T135" s="8">
        <v>140.40324269805305</v>
      </c>
      <c r="U135" s="8">
        <v>66.825423447361288</v>
      </c>
      <c r="V135" s="8">
        <v>84.184882471927679</v>
      </c>
      <c r="W135" s="8">
        <v>125.57002208733799</v>
      </c>
      <c r="X135" s="22"/>
      <c r="AA135" s="24">
        <f t="shared" si="26"/>
        <v>0.6313709052570885</v>
      </c>
      <c r="AB135" s="22"/>
    </row>
    <row r="136" spans="1:28" hidden="1" x14ac:dyDescent="0.25">
      <c r="A136" s="16"/>
      <c r="B136" s="3" t="s">
        <v>215</v>
      </c>
      <c r="C136" s="3" t="s">
        <v>216</v>
      </c>
      <c r="D136" s="11" t="s">
        <v>8</v>
      </c>
      <c r="E136" s="8">
        <v>520.38490104425659</v>
      </c>
      <c r="F136" s="8">
        <v>830.9091059174541</v>
      </c>
      <c r="G136" s="8">
        <v>1167.4521193436103</v>
      </c>
      <c r="H136" s="8">
        <v>508.8425519641969</v>
      </c>
      <c r="I136" s="8">
        <v>708.67977722526109</v>
      </c>
      <c r="J136" s="8">
        <v>921.57452610641485</v>
      </c>
      <c r="K136" s="8">
        <v>605.25191248135252</v>
      </c>
      <c r="L136" s="8">
        <v>836.63430532073596</v>
      </c>
      <c r="M136" s="8">
        <v>1155.8849448035803</v>
      </c>
      <c r="N136" s="22"/>
      <c r="O136" s="8">
        <v>48.345386063067906</v>
      </c>
      <c r="P136" s="8">
        <v>77.194056607498595</v>
      </c>
      <c r="Q136" s="8">
        <v>108.45995590293577</v>
      </c>
      <c r="R136" s="8">
        <v>47.273065707057562</v>
      </c>
      <c r="S136" s="8">
        <v>65.838569405630039</v>
      </c>
      <c r="T136" s="8">
        <v>85.617157917336172</v>
      </c>
      <c r="U136" s="8">
        <v>56.229797051380309</v>
      </c>
      <c r="V136" s="8">
        <v>77.725945551402006</v>
      </c>
      <c r="W136" s="8">
        <v>107.38532918399282</v>
      </c>
      <c r="X136" s="22"/>
      <c r="AA136" s="24">
        <f t="shared" si="26"/>
        <v>0.39329366389104653</v>
      </c>
      <c r="AB136" s="22"/>
    </row>
    <row r="137" spans="1:28" hidden="1" x14ac:dyDescent="0.25">
      <c r="A137" s="16"/>
      <c r="B137" s="3" t="s">
        <v>217</v>
      </c>
      <c r="C137" s="3" t="s">
        <v>218</v>
      </c>
      <c r="D137" s="11" t="s">
        <v>8</v>
      </c>
      <c r="E137" s="8">
        <v>612.14130537792141</v>
      </c>
      <c r="F137" s="8">
        <v>768.30720191645946</v>
      </c>
      <c r="G137" s="8">
        <v>986.16239814619598</v>
      </c>
      <c r="H137" s="8">
        <v>558.45171978965686</v>
      </c>
      <c r="I137" s="8">
        <v>699.53923815763301</v>
      </c>
      <c r="J137" s="8">
        <v>863.94799935007461</v>
      </c>
      <c r="K137" s="8">
        <v>474.29589361113875</v>
      </c>
      <c r="L137" s="8">
        <v>571.93005475385382</v>
      </c>
      <c r="M137" s="8">
        <v>851.23458758329184</v>
      </c>
      <c r="N137" s="22"/>
      <c r="O137" s="8">
        <v>56.869843214626805</v>
      </c>
      <c r="P137" s="8">
        <v>71.378143787703294</v>
      </c>
      <c r="Q137" s="8">
        <v>91.617573383828912</v>
      </c>
      <c r="R137" s="8">
        <v>51.88191267009698</v>
      </c>
      <c r="S137" s="8">
        <v>64.989384717215231</v>
      </c>
      <c r="T137" s="8">
        <v>80.263473216034583</v>
      </c>
      <c r="U137" s="8">
        <v>44.063573018249777</v>
      </c>
      <c r="V137" s="8">
        <v>53.134092174198372</v>
      </c>
      <c r="W137" s="8">
        <v>79.08235747111101</v>
      </c>
      <c r="X137" s="22"/>
      <c r="AA137" s="24">
        <f t="shared" si="26"/>
        <v>0.46264081899381593</v>
      </c>
      <c r="AB137" s="22"/>
    </row>
    <row r="138" spans="1:28" hidden="1" x14ac:dyDescent="0.25">
      <c r="A138" s="16"/>
      <c r="B138" s="3" t="s">
        <v>219</v>
      </c>
      <c r="C138" s="3" t="s">
        <v>220</v>
      </c>
      <c r="D138" s="11" t="s">
        <v>6</v>
      </c>
      <c r="E138" s="8">
        <v>1565.342282446544</v>
      </c>
      <c r="F138" s="8">
        <v>2132.8762705121831</v>
      </c>
      <c r="G138" s="8">
        <v>2999.4348184982596</v>
      </c>
      <c r="H138" s="8">
        <v>1449.5932272501243</v>
      </c>
      <c r="I138" s="8">
        <v>1980.3544356041768</v>
      </c>
      <c r="J138" s="8">
        <v>2617.6302187966185</v>
      </c>
      <c r="K138" s="8">
        <v>1738.5111138736945</v>
      </c>
      <c r="L138" s="8">
        <v>2193.4802237692688</v>
      </c>
      <c r="M138" s="8">
        <v>2863.8014768771759</v>
      </c>
      <c r="N138" s="22"/>
      <c r="O138" s="8">
        <v>145.4238732537512</v>
      </c>
      <c r="P138" s="8">
        <v>198.14907698277773</v>
      </c>
      <c r="Q138" s="8">
        <v>278.65434529529159</v>
      </c>
      <c r="R138" s="8">
        <v>134.67052165718087</v>
      </c>
      <c r="S138" s="8">
        <v>183.97945016261363</v>
      </c>
      <c r="T138" s="8">
        <v>243.18382594796361</v>
      </c>
      <c r="U138" s="8">
        <v>161.5116532079237</v>
      </c>
      <c r="V138" s="8">
        <v>203.77932265873309</v>
      </c>
      <c r="W138" s="8">
        <v>266.0536980745066</v>
      </c>
      <c r="X138" s="22"/>
      <c r="Y138" s="24">
        <f t="shared" ref="Y138:Y139" si="27">O138/$Y$3</f>
        <v>1</v>
      </c>
      <c r="AB138" s="22"/>
    </row>
    <row r="139" spans="1:28" hidden="1" x14ac:dyDescent="0.25">
      <c r="A139" s="16"/>
      <c r="B139" s="3" t="s">
        <v>221</v>
      </c>
      <c r="C139" s="3" t="s">
        <v>222</v>
      </c>
      <c r="D139" s="11" t="s">
        <v>6</v>
      </c>
      <c r="E139" s="8">
        <v>945.77247523620099</v>
      </c>
      <c r="F139" s="8">
        <v>1309.8001444057684</v>
      </c>
      <c r="G139" s="8">
        <v>2093.1230985082052</v>
      </c>
      <c r="H139" s="8">
        <v>960.3429413227251</v>
      </c>
      <c r="I139" s="8">
        <v>1289.4044826951765</v>
      </c>
      <c r="J139" s="8">
        <v>1905.6578397314772</v>
      </c>
      <c r="K139" s="8">
        <v>1210.3430370462456</v>
      </c>
      <c r="L139" s="8">
        <v>1474.0886072103433</v>
      </c>
      <c r="M139" s="8">
        <v>2278.7861442068624</v>
      </c>
      <c r="N139" s="22"/>
      <c r="O139" s="8">
        <v>87.864423077278431</v>
      </c>
      <c r="P139" s="8">
        <v>121.68342497597753</v>
      </c>
      <c r="Q139" s="8">
        <v>194.45591650805676</v>
      </c>
      <c r="R139" s="8">
        <v>89.218052655406893</v>
      </c>
      <c r="S139" s="8">
        <v>119.788621419728</v>
      </c>
      <c r="T139" s="8">
        <v>177.03996580031782</v>
      </c>
      <c r="U139" s="8">
        <v>112.4436325439796</v>
      </c>
      <c r="V139" s="8">
        <v>136.94619840250573</v>
      </c>
      <c r="W139" s="8">
        <v>211.7044375046197</v>
      </c>
      <c r="X139" s="22"/>
      <c r="Y139" s="24">
        <f t="shared" si="27"/>
        <v>0.60419531615667499</v>
      </c>
      <c r="AB139" s="22"/>
    </row>
    <row r="140" spans="1:28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8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8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8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8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16"/>
      <c r="B147" s="17"/>
      <c r="C147" s="3"/>
      <c r="D147" s="1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16"/>
      <c r="B148" s="17"/>
      <c r="C148" s="3"/>
      <c r="D148" s="1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F149" s="4"/>
      <c r="G149" s="4"/>
      <c r="H149" s="4"/>
      <c r="I149" s="4"/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F159" s="4"/>
      <c r="G159" s="4"/>
      <c r="H159" s="4"/>
      <c r="I159" s="4"/>
      <c r="J159" s="4"/>
      <c r="K159" s="4"/>
      <c r="L159" s="4"/>
      <c r="M159" s="4"/>
    </row>
  </sheetData>
  <autoFilter ref="B4:D139" xr:uid="{B593B8AD-AE04-4543-B232-6D3D3239B900}">
    <filterColumn colId="2">
      <filters>
        <filter val="AMERICAS"/>
      </filters>
    </filterColumn>
    <sortState xmlns:xlrd2="http://schemas.microsoft.com/office/spreadsheetml/2017/richdata2" ref="B68:D139">
      <sortCondition ref="B4:B139"/>
    </sortState>
  </autoFilter>
  <mergeCells count="9">
    <mergeCell ref="Y1:AA1"/>
    <mergeCell ref="E1:M1"/>
    <mergeCell ref="E2:G2"/>
    <mergeCell ref="H2:J2"/>
    <mergeCell ref="K2:M2"/>
    <mergeCell ref="O1:W1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3" manualBreakCount="3">
    <brk id="14" max="136" man="1"/>
    <brk id="23" max="1048575" man="1"/>
    <brk id="2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8C51-4FB4-43C6-85C5-76E366D03CEC}">
  <sheetPr filterMode="1"/>
  <dimension ref="A1:AB173"/>
  <sheetViews>
    <sheetView view="pageBreakPreview" topLeftCell="D36" zoomScaleNormal="100" zoomScaleSheetLayoutView="100" workbookViewId="0">
      <selection activeCell="B45" sqref="A45:XFD45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5" width="9.58203125" style="4" customWidth="1"/>
    <col min="6" max="6" width="10.5" customWidth="1"/>
    <col min="7" max="8" width="9.83203125" customWidth="1"/>
    <col min="9" max="9" width="11" customWidth="1"/>
    <col min="10" max="10" width="10.08203125" customWidth="1"/>
    <col min="11" max="11" width="10" customWidth="1"/>
    <col min="12" max="12" width="10.58203125" customWidth="1"/>
    <col min="13" max="13" width="11" customWidth="1"/>
    <col min="14" max="14" width="6" customWidth="1"/>
    <col min="17" max="17" width="11.33203125" customWidth="1"/>
    <col min="24" max="24" width="6" customWidth="1"/>
    <col min="25" max="27" width="8.5" style="24"/>
    <col min="28" max="28" width="6" customWidth="1"/>
  </cols>
  <sheetData>
    <row r="1" spans="1:28" ht="17.5" customHeight="1" x14ac:dyDescent="0.25">
      <c r="A1" s="20" t="s">
        <v>223</v>
      </c>
      <c r="B1" s="15"/>
      <c r="C1" s="2"/>
      <c r="D1" s="2"/>
      <c r="E1" s="60" t="s">
        <v>224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225</v>
      </c>
      <c r="P1" s="60"/>
      <c r="Q1" s="60"/>
      <c r="R1" s="60"/>
      <c r="S1" s="60"/>
      <c r="T1" s="60"/>
      <c r="U1" s="60"/>
      <c r="V1" s="60"/>
      <c r="W1" s="60"/>
      <c r="X1" s="22"/>
      <c r="Y1" s="59" t="s">
        <v>2</v>
      </c>
      <c r="Z1" s="59"/>
      <c r="AA1" s="59"/>
      <c r="AB1" s="22"/>
    </row>
    <row r="2" spans="1:28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4" t="s">
        <v>6</v>
      </c>
      <c r="Z2" s="24" t="s">
        <v>7</v>
      </c>
      <c r="AA2" s="24" t="s">
        <v>8</v>
      </c>
      <c r="AB2" s="22"/>
    </row>
    <row r="3" spans="1:28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Y3" s="24">
        <v>145.423873253751</v>
      </c>
      <c r="Z3" s="24">
        <v>213.86533880922499</v>
      </c>
      <c r="AA3" s="24">
        <v>153.65409583117699</v>
      </c>
      <c r="AB3" s="22"/>
    </row>
    <row r="4" spans="1:28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AB4" s="22"/>
    </row>
    <row r="5" spans="1:28" x14ac:dyDescent="0.25">
      <c r="A5" s="16"/>
      <c r="B5" s="3" t="s">
        <v>17</v>
      </c>
      <c r="C5" s="3" t="s">
        <v>18</v>
      </c>
      <c r="D5" s="11" t="s">
        <v>19</v>
      </c>
      <c r="E5" s="7">
        <f>238.73*$Z5</f>
        <v>187.98909455868639</v>
      </c>
      <c r="F5" s="7">
        <f>315.46*Z5</f>
        <v>248.41050462649525</v>
      </c>
      <c r="G5" s="7">
        <f>365.27*Z5</f>
        <v>287.63363033322742</v>
      </c>
      <c r="H5" s="7">
        <f>191.35*Z5</f>
        <v>150.67948411931741</v>
      </c>
      <c r="I5" s="7">
        <f>307.57*Z5</f>
        <v>242.19748591888398</v>
      </c>
      <c r="J5" s="7">
        <f>368.13*Z5</f>
        <v>289.88575118288117</v>
      </c>
      <c r="K5" s="7">
        <f>179*Z5</f>
        <v>140.95441681399433</v>
      </c>
      <c r="L5" s="7">
        <f>252.87*Z5</f>
        <v>199.12370603214941</v>
      </c>
      <c r="M5" s="7">
        <f>276.8*Z5</f>
        <v>217.96750041404263</v>
      </c>
      <c r="N5" s="22"/>
      <c r="O5" s="7" t="e">
        <f ca="1">22.18*$O5</f>
        <v>#NUM!</v>
      </c>
      <c r="P5" s="7" t="e">
        <f ca="1">29.31*$O5</f>
        <v>#NUM!</v>
      </c>
      <c r="Q5" s="7" t="e">
        <f ca="1">33.93*$O5</f>
        <v>#NUM!</v>
      </c>
      <c r="R5" s="7" t="e">
        <f ca="1">17.78*$O5</f>
        <v>#NUM!</v>
      </c>
      <c r="S5" s="7" t="e">
        <f ca="1">28.57*$O5</f>
        <v>#NUM!</v>
      </c>
      <c r="T5" s="7" t="e">
        <f ca="1">34.2*$O5</f>
        <v>#NUM!</v>
      </c>
      <c r="U5" s="7" t="e">
        <f ca="1">16.63*$O5</f>
        <v>#NUM!</v>
      </c>
      <c r="V5" s="7" t="e">
        <f ca="1">23.49*$O5</f>
        <v>#NUM!</v>
      </c>
      <c r="W5" s="7" t="e">
        <f ca="1">25.71*$O5</f>
        <v>#NUM!</v>
      </c>
      <c r="X5" s="22"/>
      <c r="Y5"/>
      <c r="Z5" s="10">
        <v>0.78745484253628117</v>
      </c>
      <c r="AA5"/>
      <c r="AB5" s="22"/>
    </row>
    <row r="6" spans="1:28" x14ac:dyDescent="0.25">
      <c r="A6" s="16"/>
      <c r="B6" s="3" t="s">
        <v>17</v>
      </c>
      <c r="C6" s="3" t="s">
        <v>20</v>
      </c>
      <c r="D6" s="11" t="s">
        <v>19</v>
      </c>
      <c r="E6" s="7">
        <f t="shared" ref="E6:E67" si="0">238.73*$Z6</f>
        <v>175.60213368615777</v>
      </c>
      <c r="F6" s="7">
        <f t="shared" ref="F6:F67" si="1">315.46*Z6</f>
        <v>232.04226151985642</v>
      </c>
      <c r="G6" s="7">
        <f t="shared" ref="G6:G67" si="2">365.27*Z6</f>
        <v>268.68090047980081</v>
      </c>
      <c r="H6" s="7">
        <f t="shared" ref="H6:H67" si="3">191.35*Z6</f>
        <v>140.75092481400029</v>
      </c>
      <c r="I6" s="7">
        <f t="shared" ref="I6:I67" si="4">307.57*Z6</f>
        <v>226.23863049407927</v>
      </c>
      <c r="J6" s="7">
        <f t="shared" ref="J6:J67" si="5">368.13*Z6</f>
        <v>270.78462478065285</v>
      </c>
      <c r="K6" s="7">
        <f t="shared" ref="K6:K67" si="6">179*Z6</f>
        <v>131.66666078759368</v>
      </c>
      <c r="L6" s="7">
        <f t="shared" ref="L6:L67" si="7">252.87*Z6</f>
        <v>186.0030643204403</v>
      </c>
      <c r="M6" s="7">
        <f t="shared" ref="M6:M67" si="8">276.8*Z6</f>
        <v>203.60520506148566</v>
      </c>
      <c r="N6" s="22"/>
      <c r="O6" s="7" t="e">
        <f t="shared" ref="O6:O67" ca="1" si="9">22.18*$O6</f>
        <v>#NUM!</v>
      </c>
      <c r="P6" s="7" t="e">
        <f t="shared" ref="P6:P67" ca="1" si="10">29.31*$O6</f>
        <v>#NUM!</v>
      </c>
      <c r="Q6" s="7" t="e">
        <f t="shared" ref="Q6:Q67" ca="1" si="11">33.93*$O6</f>
        <v>#NUM!</v>
      </c>
      <c r="R6" s="7" t="e">
        <f t="shared" ref="R6:R67" ca="1" si="12">17.78*$O6</f>
        <v>#NUM!</v>
      </c>
      <c r="S6" s="7" t="e">
        <f t="shared" ref="S6:S67" ca="1" si="13">28.57*$O6</f>
        <v>#NUM!</v>
      </c>
      <c r="T6" s="7" t="e">
        <f t="shared" ref="T6:T67" ca="1" si="14">34.2*$O6</f>
        <v>#NUM!</v>
      </c>
      <c r="U6" s="7" t="e">
        <f t="shared" ref="U6:U67" ca="1" si="15">16.63*$O6</f>
        <v>#NUM!</v>
      </c>
      <c r="V6" s="7" t="e">
        <f t="shared" ref="V6:V67" ca="1" si="16">23.49*$O6</f>
        <v>#NUM!</v>
      </c>
      <c r="W6" s="7" t="e">
        <f t="shared" ref="W6:W67" ca="1" si="17">25.71*$O6</f>
        <v>#NUM!</v>
      </c>
      <c r="X6" s="22"/>
      <c r="Y6"/>
      <c r="Z6" s="10">
        <v>0.73556793736085857</v>
      </c>
      <c r="AA6"/>
      <c r="AB6" s="22"/>
    </row>
    <row r="7" spans="1:28" x14ac:dyDescent="0.25">
      <c r="A7" s="16"/>
      <c r="B7" s="3" t="s">
        <v>17</v>
      </c>
      <c r="C7" s="3" t="s">
        <v>21</v>
      </c>
      <c r="D7" s="11" t="s">
        <v>19</v>
      </c>
      <c r="E7" s="7">
        <f t="shared" si="0"/>
        <v>175.60213368615777</v>
      </c>
      <c r="F7" s="7">
        <f t="shared" si="1"/>
        <v>232.04226151985642</v>
      </c>
      <c r="G7" s="7">
        <f t="shared" si="2"/>
        <v>268.68090047980081</v>
      </c>
      <c r="H7" s="7">
        <f t="shared" si="3"/>
        <v>140.75092481400029</v>
      </c>
      <c r="I7" s="7">
        <f t="shared" si="4"/>
        <v>226.23863049407927</v>
      </c>
      <c r="J7" s="7">
        <f t="shared" si="5"/>
        <v>270.78462478065285</v>
      </c>
      <c r="K7" s="7">
        <f t="shared" si="6"/>
        <v>131.66666078759368</v>
      </c>
      <c r="L7" s="7">
        <f t="shared" si="7"/>
        <v>186.0030643204403</v>
      </c>
      <c r="M7" s="7">
        <f t="shared" si="8"/>
        <v>203.60520506148566</v>
      </c>
      <c r="N7" s="22"/>
      <c r="O7" s="7" t="e">
        <f t="shared" ca="1" si="9"/>
        <v>#NUM!</v>
      </c>
      <c r="P7" s="7" t="e">
        <f t="shared" ca="1" si="10"/>
        <v>#NUM!</v>
      </c>
      <c r="Q7" s="7" t="e">
        <f t="shared" ca="1" si="11"/>
        <v>#NUM!</v>
      </c>
      <c r="R7" s="7" t="e">
        <f t="shared" ca="1" si="12"/>
        <v>#NUM!</v>
      </c>
      <c r="S7" s="7" t="e">
        <f t="shared" ca="1" si="13"/>
        <v>#NUM!</v>
      </c>
      <c r="T7" s="7" t="e">
        <f t="shared" ca="1" si="14"/>
        <v>#NUM!</v>
      </c>
      <c r="U7" s="7" t="e">
        <f t="shared" ca="1" si="15"/>
        <v>#NUM!</v>
      </c>
      <c r="V7" s="7" t="e">
        <f t="shared" ca="1" si="16"/>
        <v>#NUM!</v>
      </c>
      <c r="W7" s="7" t="e">
        <f t="shared" ca="1" si="17"/>
        <v>#NUM!</v>
      </c>
      <c r="X7" s="22"/>
      <c r="Y7"/>
      <c r="Z7" s="10">
        <v>0.73556793736085857</v>
      </c>
      <c r="AA7"/>
      <c r="AB7" s="22"/>
    </row>
    <row r="8" spans="1:28" x14ac:dyDescent="0.25">
      <c r="A8" s="16"/>
      <c r="B8" s="3" t="s">
        <v>17</v>
      </c>
      <c r="C8" s="3" t="s">
        <v>22</v>
      </c>
      <c r="D8" s="11" t="s">
        <v>19</v>
      </c>
      <c r="E8" s="7">
        <f t="shared" si="0"/>
        <v>230.06523975308525</v>
      </c>
      <c r="F8" s="7">
        <f t="shared" si="1"/>
        <v>304.01030675871601</v>
      </c>
      <c r="G8" s="7">
        <f t="shared" si="2"/>
        <v>352.01244135470802</v>
      </c>
      <c r="H8" s="7">
        <f t="shared" si="3"/>
        <v>184.40490774830505</v>
      </c>
      <c r="I8" s="7">
        <f t="shared" si="4"/>
        <v>296.40667612305293</v>
      </c>
      <c r="J8" s="7">
        <f t="shared" si="5"/>
        <v>354.76863699703966</v>
      </c>
      <c r="K8" s="7">
        <f t="shared" si="6"/>
        <v>172.50315383823676</v>
      </c>
      <c r="L8" s="7">
        <f t="shared" si="7"/>
        <v>243.69202520153593</v>
      </c>
      <c r="M8" s="7">
        <f t="shared" si="8"/>
        <v>266.75348034873707</v>
      </c>
      <c r="N8" s="22"/>
      <c r="O8" s="7" t="e">
        <f t="shared" ca="1" si="9"/>
        <v>#NUM!</v>
      </c>
      <c r="P8" s="7" t="e">
        <f t="shared" ca="1" si="10"/>
        <v>#NUM!</v>
      </c>
      <c r="Q8" s="7" t="e">
        <f t="shared" ca="1" si="11"/>
        <v>#NUM!</v>
      </c>
      <c r="R8" s="7" t="e">
        <f t="shared" ca="1" si="12"/>
        <v>#NUM!</v>
      </c>
      <c r="S8" s="7" t="e">
        <f t="shared" ca="1" si="13"/>
        <v>#NUM!</v>
      </c>
      <c r="T8" s="7" t="e">
        <f t="shared" ca="1" si="14"/>
        <v>#NUM!</v>
      </c>
      <c r="U8" s="7" t="e">
        <f t="shared" ca="1" si="15"/>
        <v>#NUM!</v>
      </c>
      <c r="V8" s="7" t="e">
        <f t="shared" ca="1" si="16"/>
        <v>#NUM!</v>
      </c>
      <c r="W8" s="7" t="e">
        <f t="shared" ca="1" si="17"/>
        <v>#NUM!</v>
      </c>
      <c r="X8" s="22"/>
      <c r="Y8"/>
      <c r="Z8" s="10">
        <v>0.9637047700460154</v>
      </c>
      <c r="AA8"/>
      <c r="AB8" s="22"/>
    </row>
    <row r="9" spans="1:28" x14ac:dyDescent="0.25">
      <c r="A9" s="16"/>
      <c r="B9" s="3" t="s">
        <v>17</v>
      </c>
      <c r="C9" s="3" t="s">
        <v>23</v>
      </c>
      <c r="D9" s="11" t="s">
        <v>19</v>
      </c>
      <c r="E9" s="7">
        <f t="shared" si="0"/>
        <v>182.34079180467967</v>
      </c>
      <c r="F9" s="7">
        <f t="shared" si="1"/>
        <v>240.94678583631821</v>
      </c>
      <c r="G9" s="7">
        <f t="shared" si="2"/>
        <v>278.99141717628845</v>
      </c>
      <c r="H9" s="7">
        <f t="shared" si="3"/>
        <v>146.15218243130505</v>
      </c>
      <c r="I9" s="7">
        <f t="shared" si="4"/>
        <v>234.92044290774234</v>
      </c>
      <c r="J9" s="7">
        <f t="shared" si="5"/>
        <v>281.17587101351626</v>
      </c>
      <c r="K9" s="7">
        <f t="shared" si="6"/>
        <v>136.71931358873064</v>
      </c>
      <c r="L9" s="7">
        <f t="shared" si="7"/>
        <v>193.14085378314144</v>
      </c>
      <c r="M9" s="7">
        <f t="shared" si="8"/>
        <v>211.41846928134436</v>
      </c>
      <c r="N9" s="22"/>
      <c r="O9" s="7" t="e">
        <f t="shared" ca="1" si="9"/>
        <v>#NUM!</v>
      </c>
      <c r="P9" s="7" t="e">
        <f t="shared" ca="1" si="10"/>
        <v>#NUM!</v>
      </c>
      <c r="Q9" s="7" t="e">
        <f t="shared" ca="1" si="11"/>
        <v>#NUM!</v>
      </c>
      <c r="R9" s="7" t="e">
        <f t="shared" ca="1" si="12"/>
        <v>#NUM!</v>
      </c>
      <c r="S9" s="7" t="e">
        <f t="shared" ca="1" si="13"/>
        <v>#NUM!</v>
      </c>
      <c r="T9" s="7" t="e">
        <f t="shared" ca="1" si="14"/>
        <v>#NUM!</v>
      </c>
      <c r="U9" s="7" t="e">
        <f t="shared" ca="1" si="15"/>
        <v>#NUM!</v>
      </c>
      <c r="V9" s="7" t="e">
        <f t="shared" ca="1" si="16"/>
        <v>#NUM!</v>
      </c>
      <c r="W9" s="7" t="e">
        <f t="shared" ca="1" si="17"/>
        <v>#NUM!</v>
      </c>
      <c r="X9" s="22"/>
      <c r="Y9"/>
      <c r="Z9" s="10">
        <v>0.76379504798173536</v>
      </c>
      <c r="AA9"/>
      <c r="AB9" s="22"/>
    </row>
    <row r="10" spans="1:28" x14ac:dyDescent="0.25">
      <c r="A10" s="16"/>
      <c r="B10" s="3" t="s">
        <v>17</v>
      </c>
      <c r="C10" s="3" t="s">
        <v>24</v>
      </c>
      <c r="D10" s="11" t="s">
        <v>19</v>
      </c>
      <c r="E10" s="7">
        <f t="shared" si="0"/>
        <v>223.97009963464777</v>
      </c>
      <c r="F10" s="7">
        <f t="shared" si="1"/>
        <v>295.95613299855899</v>
      </c>
      <c r="G10" s="7">
        <f t="shared" si="2"/>
        <v>342.68654251056751</v>
      </c>
      <c r="H10" s="7">
        <f t="shared" si="3"/>
        <v>179.51945111670025</v>
      </c>
      <c r="I10" s="7">
        <f t="shared" si="4"/>
        <v>288.55394606722496</v>
      </c>
      <c r="J10" s="7">
        <f t="shared" si="5"/>
        <v>345.36971800152003</v>
      </c>
      <c r="K10" s="7">
        <f t="shared" si="6"/>
        <v>167.93301149667803</v>
      </c>
      <c r="L10" s="7">
        <f t="shared" si="7"/>
        <v>237.23586936963676</v>
      </c>
      <c r="M10" s="7">
        <f t="shared" si="8"/>
        <v>259.68635520827087</v>
      </c>
      <c r="N10" s="22"/>
      <c r="O10" s="7" t="e">
        <f t="shared" ca="1" si="9"/>
        <v>#NUM!</v>
      </c>
      <c r="P10" s="7" t="e">
        <f t="shared" ca="1" si="10"/>
        <v>#NUM!</v>
      </c>
      <c r="Q10" s="7" t="e">
        <f t="shared" ca="1" si="11"/>
        <v>#NUM!</v>
      </c>
      <c r="R10" s="7" t="e">
        <f t="shared" ca="1" si="12"/>
        <v>#NUM!</v>
      </c>
      <c r="S10" s="7" t="e">
        <f t="shared" ca="1" si="13"/>
        <v>#NUM!</v>
      </c>
      <c r="T10" s="7" t="e">
        <f t="shared" ca="1" si="14"/>
        <v>#NUM!</v>
      </c>
      <c r="U10" s="7" t="e">
        <f t="shared" ca="1" si="15"/>
        <v>#NUM!</v>
      </c>
      <c r="V10" s="7" t="e">
        <f t="shared" ca="1" si="16"/>
        <v>#NUM!</v>
      </c>
      <c r="W10" s="7" t="e">
        <f t="shared" ca="1" si="17"/>
        <v>#NUM!</v>
      </c>
      <c r="X10" s="22"/>
      <c r="Y10"/>
      <c r="Z10" s="10">
        <v>0.93817324858479356</v>
      </c>
      <c r="AA10"/>
      <c r="AB10" s="22"/>
    </row>
    <row r="11" spans="1:28" x14ac:dyDescent="0.25">
      <c r="A11" s="16"/>
      <c r="B11" s="3" t="s">
        <v>17</v>
      </c>
      <c r="C11" s="3" t="s">
        <v>25</v>
      </c>
      <c r="D11" s="11" t="s">
        <v>19</v>
      </c>
      <c r="E11" s="7">
        <f t="shared" si="0"/>
        <v>183.12070736147729</v>
      </c>
      <c r="F11" s="7">
        <f t="shared" si="1"/>
        <v>241.97737336845651</v>
      </c>
      <c r="G11" s="7">
        <f t="shared" si="2"/>
        <v>280.18473077504632</v>
      </c>
      <c r="H11" s="7">
        <f t="shared" si="3"/>
        <v>146.77731057520495</v>
      </c>
      <c r="I11" s="7">
        <f t="shared" si="4"/>
        <v>235.92525431730226</v>
      </c>
      <c r="J11" s="7">
        <f t="shared" si="5"/>
        <v>282.37852804834176</v>
      </c>
      <c r="K11" s="7">
        <f t="shared" si="6"/>
        <v>137.30409507688367</v>
      </c>
      <c r="L11" s="7">
        <f t="shared" si="7"/>
        <v>193.96696381056742</v>
      </c>
      <c r="M11" s="7">
        <f t="shared" si="8"/>
        <v>212.32275707978434</v>
      </c>
      <c r="N11" s="22"/>
      <c r="O11" s="7" t="e">
        <f t="shared" ca="1" si="9"/>
        <v>#NUM!</v>
      </c>
      <c r="P11" s="7" t="e">
        <f t="shared" ca="1" si="10"/>
        <v>#NUM!</v>
      </c>
      <c r="Q11" s="7" t="e">
        <f t="shared" ca="1" si="11"/>
        <v>#NUM!</v>
      </c>
      <c r="R11" s="7" t="e">
        <f t="shared" ca="1" si="12"/>
        <v>#NUM!</v>
      </c>
      <c r="S11" s="7" t="e">
        <f t="shared" ca="1" si="13"/>
        <v>#NUM!</v>
      </c>
      <c r="T11" s="7" t="e">
        <f t="shared" ca="1" si="14"/>
        <v>#NUM!</v>
      </c>
      <c r="U11" s="7" t="e">
        <f t="shared" ca="1" si="15"/>
        <v>#NUM!</v>
      </c>
      <c r="V11" s="7" t="e">
        <f t="shared" ca="1" si="16"/>
        <v>#NUM!</v>
      </c>
      <c r="W11" s="7" t="e">
        <f t="shared" ca="1" si="17"/>
        <v>#NUM!</v>
      </c>
      <c r="X11" s="22"/>
      <c r="Y11"/>
      <c r="Z11" s="10">
        <v>0.7670619836697411</v>
      </c>
      <c r="AA11"/>
      <c r="AB11" s="22"/>
    </row>
    <row r="12" spans="1:28" x14ac:dyDescent="0.25">
      <c r="A12" s="16"/>
      <c r="B12" s="3" t="s">
        <v>17</v>
      </c>
      <c r="C12" s="3" t="s">
        <v>26</v>
      </c>
      <c r="D12" s="11" t="s">
        <v>19</v>
      </c>
      <c r="E12" s="7">
        <f t="shared" si="0"/>
        <v>178.14253173393081</v>
      </c>
      <c r="F12" s="7">
        <f t="shared" si="1"/>
        <v>235.3991666769397</v>
      </c>
      <c r="G12" s="7">
        <f t="shared" si="2"/>
        <v>272.56784889395095</v>
      </c>
      <c r="H12" s="7">
        <f t="shared" si="3"/>
        <v>142.78713796878341</v>
      </c>
      <c r="I12" s="7">
        <f t="shared" si="4"/>
        <v>229.51157577767813</v>
      </c>
      <c r="J12" s="7">
        <f t="shared" si="5"/>
        <v>274.70200731877833</v>
      </c>
      <c r="K12" s="7">
        <f t="shared" si="6"/>
        <v>133.57145386157424</v>
      </c>
      <c r="L12" s="7">
        <f t="shared" si="7"/>
        <v>188.69393037975573</v>
      </c>
      <c r="M12" s="7">
        <f t="shared" si="8"/>
        <v>206.5507174797975</v>
      </c>
      <c r="N12" s="22"/>
      <c r="O12" s="7" t="e">
        <f t="shared" ca="1" si="9"/>
        <v>#NUM!</v>
      </c>
      <c r="P12" s="7" t="e">
        <f t="shared" ca="1" si="10"/>
        <v>#NUM!</v>
      </c>
      <c r="Q12" s="7" t="e">
        <f t="shared" ca="1" si="11"/>
        <v>#NUM!</v>
      </c>
      <c r="R12" s="7" t="e">
        <f t="shared" ca="1" si="12"/>
        <v>#NUM!</v>
      </c>
      <c r="S12" s="7" t="e">
        <f t="shared" ca="1" si="13"/>
        <v>#NUM!</v>
      </c>
      <c r="T12" s="7" t="e">
        <f t="shared" ca="1" si="14"/>
        <v>#NUM!</v>
      </c>
      <c r="U12" s="7" t="e">
        <f t="shared" ca="1" si="15"/>
        <v>#NUM!</v>
      </c>
      <c r="V12" s="7" t="e">
        <f t="shared" ca="1" si="16"/>
        <v>#NUM!</v>
      </c>
      <c r="W12" s="7" t="e">
        <f t="shared" ca="1" si="17"/>
        <v>#NUM!</v>
      </c>
      <c r="X12" s="22"/>
      <c r="Y12"/>
      <c r="Z12" s="10">
        <v>0.7462092394501354</v>
      </c>
      <c r="AA12"/>
      <c r="AB12" s="22"/>
    </row>
    <row r="13" spans="1:28" x14ac:dyDescent="0.25">
      <c r="A13" s="16"/>
      <c r="B13" s="3" t="s">
        <v>17</v>
      </c>
      <c r="C13" s="3" t="s">
        <v>27</v>
      </c>
      <c r="D13" s="11" t="s">
        <v>19</v>
      </c>
      <c r="E13" s="7">
        <f t="shared" si="0"/>
        <v>167.1975173569837</v>
      </c>
      <c r="F13" s="7">
        <f t="shared" si="1"/>
        <v>220.93632482484009</v>
      </c>
      <c r="G13" s="7">
        <f t="shared" si="2"/>
        <v>255.82137630371312</v>
      </c>
      <c r="H13" s="7">
        <f t="shared" si="3"/>
        <v>134.01434652644758</v>
      </c>
      <c r="I13" s="7">
        <f t="shared" si="4"/>
        <v>215.41046543579557</v>
      </c>
      <c r="J13" s="7">
        <f t="shared" si="5"/>
        <v>257.82441278694091</v>
      </c>
      <c r="K13" s="7">
        <f t="shared" si="6"/>
        <v>125.36487080341843</v>
      </c>
      <c r="L13" s="7">
        <f t="shared" si="7"/>
        <v>177.10064178804703</v>
      </c>
      <c r="M13" s="7">
        <f t="shared" si="8"/>
        <v>193.86031418092861</v>
      </c>
      <c r="N13" s="22"/>
      <c r="O13" s="7" t="e">
        <f t="shared" ca="1" si="9"/>
        <v>#NUM!</v>
      </c>
      <c r="P13" s="7" t="e">
        <f t="shared" ca="1" si="10"/>
        <v>#NUM!</v>
      </c>
      <c r="Q13" s="7" t="e">
        <f t="shared" ca="1" si="11"/>
        <v>#NUM!</v>
      </c>
      <c r="R13" s="7" t="e">
        <f t="shared" ca="1" si="12"/>
        <v>#NUM!</v>
      </c>
      <c r="S13" s="7" t="e">
        <f t="shared" ca="1" si="13"/>
        <v>#NUM!</v>
      </c>
      <c r="T13" s="7" t="e">
        <f t="shared" ca="1" si="14"/>
        <v>#NUM!</v>
      </c>
      <c r="U13" s="7" t="e">
        <f t="shared" ca="1" si="15"/>
        <v>#NUM!</v>
      </c>
      <c r="V13" s="7" t="e">
        <f t="shared" ca="1" si="16"/>
        <v>#NUM!</v>
      </c>
      <c r="W13" s="7" t="e">
        <f t="shared" ca="1" si="17"/>
        <v>#NUM!</v>
      </c>
      <c r="X13" s="22"/>
      <c r="Y13"/>
      <c r="Z13" s="10">
        <v>0.70036240672300798</v>
      </c>
      <c r="AA13"/>
      <c r="AB13" s="22"/>
    </row>
    <row r="14" spans="1:28" x14ac:dyDescent="0.25">
      <c r="A14" s="16"/>
      <c r="B14" s="3" t="s">
        <v>17</v>
      </c>
      <c r="C14" s="3" t="s">
        <v>28</v>
      </c>
      <c r="D14" s="11" t="s">
        <v>19</v>
      </c>
      <c r="E14" s="7">
        <f t="shared" si="0"/>
        <v>176.42505701698138</v>
      </c>
      <c r="F14" s="7">
        <f t="shared" si="1"/>
        <v>233.12967991696453</v>
      </c>
      <c r="G14" s="7">
        <f t="shared" si="2"/>
        <v>269.94001833281442</v>
      </c>
      <c r="H14" s="7">
        <f t="shared" si="3"/>
        <v>141.41052511288646</v>
      </c>
      <c r="I14" s="7">
        <f t="shared" si="4"/>
        <v>227.29885136645149</v>
      </c>
      <c r="J14" s="7">
        <f t="shared" si="5"/>
        <v>272.05360130549724</v>
      </c>
      <c r="K14" s="7">
        <f t="shared" si="6"/>
        <v>132.28368954902888</v>
      </c>
      <c r="L14" s="7">
        <f t="shared" si="7"/>
        <v>186.87472947632926</v>
      </c>
      <c r="M14" s="7">
        <f t="shared" si="8"/>
        <v>204.55935903447596</v>
      </c>
      <c r="N14" s="22"/>
      <c r="O14" s="7" t="e">
        <f t="shared" ca="1" si="9"/>
        <v>#NUM!</v>
      </c>
      <c r="P14" s="7" t="e">
        <f t="shared" ca="1" si="10"/>
        <v>#NUM!</v>
      </c>
      <c r="Q14" s="7" t="e">
        <f t="shared" ca="1" si="11"/>
        <v>#NUM!</v>
      </c>
      <c r="R14" s="7" t="e">
        <f t="shared" ca="1" si="12"/>
        <v>#NUM!</v>
      </c>
      <c r="S14" s="7" t="e">
        <f t="shared" ca="1" si="13"/>
        <v>#NUM!</v>
      </c>
      <c r="T14" s="7" t="e">
        <f t="shared" ca="1" si="14"/>
        <v>#NUM!</v>
      </c>
      <c r="U14" s="7" t="e">
        <f t="shared" ca="1" si="15"/>
        <v>#NUM!</v>
      </c>
      <c r="V14" s="7" t="e">
        <f t="shared" ca="1" si="16"/>
        <v>#NUM!</v>
      </c>
      <c r="W14" s="7" t="e">
        <f t="shared" ca="1" si="17"/>
        <v>#NUM!</v>
      </c>
      <c r="X14" s="22"/>
      <c r="Y14"/>
      <c r="Z14" s="10">
        <v>0.73901502541356923</v>
      </c>
      <c r="AA14"/>
      <c r="AB14" s="22"/>
    </row>
    <row r="15" spans="1:28" x14ac:dyDescent="0.25">
      <c r="A15" s="16"/>
      <c r="B15" s="3" t="s">
        <v>17</v>
      </c>
      <c r="C15" s="3" t="s">
        <v>29</v>
      </c>
      <c r="D15" s="11" t="s">
        <v>19</v>
      </c>
      <c r="E15" s="7">
        <f t="shared" si="0"/>
        <v>168.02848530740928</v>
      </c>
      <c r="F15" s="7">
        <f t="shared" si="1"/>
        <v>222.03437345568352</v>
      </c>
      <c r="G15" s="7">
        <f t="shared" si="2"/>
        <v>257.09280286615586</v>
      </c>
      <c r="H15" s="7">
        <f t="shared" si="3"/>
        <v>134.68039485432399</v>
      </c>
      <c r="I15" s="7">
        <f t="shared" si="4"/>
        <v>216.48105066811826</v>
      </c>
      <c r="J15" s="7">
        <f t="shared" si="5"/>
        <v>259.10579439624922</v>
      </c>
      <c r="K15" s="7">
        <f t="shared" si="6"/>
        <v>125.9879314289208</v>
      </c>
      <c r="L15" s="7">
        <f t="shared" si="7"/>
        <v>177.98082804710168</v>
      </c>
      <c r="M15" s="7">
        <f t="shared" si="8"/>
        <v>194.82379563980604</v>
      </c>
      <c r="N15" s="22"/>
      <c r="O15" s="7" t="e">
        <f t="shared" ca="1" si="9"/>
        <v>#NUM!</v>
      </c>
      <c r="P15" s="7" t="e">
        <f t="shared" ca="1" si="10"/>
        <v>#NUM!</v>
      </c>
      <c r="Q15" s="7" t="e">
        <f t="shared" ca="1" si="11"/>
        <v>#NUM!</v>
      </c>
      <c r="R15" s="7" t="e">
        <f t="shared" ca="1" si="12"/>
        <v>#NUM!</v>
      </c>
      <c r="S15" s="7" t="e">
        <f t="shared" ca="1" si="13"/>
        <v>#NUM!</v>
      </c>
      <c r="T15" s="7" t="e">
        <f t="shared" ca="1" si="14"/>
        <v>#NUM!</v>
      </c>
      <c r="U15" s="7" t="e">
        <f t="shared" ca="1" si="15"/>
        <v>#NUM!</v>
      </c>
      <c r="V15" s="7" t="e">
        <f t="shared" ca="1" si="16"/>
        <v>#NUM!</v>
      </c>
      <c r="W15" s="7" t="e">
        <f t="shared" ca="1" si="17"/>
        <v>#NUM!</v>
      </c>
      <c r="X15" s="22"/>
      <c r="Y15"/>
      <c r="Z15" s="10">
        <v>0.70384319234033965</v>
      </c>
      <c r="AA15"/>
      <c r="AB15" s="22"/>
    </row>
    <row r="16" spans="1:28" x14ac:dyDescent="0.25">
      <c r="A16" s="16"/>
      <c r="B16" s="3" t="s">
        <v>17</v>
      </c>
      <c r="C16" s="3" t="s">
        <v>30</v>
      </c>
      <c r="D16" s="11" t="s">
        <v>19</v>
      </c>
      <c r="E16" s="7">
        <f t="shared" si="0"/>
        <v>179.47835113245534</v>
      </c>
      <c r="F16" s="7">
        <f t="shared" si="1"/>
        <v>237.16433061720085</v>
      </c>
      <c r="G16" s="7">
        <f t="shared" si="2"/>
        <v>274.61172587505536</v>
      </c>
      <c r="H16" s="7">
        <f t="shared" si="3"/>
        <v>143.85784144931651</v>
      </c>
      <c r="I16" s="7">
        <f t="shared" si="4"/>
        <v>231.23259103509943</v>
      </c>
      <c r="J16" s="7">
        <f t="shared" si="5"/>
        <v>276.76188749797171</v>
      </c>
      <c r="K16" s="7">
        <f t="shared" si="6"/>
        <v>134.57305262308677</v>
      </c>
      <c r="L16" s="7">
        <f t="shared" si="7"/>
        <v>190.10887048491594</v>
      </c>
      <c r="M16" s="7">
        <f t="shared" si="8"/>
        <v>208.09955846966716</v>
      </c>
      <c r="N16" s="22"/>
      <c r="O16" s="7" t="e">
        <f t="shared" ca="1" si="9"/>
        <v>#NUM!</v>
      </c>
      <c r="P16" s="7" t="e">
        <f t="shared" ca="1" si="10"/>
        <v>#NUM!</v>
      </c>
      <c r="Q16" s="7" t="e">
        <f t="shared" ca="1" si="11"/>
        <v>#NUM!</v>
      </c>
      <c r="R16" s="7" t="e">
        <f t="shared" ca="1" si="12"/>
        <v>#NUM!</v>
      </c>
      <c r="S16" s="7" t="e">
        <f t="shared" ca="1" si="13"/>
        <v>#NUM!</v>
      </c>
      <c r="T16" s="7" t="e">
        <f t="shared" ca="1" si="14"/>
        <v>#NUM!</v>
      </c>
      <c r="U16" s="7" t="e">
        <f t="shared" ca="1" si="15"/>
        <v>#NUM!</v>
      </c>
      <c r="V16" s="7" t="e">
        <f t="shared" ca="1" si="16"/>
        <v>#NUM!</v>
      </c>
      <c r="W16" s="7" t="e">
        <f t="shared" ca="1" si="17"/>
        <v>#NUM!</v>
      </c>
      <c r="X16" s="22"/>
      <c r="Y16"/>
      <c r="Z16" s="10">
        <v>0.75180476325746803</v>
      </c>
      <c r="AA16"/>
      <c r="AB16" s="22"/>
    </row>
    <row r="17" spans="1:28" x14ac:dyDescent="0.25">
      <c r="A17" s="16"/>
      <c r="B17" s="3" t="s">
        <v>17</v>
      </c>
      <c r="C17" s="3" t="s">
        <v>32</v>
      </c>
      <c r="D17" s="11" t="s">
        <v>19</v>
      </c>
      <c r="E17" s="7">
        <f t="shared" si="0"/>
        <v>188.44743160370206</v>
      </c>
      <c r="F17" s="7">
        <f t="shared" si="1"/>
        <v>249.01615537931491</v>
      </c>
      <c r="G17" s="7">
        <f t="shared" si="2"/>
        <v>288.33491116275394</v>
      </c>
      <c r="H17" s="7">
        <f t="shared" si="3"/>
        <v>151.04685643768437</v>
      </c>
      <c r="I17" s="7">
        <f t="shared" si="4"/>
        <v>242.78798868324319</v>
      </c>
      <c r="J17" s="7">
        <f t="shared" si="5"/>
        <v>290.59252291823753</v>
      </c>
      <c r="K17" s="7">
        <f t="shared" si="6"/>
        <v>141.29807840264178</v>
      </c>
      <c r="L17" s="7">
        <f t="shared" si="7"/>
        <v>199.60919042277109</v>
      </c>
      <c r="M17" s="7">
        <f t="shared" si="8"/>
        <v>218.49892794330304</v>
      </c>
      <c r="N17" s="22"/>
      <c r="O17" s="7" t="e">
        <f t="shared" ca="1" si="9"/>
        <v>#NUM!</v>
      </c>
      <c r="P17" s="7" t="e">
        <f t="shared" ca="1" si="10"/>
        <v>#NUM!</v>
      </c>
      <c r="Q17" s="7" t="e">
        <f t="shared" ca="1" si="11"/>
        <v>#NUM!</v>
      </c>
      <c r="R17" s="7" t="e">
        <f t="shared" ca="1" si="12"/>
        <v>#NUM!</v>
      </c>
      <c r="S17" s="7" t="e">
        <f t="shared" ca="1" si="13"/>
        <v>#NUM!</v>
      </c>
      <c r="T17" s="7" t="e">
        <f t="shared" ca="1" si="14"/>
        <v>#NUM!</v>
      </c>
      <c r="U17" s="7" t="e">
        <f t="shared" ca="1" si="15"/>
        <v>#NUM!</v>
      </c>
      <c r="V17" s="7" t="e">
        <f t="shared" ca="1" si="16"/>
        <v>#NUM!</v>
      </c>
      <c r="W17" s="7" t="e">
        <f t="shared" ca="1" si="17"/>
        <v>#NUM!</v>
      </c>
      <c r="X17" s="22"/>
      <c r="Y17"/>
      <c r="Z17" s="10">
        <v>0.78937473967956295</v>
      </c>
      <c r="AA17"/>
      <c r="AB17" s="22"/>
    </row>
    <row r="18" spans="1:28" x14ac:dyDescent="0.25">
      <c r="A18" s="16"/>
      <c r="B18" s="3" t="s">
        <v>17</v>
      </c>
      <c r="C18" s="3" t="s">
        <v>33</v>
      </c>
      <c r="D18" s="11" t="s">
        <v>19</v>
      </c>
      <c r="E18" s="7">
        <f t="shared" si="0"/>
        <v>166.8835709202088</v>
      </c>
      <c r="F18" s="7">
        <f t="shared" si="1"/>
        <v>220.52147313906531</v>
      </c>
      <c r="G18" s="7">
        <f t="shared" si="2"/>
        <v>255.3410210280428</v>
      </c>
      <c r="H18" s="7">
        <f t="shared" si="3"/>
        <v>133.76270806175157</v>
      </c>
      <c r="I18" s="7">
        <f t="shared" si="4"/>
        <v>215.00598964490686</v>
      </c>
      <c r="J18" s="7">
        <f t="shared" si="5"/>
        <v>257.34029641375804</v>
      </c>
      <c r="K18" s="7">
        <f t="shared" si="6"/>
        <v>125.12947344161762</v>
      </c>
      <c r="L18" s="7">
        <f t="shared" si="7"/>
        <v>176.76810027475892</v>
      </c>
      <c r="M18" s="7">
        <f t="shared" si="8"/>
        <v>193.49630306502658</v>
      </c>
      <c r="N18" s="22"/>
      <c r="O18" s="7" t="e">
        <f t="shared" ca="1" si="9"/>
        <v>#NUM!</v>
      </c>
      <c r="P18" s="7" t="e">
        <f t="shared" ca="1" si="10"/>
        <v>#NUM!</v>
      </c>
      <c r="Q18" s="7" t="e">
        <f t="shared" ca="1" si="11"/>
        <v>#NUM!</v>
      </c>
      <c r="R18" s="7" t="e">
        <f t="shared" ca="1" si="12"/>
        <v>#NUM!</v>
      </c>
      <c r="S18" s="7" t="e">
        <f t="shared" ca="1" si="13"/>
        <v>#NUM!</v>
      </c>
      <c r="T18" s="7" t="e">
        <f t="shared" ca="1" si="14"/>
        <v>#NUM!</v>
      </c>
      <c r="U18" s="7" t="e">
        <f t="shared" ca="1" si="15"/>
        <v>#NUM!</v>
      </c>
      <c r="V18" s="7" t="e">
        <f t="shared" ca="1" si="16"/>
        <v>#NUM!</v>
      </c>
      <c r="W18" s="7" t="e">
        <f t="shared" ca="1" si="17"/>
        <v>#NUM!</v>
      </c>
      <c r="X18" s="22"/>
      <c r="Y18"/>
      <c r="Z18" s="10">
        <v>0.69904733766266824</v>
      </c>
      <c r="AA18"/>
      <c r="AB18" s="22"/>
    </row>
    <row r="19" spans="1:28" x14ac:dyDescent="0.25">
      <c r="A19" s="16"/>
      <c r="B19" s="3" t="s">
        <v>17</v>
      </c>
      <c r="C19" s="3" t="s">
        <v>34</v>
      </c>
      <c r="D19" s="11" t="s">
        <v>19</v>
      </c>
      <c r="E19" s="7">
        <f t="shared" si="0"/>
        <v>177.37922109708092</v>
      </c>
      <c r="F19" s="7">
        <f t="shared" si="1"/>
        <v>234.3905210375116</v>
      </c>
      <c r="G19" s="7">
        <f t="shared" si="2"/>
        <v>271.39994173388658</v>
      </c>
      <c r="H19" s="7">
        <f t="shared" si="3"/>
        <v>142.17531921805568</v>
      </c>
      <c r="I19" s="7">
        <f t="shared" si="4"/>
        <v>228.52815747006736</v>
      </c>
      <c r="J19" s="7">
        <f t="shared" si="5"/>
        <v>273.52495565060275</v>
      </c>
      <c r="K19" s="7">
        <f t="shared" si="6"/>
        <v>132.99912275950859</v>
      </c>
      <c r="L19" s="7">
        <f t="shared" si="7"/>
        <v>187.88540878322311</v>
      </c>
      <c r="M19" s="7">
        <f t="shared" si="8"/>
        <v>205.66568256889374</v>
      </c>
      <c r="N19" s="22"/>
      <c r="O19" s="7" t="e">
        <f t="shared" ca="1" si="9"/>
        <v>#NUM!</v>
      </c>
      <c r="P19" s="7" t="e">
        <f t="shared" ca="1" si="10"/>
        <v>#NUM!</v>
      </c>
      <c r="Q19" s="7" t="e">
        <f t="shared" ca="1" si="11"/>
        <v>#NUM!</v>
      </c>
      <c r="R19" s="7" t="e">
        <f t="shared" ca="1" si="12"/>
        <v>#NUM!</v>
      </c>
      <c r="S19" s="7" t="e">
        <f t="shared" ca="1" si="13"/>
        <v>#NUM!</v>
      </c>
      <c r="T19" s="7" t="e">
        <f t="shared" ca="1" si="14"/>
        <v>#NUM!</v>
      </c>
      <c r="U19" s="7" t="e">
        <f t="shared" ca="1" si="15"/>
        <v>#NUM!</v>
      </c>
      <c r="V19" s="7" t="e">
        <f t="shared" ca="1" si="16"/>
        <v>#NUM!</v>
      </c>
      <c r="W19" s="7" t="e">
        <f t="shared" ca="1" si="17"/>
        <v>#NUM!</v>
      </c>
      <c r="X19" s="22"/>
      <c r="Y19"/>
      <c r="Z19" s="10">
        <v>0.74301185899166811</v>
      </c>
      <c r="AA19"/>
      <c r="AB19" s="22"/>
    </row>
    <row r="20" spans="1:28" x14ac:dyDescent="0.25">
      <c r="A20" s="16"/>
      <c r="B20" s="3" t="s">
        <v>17</v>
      </c>
      <c r="C20" s="3" t="s">
        <v>35</v>
      </c>
      <c r="D20" s="11" t="s">
        <v>19</v>
      </c>
      <c r="E20" s="7">
        <f t="shared" si="0"/>
        <v>186.34830156832763</v>
      </c>
      <c r="F20" s="7">
        <f t="shared" si="1"/>
        <v>246.24234579962567</v>
      </c>
      <c r="G20" s="7">
        <f t="shared" si="2"/>
        <v>285.12312702158522</v>
      </c>
      <c r="H20" s="7">
        <f t="shared" si="3"/>
        <v>149.36433420642356</v>
      </c>
      <c r="I20" s="7">
        <f t="shared" si="4"/>
        <v>240.08355511821108</v>
      </c>
      <c r="J20" s="7">
        <f t="shared" si="5"/>
        <v>287.35559107086857</v>
      </c>
      <c r="K20" s="7">
        <f t="shared" si="6"/>
        <v>139.72414853906358</v>
      </c>
      <c r="L20" s="7">
        <f t="shared" si="7"/>
        <v>197.38572872107827</v>
      </c>
      <c r="M20" s="7">
        <f t="shared" si="8"/>
        <v>216.0650520425296</v>
      </c>
      <c r="N20" s="22"/>
      <c r="O20" s="7" t="e">
        <f t="shared" ca="1" si="9"/>
        <v>#NUM!</v>
      </c>
      <c r="P20" s="7" t="e">
        <f t="shared" ca="1" si="10"/>
        <v>#NUM!</v>
      </c>
      <c r="Q20" s="7" t="e">
        <f t="shared" ca="1" si="11"/>
        <v>#NUM!</v>
      </c>
      <c r="R20" s="7" t="e">
        <f t="shared" ca="1" si="12"/>
        <v>#NUM!</v>
      </c>
      <c r="S20" s="7" t="e">
        <f t="shared" ca="1" si="13"/>
        <v>#NUM!</v>
      </c>
      <c r="T20" s="7" t="e">
        <f t="shared" ca="1" si="14"/>
        <v>#NUM!</v>
      </c>
      <c r="U20" s="7" t="e">
        <f t="shared" ca="1" si="15"/>
        <v>#NUM!</v>
      </c>
      <c r="V20" s="7" t="e">
        <f t="shared" ca="1" si="16"/>
        <v>#NUM!</v>
      </c>
      <c r="W20" s="7" t="e">
        <f t="shared" ca="1" si="17"/>
        <v>#NUM!</v>
      </c>
      <c r="X20" s="22"/>
      <c r="Y20"/>
      <c r="Z20" s="10">
        <v>0.78058183541376303</v>
      </c>
      <c r="AA20"/>
      <c r="AB20" s="22"/>
    </row>
    <row r="21" spans="1:28" x14ac:dyDescent="0.25">
      <c r="A21" s="16"/>
      <c r="B21" s="3" t="s">
        <v>17</v>
      </c>
      <c r="C21" s="3" t="s">
        <v>36</v>
      </c>
      <c r="D21" s="11" t="s">
        <v>19</v>
      </c>
      <c r="E21" s="7">
        <f t="shared" si="0"/>
        <v>219.93443370239285</v>
      </c>
      <c r="F21" s="7">
        <f t="shared" si="1"/>
        <v>290.62336721717776</v>
      </c>
      <c r="G21" s="7">
        <f t="shared" si="2"/>
        <v>336.51175218226882</v>
      </c>
      <c r="H21" s="7">
        <f t="shared" si="3"/>
        <v>176.28473124011592</v>
      </c>
      <c r="I21" s="7">
        <f t="shared" si="4"/>
        <v>283.35455859692945</v>
      </c>
      <c r="J21" s="7">
        <f t="shared" si="5"/>
        <v>339.14658014854388</v>
      </c>
      <c r="K21" s="7">
        <f t="shared" si="6"/>
        <v>164.90706502211</v>
      </c>
      <c r="L21" s="7">
        <f t="shared" si="7"/>
        <v>232.96117057061986</v>
      </c>
      <c r="M21" s="7">
        <f t="shared" si="8"/>
        <v>255.00712624648074</v>
      </c>
      <c r="N21" s="22"/>
      <c r="O21" s="7" t="e">
        <f t="shared" ca="1" si="9"/>
        <v>#NUM!</v>
      </c>
      <c r="P21" s="7" t="e">
        <f t="shared" ca="1" si="10"/>
        <v>#NUM!</v>
      </c>
      <c r="Q21" s="7" t="e">
        <f t="shared" ca="1" si="11"/>
        <v>#NUM!</v>
      </c>
      <c r="R21" s="7" t="e">
        <f t="shared" ca="1" si="12"/>
        <v>#NUM!</v>
      </c>
      <c r="S21" s="7" t="e">
        <f t="shared" ca="1" si="13"/>
        <v>#NUM!</v>
      </c>
      <c r="T21" s="7" t="e">
        <f t="shared" ca="1" si="14"/>
        <v>#NUM!</v>
      </c>
      <c r="U21" s="7" t="e">
        <f t="shared" ca="1" si="15"/>
        <v>#NUM!</v>
      </c>
      <c r="V21" s="7" t="e">
        <f t="shared" ca="1" si="16"/>
        <v>#NUM!</v>
      </c>
      <c r="W21" s="7" t="e">
        <f t="shared" ca="1" si="17"/>
        <v>#NUM!</v>
      </c>
      <c r="X21" s="22"/>
      <c r="Y21"/>
      <c r="Z21" s="10">
        <v>0.92126851967659218</v>
      </c>
      <c r="AA21"/>
      <c r="AB21" s="22"/>
    </row>
    <row r="22" spans="1:28" x14ac:dyDescent="0.25">
      <c r="A22" s="16"/>
      <c r="B22" s="3" t="s">
        <v>17</v>
      </c>
      <c r="C22" s="3" t="s">
        <v>37</v>
      </c>
      <c r="D22" s="11" t="s">
        <v>19</v>
      </c>
      <c r="E22" s="7">
        <f t="shared" si="0"/>
        <v>172.22679694623253</v>
      </c>
      <c r="F22" s="7">
        <f t="shared" si="1"/>
        <v>227.58206075758602</v>
      </c>
      <c r="G22" s="7">
        <f t="shared" si="2"/>
        <v>263.51645005047692</v>
      </c>
      <c r="H22" s="7">
        <f t="shared" si="3"/>
        <v>138.04548065036482</v>
      </c>
      <c r="I22" s="7">
        <f t="shared" si="4"/>
        <v>221.88998423638728</v>
      </c>
      <c r="J22" s="7">
        <f t="shared" si="5"/>
        <v>265.57973761075937</v>
      </c>
      <c r="K22" s="7">
        <f t="shared" si="6"/>
        <v>129.13582982187251</v>
      </c>
      <c r="L22" s="7">
        <f t="shared" si="7"/>
        <v>182.42780607294358</v>
      </c>
      <c r="M22" s="7">
        <f t="shared" si="8"/>
        <v>199.6916072329291</v>
      </c>
      <c r="N22" s="22"/>
      <c r="O22" s="7" t="e">
        <f t="shared" ca="1" si="9"/>
        <v>#NUM!</v>
      </c>
      <c r="P22" s="7" t="e">
        <f t="shared" ca="1" si="10"/>
        <v>#NUM!</v>
      </c>
      <c r="Q22" s="7" t="e">
        <f t="shared" ca="1" si="11"/>
        <v>#NUM!</v>
      </c>
      <c r="R22" s="7" t="e">
        <f t="shared" ca="1" si="12"/>
        <v>#NUM!</v>
      </c>
      <c r="S22" s="7" t="e">
        <f t="shared" ca="1" si="13"/>
        <v>#NUM!</v>
      </c>
      <c r="T22" s="7" t="e">
        <f t="shared" ca="1" si="14"/>
        <v>#NUM!</v>
      </c>
      <c r="U22" s="7" t="e">
        <f t="shared" ca="1" si="15"/>
        <v>#NUM!</v>
      </c>
      <c r="V22" s="7" t="e">
        <f t="shared" ca="1" si="16"/>
        <v>#NUM!</v>
      </c>
      <c r="W22" s="7" t="e">
        <f t="shared" ca="1" si="17"/>
        <v>#NUM!</v>
      </c>
      <c r="X22" s="22"/>
      <c r="Y22"/>
      <c r="Z22" s="10">
        <v>0.72142921688196926</v>
      </c>
      <c r="AA22"/>
      <c r="AB22" s="22"/>
    </row>
    <row r="23" spans="1:28" x14ac:dyDescent="0.25">
      <c r="A23" s="16"/>
      <c r="B23" s="3" t="s">
        <v>17</v>
      </c>
      <c r="C23" s="3" t="s">
        <v>38</v>
      </c>
      <c r="D23" s="11" t="s">
        <v>19</v>
      </c>
      <c r="E23" s="7">
        <f t="shared" si="0"/>
        <v>202.37797964639879</v>
      </c>
      <c r="F23" s="7">
        <f t="shared" si="1"/>
        <v>267.42410865518769</v>
      </c>
      <c r="G23" s="7">
        <f t="shared" si="2"/>
        <v>309.6494140888874</v>
      </c>
      <c r="H23" s="7">
        <f t="shared" si="3"/>
        <v>162.21265197226325</v>
      </c>
      <c r="I23" s="7">
        <f t="shared" si="4"/>
        <v>260.73553889265224</v>
      </c>
      <c r="J23" s="7">
        <f t="shared" si="5"/>
        <v>312.07391466187232</v>
      </c>
      <c r="K23" s="7">
        <f t="shared" si="6"/>
        <v>151.74321767982818</v>
      </c>
      <c r="L23" s="7">
        <f t="shared" si="7"/>
        <v>214.36484611563213</v>
      </c>
      <c r="M23" s="7">
        <f t="shared" si="8"/>
        <v>234.65096454623711</v>
      </c>
      <c r="N23" s="22"/>
      <c r="O23" s="7" t="e">
        <f t="shared" ca="1" si="9"/>
        <v>#NUM!</v>
      </c>
      <c r="P23" s="7" t="e">
        <f t="shared" ca="1" si="10"/>
        <v>#NUM!</v>
      </c>
      <c r="Q23" s="7" t="e">
        <f t="shared" ca="1" si="11"/>
        <v>#NUM!</v>
      </c>
      <c r="R23" s="7" t="e">
        <f t="shared" ca="1" si="12"/>
        <v>#NUM!</v>
      </c>
      <c r="S23" s="7" t="e">
        <f t="shared" ca="1" si="13"/>
        <v>#NUM!</v>
      </c>
      <c r="T23" s="7" t="e">
        <f t="shared" ca="1" si="14"/>
        <v>#NUM!</v>
      </c>
      <c r="U23" s="7" t="e">
        <f t="shared" ca="1" si="15"/>
        <v>#NUM!</v>
      </c>
      <c r="V23" s="7" t="e">
        <f t="shared" ca="1" si="16"/>
        <v>#NUM!</v>
      </c>
      <c r="W23" s="7" t="e">
        <f t="shared" ca="1" si="17"/>
        <v>#NUM!</v>
      </c>
      <c r="X23" s="22"/>
      <c r="Y23"/>
      <c r="Z23" s="10">
        <v>0.84772747307166585</v>
      </c>
      <c r="AA23"/>
      <c r="AB23" s="22"/>
    </row>
    <row r="24" spans="1:28" x14ac:dyDescent="0.25">
      <c r="A24" s="16"/>
      <c r="B24" s="3" t="s">
        <v>17</v>
      </c>
      <c r="C24" s="3" t="s">
        <v>39</v>
      </c>
      <c r="D24" s="11" t="s">
        <v>19</v>
      </c>
      <c r="E24" s="7">
        <f t="shared" si="0"/>
        <v>171.65433975263224</v>
      </c>
      <c r="F24" s="7">
        <f t="shared" si="1"/>
        <v>226.82561059927687</v>
      </c>
      <c r="G24" s="7">
        <f t="shared" si="2"/>
        <v>262.64055913142033</v>
      </c>
      <c r="H24" s="7">
        <f t="shared" si="3"/>
        <v>137.58663725407857</v>
      </c>
      <c r="I24" s="7">
        <f t="shared" si="4"/>
        <v>221.15245372478154</v>
      </c>
      <c r="J24" s="7">
        <f t="shared" si="5"/>
        <v>264.69698861951372</v>
      </c>
      <c r="K24" s="7">
        <f t="shared" si="6"/>
        <v>128.7066008282209</v>
      </c>
      <c r="L24" s="7">
        <f t="shared" si="7"/>
        <v>181.82144218677215</v>
      </c>
      <c r="M24" s="7">
        <f t="shared" si="8"/>
        <v>199.02786094553935</v>
      </c>
      <c r="N24" s="22"/>
      <c r="O24" s="7" t="e">
        <f t="shared" ca="1" si="9"/>
        <v>#NUM!</v>
      </c>
      <c r="P24" s="7" t="e">
        <f t="shared" ca="1" si="10"/>
        <v>#NUM!</v>
      </c>
      <c r="Q24" s="7" t="e">
        <f t="shared" ca="1" si="11"/>
        <v>#NUM!</v>
      </c>
      <c r="R24" s="7" t="e">
        <f t="shared" ca="1" si="12"/>
        <v>#NUM!</v>
      </c>
      <c r="S24" s="7" t="e">
        <f t="shared" ca="1" si="13"/>
        <v>#NUM!</v>
      </c>
      <c r="T24" s="7" t="e">
        <f t="shared" ca="1" si="14"/>
        <v>#NUM!</v>
      </c>
      <c r="U24" s="7" t="e">
        <f t="shared" ca="1" si="15"/>
        <v>#NUM!</v>
      </c>
      <c r="V24" s="7" t="e">
        <f t="shared" ca="1" si="16"/>
        <v>#NUM!</v>
      </c>
      <c r="W24" s="7" t="e">
        <f t="shared" ca="1" si="17"/>
        <v>#NUM!</v>
      </c>
      <c r="X24" s="22"/>
      <c r="Y24"/>
      <c r="Z24" s="10">
        <v>0.71903128954313345</v>
      </c>
      <c r="AA24"/>
      <c r="AB24" s="22"/>
    </row>
    <row r="25" spans="1:28" x14ac:dyDescent="0.25">
      <c r="A25" s="16"/>
      <c r="B25" s="3" t="s">
        <v>17</v>
      </c>
      <c r="C25" s="3" t="s">
        <v>40</v>
      </c>
      <c r="D25" s="11" t="s">
        <v>19</v>
      </c>
      <c r="E25" s="7">
        <f t="shared" si="0"/>
        <v>238.73</v>
      </c>
      <c r="F25" s="7">
        <f t="shared" si="1"/>
        <v>315.45999999999998</v>
      </c>
      <c r="G25" s="7">
        <f t="shared" si="2"/>
        <v>365.27</v>
      </c>
      <c r="H25" s="7">
        <f t="shared" si="3"/>
        <v>191.35</v>
      </c>
      <c r="I25" s="7">
        <f t="shared" si="4"/>
        <v>307.57</v>
      </c>
      <c r="J25" s="7">
        <f t="shared" si="5"/>
        <v>368.13</v>
      </c>
      <c r="K25" s="7">
        <f t="shared" si="6"/>
        <v>179</v>
      </c>
      <c r="L25" s="7">
        <f t="shared" si="7"/>
        <v>252.87</v>
      </c>
      <c r="M25" s="7">
        <f t="shared" si="8"/>
        <v>276.8</v>
      </c>
      <c r="N25" s="22"/>
      <c r="O25" s="7" t="e">
        <f t="shared" ca="1" si="9"/>
        <v>#NUM!</v>
      </c>
      <c r="P25" s="7" t="e">
        <f t="shared" ca="1" si="10"/>
        <v>#NUM!</v>
      </c>
      <c r="Q25" s="7" t="e">
        <f t="shared" ca="1" si="11"/>
        <v>#NUM!</v>
      </c>
      <c r="R25" s="7" t="e">
        <f t="shared" ca="1" si="12"/>
        <v>#NUM!</v>
      </c>
      <c r="S25" s="7" t="e">
        <f t="shared" ca="1" si="13"/>
        <v>#NUM!</v>
      </c>
      <c r="T25" s="7" t="e">
        <f t="shared" ca="1" si="14"/>
        <v>#NUM!</v>
      </c>
      <c r="U25" s="7" t="e">
        <f t="shared" ca="1" si="15"/>
        <v>#NUM!</v>
      </c>
      <c r="V25" s="7" t="e">
        <f t="shared" ca="1" si="16"/>
        <v>#NUM!</v>
      </c>
      <c r="W25" s="7" t="e">
        <f t="shared" ca="1" si="17"/>
        <v>#NUM!</v>
      </c>
      <c r="X25" s="22"/>
      <c r="Y25"/>
      <c r="Z25" s="10">
        <v>1</v>
      </c>
      <c r="AA25"/>
      <c r="AB25" s="22"/>
    </row>
    <row r="26" spans="1:28" x14ac:dyDescent="0.25">
      <c r="A26" s="16"/>
      <c r="B26" s="3" t="s">
        <v>17</v>
      </c>
      <c r="C26" s="3" t="s">
        <v>41</v>
      </c>
      <c r="D26" s="11" t="s">
        <v>19</v>
      </c>
      <c r="E26" s="7">
        <f t="shared" si="0"/>
        <v>220.88859778249241</v>
      </c>
      <c r="F26" s="7">
        <f t="shared" si="1"/>
        <v>291.88420833772489</v>
      </c>
      <c r="G26" s="7">
        <f t="shared" si="2"/>
        <v>337.97167558334104</v>
      </c>
      <c r="H26" s="7">
        <f t="shared" si="3"/>
        <v>177.04952534528516</v>
      </c>
      <c r="I26" s="7">
        <f t="shared" si="4"/>
        <v>284.58386470054535</v>
      </c>
      <c r="J26" s="7">
        <f t="shared" si="5"/>
        <v>340.61793449364944</v>
      </c>
      <c r="K26" s="7">
        <f t="shared" si="6"/>
        <v>165.62249823258972</v>
      </c>
      <c r="L26" s="7">
        <f t="shared" si="7"/>
        <v>233.97184987751376</v>
      </c>
      <c r="M26" s="7">
        <f t="shared" si="8"/>
        <v>256.11344978089852</v>
      </c>
      <c r="N26" s="22"/>
      <c r="O26" s="7" t="e">
        <f t="shared" ca="1" si="9"/>
        <v>#NUM!</v>
      </c>
      <c r="P26" s="7" t="e">
        <f t="shared" ca="1" si="10"/>
        <v>#NUM!</v>
      </c>
      <c r="Q26" s="7" t="e">
        <f t="shared" ca="1" si="11"/>
        <v>#NUM!</v>
      </c>
      <c r="R26" s="7" t="e">
        <f t="shared" ca="1" si="12"/>
        <v>#NUM!</v>
      </c>
      <c r="S26" s="7" t="e">
        <f t="shared" ca="1" si="13"/>
        <v>#NUM!</v>
      </c>
      <c r="T26" s="7" t="e">
        <f t="shared" ca="1" si="14"/>
        <v>#NUM!</v>
      </c>
      <c r="U26" s="7" t="e">
        <f t="shared" ca="1" si="15"/>
        <v>#NUM!</v>
      </c>
      <c r="V26" s="7" t="e">
        <f t="shared" ca="1" si="16"/>
        <v>#NUM!</v>
      </c>
      <c r="W26" s="7" t="e">
        <f t="shared" ca="1" si="17"/>
        <v>#NUM!</v>
      </c>
      <c r="X26" s="22"/>
      <c r="Y26"/>
      <c r="Z26" s="10">
        <v>0.92526535325469117</v>
      </c>
      <c r="AA26"/>
      <c r="AB26" s="22"/>
    </row>
    <row r="27" spans="1:28" x14ac:dyDescent="0.25">
      <c r="A27" s="16"/>
      <c r="B27" s="3" t="s">
        <v>17</v>
      </c>
      <c r="C27" s="3" t="s">
        <v>42</v>
      </c>
      <c r="D27" s="11" t="s">
        <v>19</v>
      </c>
      <c r="E27" s="7">
        <f t="shared" si="0"/>
        <v>229.28511792399013</v>
      </c>
      <c r="F27" s="7">
        <f t="shared" si="1"/>
        <v>302.97944665648191</v>
      </c>
      <c r="G27" s="7">
        <f t="shared" si="2"/>
        <v>350.81881214801609</v>
      </c>
      <c r="H27" s="7">
        <f t="shared" si="3"/>
        <v>183.77961427032847</v>
      </c>
      <c r="I27" s="7">
        <f t="shared" si="4"/>
        <v>295.40159896067377</v>
      </c>
      <c r="J27" s="7">
        <f t="shared" si="5"/>
        <v>353.56566188312524</v>
      </c>
      <c r="K27" s="7">
        <f t="shared" si="6"/>
        <v>171.91821768690249</v>
      </c>
      <c r="L27" s="7">
        <f t="shared" si="7"/>
        <v>242.86569668428513</v>
      </c>
      <c r="M27" s="7">
        <f t="shared" si="8"/>
        <v>265.8489533839923</v>
      </c>
      <c r="N27" s="22"/>
      <c r="O27" s="7" t="e">
        <f t="shared" ca="1" si="9"/>
        <v>#NUM!</v>
      </c>
      <c r="P27" s="7" t="e">
        <f t="shared" ca="1" si="10"/>
        <v>#NUM!</v>
      </c>
      <c r="Q27" s="7" t="e">
        <f t="shared" ca="1" si="11"/>
        <v>#NUM!</v>
      </c>
      <c r="R27" s="7" t="e">
        <f t="shared" ca="1" si="12"/>
        <v>#NUM!</v>
      </c>
      <c r="S27" s="7" t="e">
        <f t="shared" ca="1" si="13"/>
        <v>#NUM!</v>
      </c>
      <c r="T27" s="7" t="e">
        <f t="shared" ca="1" si="14"/>
        <v>#NUM!</v>
      </c>
      <c r="U27" s="7" t="e">
        <f t="shared" ca="1" si="15"/>
        <v>#NUM!</v>
      </c>
      <c r="V27" s="7" t="e">
        <f t="shared" ca="1" si="16"/>
        <v>#NUM!</v>
      </c>
      <c r="W27" s="7" t="e">
        <f t="shared" ca="1" si="17"/>
        <v>#NUM!</v>
      </c>
      <c r="X27" s="22"/>
      <c r="Y27"/>
      <c r="Z27" s="10">
        <v>0.9604369703178911</v>
      </c>
      <c r="AA27"/>
      <c r="AB27" s="22"/>
    </row>
    <row r="28" spans="1:28" x14ac:dyDescent="0.25">
      <c r="A28" s="16"/>
      <c r="B28" s="3" t="s">
        <v>17</v>
      </c>
      <c r="C28" s="3" t="s">
        <v>43</v>
      </c>
      <c r="D28" s="11" t="s">
        <v>19</v>
      </c>
      <c r="E28" s="7">
        <f t="shared" si="0"/>
        <v>172.41759882140781</v>
      </c>
      <c r="F28" s="7">
        <f t="shared" si="1"/>
        <v>227.83418809618107</v>
      </c>
      <c r="G28" s="7">
        <f t="shared" si="2"/>
        <v>263.80838738950126</v>
      </c>
      <c r="H28" s="7">
        <f t="shared" si="3"/>
        <v>138.19841467128717</v>
      </c>
      <c r="I28" s="7">
        <f t="shared" si="4"/>
        <v>222.13580559418759</v>
      </c>
      <c r="J28" s="7">
        <f t="shared" si="5"/>
        <v>265.87396076791714</v>
      </c>
      <c r="K28" s="7">
        <f t="shared" si="6"/>
        <v>129.27889326449127</v>
      </c>
      <c r="L28" s="7">
        <f t="shared" si="7"/>
        <v>182.62990916084865</v>
      </c>
      <c r="M28" s="7">
        <f t="shared" si="8"/>
        <v>199.91283606486695</v>
      </c>
      <c r="N28" s="22"/>
      <c r="O28" s="7" t="e">
        <f t="shared" ca="1" si="9"/>
        <v>#NUM!</v>
      </c>
      <c r="P28" s="7" t="e">
        <f t="shared" ca="1" si="10"/>
        <v>#NUM!</v>
      </c>
      <c r="Q28" s="7" t="e">
        <f t="shared" ca="1" si="11"/>
        <v>#NUM!</v>
      </c>
      <c r="R28" s="7" t="e">
        <f t="shared" ca="1" si="12"/>
        <v>#NUM!</v>
      </c>
      <c r="S28" s="7" t="e">
        <f t="shared" ca="1" si="13"/>
        <v>#NUM!</v>
      </c>
      <c r="T28" s="7" t="e">
        <f t="shared" ca="1" si="14"/>
        <v>#NUM!</v>
      </c>
      <c r="U28" s="7" t="e">
        <f t="shared" ca="1" si="15"/>
        <v>#NUM!</v>
      </c>
      <c r="V28" s="7" t="e">
        <f t="shared" ca="1" si="16"/>
        <v>#NUM!</v>
      </c>
      <c r="W28" s="7" t="e">
        <f t="shared" ca="1" si="17"/>
        <v>#NUM!</v>
      </c>
      <c r="X28" s="22"/>
      <c r="Y28"/>
      <c r="Z28" s="10">
        <v>0.72222845399157132</v>
      </c>
      <c r="AA28"/>
      <c r="AB28" s="22"/>
    </row>
    <row r="29" spans="1:28" x14ac:dyDescent="0.25">
      <c r="A29" s="16"/>
      <c r="B29" s="3" t="s">
        <v>17</v>
      </c>
      <c r="C29" s="3" t="s">
        <v>44</v>
      </c>
      <c r="D29" s="11" t="s">
        <v>19</v>
      </c>
      <c r="E29" s="7">
        <f t="shared" si="0"/>
        <v>171.47285519713444</v>
      </c>
      <c r="F29" s="7">
        <f t="shared" si="1"/>
        <v>226.58579525190814</v>
      </c>
      <c r="G29" s="7">
        <f t="shared" si="2"/>
        <v>262.36287780277843</v>
      </c>
      <c r="H29" s="7">
        <f t="shared" si="3"/>
        <v>137.44117137339956</v>
      </c>
      <c r="I29" s="7">
        <f t="shared" si="4"/>
        <v>220.91863642182651</v>
      </c>
      <c r="J29" s="7">
        <f t="shared" si="5"/>
        <v>264.41713309479792</v>
      </c>
      <c r="K29" s="7">
        <f t="shared" si="6"/>
        <v>128.57052352149736</v>
      </c>
      <c r="L29" s="7">
        <f t="shared" si="7"/>
        <v>181.6292082842516</v>
      </c>
      <c r="M29" s="7">
        <f t="shared" si="8"/>
        <v>198.81743525558923</v>
      </c>
      <c r="N29" s="22"/>
      <c r="O29" s="7" t="e">
        <f t="shared" ca="1" si="9"/>
        <v>#NUM!</v>
      </c>
      <c r="P29" s="7" t="e">
        <f t="shared" ca="1" si="10"/>
        <v>#NUM!</v>
      </c>
      <c r="Q29" s="7" t="e">
        <f t="shared" ca="1" si="11"/>
        <v>#NUM!</v>
      </c>
      <c r="R29" s="7" t="e">
        <f t="shared" ca="1" si="12"/>
        <v>#NUM!</v>
      </c>
      <c r="S29" s="7" t="e">
        <f t="shared" ca="1" si="13"/>
        <v>#NUM!</v>
      </c>
      <c r="T29" s="7" t="e">
        <f t="shared" ca="1" si="14"/>
        <v>#NUM!</v>
      </c>
      <c r="U29" s="7" t="e">
        <f t="shared" ca="1" si="15"/>
        <v>#NUM!</v>
      </c>
      <c r="V29" s="7" t="e">
        <f t="shared" ca="1" si="16"/>
        <v>#NUM!</v>
      </c>
      <c r="W29" s="7" t="e">
        <f t="shared" ca="1" si="17"/>
        <v>#NUM!</v>
      </c>
      <c r="X29" s="22"/>
      <c r="Y29"/>
      <c r="Z29" s="10">
        <v>0.71827108112568361</v>
      </c>
      <c r="AA29"/>
      <c r="AB29" s="22"/>
    </row>
    <row r="30" spans="1:28" x14ac:dyDescent="0.25">
      <c r="A30" s="16"/>
      <c r="B30" s="3" t="s">
        <v>17</v>
      </c>
      <c r="C30" s="3" t="s">
        <v>45</v>
      </c>
      <c r="D30" s="11" t="s">
        <v>19</v>
      </c>
      <c r="E30" s="7">
        <f t="shared" si="0"/>
        <v>216.37359937942219</v>
      </c>
      <c r="F30" s="7">
        <f t="shared" si="1"/>
        <v>285.91804825632522</v>
      </c>
      <c r="G30" s="7">
        <f t="shared" si="2"/>
        <v>331.06348027194548</v>
      </c>
      <c r="H30" s="7">
        <f t="shared" si="3"/>
        <v>173.43060462133974</v>
      </c>
      <c r="I30" s="7">
        <f t="shared" si="4"/>
        <v>278.76692481518404</v>
      </c>
      <c r="J30" s="7">
        <f t="shared" si="5"/>
        <v>333.65564922526153</v>
      </c>
      <c r="K30" s="7">
        <f t="shared" si="6"/>
        <v>162.23714777747486</v>
      </c>
      <c r="L30" s="7">
        <f t="shared" si="7"/>
        <v>229.18942770106182</v>
      </c>
      <c r="M30" s="7">
        <f t="shared" si="8"/>
        <v>250.8784497475142</v>
      </c>
      <c r="N30" s="22"/>
      <c r="O30" s="7" t="e">
        <f t="shared" ca="1" si="9"/>
        <v>#NUM!</v>
      </c>
      <c r="P30" s="7" t="e">
        <f t="shared" ca="1" si="10"/>
        <v>#NUM!</v>
      </c>
      <c r="Q30" s="7" t="e">
        <f t="shared" ca="1" si="11"/>
        <v>#NUM!</v>
      </c>
      <c r="R30" s="7" t="e">
        <f t="shared" ca="1" si="12"/>
        <v>#NUM!</v>
      </c>
      <c r="S30" s="7" t="e">
        <f t="shared" ca="1" si="13"/>
        <v>#NUM!</v>
      </c>
      <c r="T30" s="7" t="e">
        <f t="shared" ca="1" si="14"/>
        <v>#NUM!</v>
      </c>
      <c r="U30" s="7" t="e">
        <f t="shared" ca="1" si="15"/>
        <v>#NUM!</v>
      </c>
      <c r="V30" s="7" t="e">
        <f t="shared" ca="1" si="16"/>
        <v>#NUM!</v>
      </c>
      <c r="W30" s="7" t="e">
        <f t="shared" ca="1" si="17"/>
        <v>#NUM!</v>
      </c>
      <c r="X30" s="22"/>
      <c r="Y30"/>
      <c r="Z30" s="10">
        <v>0.9063527808797478</v>
      </c>
      <c r="AA30"/>
      <c r="AB30" s="22"/>
    </row>
    <row r="31" spans="1:28" x14ac:dyDescent="0.25">
      <c r="A31" s="16"/>
      <c r="B31" s="3" t="s">
        <v>17</v>
      </c>
      <c r="C31" s="3" t="s">
        <v>46</v>
      </c>
      <c r="D31" s="11" t="s">
        <v>19</v>
      </c>
      <c r="E31" s="7">
        <f t="shared" si="0"/>
        <v>176.61591046023102</v>
      </c>
      <c r="F31" s="7">
        <f t="shared" si="1"/>
        <v>233.38187539808351</v>
      </c>
      <c r="G31" s="7">
        <f t="shared" si="2"/>
        <v>270.23203457382226</v>
      </c>
      <c r="H31" s="7">
        <f t="shared" si="3"/>
        <v>141.56350046732797</v>
      </c>
      <c r="I31" s="7">
        <f t="shared" si="4"/>
        <v>227.54473916245658</v>
      </c>
      <c r="J31" s="7">
        <f t="shared" si="5"/>
        <v>272.34790398242723</v>
      </c>
      <c r="K31" s="7">
        <f t="shared" si="6"/>
        <v>132.42679165744295</v>
      </c>
      <c r="L31" s="7">
        <f t="shared" si="7"/>
        <v>187.0768871866905</v>
      </c>
      <c r="M31" s="7">
        <f t="shared" si="8"/>
        <v>204.78064765798999</v>
      </c>
      <c r="N31" s="22"/>
      <c r="O31" s="7" t="e">
        <f t="shared" ca="1" si="9"/>
        <v>#NUM!</v>
      </c>
      <c r="P31" s="7" t="e">
        <f t="shared" ca="1" si="10"/>
        <v>#NUM!</v>
      </c>
      <c r="Q31" s="7" t="e">
        <f t="shared" ca="1" si="11"/>
        <v>#NUM!</v>
      </c>
      <c r="R31" s="7" t="e">
        <f t="shared" ca="1" si="12"/>
        <v>#NUM!</v>
      </c>
      <c r="S31" s="7" t="e">
        <f t="shared" ca="1" si="13"/>
        <v>#NUM!</v>
      </c>
      <c r="T31" s="7" t="e">
        <f t="shared" ca="1" si="14"/>
        <v>#NUM!</v>
      </c>
      <c r="U31" s="7" t="e">
        <f t="shared" ca="1" si="15"/>
        <v>#NUM!</v>
      </c>
      <c r="V31" s="7" t="e">
        <f t="shared" ca="1" si="16"/>
        <v>#NUM!</v>
      </c>
      <c r="W31" s="7" t="e">
        <f t="shared" ca="1" si="17"/>
        <v>#NUM!</v>
      </c>
      <c r="X31" s="22"/>
      <c r="Y31"/>
      <c r="Z31" s="10">
        <v>0.73981447853320081</v>
      </c>
      <c r="AA31"/>
      <c r="AB31" s="22"/>
    </row>
    <row r="32" spans="1:28" x14ac:dyDescent="0.25">
      <c r="A32" s="16"/>
      <c r="B32" s="3" t="s">
        <v>17</v>
      </c>
      <c r="C32" s="3" t="s">
        <v>47</v>
      </c>
      <c r="D32" s="11" t="s">
        <v>19</v>
      </c>
      <c r="E32" s="7">
        <f t="shared" si="0"/>
        <v>185.75088903649669</v>
      </c>
      <c r="F32" s="7">
        <f t="shared" si="1"/>
        <v>245.45291942970405</v>
      </c>
      <c r="G32" s="7">
        <f t="shared" si="2"/>
        <v>284.20905306564379</v>
      </c>
      <c r="H32" s="7">
        <f t="shared" si="3"/>
        <v>148.88548828020626</v>
      </c>
      <c r="I32" s="7">
        <f t="shared" si="4"/>
        <v>239.31387316615127</v>
      </c>
      <c r="J32" s="7">
        <f t="shared" si="5"/>
        <v>286.43436007625991</v>
      </c>
      <c r="K32" s="7">
        <f t="shared" si="6"/>
        <v>139.27620800709133</v>
      </c>
      <c r="L32" s="7">
        <f t="shared" si="7"/>
        <v>196.75293138968257</v>
      </c>
      <c r="M32" s="7">
        <f t="shared" si="8"/>
        <v>215.37237081766972</v>
      </c>
      <c r="N32" s="22"/>
      <c r="O32" s="7" t="e">
        <f t="shared" ca="1" si="9"/>
        <v>#NUM!</v>
      </c>
      <c r="P32" s="7" t="e">
        <f t="shared" ca="1" si="10"/>
        <v>#NUM!</v>
      </c>
      <c r="Q32" s="7" t="e">
        <f t="shared" ca="1" si="11"/>
        <v>#NUM!</v>
      </c>
      <c r="R32" s="7" t="e">
        <f t="shared" ca="1" si="12"/>
        <v>#NUM!</v>
      </c>
      <c r="S32" s="7" t="e">
        <f t="shared" ca="1" si="13"/>
        <v>#NUM!</v>
      </c>
      <c r="T32" s="7" t="e">
        <f t="shared" ca="1" si="14"/>
        <v>#NUM!</v>
      </c>
      <c r="U32" s="7" t="e">
        <f t="shared" ca="1" si="15"/>
        <v>#NUM!</v>
      </c>
      <c r="V32" s="7" t="e">
        <f t="shared" ca="1" si="16"/>
        <v>#NUM!</v>
      </c>
      <c r="W32" s="7" t="e">
        <f t="shared" ca="1" si="17"/>
        <v>#NUM!</v>
      </c>
      <c r="X32" s="22"/>
      <c r="Y32"/>
      <c r="Z32" s="10">
        <v>0.77807937434129226</v>
      </c>
      <c r="AA32"/>
      <c r="AB32" s="22"/>
    </row>
    <row r="33" spans="1:28" x14ac:dyDescent="0.25">
      <c r="A33" s="16"/>
      <c r="B33" s="3" t="s">
        <v>17</v>
      </c>
      <c r="C33" s="3" t="s">
        <v>48</v>
      </c>
      <c r="D33" s="11" t="s">
        <v>19</v>
      </c>
      <c r="E33" s="7">
        <f t="shared" si="0"/>
        <v>213.63699202819518</v>
      </c>
      <c r="F33" s="7">
        <f t="shared" si="1"/>
        <v>282.30187033558605</v>
      </c>
      <c r="G33" s="7">
        <f t="shared" si="2"/>
        <v>326.87632085677905</v>
      </c>
      <c r="H33" s="7">
        <f t="shared" si="3"/>
        <v>171.23712321281425</v>
      </c>
      <c r="I33" s="7">
        <f t="shared" si="4"/>
        <v>275.24119146362835</v>
      </c>
      <c r="J33" s="7">
        <f t="shared" si="5"/>
        <v>329.43570508666483</v>
      </c>
      <c r="K33" s="7">
        <f t="shared" si="6"/>
        <v>160.1852367655801</v>
      </c>
      <c r="L33" s="7">
        <f t="shared" si="7"/>
        <v>226.29073084308516</v>
      </c>
      <c r="M33" s="7">
        <f t="shared" si="8"/>
        <v>247.70543875258423</v>
      </c>
      <c r="N33" s="22"/>
      <c r="O33" s="7" t="e">
        <f t="shared" ca="1" si="9"/>
        <v>#NUM!</v>
      </c>
      <c r="P33" s="7" t="e">
        <f t="shared" ca="1" si="10"/>
        <v>#NUM!</v>
      </c>
      <c r="Q33" s="7" t="e">
        <f t="shared" ca="1" si="11"/>
        <v>#NUM!</v>
      </c>
      <c r="R33" s="7" t="e">
        <f t="shared" ca="1" si="12"/>
        <v>#NUM!</v>
      </c>
      <c r="S33" s="7" t="e">
        <f t="shared" ca="1" si="13"/>
        <v>#NUM!</v>
      </c>
      <c r="T33" s="7" t="e">
        <f t="shared" ca="1" si="14"/>
        <v>#NUM!</v>
      </c>
      <c r="U33" s="7" t="e">
        <f t="shared" ca="1" si="15"/>
        <v>#NUM!</v>
      </c>
      <c r="V33" s="7" t="e">
        <f t="shared" ca="1" si="16"/>
        <v>#NUM!</v>
      </c>
      <c r="W33" s="7" t="e">
        <f t="shared" ca="1" si="17"/>
        <v>#NUM!</v>
      </c>
      <c r="X33" s="22"/>
      <c r="Y33"/>
      <c r="Z33" s="10">
        <v>0.89488959086916264</v>
      </c>
      <c r="AA33"/>
      <c r="AB33" s="22"/>
    </row>
    <row r="34" spans="1:28" x14ac:dyDescent="0.25">
      <c r="A34" s="16"/>
      <c r="B34" s="3" t="s">
        <v>17</v>
      </c>
      <c r="C34" s="3" t="s">
        <v>49</v>
      </c>
      <c r="D34" s="11" t="s">
        <v>19</v>
      </c>
      <c r="E34" s="7">
        <f t="shared" si="0"/>
        <v>214.87068085542657</v>
      </c>
      <c r="F34" s="7">
        <f t="shared" si="1"/>
        <v>283.93207800717488</v>
      </c>
      <c r="G34" s="7">
        <f t="shared" si="2"/>
        <v>328.76393245952187</v>
      </c>
      <c r="H34" s="7">
        <f t="shared" si="3"/>
        <v>172.22596565863475</v>
      </c>
      <c r="I34" s="7">
        <f t="shared" si="4"/>
        <v>276.8306258564217</v>
      </c>
      <c r="J34" s="7">
        <f t="shared" si="5"/>
        <v>331.33809635700658</v>
      </c>
      <c r="K34" s="7">
        <f t="shared" si="6"/>
        <v>161.11025791949632</v>
      </c>
      <c r="L34" s="7">
        <f t="shared" si="7"/>
        <v>227.59749117375998</v>
      </c>
      <c r="M34" s="7">
        <f t="shared" si="8"/>
        <v>249.13586252579097</v>
      </c>
      <c r="N34" s="22"/>
      <c r="O34" s="7" t="e">
        <f t="shared" ca="1" si="9"/>
        <v>#NUM!</v>
      </c>
      <c r="P34" s="7" t="e">
        <f t="shared" ca="1" si="10"/>
        <v>#NUM!</v>
      </c>
      <c r="Q34" s="7" t="e">
        <f t="shared" ca="1" si="11"/>
        <v>#NUM!</v>
      </c>
      <c r="R34" s="7" t="e">
        <f t="shared" ca="1" si="12"/>
        <v>#NUM!</v>
      </c>
      <c r="S34" s="7" t="e">
        <f t="shared" ca="1" si="13"/>
        <v>#NUM!</v>
      </c>
      <c r="T34" s="7" t="e">
        <f t="shared" ca="1" si="14"/>
        <v>#NUM!</v>
      </c>
      <c r="U34" s="7" t="e">
        <f t="shared" ca="1" si="15"/>
        <v>#NUM!</v>
      </c>
      <c r="V34" s="7" t="e">
        <f t="shared" ca="1" si="16"/>
        <v>#NUM!</v>
      </c>
      <c r="W34" s="7" t="e">
        <f t="shared" ca="1" si="17"/>
        <v>#NUM!</v>
      </c>
      <c r="X34" s="22"/>
      <c r="Y34"/>
      <c r="Z34" s="10">
        <v>0.90005730681282858</v>
      </c>
      <c r="AA34"/>
      <c r="AB34" s="22"/>
    </row>
    <row r="35" spans="1:28" x14ac:dyDescent="0.25">
      <c r="A35" s="16"/>
      <c r="B35" s="3" t="s">
        <v>17</v>
      </c>
      <c r="C35" s="3" t="s">
        <v>50</v>
      </c>
      <c r="D35" s="11" t="s">
        <v>19</v>
      </c>
      <c r="E35" s="7">
        <f t="shared" si="0"/>
        <v>175.23025412759148</v>
      </c>
      <c r="F35" s="7">
        <f t="shared" si="1"/>
        <v>231.55085647840659</v>
      </c>
      <c r="G35" s="7">
        <f t="shared" si="2"/>
        <v>268.11190434878455</v>
      </c>
      <c r="H35" s="7">
        <f t="shared" si="3"/>
        <v>140.45285103386516</v>
      </c>
      <c r="I35" s="7">
        <f t="shared" si="4"/>
        <v>225.7595160307599</v>
      </c>
      <c r="J35" s="7">
        <f t="shared" si="5"/>
        <v>270.21117350978199</v>
      </c>
      <c r="K35" s="7">
        <f t="shared" si="6"/>
        <v>131.38782511137634</v>
      </c>
      <c r="L35" s="7">
        <f t="shared" si="7"/>
        <v>185.60915830119407</v>
      </c>
      <c r="M35" s="7">
        <f t="shared" si="8"/>
        <v>203.17402229513394</v>
      </c>
      <c r="N35" s="22"/>
      <c r="O35" s="7" t="e">
        <f t="shared" ca="1" si="9"/>
        <v>#NUM!</v>
      </c>
      <c r="P35" s="7" t="e">
        <f t="shared" ca="1" si="10"/>
        <v>#NUM!</v>
      </c>
      <c r="Q35" s="7" t="e">
        <f t="shared" ca="1" si="11"/>
        <v>#NUM!</v>
      </c>
      <c r="R35" s="7" t="e">
        <f t="shared" ca="1" si="12"/>
        <v>#NUM!</v>
      </c>
      <c r="S35" s="7" t="e">
        <f t="shared" ca="1" si="13"/>
        <v>#NUM!</v>
      </c>
      <c r="T35" s="7" t="e">
        <f t="shared" ca="1" si="14"/>
        <v>#NUM!</v>
      </c>
      <c r="U35" s="7" t="e">
        <f t="shared" ca="1" si="15"/>
        <v>#NUM!</v>
      </c>
      <c r="V35" s="7" t="e">
        <f t="shared" ca="1" si="16"/>
        <v>#NUM!</v>
      </c>
      <c r="W35" s="7" t="e">
        <f t="shared" ca="1" si="17"/>
        <v>#NUM!</v>
      </c>
      <c r="X35" s="22"/>
      <c r="Y35"/>
      <c r="Z35" s="10">
        <v>0.7340101961529405</v>
      </c>
      <c r="AA35"/>
      <c r="AB35" s="22"/>
    </row>
    <row r="36" spans="1:28" x14ac:dyDescent="0.25">
      <c r="A36" s="16"/>
      <c r="B36" s="3" t="s">
        <v>17</v>
      </c>
      <c r="C36" s="3" t="s">
        <v>51</v>
      </c>
      <c r="D36" s="11" t="s">
        <v>19</v>
      </c>
      <c r="E36" s="7">
        <f t="shared" si="0"/>
        <v>213.06453483459495</v>
      </c>
      <c r="F36" s="7">
        <f t="shared" si="1"/>
        <v>281.54542017727692</v>
      </c>
      <c r="G36" s="7">
        <f t="shared" si="2"/>
        <v>326.00042993772252</v>
      </c>
      <c r="H36" s="7">
        <f t="shared" si="3"/>
        <v>170.77827981652806</v>
      </c>
      <c r="I36" s="7">
        <f t="shared" si="4"/>
        <v>274.50366095202264</v>
      </c>
      <c r="J36" s="7">
        <f t="shared" si="5"/>
        <v>328.55295609541923</v>
      </c>
      <c r="K36" s="7">
        <f t="shared" si="6"/>
        <v>159.75600777192852</v>
      </c>
      <c r="L36" s="7">
        <f t="shared" si="7"/>
        <v>225.68436695691378</v>
      </c>
      <c r="M36" s="7">
        <f t="shared" si="8"/>
        <v>247.0416924651945</v>
      </c>
      <c r="N36" s="22"/>
      <c r="O36" s="7" t="e">
        <f t="shared" ca="1" si="9"/>
        <v>#NUM!</v>
      </c>
      <c r="P36" s="7" t="e">
        <f t="shared" ca="1" si="10"/>
        <v>#NUM!</v>
      </c>
      <c r="Q36" s="7" t="e">
        <f t="shared" ca="1" si="11"/>
        <v>#NUM!</v>
      </c>
      <c r="R36" s="7" t="e">
        <f t="shared" ca="1" si="12"/>
        <v>#NUM!</v>
      </c>
      <c r="S36" s="7" t="e">
        <f t="shared" ca="1" si="13"/>
        <v>#NUM!</v>
      </c>
      <c r="T36" s="7" t="e">
        <f t="shared" ca="1" si="14"/>
        <v>#NUM!</v>
      </c>
      <c r="U36" s="7" t="e">
        <f t="shared" ca="1" si="15"/>
        <v>#NUM!</v>
      </c>
      <c r="V36" s="7" t="e">
        <f t="shared" ca="1" si="16"/>
        <v>#NUM!</v>
      </c>
      <c r="W36" s="7" t="e">
        <f t="shared" ca="1" si="17"/>
        <v>#NUM!</v>
      </c>
      <c r="X36" s="22"/>
      <c r="Y36"/>
      <c r="Z36" s="10">
        <v>0.89249166353032694</v>
      </c>
      <c r="AA36"/>
      <c r="AB36" s="22"/>
    </row>
    <row r="37" spans="1:28" x14ac:dyDescent="0.25">
      <c r="A37" s="16"/>
      <c r="B37" s="3" t="s">
        <v>17</v>
      </c>
      <c r="C37" s="3" t="s">
        <v>52</v>
      </c>
      <c r="D37" s="11" t="s">
        <v>19</v>
      </c>
      <c r="E37" s="7">
        <f t="shared" si="0"/>
        <v>237.97859282175727</v>
      </c>
      <c r="F37" s="7">
        <f t="shared" si="1"/>
        <v>314.46708369937397</v>
      </c>
      <c r="G37" s="7">
        <f t="shared" si="2"/>
        <v>364.12030578479153</v>
      </c>
      <c r="H37" s="7">
        <f t="shared" si="3"/>
        <v>190.74772226550184</v>
      </c>
      <c r="I37" s="7">
        <f t="shared" si="4"/>
        <v>306.60191762320568</v>
      </c>
      <c r="J37" s="7">
        <f t="shared" si="5"/>
        <v>366.97130388084241</v>
      </c>
      <c r="K37" s="7">
        <f t="shared" si="6"/>
        <v>178.43659412346398</v>
      </c>
      <c r="L37" s="7">
        <f t="shared" si="7"/>
        <v>252.07408690502982</v>
      </c>
      <c r="M37" s="7">
        <f t="shared" si="8"/>
        <v>275.92876677863035</v>
      </c>
      <c r="N37" s="22"/>
      <c r="O37" s="7" t="e">
        <f t="shared" ca="1" si="9"/>
        <v>#NUM!</v>
      </c>
      <c r="P37" s="7" t="e">
        <f t="shared" ca="1" si="10"/>
        <v>#NUM!</v>
      </c>
      <c r="Q37" s="7" t="e">
        <f t="shared" ca="1" si="11"/>
        <v>#NUM!</v>
      </c>
      <c r="R37" s="7" t="e">
        <f t="shared" ca="1" si="12"/>
        <v>#NUM!</v>
      </c>
      <c r="S37" s="7" t="e">
        <f t="shared" ca="1" si="13"/>
        <v>#NUM!</v>
      </c>
      <c r="T37" s="7" t="e">
        <f t="shared" ca="1" si="14"/>
        <v>#NUM!</v>
      </c>
      <c r="U37" s="7" t="e">
        <f t="shared" ca="1" si="15"/>
        <v>#NUM!</v>
      </c>
      <c r="V37" s="7" t="e">
        <f t="shared" ca="1" si="16"/>
        <v>#NUM!</v>
      </c>
      <c r="W37" s="7" t="e">
        <f t="shared" ca="1" si="17"/>
        <v>#NUM!</v>
      </c>
      <c r="X37" s="22"/>
      <c r="Y37"/>
      <c r="Z37" s="10">
        <v>0.99685248113667024</v>
      </c>
      <c r="AA37"/>
      <c r="AB37" s="22"/>
    </row>
    <row r="38" spans="1:28" x14ac:dyDescent="0.25">
      <c r="A38" s="16"/>
      <c r="B38" s="3" t="s">
        <v>17</v>
      </c>
      <c r="C38" s="3" t="s">
        <v>53</v>
      </c>
      <c r="D38" s="11" t="s">
        <v>19</v>
      </c>
      <c r="E38" s="7">
        <f t="shared" si="0"/>
        <v>236.53672367828736</v>
      </c>
      <c r="F38" s="7">
        <f t="shared" si="1"/>
        <v>312.56178465862075</v>
      </c>
      <c r="G38" s="7">
        <f t="shared" si="2"/>
        <v>361.91416687457809</v>
      </c>
      <c r="H38" s="7">
        <f t="shared" si="3"/>
        <v>189.59201640279935</v>
      </c>
      <c r="I38" s="7">
        <f t="shared" si="4"/>
        <v>304.74427219759076</v>
      </c>
      <c r="J38" s="7">
        <f t="shared" si="5"/>
        <v>364.74789129010986</v>
      </c>
      <c r="K38" s="7">
        <f t="shared" si="6"/>
        <v>177.35547915391211</v>
      </c>
      <c r="L38" s="7">
        <f t="shared" si="7"/>
        <v>250.54681571871373</v>
      </c>
      <c r="M38" s="7">
        <f t="shared" si="8"/>
        <v>274.25696441230656</v>
      </c>
      <c r="N38" s="22"/>
      <c r="O38" s="7" t="e">
        <f t="shared" ca="1" si="9"/>
        <v>#NUM!</v>
      </c>
      <c r="P38" s="7" t="e">
        <f t="shared" ca="1" si="10"/>
        <v>#NUM!</v>
      </c>
      <c r="Q38" s="7" t="e">
        <f t="shared" ca="1" si="11"/>
        <v>#NUM!</v>
      </c>
      <c r="R38" s="7" t="e">
        <f t="shared" ca="1" si="12"/>
        <v>#NUM!</v>
      </c>
      <c r="S38" s="7" t="e">
        <f t="shared" ca="1" si="13"/>
        <v>#NUM!</v>
      </c>
      <c r="T38" s="7" t="e">
        <f t="shared" ca="1" si="14"/>
        <v>#NUM!</v>
      </c>
      <c r="U38" s="7" t="e">
        <f t="shared" ca="1" si="15"/>
        <v>#NUM!</v>
      </c>
      <c r="V38" s="7" t="e">
        <f t="shared" ca="1" si="16"/>
        <v>#NUM!</v>
      </c>
      <c r="W38" s="7" t="e">
        <f t="shared" ca="1" si="17"/>
        <v>#NUM!</v>
      </c>
      <c r="X38" s="22"/>
      <c r="Y38"/>
      <c r="Z38" s="10">
        <v>0.99081273270341963</v>
      </c>
      <c r="AA38"/>
      <c r="AB38" s="22"/>
    </row>
    <row r="39" spans="1:28" x14ac:dyDescent="0.25">
      <c r="A39" s="16"/>
      <c r="B39" s="3" t="s">
        <v>17</v>
      </c>
      <c r="C39" s="3" t="s">
        <v>54</v>
      </c>
      <c r="D39" s="11" t="s">
        <v>19</v>
      </c>
      <c r="E39" s="7">
        <f t="shared" si="0"/>
        <v>200.02897495961403</v>
      </c>
      <c r="F39" s="7">
        <f t="shared" si="1"/>
        <v>264.3201124314491</v>
      </c>
      <c r="G39" s="7">
        <f t="shared" si="2"/>
        <v>306.05530801951249</v>
      </c>
      <c r="H39" s="7">
        <f t="shared" si="3"/>
        <v>160.32984693386734</v>
      </c>
      <c r="I39" s="7">
        <f t="shared" si="4"/>
        <v>257.70917701306286</v>
      </c>
      <c r="J39" s="7">
        <f t="shared" si="5"/>
        <v>308.45166737269182</v>
      </c>
      <c r="K39" s="7">
        <f t="shared" si="6"/>
        <v>149.98193154513851</v>
      </c>
      <c r="L39" s="7">
        <f t="shared" si="7"/>
        <v>211.87670966379429</v>
      </c>
      <c r="M39" s="7">
        <f t="shared" si="8"/>
        <v>231.92736676924213</v>
      </c>
      <c r="N39" s="22"/>
      <c r="O39" s="7" t="e">
        <f t="shared" ca="1" si="9"/>
        <v>#NUM!</v>
      </c>
      <c r="P39" s="7" t="e">
        <f t="shared" ca="1" si="10"/>
        <v>#NUM!</v>
      </c>
      <c r="Q39" s="7" t="e">
        <f t="shared" ca="1" si="11"/>
        <v>#NUM!</v>
      </c>
      <c r="R39" s="7" t="e">
        <f t="shared" ca="1" si="12"/>
        <v>#NUM!</v>
      </c>
      <c r="S39" s="7" t="e">
        <f t="shared" ca="1" si="13"/>
        <v>#NUM!</v>
      </c>
      <c r="T39" s="7" t="e">
        <f t="shared" ca="1" si="14"/>
        <v>#NUM!</v>
      </c>
      <c r="U39" s="7" t="e">
        <f t="shared" ca="1" si="15"/>
        <v>#NUM!</v>
      </c>
      <c r="V39" s="7" t="e">
        <f t="shared" ca="1" si="16"/>
        <v>#NUM!</v>
      </c>
      <c r="W39" s="7" t="e">
        <f t="shared" ca="1" si="17"/>
        <v>#NUM!</v>
      </c>
      <c r="X39" s="22"/>
      <c r="Y39"/>
      <c r="Z39" s="10">
        <v>0.83788788572703077</v>
      </c>
      <c r="AA39"/>
      <c r="AB39" s="22"/>
    </row>
    <row r="40" spans="1:28" x14ac:dyDescent="0.25">
      <c r="A40" s="16"/>
      <c r="B40" s="3" t="s">
        <v>17</v>
      </c>
      <c r="C40" s="3" t="s">
        <v>55</v>
      </c>
      <c r="D40" s="11" t="s">
        <v>19</v>
      </c>
      <c r="E40" s="7">
        <f t="shared" si="0"/>
        <v>184.24797051250107</v>
      </c>
      <c r="F40" s="7">
        <f t="shared" si="1"/>
        <v>243.46694918055371</v>
      </c>
      <c r="G40" s="7">
        <f t="shared" si="2"/>
        <v>281.90950525322023</v>
      </c>
      <c r="H40" s="7">
        <f t="shared" si="3"/>
        <v>147.68084931750127</v>
      </c>
      <c r="I40" s="7">
        <f t="shared" si="4"/>
        <v>237.3775742073889</v>
      </c>
      <c r="J40" s="7">
        <f t="shared" si="5"/>
        <v>284.11680720800496</v>
      </c>
      <c r="K40" s="7">
        <f t="shared" si="6"/>
        <v>138.14931814911279</v>
      </c>
      <c r="L40" s="7">
        <f t="shared" si="7"/>
        <v>195.1609948623807</v>
      </c>
      <c r="M40" s="7">
        <f t="shared" si="8"/>
        <v>213.62978359594646</v>
      </c>
      <c r="N40" s="22"/>
      <c r="O40" s="7" t="e">
        <f t="shared" ca="1" si="9"/>
        <v>#NUM!</v>
      </c>
      <c r="P40" s="7" t="e">
        <f t="shared" ca="1" si="10"/>
        <v>#NUM!</v>
      </c>
      <c r="Q40" s="7" t="e">
        <f t="shared" ca="1" si="11"/>
        <v>#NUM!</v>
      </c>
      <c r="R40" s="7" t="e">
        <f t="shared" ca="1" si="12"/>
        <v>#NUM!</v>
      </c>
      <c r="S40" s="7" t="e">
        <f t="shared" ca="1" si="13"/>
        <v>#NUM!</v>
      </c>
      <c r="T40" s="7" t="e">
        <f t="shared" ca="1" si="14"/>
        <v>#NUM!</v>
      </c>
      <c r="U40" s="7" t="e">
        <f t="shared" ca="1" si="15"/>
        <v>#NUM!</v>
      </c>
      <c r="V40" s="7" t="e">
        <f t="shared" ca="1" si="16"/>
        <v>#NUM!</v>
      </c>
      <c r="W40" s="7" t="e">
        <f t="shared" ca="1" si="17"/>
        <v>#NUM!</v>
      </c>
      <c r="X40" s="22"/>
      <c r="Y40"/>
      <c r="Z40" s="10">
        <v>0.77178390027437305</v>
      </c>
      <c r="AA40"/>
      <c r="AB40" s="22"/>
    </row>
    <row r="41" spans="1:28" x14ac:dyDescent="0.25">
      <c r="A41" s="16"/>
      <c r="B41" s="3" t="s">
        <v>17</v>
      </c>
      <c r="C41" s="3" t="s">
        <v>56</v>
      </c>
      <c r="D41" s="11" t="s">
        <v>19</v>
      </c>
      <c r="E41" s="7">
        <f t="shared" si="0"/>
        <v>207.73161210983071</v>
      </c>
      <c r="F41" s="7">
        <f t="shared" si="1"/>
        <v>274.49844743504036</v>
      </c>
      <c r="G41" s="7">
        <f t="shared" si="2"/>
        <v>317.84076553159576</v>
      </c>
      <c r="H41" s="7">
        <f t="shared" si="3"/>
        <v>166.50376566504463</v>
      </c>
      <c r="I41" s="7">
        <f t="shared" si="4"/>
        <v>267.63294071386349</v>
      </c>
      <c r="J41" s="7">
        <f t="shared" si="5"/>
        <v>320.32940294890454</v>
      </c>
      <c r="K41" s="7">
        <f t="shared" si="6"/>
        <v>155.75737681757508</v>
      </c>
      <c r="L41" s="7">
        <f t="shared" si="7"/>
        <v>220.03557472547601</v>
      </c>
      <c r="M41" s="7">
        <f t="shared" si="8"/>
        <v>240.85833465421666</v>
      </c>
      <c r="N41" s="22"/>
      <c r="O41" s="7" t="e">
        <f t="shared" ca="1" si="9"/>
        <v>#NUM!</v>
      </c>
      <c r="P41" s="7" t="e">
        <f t="shared" ca="1" si="10"/>
        <v>#NUM!</v>
      </c>
      <c r="Q41" s="7" t="e">
        <f t="shared" ca="1" si="11"/>
        <v>#NUM!</v>
      </c>
      <c r="R41" s="7" t="e">
        <f t="shared" ca="1" si="12"/>
        <v>#NUM!</v>
      </c>
      <c r="S41" s="7" t="e">
        <f t="shared" ca="1" si="13"/>
        <v>#NUM!</v>
      </c>
      <c r="T41" s="7" t="e">
        <f t="shared" ca="1" si="14"/>
        <v>#NUM!</v>
      </c>
      <c r="U41" s="7" t="e">
        <f t="shared" ca="1" si="15"/>
        <v>#NUM!</v>
      </c>
      <c r="V41" s="7" t="e">
        <f t="shared" ca="1" si="16"/>
        <v>#NUM!</v>
      </c>
      <c r="W41" s="7" t="e">
        <f t="shared" ca="1" si="17"/>
        <v>#NUM!</v>
      </c>
      <c r="X41" s="22"/>
      <c r="Y41"/>
      <c r="Z41" s="10">
        <v>0.87015294311494451</v>
      </c>
      <c r="AA41"/>
      <c r="AB41" s="22"/>
    </row>
    <row r="42" spans="1:28" x14ac:dyDescent="0.25">
      <c r="A42" s="16"/>
      <c r="B42" s="3" t="s">
        <v>17</v>
      </c>
      <c r="C42" s="3" t="s">
        <v>57</v>
      </c>
      <c r="D42" s="11" t="s">
        <v>19</v>
      </c>
      <c r="E42" s="7">
        <f t="shared" si="0"/>
        <v>169.03058655376401</v>
      </c>
      <c r="F42" s="7">
        <f t="shared" si="1"/>
        <v>223.35855918506425</v>
      </c>
      <c r="G42" s="7">
        <f t="shared" si="2"/>
        <v>258.62607276208843</v>
      </c>
      <c r="H42" s="7">
        <f t="shared" si="3"/>
        <v>135.48361218557676</v>
      </c>
      <c r="I42" s="7">
        <f t="shared" si="4"/>
        <v>217.77211706254428</v>
      </c>
      <c r="J42" s="7">
        <f t="shared" si="5"/>
        <v>260.6510695263986</v>
      </c>
      <c r="K42" s="7">
        <f t="shared" si="6"/>
        <v>126.73930797605561</v>
      </c>
      <c r="L42" s="7">
        <f t="shared" si="7"/>
        <v>179.04228384304574</v>
      </c>
      <c r="M42" s="7">
        <f t="shared" si="8"/>
        <v>195.98570082554301</v>
      </c>
      <c r="N42" s="22"/>
      <c r="O42" s="7" t="e">
        <f t="shared" ca="1" si="9"/>
        <v>#NUM!</v>
      </c>
      <c r="P42" s="7" t="e">
        <f t="shared" ca="1" si="10"/>
        <v>#NUM!</v>
      </c>
      <c r="Q42" s="7" t="e">
        <f t="shared" ca="1" si="11"/>
        <v>#NUM!</v>
      </c>
      <c r="R42" s="7" t="e">
        <f t="shared" ca="1" si="12"/>
        <v>#NUM!</v>
      </c>
      <c r="S42" s="7" t="e">
        <f t="shared" ca="1" si="13"/>
        <v>#NUM!</v>
      </c>
      <c r="T42" s="7" t="e">
        <f t="shared" ca="1" si="14"/>
        <v>#NUM!</v>
      </c>
      <c r="U42" s="7" t="e">
        <f t="shared" ca="1" si="15"/>
        <v>#NUM!</v>
      </c>
      <c r="V42" s="7" t="e">
        <f t="shared" ca="1" si="16"/>
        <v>#NUM!</v>
      </c>
      <c r="W42" s="7" t="e">
        <f t="shared" ca="1" si="17"/>
        <v>#NUM!</v>
      </c>
      <c r="X42" s="22"/>
      <c r="Y42"/>
      <c r="Z42" s="10">
        <v>0.70804082668187496</v>
      </c>
      <c r="AA42"/>
      <c r="AB42" s="22"/>
    </row>
    <row r="43" spans="1:28" x14ac:dyDescent="0.25">
      <c r="A43" s="16"/>
      <c r="B43" s="3" t="s">
        <v>17</v>
      </c>
      <c r="C43" s="3" t="s">
        <v>58</v>
      </c>
      <c r="D43" s="11" t="s">
        <v>19</v>
      </c>
      <c r="E43" s="7">
        <f t="shared" si="0"/>
        <v>186.69023864019076</v>
      </c>
      <c r="F43" s="7">
        <f t="shared" si="1"/>
        <v>246.69418456597234</v>
      </c>
      <c r="G43" s="7">
        <f t="shared" si="2"/>
        <v>285.64630950489038</v>
      </c>
      <c r="H43" s="7">
        <f t="shared" si="3"/>
        <v>149.63840809198888</v>
      </c>
      <c r="I43" s="7">
        <f t="shared" si="4"/>
        <v>240.52409290228908</v>
      </c>
      <c r="J43" s="7">
        <f t="shared" si="5"/>
        <v>287.88286998120651</v>
      </c>
      <c r="K43" s="7">
        <f t="shared" si="6"/>
        <v>139.98053330789656</v>
      </c>
      <c r="L43" s="7">
        <f t="shared" si="7"/>
        <v>197.74791875736204</v>
      </c>
      <c r="M43" s="7">
        <f t="shared" si="8"/>
        <v>216.46151742807695</v>
      </c>
      <c r="N43" s="22"/>
      <c r="O43" s="7" t="e">
        <f t="shared" ca="1" si="9"/>
        <v>#NUM!</v>
      </c>
      <c r="P43" s="7" t="e">
        <f t="shared" ca="1" si="10"/>
        <v>#NUM!</v>
      </c>
      <c r="Q43" s="7" t="e">
        <f t="shared" ca="1" si="11"/>
        <v>#NUM!</v>
      </c>
      <c r="R43" s="7" t="e">
        <f t="shared" ca="1" si="12"/>
        <v>#NUM!</v>
      </c>
      <c r="S43" s="7" t="e">
        <f t="shared" ca="1" si="13"/>
        <v>#NUM!</v>
      </c>
      <c r="T43" s="7" t="e">
        <f t="shared" ca="1" si="14"/>
        <v>#NUM!</v>
      </c>
      <c r="U43" s="7" t="e">
        <f t="shared" ca="1" si="15"/>
        <v>#NUM!</v>
      </c>
      <c r="V43" s="7" t="e">
        <f t="shared" ca="1" si="16"/>
        <v>#NUM!</v>
      </c>
      <c r="W43" s="7" t="e">
        <f t="shared" ca="1" si="17"/>
        <v>#NUM!</v>
      </c>
      <c r="X43" s="22"/>
      <c r="Y43"/>
      <c r="Z43" s="10">
        <v>0.78201415255808138</v>
      </c>
      <c r="AA43"/>
      <c r="AB43" s="22"/>
    </row>
    <row r="44" spans="1:28" x14ac:dyDescent="0.25">
      <c r="A44" s="16"/>
      <c r="B44" s="3" t="s">
        <v>17</v>
      </c>
      <c r="C44" s="3" t="s">
        <v>59</v>
      </c>
      <c r="D44" s="11" t="s">
        <v>19</v>
      </c>
      <c r="E44" s="7">
        <f t="shared" si="0"/>
        <v>163.01875826923924</v>
      </c>
      <c r="F44" s="7">
        <f t="shared" si="1"/>
        <v>215.41447444231645</v>
      </c>
      <c r="G44" s="7">
        <f t="shared" si="2"/>
        <v>249.42764559546356</v>
      </c>
      <c r="H44" s="7">
        <f t="shared" si="3"/>
        <v>130.66493274753458</v>
      </c>
      <c r="I44" s="7">
        <f t="shared" si="4"/>
        <v>210.02672257726263</v>
      </c>
      <c r="J44" s="7">
        <f t="shared" si="5"/>
        <v>251.38062028926001</v>
      </c>
      <c r="K44" s="7">
        <f t="shared" si="6"/>
        <v>122.23163293341358</v>
      </c>
      <c r="L44" s="7">
        <f t="shared" si="7"/>
        <v>172.67437441269436</v>
      </c>
      <c r="M44" s="7">
        <f t="shared" si="8"/>
        <v>189.01517316183731</v>
      </c>
      <c r="N44" s="22"/>
      <c r="O44" s="7" t="e">
        <f t="shared" ca="1" si="9"/>
        <v>#NUM!</v>
      </c>
      <c r="P44" s="7" t="e">
        <f t="shared" ca="1" si="10"/>
        <v>#NUM!</v>
      </c>
      <c r="Q44" s="7" t="e">
        <f t="shared" ca="1" si="11"/>
        <v>#NUM!</v>
      </c>
      <c r="R44" s="7" t="e">
        <f t="shared" ca="1" si="12"/>
        <v>#NUM!</v>
      </c>
      <c r="S44" s="7" t="e">
        <f t="shared" ca="1" si="13"/>
        <v>#NUM!</v>
      </c>
      <c r="T44" s="7" t="e">
        <f t="shared" ca="1" si="14"/>
        <v>#NUM!</v>
      </c>
      <c r="U44" s="7" t="e">
        <f t="shared" ca="1" si="15"/>
        <v>#NUM!</v>
      </c>
      <c r="V44" s="7" t="e">
        <f t="shared" ca="1" si="16"/>
        <v>#NUM!</v>
      </c>
      <c r="W44" s="7" t="e">
        <f t="shared" ca="1" si="17"/>
        <v>#NUM!</v>
      </c>
      <c r="X44" s="22"/>
      <c r="Y44"/>
      <c r="Z44" s="10">
        <v>0.68285828454420994</v>
      </c>
      <c r="AA44"/>
      <c r="AB44" s="22"/>
    </row>
    <row r="45" spans="1:28" x14ac:dyDescent="0.25">
      <c r="A45" s="16"/>
      <c r="B45" s="3" t="s">
        <v>60</v>
      </c>
      <c r="C45" s="3" t="s">
        <v>61</v>
      </c>
      <c r="D45" s="11" t="s">
        <v>19</v>
      </c>
      <c r="E45" s="7">
        <f t="shared" si="0"/>
        <v>58.859105552531197</v>
      </c>
      <c r="F45" s="7">
        <f t="shared" si="1"/>
        <v>77.776959065058819</v>
      </c>
      <c r="G45" s="7">
        <f t="shared" si="2"/>
        <v>90.057661312667321</v>
      </c>
      <c r="H45" s="7">
        <f t="shared" si="3"/>
        <v>47.177522085522739</v>
      </c>
      <c r="I45" s="7">
        <f t="shared" si="4"/>
        <v>75.831672160147534</v>
      </c>
      <c r="J45" s="7">
        <f t="shared" si="5"/>
        <v>90.762796996830346</v>
      </c>
      <c r="K45" s="7">
        <f t="shared" si="6"/>
        <v>44.132617994818766</v>
      </c>
      <c r="L45" s="7">
        <f t="shared" si="7"/>
        <v>62.345335823183362</v>
      </c>
      <c r="M45" s="7">
        <f t="shared" si="8"/>
        <v>68.245299781932033</v>
      </c>
      <c r="N45" s="22"/>
      <c r="O45" s="7" t="e">
        <f t="shared" ca="1" si="9"/>
        <v>#NUM!</v>
      </c>
      <c r="P45" s="7" t="e">
        <f t="shared" ca="1" si="10"/>
        <v>#NUM!</v>
      </c>
      <c r="Q45" s="7" t="e">
        <f t="shared" ca="1" si="11"/>
        <v>#NUM!</v>
      </c>
      <c r="R45" s="7" t="e">
        <f t="shared" ca="1" si="12"/>
        <v>#NUM!</v>
      </c>
      <c r="S45" s="7" t="e">
        <f t="shared" ca="1" si="13"/>
        <v>#NUM!</v>
      </c>
      <c r="T45" s="7" t="e">
        <f t="shared" ca="1" si="14"/>
        <v>#NUM!</v>
      </c>
      <c r="U45" s="7" t="e">
        <f t="shared" ca="1" si="15"/>
        <v>#NUM!</v>
      </c>
      <c r="V45" s="7" t="e">
        <f t="shared" ca="1" si="16"/>
        <v>#NUM!</v>
      </c>
      <c r="W45" s="7" t="e">
        <f t="shared" ca="1" si="17"/>
        <v>#NUM!</v>
      </c>
      <c r="X45" s="22"/>
      <c r="Y45"/>
      <c r="Z45" s="10">
        <v>0.2465509385185406</v>
      </c>
      <c r="AA45"/>
      <c r="AB45" s="22"/>
    </row>
    <row r="46" spans="1:28" x14ac:dyDescent="0.25">
      <c r="A46" s="16"/>
      <c r="B46" s="3" t="s">
        <v>62</v>
      </c>
      <c r="C46" s="3" t="s">
        <v>63</v>
      </c>
      <c r="D46" s="11" t="s">
        <v>19</v>
      </c>
      <c r="E46" s="7">
        <f t="shared" si="0"/>
        <v>173.99193954095281</v>
      </c>
      <c r="F46" s="7">
        <f t="shared" si="1"/>
        <v>229.91453628613485</v>
      </c>
      <c r="G46" s="7">
        <f t="shared" si="2"/>
        <v>266.21721508031601</v>
      </c>
      <c r="H46" s="7">
        <f t="shared" si="3"/>
        <v>139.46030088870825</v>
      </c>
      <c r="I46" s="7">
        <f t="shared" si="4"/>
        <v>224.16412199811862</v>
      </c>
      <c r="J46" s="7">
        <f t="shared" si="5"/>
        <v>268.30164915683395</v>
      </c>
      <c r="K46" s="7">
        <f t="shared" si="6"/>
        <v>130.45933555828992</v>
      </c>
      <c r="L46" s="7">
        <f t="shared" si="7"/>
        <v>184.29749822695405</v>
      </c>
      <c r="M46" s="7">
        <f t="shared" si="8"/>
        <v>201.73823509795898</v>
      </c>
      <c r="N46" s="22"/>
      <c r="O46" s="7" t="e">
        <f t="shared" ca="1" si="9"/>
        <v>#NUM!</v>
      </c>
      <c r="P46" s="7" t="e">
        <f t="shared" ca="1" si="10"/>
        <v>#NUM!</v>
      </c>
      <c r="Q46" s="7" t="e">
        <f t="shared" ca="1" si="11"/>
        <v>#NUM!</v>
      </c>
      <c r="R46" s="7" t="e">
        <f t="shared" ca="1" si="12"/>
        <v>#NUM!</v>
      </c>
      <c r="S46" s="7" t="e">
        <f t="shared" ca="1" si="13"/>
        <v>#NUM!</v>
      </c>
      <c r="T46" s="7" t="e">
        <f t="shared" ca="1" si="14"/>
        <v>#NUM!</v>
      </c>
      <c r="U46" s="7" t="e">
        <f t="shared" ca="1" si="15"/>
        <v>#NUM!</v>
      </c>
      <c r="V46" s="7" t="e">
        <f t="shared" ca="1" si="16"/>
        <v>#NUM!</v>
      </c>
      <c r="W46" s="7" t="e">
        <f t="shared" ca="1" si="17"/>
        <v>#NUM!</v>
      </c>
      <c r="X46" s="22"/>
      <c r="Y46"/>
      <c r="Z46" s="10">
        <v>0.72882310367759739</v>
      </c>
      <c r="AA46"/>
      <c r="AB46" s="22"/>
    </row>
    <row r="47" spans="1:28" x14ac:dyDescent="0.25">
      <c r="A47" s="16"/>
      <c r="B47" s="3" t="s">
        <v>64</v>
      </c>
      <c r="C47" s="3" t="s">
        <v>65</v>
      </c>
      <c r="D47" s="11" t="s">
        <v>19</v>
      </c>
      <c r="E47" s="7">
        <f t="shared" si="0"/>
        <v>84.210893173602869</v>
      </c>
      <c r="F47" s="7">
        <f t="shared" si="1"/>
        <v>111.27704251893252</v>
      </c>
      <c r="G47" s="7">
        <f t="shared" si="2"/>
        <v>128.84728751946517</v>
      </c>
      <c r="H47" s="7">
        <f t="shared" si="3"/>
        <v>67.497819330494323</v>
      </c>
      <c r="I47" s="7">
        <f t="shared" si="4"/>
        <v>108.49388184729625</v>
      </c>
      <c r="J47" s="7">
        <f t="shared" si="5"/>
        <v>129.85613916976678</v>
      </c>
      <c r="K47" s="7">
        <f t="shared" si="6"/>
        <v>63.141414476919174</v>
      </c>
      <c r="L47" s="7">
        <f t="shared" si="7"/>
        <v>89.198712171947221</v>
      </c>
      <c r="M47" s="7">
        <f t="shared" si="8"/>
        <v>97.639907973247077</v>
      </c>
      <c r="N47" s="22"/>
      <c r="O47" s="7" t="e">
        <f t="shared" ca="1" si="9"/>
        <v>#NUM!</v>
      </c>
      <c r="P47" s="7" t="e">
        <f t="shared" ca="1" si="10"/>
        <v>#NUM!</v>
      </c>
      <c r="Q47" s="7" t="e">
        <f t="shared" ca="1" si="11"/>
        <v>#NUM!</v>
      </c>
      <c r="R47" s="7" t="e">
        <f t="shared" ca="1" si="12"/>
        <v>#NUM!</v>
      </c>
      <c r="S47" s="7" t="e">
        <f t="shared" ca="1" si="13"/>
        <v>#NUM!</v>
      </c>
      <c r="T47" s="7" t="e">
        <f t="shared" ca="1" si="14"/>
        <v>#NUM!</v>
      </c>
      <c r="U47" s="7" t="e">
        <f t="shared" ca="1" si="15"/>
        <v>#NUM!</v>
      </c>
      <c r="V47" s="7" t="e">
        <f t="shared" ca="1" si="16"/>
        <v>#NUM!</v>
      </c>
      <c r="W47" s="7" t="e">
        <f t="shared" ca="1" si="17"/>
        <v>#NUM!</v>
      </c>
      <c r="X47" s="22"/>
      <c r="Y47"/>
      <c r="Z47" s="10">
        <v>0.35274533227329147</v>
      </c>
      <c r="AA47"/>
      <c r="AB47" s="22"/>
    </row>
    <row r="48" spans="1:28" x14ac:dyDescent="0.25">
      <c r="A48" s="16"/>
      <c r="B48" s="3" t="s">
        <v>66</v>
      </c>
      <c r="C48" s="3" t="s">
        <v>67</v>
      </c>
      <c r="D48" s="11" t="s">
        <v>19</v>
      </c>
      <c r="E48" s="7">
        <f t="shared" si="0"/>
        <v>84.210893173602869</v>
      </c>
      <c r="F48" s="7">
        <f t="shared" si="1"/>
        <v>111.27704251893252</v>
      </c>
      <c r="G48" s="7">
        <f t="shared" si="2"/>
        <v>128.84728751946517</v>
      </c>
      <c r="H48" s="7">
        <f t="shared" si="3"/>
        <v>67.497819330494323</v>
      </c>
      <c r="I48" s="7">
        <f t="shared" si="4"/>
        <v>108.49388184729625</v>
      </c>
      <c r="J48" s="7">
        <f t="shared" si="5"/>
        <v>129.85613916976678</v>
      </c>
      <c r="K48" s="7">
        <f t="shared" si="6"/>
        <v>63.141414476919174</v>
      </c>
      <c r="L48" s="7">
        <f t="shared" si="7"/>
        <v>89.198712171947221</v>
      </c>
      <c r="M48" s="7">
        <f t="shared" si="8"/>
        <v>97.639907973247077</v>
      </c>
      <c r="N48" s="22"/>
      <c r="O48" s="7" t="e">
        <f t="shared" ca="1" si="9"/>
        <v>#NUM!</v>
      </c>
      <c r="P48" s="7" t="e">
        <f t="shared" ca="1" si="10"/>
        <v>#NUM!</v>
      </c>
      <c r="Q48" s="7" t="e">
        <f t="shared" ca="1" si="11"/>
        <v>#NUM!</v>
      </c>
      <c r="R48" s="7" t="e">
        <f t="shared" ca="1" si="12"/>
        <v>#NUM!</v>
      </c>
      <c r="S48" s="7" t="e">
        <f t="shared" ca="1" si="13"/>
        <v>#NUM!</v>
      </c>
      <c r="T48" s="7" t="e">
        <f t="shared" ca="1" si="14"/>
        <v>#NUM!</v>
      </c>
      <c r="U48" s="7" t="e">
        <f t="shared" ca="1" si="15"/>
        <v>#NUM!</v>
      </c>
      <c r="V48" s="7" t="e">
        <f t="shared" ca="1" si="16"/>
        <v>#NUM!</v>
      </c>
      <c r="W48" s="7" t="e">
        <f t="shared" ca="1" si="17"/>
        <v>#NUM!</v>
      </c>
      <c r="X48" s="22"/>
      <c r="Y48"/>
      <c r="Z48" s="10">
        <v>0.35274533227329147</v>
      </c>
      <c r="AA48"/>
      <c r="AB48" s="22"/>
    </row>
    <row r="49" spans="1:28" x14ac:dyDescent="0.25">
      <c r="A49" s="16"/>
      <c r="B49" s="3" t="s">
        <v>68</v>
      </c>
      <c r="C49" s="3" t="s">
        <v>69</v>
      </c>
      <c r="D49" s="11" t="s">
        <v>19</v>
      </c>
      <c r="E49" s="7">
        <f t="shared" si="0"/>
        <v>208.43982081530837</v>
      </c>
      <c r="F49" s="7">
        <f t="shared" si="1"/>
        <v>275.43428087964304</v>
      </c>
      <c r="G49" s="7">
        <f t="shared" si="2"/>
        <v>318.92436371301341</v>
      </c>
      <c r="H49" s="7">
        <f t="shared" si="3"/>
        <v>167.07141839320261</v>
      </c>
      <c r="I49" s="7">
        <f t="shared" si="4"/>
        <v>268.54536793936416</v>
      </c>
      <c r="J49" s="7">
        <f t="shared" si="5"/>
        <v>321.42148551392569</v>
      </c>
      <c r="K49" s="7">
        <f t="shared" si="6"/>
        <v>156.28839243471788</v>
      </c>
      <c r="L49" s="7">
        <f t="shared" si="7"/>
        <v>220.7857306981403</v>
      </c>
      <c r="M49" s="7">
        <f t="shared" si="8"/>
        <v>241.67948059178724</v>
      </c>
      <c r="N49" s="22"/>
      <c r="O49" s="7" t="e">
        <f t="shared" ca="1" si="9"/>
        <v>#NUM!</v>
      </c>
      <c r="P49" s="7" t="e">
        <f t="shared" ca="1" si="10"/>
        <v>#NUM!</v>
      </c>
      <c r="Q49" s="7" t="e">
        <f t="shared" ca="1" si="11"/>
        <v>#NUM!</v>
      </c>
      <c r="R49" s="7" t="e">
        <f t="shared" ca="1" si="12"/>
        <v>#NUM!</v>
      </c>
      <c r="S49" s="7" t="e">
        <f t="shared" ca="1" si="13"/>
        <v>#NUM!</v>
      </c>
      <c r="T49" s="7" t="e">
        <f t="shared" ca="1" si="14"/>
        <v>#NUM!</v>
      </c>
      <c r="U49" s="7" t="e">
        <f t="shared" ca="1" si="15"/>
        <v>#NUM!</v>
      </c>
      <c r="V49" s="7" t="e">
        <f t="shared" ca="1" si="16"/>
        <v>#NUM!</v>
      </c>
      <c r="W49" s="7" t="e">
        <f t="shared" ca="1" si="17"/>
        <v>#NUM!</v>
      </c>
      <c r="X49" s="22"/>
      <c r="Y49"/>
      <c r="Z49" s="10">
        <v>0.87311951080847983</v>
      </c>
      <c r="AA49"/>
      <c r="AB49" s="22"/>
    </row>
    <row r="50" spans="1:28" x14ac:dyDescent="0.25">
      <c r="A50" s="16"/>
      <c r="B50" s="3" t="s">
        <v>70</v>
      </c>
      <c r="C50" s="3" t="s">
        <v>71</v>
      </c>
      <c r="D50" s="11" t="s">
        <v>19</v>
      </c>
      <c r="E50" s="7">
        <f t="shared" si="0"/>
        <v>173.21814591491963</v>
      </c>
      <c r="F50" s="7">
        <f t="shared" si="1"/>
        <v>228.89203832916075</v>
      </c>
      <c r="G50" s="7">
        <f t="shared" si="2"/>
        <v>265.03326837156072</v>
      </c>
      <c r="H50" s="7">
        <f t="shared" si="3"/>
        <v>138.84007967502984</v>
      </c>
      <c r="I50" s="7">
        <f t="shared" si="4"/>
        <v>223.16719783459067</v>
      </c>
      <c r="J50" s="7">
        <f t="shared" si="5"/>
        <v>267.10843235311592</v>
      </c>
      <c r="K50" s="7">
        <f t="shared" si="6"/>
        <v>129.87914430013242</v>
      </c>
      <c r="L50" s="7">
        <f t="shared" si="7"/>
        <v>183.47787273281835</v>
      </c>
      <c r="M50" s="7">
        <f t="shared" si="8"/>
        <v>200.84104548757909</v>
      </c>
      <c r="N50" s="22"/>
      <c r="O50" s="7" t="e">
        <f t="shared" ca="1" si="9"/>
        <v>#NUM!</v>
      </c>
      <c r="P50" s="7" t="e">
        <f t="shared" ca="1" si="10"/>
        <v>#NUM!</v>
      </c>
      <c r="Q50" s="7" t="e">
        <f t="shared" ca="1" si="11"/>
        <v>#NUM!</v>
      </c>
      <c r="R50" s="7" t="e">
        <f t="shared" ca="1" si="12"/>
        <v>#NUM!</v>
      </c>
      <c r="S50" s="7" t="e">
        <f t="shared" ca="1" si="13"/>
        <v>#NUM!</v>
      </c>
      <c r="T50" s="7" t="e">
        <f t="shared" ca="1" si="14"/>
        <v>#NUM!</v>
      </c>
      <c r="U50" s="7" t="e">
        <f t="shared" ca="1" si="15"/>
        <v>#NUM!</v>
      </c>
      <c r="V50" s="7" t="e">
        <f t="shared" ca="1" si="16"/>
        <v>#NUM!</v>
      </c>
      <c r="W50" s="7" t="e">
        <f t="shared" ca="1" si="17"/>
        <v>#NUM!</v>
      </c>
      <c r="X50" s="22"/>
      <c r="Y50"/>
      <c r="Z50" s="10">
        <v>0.7255818117325834</v>
      </c>
      <c r="AA50"/>
      <c r="AB50" s="22"/>
    </row>
    <row r="51" spans="1:28" x14ac:dyDescent="0.25">
      <c r="A51" s="16"/>
      <c r="B51" s="3" t="s">
        <v>72</v>
      </c>
      <c r="C51" s="3" t="s">
        <v>73</v>
      </c>
      <c r="D51" s="11" t="s">
        <v>19</v>
      </c>
      <c r="E51" s="7">
        <f t="shared" si="0"/>
        <v>41.037405990453294</v>
      </c>
      <c r="F51" s="7">
        <f t="shared" si="1"/>
        <v>54.22720267142126</v>
      </c>
      <c r="G51" s="7">
        <f t="shared" si="2"/>
        <v>62.789483039973511</v>
      </c>
      <c r="H51" s="7">
        <f t="shared" si="3"/>
        <v>32.892839761543328</v>
      </c>
      <c r="I51" s="7">
        <f t="shared" si="4"/>
        <v>52.870920958755583</v>
      </c>
      <c r="J51" s="7">
        <f t="shared" si="5"/>
        <v>63.281113673461959</v>
      </c>
      <c r="K51" s="7">
        <f t="shared" si="6"/>
        <v>30.769889298752318</v>
      </c>
      <c r="L51" s="7">
        <f t="shared" si="7"/>
        <v>43.468055346231836</v>
      </c>
      <c r="M51" s="7">
        <f t="shared" si="8"/>
        <v>47.581594178182357</v>
      </c>
      <c r="N51" s="22"/>
      <c r="O51" s="7" t="e">
        <f t="shared" ca="1" si="9"/>
        <v>#NUM!</v>
      </c>
      <c r="P51" s="7" t="e">
        <f t="shared" ca="1" si="10"/>
        <v>#NUM!</v>
      </c>
      <c r="Q51" s="7" t="e">
        <f t="shared" ca="1" si="11"/>
        <v>#NUM!</v>
      </c>
      <c r="R51" s="7" t="e">
        <f t="shared" ca="1" si="12"/>
        <v>#NUM!</v>
      </c>
      <c r="S51" s="7" t="e">
        <f t="shared" ca="1" si="13"/>
        <v>#NUM!</v>
      </c>
      <c r="T51" s="7" t="e">
        <f t="shared" ca="1" si="14"/>
        <v>#NUM!</v>
      </c>
      <c r="U51" s="7" t="e">
        <f t="shared" ca="1" si="15"/>
        <v>#NUM!</v>
      </c>
      <c r="V51" s="7" t="e">
        <f t="shared" ca="1" si="16"/>
        <v>#NUM!</v>
      </c>
      <c r="W51" s="7" t="e">
        <f t="shared" ca="1" si="17"/>
        <v>#NUM!</v>
      </c>
      <c r="X51" s="22"/>
      <c r="Y51"/>
      <c r="Z51" s="10">
        <v>0.17189882289805763</v>
      </c>
      <c r="AA51"/>
      <c r="AB51" s="22"/>
    </row>
    <row r="52" spans="1:28" x14ac:dyDescent="0.25">
      <c r="A52" s="16"/>
      <c r="B52" s="3" t="s">
        <v>74</v>
      </c>
      <c r="C52" s="3" t="s">
        <v>75</v>
      </c>
      <c r="D52" s="11" t="s">
        <v>19</v>
      </c>
      <c r="E52" s="7">
        <f t="shared" si="0"/>
        <v>104.73339146359079</v>
      </c>
      <c r="F52" s="7">
        <f t="shared" si="1"/>
        <v>138.39565899176623</v>
      </c>
      <c r="G52" s="7">
        <f t="shared" si="2"/>
        <v>160.24783604869856</v>
      </c>
      <c r="H52" s="7">
        <f t="shared" si="3"/>
        <v>83.947281265689682</v>
      </c>
      <c r="I52" s="7">
        <f t="shared" si="4"/>
        <v>134.93423202972656</v>
      </c>
      <c r="J52" s="7">
        <f t="shared" si="5"/>
        <v>161.50254848360777</v>
      </c>
      <c r="K52" s="7">
        <f t="shared" si="6"/>
        <v>78.529204842218206</v>
      </c>
      <c r="L52" s="7">
        <f t="shared" si="7"/>
        <v>110.93675993548446</v>
      </c>
      <c r="M52" s="7">
        <f t="shared" si="8"/>
        <v>121.43510558841341</v>
      </c>
      <c r="N52" s="22"/>
      <c r="O52" s="7" t="e">
        <f t="shared" ca="1" si="9"/>
        <v>#NUM!</v>
      </c>
      <c r="P52" s="7" t="e">
        <f t="shared" ca="1" si="10"/>
        <v>#NUM!</v>
      </c>
      <c r="Q52" s="7" t="e">
        <f t="shared" ca="1" si="11"/>
        <v>#NUM!</v>
      </c>
      <c r="R52" s="7" t="e">
        <f t="shared" ca="1" si="12"/>
        <v>#NUM!</v>
      </c>
      <c r="S52" s="7" t="e">
        <f t="shared" ca="1" si="13"/>
        <v>#NUM!</v>
      </c>
      <c r="T52" s="7" t="e">
        <f t="shared" ca="1" si="14"/>
        <v>#NUM!</v>
      </c>
      <c r="U52" s="7" t="e">
        <f t="shared" ca="1" si="15"/>
        <v>#NUM!</v>
      </c>
      <c r="V52" s="7" t="e">
        <f t="shared" ca="1" si="16"/>
        <v>#NUM!</v>
      </c>
      <c r="W52" s="7" t="e">
        <f t="shared" ca="1" si="17"/>
        <v>#NUM!</v>
      </c>
      <c r="X52" s="22"/>
      <c r="Y52"/>
      <c r="Z52" s="10">
        <v>0.43871064157663803</v>
      </c>
      <c r="AA52"/>
      <c r="AB52" s="22"/>
    </row>
    <row r="53" spans="1:28" x14ac:dyDescent="0.25">
      <c r="A53" s="16"/>
      <c r="B53" s="3" t="s">
        <v>76</v>
      </c>
      <c r="C53" s="3" t="s">
        <v>77</v>
      </c>
      <c r="D53" s="11" t="s">
        <v>19</v>
      </c>
      <c r="E53" s="7">
        <f t="shared" si="0"/>
        <v>97.910567745991443</v>
      </c>
      <c r="F53" s="7">
        <f t="shared" si="1"/>
        <v>129.37991748481741</v>
      </c>
      <c r="G53" s="7">
        <f t="shared" si="2"/>
        <v>149.80854136714402</v>
      </c>
      <c r="H53" s="7">
        <f t="shared" si="3"/>
        <v>78.4785621337723</v>
      </c>
      <c r="I53" s="7">
        <f t="shared" si="4"/>
        <v>126.14398408928324</v>
      </c>
      <c r="J53" s="7">
        <f t="shared" si="5"/>
        <v>150.98151595665325</v>
      </c>
      <c r="K53" s="7">
        <f t="shared" si="6"/>
        <v>73.413444588164325</v>
      </c>
      <c r="L53" s="7">
        <f t="shared" si="7"/>
        <v>103.70981973748107</v>
      </c>
      <c r="M53" s="7">
        <f t="shared" si="8"/>
        <v>113.52425397767533</v>
      </c>
      <c r="N53" s="22"/>
      <c r="O53" s="7" t="e">
        <f t="shared" ca="1" si="9"/>
        <v>#NUM!</v>
      </c>
      <c r="P53" s="7" t="e">
        <f t="shared" ca="1" si="10"/>
        <v>#NUM!</v>
      </c>
      <c r="Q53" s="7" t="e">
        <f t="shared" ca="1" si="11"/>
        <v>#NUM!</v>
      </c>
      <c r="R53" s="7" t="e">
        <f t="shared" ca="1" si="12"/>
        <v>#NUM!</v>
      </c>
      <c r="S53" s="7" t="e">
        <f t="shared" ca="1" si="13"/>
        <v>#NUM!</v>
      </c>
      <c r="T53" s="7" t="e">
        <f t="shared" ca="1" si="14"/>
        <v>#NUM!</v>
      </c>
      <c r="U53" s="7" t="e">
        <f t="shared" ca="1" si="15"/>
        <v>#NUM!</v>
      </c>
      <c r="V53" s="7" t="e">
        <f t="shared" ca="1" si="16"/>
        <v>#NUM!</v>
      </c>
      <c r="W53" s="7" t="e">
        <f t="shared" ca="1" si="17"/>
        <v>#NUM!</v>
      </c>
      <c r="X53" s="22"/>
      <c r="Y53"/>
      <c r="Z53" s="10">
        <v>0.41013097535287329</v>
      </c>
      <c r="AA53"/>
      <c r="AB53" s="22"/>
    </row>
    <row r="54" spans="1:28" x14ac:dyDescent="0.25">
      <c r="A54" s="16"/>
      <c r="B54" s="3" t="s">
        <v>78</v>
      </c>
      <c r="C54" s="3" t="s">
        <v>79</v>
      </c>
      <c r="D54" s="11" t="s">
        <v>19</v>
      </c>
      <c r="E54" s="7">
        <f t="shared" si="0"/>
        <v>27.53877041409557</v>
      </c>
      <c r="F54" s="7">
        <f t="shared" si="1"/>
        <v>36.389982469026044</v>
      </c>
      <c r="G54" s="7">
        <f t="shared" si="2"/>
        <v>42.135829887976747</v>
      </c>
      <c r="H54" s="7">
        <f t="shared" si="3"/>
        <v>22.073236370532346</v>
      </c>
      <c r="I54" s="7">
        <f t="shared" si="4"/>
        <v>35.479829163755596</v>
      </c>
      <c r="J54" s="7">
        <f t="shared" si="5"/>
        <v>42.465746041724969</v>
      </c>
      <c r="K54" s="7">
        <f t="shared" si="6"/>
        <v>20.648598433892293</v>
      </c>
      <c r="L54" s="7">
        <f t="shared" si="7"/>
        <v>29.169894335074549</v>
      </c>
      <c r="M54" s="7">
        <f t="shared" si="8"/>
        <v>31.930346628499368</v>
      </c>
      <c r="N54" s="22"/>
      <c r="O54" s="7" t="e">
        <f t="shared" ca="1" si="9"/>
        <v>#NUM!</v>
      </c>
      <c r="P54" s="7" t="e">
        <f t="shared" ca="1" si="10"/>
        <v>#NUM!</v>
      </c>
      <c r="Q54" s="7" t="e">
        <f t="shared" ca="1" si="11"/>
        <v>#NUM!</v>
      </c>
      <c r="R54" s="7" t="e">
        <f t="shared" ca="1" si="12"/>
        <v>#NUM!</v>
      </c>
      <c r="S54" s="7" t="e">
        <f t="shared" ca="1" si="13"/>
        <v>#NUM!</v>
      </c>
      <c r="T54" s="7" t="e">
        <f t="shared" ca="1" si="14"/>
        <v>#NUM!</v>
      </c>
      <c r="U54" s="7" t="e">
        <f t="shared" ca="1" si="15"/>
        <v>#NUM!</v>
      </c>
      <c r="V54" s="7" t="e">
        <f t="shared" ca="1" si="16"/>
        <v>#NUM!</v>
      </c>
      <c r="W54" s="7" t="e">
        <f t="shared" ca="1" si="17"/>
        <v>#NUM!</v>
      </c>
      <c r="X54" s="22"/>
      <c r="Y54"/>
      <c r="Z54" s="10">
        <v>0.11535529851336476</v>
      </c>
      <c r="AA54"/>
      <c r="AB54" s="22"/>
    </row>
    <row r="55" spans="1:28" x14ac:dyDescent="0.25">
      <c r="A55" s="16"/>
      <c r="B55" s="3" t="s">
        <v>80</v>
      </c>
      <c r="C55" s="3" t="s">
        <v>81</v>
      </c>
      <c r="D55" s="11" t="s">
        <v>19</v>
      </c>
      <c r="E55" s="7">
        <f t="shared" si="0"/>
        <v>190.52379701578127</v>
      </c>
      <c r="F55" s="7">
        <f t="shared" si="1"/>
        <v>251.75988357809391</v>
      </c>
      <c r="G55" s="7">
        <f t="shared" si="2"/>
        <v>291.51186418110177</v>
      </c>
      <c r="H55" s="7">
        <f t="shared" si="3"/>
        <v>152.71113206957543</v>
      </c>
      <c r="I55" s="7">
        <f t="shared" si="4"/>
        <v>245.46309323563793</v>
      </c>
      <c r="J55" s="7">
        <f t="shared" si="5"/>
        <v>293.79435092120622</v>
      </c>
      <c r="K55" s="7">
        <f t="shared" si="6"/>
        <v>142.85493932821532</v>
      </c>
      <c r="L55" s="7">
        <f t="shared" si="7"/>
        <v>201.80853915042354</v>
      </c>
      <c r="M55" s="7">
        <f t="shared" si="8"/>
        <v>220.90640897234641</v>
      </c>
      <c r="N55" s="22"/>
      <c r="O55" s="7" t="e">
        <f t="shared" ca="1" si="9"/>
        <v>#NUM!</v>
      </c>
      <c r="P55" s="7" t="e">
        <f t="shared" ca="1" si="10"/>
        <v>#NUM!</v>
      </c>
      <c r="Q55" s="7" t="e">
        <f t="shared" ca="1" si="11"/>
        <v>#NUM!</v>
      </c>
      <c r="R55" s="7" t="e">
        <f t="shared" ca="1" si="12"/>
        <v>#NUM!</v>
      </c>
      <c r="S55" s="7" t="e">
        <f t="shared" ca="1" si="13"/>
        <v>#NUM!</v>
      </c>
      <c r="T55" s="7" t="e">
        <f t="shared" ca="1" si="14"/>
        <v>#NUM!</v>
      </c>
      <c r="U55" s="7" t="e">
        <f t="shared" ca="1" si="15"/>
        <v>#NUM!</v>
      </c>
      <c r="V55" s="7" t="e">
        <f t="shared" ca="1" si="16"/>
        <v>#NUM!</v>
      </c>
      <c r="W55" s="7" t="e">
        <f t="shared" ca="1" si="17"/>
        <v>#NUM!</v>
      </c>
      <c r="X55" s="22"/>
      <c r="Y55"/>
      <c r="Z55" s="10">
        <v>0.79807228674980635</v>
      </c>
      <c r="AA55"/>
      <c r="AB55" s="22"/>
    </row>
    <row r="56" spans="1:28" x14ac:dyDescent="0.25">
      <c r="A56" s="16"/>
      <c r="B56" s="3" t="s">
        <v>82</v>
      </c>
      <c r="C56" s="3" t="s">
        <v>83</v>
      </c>
      <c r="D56" s="11" t="s">
        <v>19</v>
      </c>
      <c r="E56" s="7">
        <f t="shared" si="0"/>
        <v>185.12630493712987</v>
      </c>
      <c r="F56" s="7">
        <f t="shared" si="1"/>
        <v>244.62758830254677</v>
      </c>
      <c r="G56" s="7">
        <f t="shared" si="2"/>
        <v>283.25340512036792</v>
      </c>
      <c r="H56" s="7">
        <f t="shared" si="3"/>
        <v>148.38486344288444</v>
      </c>
      <c r="I56" s="7">
        <f t="shared" si="4"/>
        <v>238.50918447414668</v>
      </c>
      <c r="J56" s="7">
        <f t="shared" si="5"/>
        <v>285.47122957527591</v>
      </c>
      <c r="K56" s="7">
        <f t="shared" si="6"/>
        <v>138.80789420578162</v>
      </c>
      <c r="L56" s="7">
        <f t="shared" si="7"/>
        <v>196.09135311629052</v>
      </c>
      <c r="M56" s="7">
        <f t="shared" si="8"/>
        <v>214.64818500648244</v>
      </c>
      <c r="N56" s="22"/>
      <c r="O56" s="7" t="e">
        <f t="shared" ca="1" si="9"/>
        <v>#NUM!</v>
      </c>
      <c r="P56" s="7" t="e">
        <f t="shared" ca="1" si="10"/>
        <v>#NUM!</v>
      </c>
      <c r="Q56" s="7" t="e">
        <f t="shared" ca="1" si="11"/>
        <v>#NUM!</v>
      </c>
      <c r="R56" s="7" t="e">
        <f t="shared" ca="1" si="12"/>
        <v>#NUM!</v>
      </c>
      <c r="S56" s="7" t="e">
        <f t="shared" ca="1" si="13"/>
        <v>#NUM!</v>
      </c>
      <c r="T56" s="7" t="e">
        <f t="shared" ca="1" si="14"/>
        <v>#NUM!</v>
      </c>
      <c r="U56" s="7" t="e">
        <f t="shared" ca="1" si="15"/>
        <v>#NUM!</v>
      </c>
      <c r="V56" s="7" t="e">
        <f t="shared" ca="1" si="16"/>
        <v>#NUM!</v>
      </c>
      <c r="W56" s="7" t="e">
        <f t="shared" ca="1" si="17"/>
        <v>#NUM!</v>
      </c>
      <c r="X56" s="22"/>
      <c r="Y56"/>
      <c r="Z56" s="10">
        <v>0.77546309612168507</v>
      </c>
      <c r="AA56"/>
      <c r="AB56" s="22"/>
    </row>
    <row r="57" spans="1:28" x14ac:dyDescent="0.25">
      <c r="A57" s="16"/>
      <c r="B57" s="3" t="s">
        <v>82</v>
      </c>
      <c r="C57" s="3" t="s">
        <v>84</v>
      </c>
      <c r="D57" s="11" t="s">
        <v>19</v>
      </c>
      <c r="E57" s="7">
        <f t="shared" si="0"/>
        <v>185.12630493712987</v>
      </c>
      <c r="F57" s="7">
        <f t="shared" si="1"/>
        <v>244.62758830254677</v>
      </c>
      <c r="G57" s="7">
        <f t="shared" si="2"/>
        <v>283.25340512036792</v>
      </c>
      <c r="H57" s="7">
        <f t="shared" si="3"/>
        <v>148.38486344288444</v>
      </c>
      <c r="I57" s="7">
        <f t="shared" si="4"/>
        <v>238.50918447414668</v>
      </c>
      <c r="J57" s="7">
        <f t="shared" si="5"/>
        <v>285.47122957527591</v>
      </c>
      <c r="K57" s="7">
        <f t="shared" si="6"/>
        <v>138.80789420578162</v>
      </c>
      <c r="L57" s="7">
        <f t="shared" si="7"/>
        <v>196.09135311629052</v>
      </c>
      <c r="M57" s="7">
        <f t="shared" si="8"/>
        <v>214.64818500648244</v>
      </c>
      <c r="N57" s="22"/>
      <c r="O57" s="7" t="e">
        <f t="shared" ca="1" si="9"/>
        <v>#NUM!</v>
      </c>
      <c r="P57" s="7" t="e">
        <f t="shared" ca="1" si="10"/>
        <v>#NUM!</v>
      </c>
      <c r="Q57" s="7" t="e">
        <f t="shared" ca="1" si="11"/>
        <v>#NUM!</v>
      </c>
      <c r="R57" s="7" t="e">
        <f t="shared" ca="1" si="12"/>
        <v>#NUM!</v>
      </c>
      <c r="S57" s="7" t="e">
        <f t="shared" ca="1" si="13"/>
        <v>#NUM!</v>
      </c>
      <c r="T57" s="7" t="e">
        <f t="shared" ca="1" si="14"/>
        <v>#NUM!</v>
      </c>
      <c r="U57" s="7" t="e">
        <f t="shared" ca="1" si="15"/>
        <v>#NUM!</v>
      </c>
      <c r="V57" s="7" t="e">
        <f t="shared" ca="1" si="16"/>
        <v>#NUM!</v>
      </c>
      <c r="W57" s="7" t="e">
        <f t="shared" ca="1" si="17"/>
        <v>#NUM!</v>
      </c>
      <c r="X57" s="22"/>
      <c r="Y57"/>
      <c r="Z57" s="10">
        <v>0.77546309612168507</v>
      </c>
      <c r="AA57"/>
      <c r="AB57" s="22"/>
    </row>
    <row r="58" spans="1:28" x14ac:dyDescent="0.25">
      <c r="A58" s="16"/>
      <c r="B58" s="3" t="s">
        <v>85</v>
      </c>
      <c r="C58" s="3" t="s">
        <v>86</v>
      </c>
      <c r="D58" s="11" t="s">
        <v>19</v>
      </c>
      <c r="E58" s="7">
        <f t="shared" si="0"/>
        <v>110.86040890288187</v>
      </c>
      <c r="F58" s="7">
        <f t="shared" si="1"/>
        <v>146.49195573452482</v>
      </c>
      <c r="G58" s="7">
        <f t="shared" si="2"/>
        <v>169.62250894297179</v>
      </c>
      <c r="H58" s="7">
        <f t="shared" si="3"/>
        <v>88.858288625503477</v>
      </c>
      <c r="I58" s="7">
        <f t="shared" si="4"/>
        <v>142.82803152624041</v>
      </c>
      <c r="J58" s="7">
        <f t="shared" si="5"/>
        <v>170.95062342151343</v>
      </c>
      <c r="K58" s="7">
        <f t="shared" si="6"/>
        <v>83.123248831801007</v>
      </c>
      <c r="L58" s="7">
        <f t="shared" si="7"/>
        <v>117.42668118490235</v>
      </c>
      <c r="M58" s="7">
        <f t="shared" si="8"/>
        <v>128.53919148962302</v>
      </c>
      <c r="N58" s="22"/>
      <c r="O58" s="7" t="e">
        <f t="shared" ca="1" si="9"/>
        <v>#NUM!</v>
      </c>
      <c r="P58" s="7" t="e">
        <f t="shared" ca="1" si="10"/>
        <v>#NUM!</v>
      </c>
      <c r="Q58" s="7" t="e">
        <f t="shared" ca="1" si="11"/>
        <v>#NUM!</v>
      </c>
      <c r="R58" s="7" t="e">
        <f t="shared" ca="1" si="12"/>
        <v>#NUM!</v>
      </c>
      <c r="S58" s="7" t="e">
        <f t="shared" ca="1" si="13"/>
        <v>#NUM!</v>
      </c>
      <c r="T58" s="7" t="e">
        <f t="shared" ca="1" si="14"/>
        <v>#NUM!</v>
      </c>
      <c r="U58" s="7" t="e">
        <f t="shared" ca="1" si="15"/>
        <v>#NUM!</v>
      </c>
      <c r="V58" s="7" t="e">
        <f t="shared" ca="1" si="16"/>
        <v>#NUM!</v>
      </c>
      <c r="W58" s="7" t="e">
        <f t="shared" ca="1" si="17"/>
        <v>#NUM!</v>
      </c>
      <c r="X58" s="22"/>
      <c r="Y58"/>
      <c r="Z58" s="10">
        <v>0.464375691797771</v>
      </c>
      <c r="AA58"/>
      <c r="AB58" s="22"/>
    </row>
    <row r="59" spans="1:28" x14ac:dyDescent="0.25">
      <c r="A59" s="16"/>
      <c r="B59" s="3" t="s">
        <v>85</v>
      </c>
      <c r="C59" s="3" t="s">
        <v>87</v>
      </c>
      <c r="D59" s="11" t="s">
        <v>19</v>
      </c>
      <c r="E59" s="7">
        <f t="shared" si="0"/>
        <v>110.86040890288187</v>
      </c>
      <c r="F59" s="7">
        <f t="shared" si="1"/>
        <v>146.49195573452482</v>
      </c>
      <c r="G59" s="7">
        <f t="shared" si="2"/>
        <v>169.62250894297179</v>
      </c>
      <c r="H59" s="7">
        <f t="shared" si="3"/>
        <v>88.858288625503477</v>
      </c>
      <c r="I59" s="7">
        <f t="shared" si="4"/>
        <v>142.82803152624041</v>
      </c>
      <c r="J59" s="7">
        <f t="shared" si="5"/>
        <v>170.95062342151343</v>
      </c>
      <c r="K59" s="7">
        <f t="shared" si="6"/>
        <v>83.123248831801007</v>
      </c>
      <c r="L59" s="7">
        <f t="shared" si="7"/>
        <v>117.42668118490235</v>
      </c>
      <c r="M59" s="7">
        <f t="shared" si="8"/>
        <v>128.53919148962302</v>
      </c>
      <c r="N59" s="22"/>
      <c r="O59" s="7" t="e">
        <f t="shared" ca="1" si="9"/>
        <v>#NUM!</v>
      </c>
      <c r="P59" s="7" t="e">
        <f t="shared" ca="1" si="10"/>
        <v>#NUM!</v>
      </c>
      <c r="Q59" s="7" t="e">
        <f t="shared" ca="1" si="11"/>
        <v>#NUM!</v>
      </c>
      <c r="R59" s="7" t="e">
        <f t="shared" ca="1" si="12"/>
        <v>#NUM!</v>
      </c>
      <c r="S59" s="7" t="e">
        <f t="shared" ca="1" si="13"/>
        <v>#NUM!</v>
      </c>
      <c r="T59" s="7" t="e">
        <f t="shared" ca="1" si="14"/>
        <v>#NUM!</v>
      </c>
      <c r="U59" s="7" t="e">
        <f t="shared" ca="1" si="15"/>
        <v>#NUM!</v>
      </c>
      <c r="V59" s="7" t="e">
        <f t="shared" ca="1" si="16"/>
        <v>#NUM!</v>
      </c>
      <c r="W59" s="7" t="e">
        <f t="shared" ca="1" si="17"/>
        <v>#NUM!</v>
      </c>
      <c r="X59" s="22"/>
      <c r="Y59"/>
      <c r="Z59" s="10">
        <v>0.464375691797771</v>
      </c>
      <c r="AA59"/>
      <c r="AB59" s="22"/>
    </row>
    <row r="60" spans="1:28" s="34" customFormat="1" x14ac:dyDescent="0.25">
      <c r="A60" s="35"/>
      <c r="B60" s="3" t="s">
        <v>85</v>
      </c>
      <c r="C60" s="3" t="s">
        <v>88</v>
      </c>
      <c r="D60" s="11" t="s">
        <v>19</v>
      </c>
      <c r="E60" s="7">
        <f t="shared" si="0"/>
        <v>132.00672703498213</v>
      </c>
      <c r="F60" s="7">
        <f t="shared" ref="F60" si="18">315.46*Z60</f>
        <v>174.43489343800721</v>
      </c>
      <c r="G60" s="7">
        <f t="shared" ref="G60" si="19">365.27*Z60</f>
        <v>201.97753606194411</v>
      </c>
      <c r="H60" s="7">
        <f t="shared" ref="H60" si="20">191.35*Z60</f>
        <v>105.80776282052457</v>
      </c>
      <c r="I60" s="7">
        <f t="shared" ref="I60" si="21">307.57*Z60</f>
        <v>170.07208576278413</v>
      </c>
      <c r="J60" s="7">
        <f t="shared" ref="J60" si="22">368.13*Z60</f>
        <v>203.55898472495275</v>
      </c>
      <c r="K60" s="7">
        <f t="shared" ref="K60" si="23">179*Z60</f>
        <v>98.97877995753278</v>
      </c>
      <c r="L60" s="7">
        <f t="shared" ref="L60" si="24">252.87*Z60</f>
        <v>139.82549769754925</v>
      </c>
      <c r="M60" s="7">
        <f t="shared" ref="M60" si="25">276.8*Z60</f>
        <v>153.05768878349204</v>
      </c>
      <c r="N60" s="33"/>
      <c r="O60" s="7" t="e">
        <f t="shared" ca="1" si="9"/>
        <v>#NUM!</v>
      </c>
      <c r="P60" s="7" t="e">
        <f t="shared" ca="1" si="10"/>
        <v>#NUM!</v>
      </c>
      <c r="Q60" s="7" t="e">
        <f t="shared" ca="1" si="11"/>
        <v>#NUM!</v>
      </c>
      <c r="R60" s="7" t="e">
        <f t="shared" ca="1" si="12"/>
        <v>#NUM!</v>
      </c>
      <c r="S60" s="7" t="e">
        <f t="shared" ca="1" si="13"/>
        <v>#NUM!</v>
      </c>
      <c r="T60" s="7" t="e">
        <f t="shared" ca="1" si="14"/>
        <v>#NUM!</v>
      </c>
      <c r="U60" s="7" t="e">
        <f t="shared" ca="1" si="15"/>
        <v>#NUM!</v>
      </c>
      <c r="V60" s="7" t="e">
        <f t="shared" ca="1" si="16"/>
        <v>#NUM!</v>
      </c>
      <c r="W60" s="7" t="e">
        <f t="shared" ca="1" si="17"/>
        <v>#NUM!</v>
      </c>
      <c r="X60" s="33"/>
      <c r="Z60" s="31">
        <v>0.55295407797504348</v>
      </c>
      <c r="AB60" s="33"/>
    </row>
    <row r="61" spans="1:28" x14ac:dyDescent="0.25">
      <c r="A61" s="16"/>
      <c r="B61" s="3" t="s">
        <v>89</v>
      </c>
      <c r="C61" s="3" t="s">
        <v>90</v>
      </c>
      <c r="D61" s="11" t="s">
        <v>19</v>
      </c>
      <c r="E61" s="7">
        <f t="shared" si="0"/>
        <v>132.00672703498213</v>
      </c>
      <c r="F61" s="7">
        <f t="shared" si="1"/>
        <v>174.43489343800721</v>
      </c>
      <c r="G61" s="7">
        <f t="shared" si="2"/>
        <v>201.97753606194411</v>
      </c>
      <c r="H61" s="7">
        <f t="shared" si="3"/>
        <v>105.80776282052457</v>
      </c>
      <c r="I61" s="7">
        <f t="shared" si="4"/>
        <v>170.07208576278413</v>
      </c>
      <c r="J61" s="7">
        <f t="shared" si="5"/>
        <v>203.55898472495275</v>
      </c>
      <c r="K61" s="7">
        <f t="shared" si="6"/>
        <v>98.97877995753278</v>
      </c>
      <c r="L61" s="7">
        <f t="shared" si="7"/>
        <v>139.82549769754925</v>
      </c>
      <c r="M61" s="7">
        <f t="shared" si="8"/>
        <v>153.05768878349204</v>
      </c>
      <c r="N61" s="22"/>
      <c r="O61" s="7" t="e">
        <f t="shared" ca="1" si="9"/>
        <v>#NUM!</v>
      </c>
      <c r="P61" s="7" t="e">
        <f t="shared" ca="1" si="10"/>
        <v>#NUM!</v>
      </c>
      <c r="Q61" s="7" t="e">
        <f t="shared" ca="1" si="11"/>
        <v>#NUM!</v>
      </c>
      <c r="R61" s="7" t="e">
        <f t="shared" ca="1" si="12"/>
        <v>#NUM!</v>
      </c>
      <c r="S61" s="7" t="e">
        <f t="shared" ca="1" si="13"/>
        <v>#NUM!</v>
      </c>
      <c r="T61" s="7" t="e">
        <f t="shared" ca="1" si="14"/>
        <v>#NUM!</v>
      </c>
      <c r="U61" s="7" t="e">
        <f t="shared" ca="1" si="15"/>
        <v>#NUM!</v>
      </c>
      <c r="V61" s="7" t="e">
        <f t="shared" ca="1" si="16"/>
        <v>#NUM!</v>
      </c>
      <c r="W61" s="7" t="e">
        <f t="shared" ca="1" si="17"/>
        <v>#NUM!</v>
      </c>
      <c r="X61" s="22"/>
      <c r="Y61"/>
      <c r="Z61" s="10">
        <v>0.55295407797504348</v>
      </c>
      <c r="AA61"/>
      <c r="AB61" s="22"/>
    </row>
    <row r="62" spans="1:28" x14ac:dyDescent="0.25">
      <c r="A62" s="16"/>
      <c r="B62" s="3" t="s">
        <v>91</v>
      </c>
      <c r="C62" s="3" t="s">
        <v>92</v>
      </c>
      <c r="D62" s="11" t="s">
        <v>19</v>
      </c>
      <c r="E62" s="7">
        <f t="shared" si="0"/>
        <v>132.00672703498213</v>
      </c>
      <c r="F62" s="7">
        <f t="shared" si="1"/>
        <v>174.43489343800721</v>
      </c>
      <c r="G62" s="7">
        <f t="shared" si="2"/>
        <v>201.97753606194411</v>
      </c>
      <c r="H62" s="7">
        <f t="shared" si="3"/>
        <v>105.80776282052457</v>
      </c>
      <c r="I62" s="7">
        <f t="shared" si="4"/>
        <v>170.07208576278413</v>
      </c>
      <c r="J62" s="7">
        <f t="shared" si="5"/>
        <v>203.55898472495275</v>
      </c>
      <c r="K62" s="7">
        <f t="shared" si="6"/>
        <v>98.97877995753278</v>
      </c>
      <c r="L62" s="7">
        <f t="shared" si="7"/>
        <v>139.82549769754925</v>
      </c>
      <c r="M62" s="7">
        <f t="shared" si="8"/>
        <v>153.05768878349204</v>
      </c>
      <c r="N62" s="22"/>
      <c r="O62" s="7" t="e">
        <f t="shared" ca="1" si="9"/>
        <v>#NUM!</v>
      </c>
      <c r="P62" s="7" t="e">
        <f t="shared" ca="1" si="10"/>
        <v>#NUM!</v>
      </c>
      <c r="Q62" s="7" t="e">
        <f t="shared" ca="1" si="11"/>
        <v>#NUM!</v>
      </c>
      <c r="R62" s="7" t="e">
        <f t="shared" ca="1" si="12"/>
        <v>#NUM!</v>
      </c>
      <c r="S62" s="7" t="e">
        <f t="shared" ca="1" si="13"/>
        <v>#NUM!</v>
      </c>
      <c r="T62" s="7" t="e">
        <f t="shared" ca="1" si="14"/>
        <v>#NUM!</v>
      </c>
      <c r="U62" s="7" t="e">
        <f t="shared" ca="1" si="15"/>
        <v>#NUM!</v>
      </c>
      <c r="V62" s="7" t="e">
        <f t="shared" ca="1" si="16"/>
        <v>#NUM!</v>
      </c>
      <c r="W62" s="7" t="e">
        <f t="shared" ca="1" si="17"/>
        <v>#NUM!</v>
      </c>
      <c r="X62" s="22"/>
      <c r="Y62"/>
      <c r="Z62" s="10">
        <v>0.55295407797504348</v>
      </c>
      <c r="AA62"/>
      <c r="AB62" s="22"/>
    </row>
    <row r="63" spans="1:28" x14ac:dyDescent="0.25">
      <c r="A63" s="16"/>
      <c r="B63" s="3" t="s">
        <v>93</v>
      </c>
      <c r="C63" s="3" t="s">
        <v>53</v>
      </c>
      <c r="D63" s="11" t="s">
        <v>19</v>
      </c>
      <c r="E63" s="7">
        <f t="shared" si="0"/>
        <v>159.59130036758683</v>
      </c>
      <c r="F63" s="7">
        <f t="shared" si="1"/>
        <v>210.88540030142397</v>
      </c>
      <c r="G63" s="7">
        <f t="shared" si="2"/>
        <v>244.18344692861578</v>
      </c>
      <c r="H63" s="7">
        <f t="shared" si="3"/>
        <v>127.91771174690128</v>
      </c>
      <c r="I63" s="7">
        <f t="shared" si="4"/>
        <v>205.61092553955802</v>
      </c>
      <c r="J63" s="7">
        <f t="shared" si="5"/>
        <v>246.09536046713754</v>
      </c>
      <c r="K63" s="7">
        <f t="shared" si="6"/>
        <v>119.66172146692098</v>
      </c>
      <c r="L63" s="7">
        <f t="shared" si="7"/>
        <v>169.04390786223635</v>
      </c>
      <c r="M63" s="7">
        <f t="shared" si="8"/>
        <v>185.04114246951804</v>
      </c>
      <c r="N63" s="22"/>
      <c r="O63" s="7" t="e">
        <f t="shared" ca="1" si="9"/>
        <v>#NUM!</v>
      </c>
      <c r="P63" s="7" t="e">
        <f t="shared" ca="1" si="10"/>
        <v>#NUM!</v>
      </c>
      <c r="Q63" s="7" t="e">
        <f t="shared" ca="1" si="11"/>
        <v>#NUM!</v>
      </c>
      <c r="R63" s="7" t="e">
        <f t="shared" ca="1" si="12"/>
        <v>#NUM!</v>
      </c>
      <c r="S63" s="7" t="e">
        <f t="shared" ca="1" si="13"/>
        <v>#NUM!</v>
      </c>
      <c r="T63" s="7" t="e">
        <f t="shared" ca="1" si="14"/>
        <v>#NUM!</v>
      </c>
      <c r="U63" s="7" t="e">
        <f t="shared" ca="1" si="15"/>
        <v>#NUM!</v>
      </c>
      <c r="V63" s="7" t="e">
        <f t="shared" ca="1" si="16"/>
        <v>#NUM!</v>
      </c>
      <c r="W63" s="7" t="e">
        <f t="shared" ca="1" si="17"/>
        <v>#NUM!</v>
      </c>
      <c r="X63" s="22"/>
      <c r="Y63"/>
      <c r="Z63" s="10">
        <v>0.66850123724536858</v>
      </c>
      <c r="AA63"/>
      <c r="AB63" s="22"/>
    </row>
    <row r="64" spans="1:28" x14ac:dyDescent="0.25">
      <c r="A64" s="16"/>
      <c r="B64" s="3" t="s">
        <v>94</v>
      </c>
      <c r="C64" s="3" t="s">
        <v>95</v>
      </c>
      <c r="D64" s="11" t="s">
        <v>19</v>
      </c>
      <c r="E64" s="7">
        <f t="shared" si="0"/>
        <v>115.63473119129402</v>
      </c>
      <c r="F64" s="7">
        <f t="shared" si="1"/>
        <v>152.80078876389902</v>
      </c>
      <c r="G64" s="7">
        <f t="shared" si="2"/>
        <v>176.92748402900335</v>
      </c>
      <c r="H64" s="7">
        <f t="shared" si="3"/>
        <v>92.68506603047004</v>
      </c>
      <c r="I64" s="7">
        <f t="shared" si="4"/>
        <v>148.97907373395176</v>
      </c>
      <c r="J64" s="7">
        <f t="shared" si="5"/>
        <v>178.31279518054316</v>
      </c>
      <c r="K64" s="7">
        <f t="shared" si="6"/>
        <v>86.703040603366276</v>
      </c>
      <c r="L64" s="7">
        <f t="shared" si="7"/>
        <v>122.48378702443145</v>
      </c>
      <c r="M64" s="7">
        <f t="shared" si="8"/>
        <v>134.07486949168594</v>
      </c>
      <c r="N64" s="22"/>
      <c r="O64" s="7" t="e">
        <f t="shared" ca="1" si="9"/>
        <v>#NUM!</v>
      </c>
      <c r="P64" s="7" t="e">
        <f t="shared" ca="1" si="10"/>
        <v>#NUM!</v>
      </c>
      <c r="Q64" s="7" t="e">
        <f t="shared" ca="1" si="11"/>
        <v>#NUM!</v>
      </c>
      <c r="R64" s="7" t="e">
        <f t="shared" ca="1" si="12"/>
        <v>#NUM!</v>
      </c>
      <c r="S64" s="7" t="e">
        <f t="shared" ca="1" si="13"/>
        <v>#NUM!</v>
      </c>
      <c r="T64" s="7" t="e">
        <f t="shared" ca="1" si="14"/>
        <v>#NUM!</v>
      </c>
      <c r="U64" s="7" t="e">
        <f t="shared" ca="1" si="15"/>
        <v>#NUM!</v>
      </c>
      <c r="V64" s="7" t="e">
        <f t="shared" ca="1" si="16"/>
        <v>#NUM!</v>
      </c>
      <c r="W64" s="7" t="e">
        <f t="shared" ca="1" si="17"/>
        <v>#NUM!</v>
      </c>
      <c r="X64" s="22"/>
      <c r="Y64"/>
      <c r="Z64" s="10">
        <v>0.48437452851042612</v>
      </c>
      <c r="AA64"/>
      <c r="AB64" s="22"/>
    </row>
    <row r="65" spans="1:28" x14ac:dyDescent="0.25">
      <c r="A65" s="16"/>
      <c r="B65" s="3" t="s">
        <v>94</v>
      </c>
      <c r="C65" s="3" t="s">
        <v>96</v>
      </c>
      <c r="D65" s="11" t="s">
        <v>19</v>
      </c>
      <c r="E65" s="7">
        <f t="shared" si="0"/>
        <v>115.63473119129402</v>
      </c>
      <c r="F65" s="7">
        <f t="shared" si="1"/>
        <v>152.80078876389902</v>
      </c>
      <c r="G65" s="7">
        <f t="shared" si="2"/>
        <v>176.92748402900335</v>
      </c>
      <c r="H65" s="7">
        <f t="shared" si="3"/>
        <v>92.68506603047004</v>
      </c>
      <c r="I65" s="7">
        <f t="shared" si="4"/>
        <v>148.97907373395176</v>
      </c>
      <c r="J65" s="7">
        <f t="shared" si="5"/>
        <v>178.31279518054316</v>
      </c>
      <c r="K65" s="7">
        <f t="shared" si="6"/>
        <v>86.703040603366276</v>
      </c>
      <c r="L65" s="7">
        <f t="shared" si="7"/>
        <v>122.48378702443145</v>
      </c>
      <c r="M65" s="7">
        <f t="shared" si="8"/>
        <v>134.07486949168594</v>
      </c>
      <c r="N65" s="22"/>
      <c r="O65" s="7" t="e">
        <f t="shared" ca="1" si="9"/>
        <v>#NUM!</v>
      </c>
      <c r="P65" s="7" t="e">
        <f t="shared" ca="1" si="10"/>
        <v>#NUM!</v>
      </c>
      <c r="Q65" s="7" t="e">
        <f t="shared" ca="1" si="11"/>
        <v>#NUM!</v>
      </c>
      <c r="R65" s="7" t="e">
        <f t="shared" ca="1" si="12"/>
        <v>#NUM!</v>
      </c>
      <c r="S65" s="7" t="e">
        <f t="shared" ca="1" si="13"/>
        <v>#NUM!</v>
      </c>
      <c r="T65" s="7" t="e">
        <f t="shared" ca="1" si="14"/>
        <v>#NUM!</v>
      </c>
      <c r="U65" s="7" t="e">
        <f t="shared" ca="1" si="15"/>
        <v>#NUM!</v>
      </c>
      <c r="V65" s="7" t="e">
        <f t="shared" ca="1" si="16"/>
        <v>#NUM!</v>
      </c>
      <c r="W65" s="7" t="e">
        <f t="shared" ca="1" si="17"/>
        <v>#NUM!</v>
      </c>
      <c r="X65" s="22"/>
      <c r="Y65"/>
      <c r="Z65" s="10">
        <v>0.48437452851042612</v>
      </c>
      <c r="AA65"/>
      <c r="AB65" s="22"/>
    </row>
    <row r="66" spans="1:28" x14ac:dyDescent="0.25">
      <c r="A66" s="16"/>
      <c r="B66" s="3" t="s">
        <v>94</v>
      </c>
      <c r="C66" s="3" t="s">
        <v>97</v>
      </c>
      <c r="D66" s="11" t="s">
        <v>19</v>
      </c>
      <c r="E66" s="7">
        <f t="shared" si="0"/>
        <v>115.63473119129402</v>
      </c>
      <c r="F66" s="7">
        <f t="shared" si="1"/>
        <v>152.80078876389902</v>
      </c>
      <c r="G66" s="7">
        <f t="shared" si="2"/>
        <v>176.92748402900335</v>
      </c>
      <c r="H66" s="7">
        <f t="shared" si="3"/>
        <v>92.68506603047004</v>
      </c>
      <c r="I66" s="7">
        <f t="shared" si="4"/>
        <v>148.97907373395176</v>
      </c>
      <c r="J66" s="7">
        <f t="shared" si="5"/>
        <v>178.31279518054316</v>
      </c>
      <c r="K66" s="7">
        <f t="shared" si="6"/>
        <v>86.703040603366276</v>
      </c>
      <c r="L66" s="7">
        <f t="shared" si="7"/>
        <v>122.48378702443145</v>
      </c>
      <c r="M66" s="7">
        <f t="shared" si="8"/>
        <v>134.07486949168594</v>
      </c>
      <c r="N66" s="22"/>
      <c r="O66" s="7" t="e">
        <f t="shared" ca="1" si="9"/>
        <v>#NUM!</v>
      </c>
      <c r="P66" s="7" t="e">
        <f t="shared" ca="1" si="10"/>
        <v>#NUM!</v>
      </c>
      <c r="Q66" s="7" t="e">
        <f t="shared" ca="1" si="11"/>
        <v>#NUM!</v>
      </c>
      <c r="R66" s="7" t="e">
        <f t="shared" ca="1" si="12"/>
        <v>#NUM!</v>
      </c>
      <c r="S66" s="7" t="e">
        <f t="shared" ca="1" si="13"/>
        <v>#NUM!</v>
      </c>
      <c r="T66" s="7" t="e">
        <f t="shared" ca="1" si="14"/>
        <v>#NUM!</v>
      </c>
      <c r="U66" s="7" t="e">
        <f t="shared" ca="1" si="15"/>
        <v>#NUM!</v>
      </c>
      <c r="V66" s="7" t="e">
        <f t="shared" ca="1" si="16"/>
        <v>#NUM!</v>
      </c>
      <c r="W66" s="7" t="e">
        <f t="shared" ca="1" si="17"/>
        <v>#NUM!</v>
      </c>
      <c r="X66" s="22"/>
      <c r="Y66"/>
      <c r="Z66" s="10">
        <v>0.48437452851042612</v>
      </c>
      <c r="AA66"/>
      <c r="AB66" s="22"/>
    </row>
    <row r="67" spans="1:28" x14ac:dyDescent="0.25">
      <c r="A67" s="16"/>
      <c r="B67" s="3" t="s">
        <v>94</v>
      </c>
      <c r="C67" s="3" t="s">
        <v>98</v>
      </c>
      <c r="D67" s="11" t="s">
        <v>19</v>
      </c>
      <c r="E67" s="7">
        <f t="shared" si="0"/>
        <v>115.63473119129402</v>
      </c>
      <c r="F67" s="7">
        <f t="shared" si="1"/>
        <v>152.80078876389902</v>
      </c>
      <c r="G67" s="7">
        <f t="shared" si="2"/>
        <v>176.92748402900335</v>
      </c>
      <c r="H67" s="7">
        <f t="shared" si="3"/>
        <v>92.68506603047004</v>
      </c>
      <c r="I67" s="7">
        <f t="shared" si="4"/>
        <v>148.97907373395176</v>
      </c>
      <c r="J67" s="7">
        <f t="shared" si="5"/>
        <v>178.31279518054316</v>
      </c>
      <c r="K67" s="7">
        <f t="shared" si="6"/>
        <v>86.703040603366276</v>
      </c>
      <c r="L67" s="7">
        <f t="shared" si="7"/>
        <v>122.48378702443145</v>
      </c>
      <c r="M67" s="7">
        <f t="shared" si="8"/>
        <v>134.07486949168594</v>
      </c>
      <c r="N67" s="22"/>
      <c r="O67" s="7" t="e">
        <f t="shared" ca="1" si="9"/>
        <v>#NUM!</v>
      </c>
      <c r="P67" s="7" t="e">
        <f t="shared" ca="1" si="10"/>
        <v>#NUM!</v>
      </c>
      <c r="Q67" s="7" t="e">
        <f t="shared" ca="1" si="11"/>
        <v>#NUM!</v>
      </c>
      <c r="R67" s="7" t="e">
        <f t="shared" ca="1" si="12"/>
        <v>#NUM!</v>
      </c>
      <c r="S67" s="7" t="e">
        <f t="shared" ca="1" si="13"/>
        <v>#NUM!</v>
      </c>
      <c r="T67" s="7" t="e">
        <f t="shared" ca="1" si="14"/>
        <v>#NUM!</v>
      </c>
      <c r="U67" s="7" t="e">
        <f t="shared" ca="1" si="15"/>
        <v>#NUM!</v>
      </c>
      <c r="V67" s="7" t="e">
        <f t="shared" ca="1" si="16"/>
        <v>#NUM!</v>
      </c>
      <c r="W67" s="7" t="e">
        <f t="shared" ca="1" si="17"/>
        <v>#NUM!</v>
      </c>
      <c r="X67" s="22"/>
      <c r="Y67"/>
      <c r="Z67" s="10">
        <v>0.48437452851042612</v>
      </c>
      <c r="AA67"/>
      <c r="AB67" s="22"/>
    </row>
    <row r="68" spans="1:28" x14ac:dyDescent="0.25">
      <c r="A68" s="16"/>
      <c r="B68" s="3" t="s">
        <v>99</v>
      </c>
      <c r="C68" s="3" t="s">
        <v>100</v>
      </c>
      <c r="D68" s="11" t="s">
        <v>19</v>
      </c>
      <c r="E68" s="8">
        <f>(221.26*$Y68)*1.08</f>
        <v>267.83037307317068</v>
      </c>
      <c r="F68" s="7">
        <f>(310.41*$Y68)*1.08</f>
        <v>375.74449112195117</v>
      </c>
      <c r="G68" s="7">
        <f>(364.87*$Y68)*1.08</f>
        <v>441.66712565853652</v>
      </c>
      <c r="H68" s="7">
        <f>(176.83*$Y68)*1.08</f>
        <v>214.04883336585365</v>
      </c>
      <c r="I68" s="7">
        <f>(308.58*$Y68)*1.08</f>
        <v>373.52931629268289</v>
      </c>
      <c r="J68" s="7">
        <f>(453.13*$Y68)*1.08</f>
        <v>548.50391824390238</v>
      </c>
      <c r="K68" s="7">
        <f>(207.98*$Y68)*1.08</f>
        <v>251.7552245853658</v>
      </c>
      <c r="L68" s="7">
        <f>(233.85*$Y68)*1.08</f>
        <v>283.07029170731704</v>
      </c>
      <c r="M68" s="7">
        <f>(280.64*$Y68)*1.08</f>
        <v>339.70855960975609</v>
      </c>
      <c r="N68" s="22"/>
      <c r="O68" s="7">
        <f>(20.56*$Y68)*1.08</f>
        <v>24.887428682926824</v>
      </c>
      <c r="P68" s="7">
        <f>(28.84*$Y68)*1.08</f>
        <v>34.910186926829262</v>
      </c>
      <c r="Q68" s="7">
        <f>(33.93*$Y68)*1.08</f>
        <v>41.071520195121941</v>
      </c>
      <c r="R68" s="7">
        <f>(16.43*$Y68)*1.08</f>
        <v>19.888154341463412</v>
      </c>
      <c r="S68" s="7">
        <f>(28.67*$Y68)*1.08</f>
        <v>34.704405658536587</v>
      </c>
      <c r="T68" s="7">
        <f>(42.1*$Y68)*1.08</f>
        <v>50.96112585365853</v>
      </c>
      <c r="U68" s="7">
        <f>(19.32*$Y68)*1.08</f>
        <v>23.386435902439022</v>
      </c>
      <c r="V68" s="7">
        <f>(21.73*$Y68)*1.08</f>
        <v>26.303687999999998</v>
      </c>
      <c r="W68" s="7">
        <f>(26.07*$Y68)*1.08</f>
        <v>31.557162731707315</v>
      </c>
      <c r="X68" s="22"/>
      <c r="Y68" s="10">
        <v>1.1208130081300811</v>
      </c>
      <c r="AB68" s="22"/>
    </row>
    <row r="69" spans="1:28" hidden="1" x14ac:dyDescent="0.25">
      <c r="A69" s="16"/>
      <c r="B69" s="3" t="s">
        <v>101</v>
      </c>
      <c r="C69" s="3" t="s">
        <v>102</v>
      </c>
      <c r="D69" s="11" t="s">
        <v>6</v>
      </c>
      <c r="E69" s="8">
        <f t="shared" ref="E69:E78" si="26">(221.26*$Y69)*1.08</f>
        <v>133.38383539264544</v>
      </c>
      <c r="F69" s="7">
        <f t="shared" ref="F69:F78" si="27">(310.41*$Y69)*1.08</f>
        <v>187.12680260431648</v>
      </c>
      <c r="G69" s="7">
        <f t="shared" ref="G69:G78" si="28">(364.87*$Y69)*1.08</f>
        <v>219.95733535078432</v>
      </c>
      <c r="H69" s="7">
        <f t="shared" ref="H69:H78" si="29">(176.83*$Y69)*1.08</f>
        <v>106.59976323095675</v>
      </c>
      <c r="I69" s="7">
        <f t="shared" ref="I69:I78" si="30">(308.58*$Y69)*1.08</f>
        <v>186.02360989542856</v>
      </c>
      <c r="J69" s="7">
        <f t="shared" ref="J69:J78" si="31">(453.13*$Y69)*1.08</f>
        <v>273.16377714665742</v>
      </c>
      <c r="K69" s="7">
        <f t="shared" ref="K69:K78" si="32">(207.98*$Y69)*1.08</f>
        <v>125.37815278388499</v>
      </c>
      <c r="L69" s="7">
        <f t="shared" ref="L69:L78" si="33">(233.85*$Y69)*1.08</f>
        <v>140.97356009477596</v>
      </c>
      <c r="M69" s="7">
        <f t="shared" ref="M69:M78" si="34">(280.64*$Y69)*1.08</f>
        <v>169.18032886464798</v>
      </c>
      <c r="N69" s="22"/>
      <c r="O69" s="7">
        <f>(20.56*$Y69)*1.08</f>
        <v>12.394339942478487</v>
      </c>
      <c r="P69" s="7">
        <f>(28.84*$Y69)*1.08</f>
        <v>17.385834822036944</v>
      </c>
      <c r="Q69" s="7">
        <f>(33.93*$Y69)*1.08</f>
        <v>20.454277930364547</v>
      </c>
      <c r="R69" s="7">
        <f>(16.43*$Y69)*1.08</f>
        <v>9.9046208781576617</v>
      </c>
      <c r="S69" s="7">
        <f>(28.67*$Y69)*1.08</f>
        <v>17.28335243924408</v>
      </c>
      <c r="T69" s="7">
        <f>(42.1*$Y69)*1.08</f>
        <v>25.379460679880559</v>
      </c>
      <c r="U69" s="7">
        <f>(19.32*$Y69)*1.08</f>
        <v>11.6468213856364</v>
      </c>
      <c r="V69" s="7">
        <f>(21.73*$Y69)*1.08</f>
        <v>13.099659871111747</v>
      </c>
      <c r="W69" s="7">
        <f>(26.07*$Y69)*1.08</f>
        <v>15.715974820059055</v>
      </c>
      <c r="X69" s="22"/>
      <c r="Y69" s="10">
        <v>0.55818291281517896</v>
      </c>
      <c r="AB69" s="22"/>
    </row>
    <row r="70" spans="1:28" hidden="1" x14ac:dyDescent="0.25">
      <c r="A70" s="16"/>
      <c r="B70" s="3" t="s">
        <v>103</v>
      </c>
      <c r="C70" s="3" t="s">
        <v>104</v>
      </c>
      <c r="D70" s="11" t="s">
        <v>6</v>
      </c>
      <c r="E70" s="8">
        <f t="shared" si="26"/>
        <v>139.41778771737316</v>
      </c>
      <c r="F70" s="7">
        <f t="shared" si="27"/>
        <v>195.59195283987074</v>
      </c>
      <c r="G70" s="7">
        <f t="shared" si="28"/>
        <v>229.90765707510593</v>
      </c>
      <c r="H70" s="7">
        <f t="shared" si="29"/>
        <v>111.42207087617778</v>
      </c>
      <c r="I70" s="7">
        <f t="shared" si="30"/>
        <v>194.43885444195519</v>
      </c>
      <c r="J70" s="7">
        <f t="shared" si="31"/>
        <v>285.52102570899984</v>
      </c>
      <c r="K70" s="7">
        <f t="shared" si="32"/>
        <v>131.04994797730845</v>
      </c>
      <c r="L70" s="7">
        <f t="shared" si="33"/>
        <v>147.3508526516664</v>
      </c>
      <c r="M70" s="7">
        <f t="shared" si="34"/>
        <v>176.83362535028294</v>
      </c>
      <c r="N70" s="22"/>
      <c r="O70" s="7">
        <f t="shared" ref="O70:O80" si="35">(20.56*$Y70)*1.08</f>
        <v>12.955028995160408</v>
      </c>
      <c r="P70" s="7">
        <f t="shared" ref="P70:P80" si="36">(28.84*$Y70)*1.08</f>
        <v>18.172326664417618</v>
      </c>
      <c r="Q70" s="7">
        <f t="shared" ref="Q70:Q80" si="37">(33.93*$Y70)*1.08</f>
        <v>21.379578492499643</v>
      </c>
      <c r="R70" s="7">
        <f t="shared" ref="R70:R80" si="38">(16.43*$Y70)*1.08</f>
        <v>10.352681244673422</v>
      </c>
      <c r="S70" s="7">
        <f t="shared" ref="S70:S80" si="39">(28.67*$Y70)*1.08</f>
        <v>18.065208234010161</v>
      </c>
      <c r="T70" s="7">
        <f t="shared" ref="T70:T80" si="40">(42.1*$Y70)*1.08</f>
        <v>26.527564236199087</v>
      </c>
      <c r="U70" s="7">
        <f t="shared" ref="U70:U80" si="41">(19.32*$Y70)*1.08</f>
        <v>12.173694561600151</v>
      </c>
      <c r="V70" s="7">
        <f t="shared" ref="V70:V80" si="42">(21.73*$Y70)*1.08</f>
        <v>13.692255839729363</v>
      </c>
      <c r="W70" s="7">
        <f t="shared" ref="W70:W80" si="43">(26.07*$Y70)*1.08</f>
        <v>16.426926357190265</v>
      </c>
      <c r="X70" s="22"/>
      <c r="Y70" s="10">
        <v>0.58343371681620226</v>
      </c>
      <c r="AB70" s="22"/>
    </row>
    <row r="71" spans="1:28" hidden="1" x14ac:dyDescent="0.25">
      <c r="A71" s="16"/>
      <c r="B71" s="3" t="s">
        <v>105</v>
      </c>
      <c r="C71" s="3" t="s">
        <v>106</v>
      </c>
      <c r="D71" s="11" t="s">
        <v>6</v>
      </c>
      <c r="E71" s="8">
        <f t="shared" si="26"/>
        <v>131.4288119264275</v>
      </c>
      <c r="F71" s="7">
        <f t="shared" si="27"/>
        <v>184.38406178289054</v>
      </c>
      <c r="G71" s="7">
        <f t="shared" si="28"/>
        <v>216.73339332728736</v>
      </c>
      <c r="H71" s="7">
        <f t="shared" si="29"/>
        <v>105.03731724193337</v>
      </c>
      <c r="I71" s="7">
        <f t="shared" si="30"/>
        <v>183.29703870675675</v>
      </c>
      <c r="J71" s="7">
        <f t="shared" si="31"/>
        <v>269.15998168770716</v>
      </c>
      <c r="K71" s="7">
        <f t="shared" si="32"/>
        <v>123.54046960344567</v>
      </c>
      <c r="L71" s="7">
        <f t="shared" si="33"/>
        <v>138.90729308955559</v>
      </c>
      <c r="M71" s="7">
        <f t="shared" si="34"/>
        <v>166.70063174108566</v>
      </c>
      <c r="N71" s="22"/>
      <c r="O71" s="7">
        <f t="shared" si="35"/>
        <v>12.212674560279082</v>
      </c>
      <c r="P71" s="7">
        <f t="shared" si="36"/>
        <v>17.131008478523768</v>
      </c>
      <c r="Q71" s="7">
        <f t="shared" si="37"/>
        <v>20.154477034546169</v>
      </c>
      <c r="R71" s="7">
        <f t="shared" si="38"/>
        <v>9.7594476179662113</v>
      </c>
      <c r="S71" s="7">
        <f t="shared" si="39"/>
        <v>17.030028192762707</v>
      </c>
      <c r="T71" s="7">
        <f t="shared" si="40"/>
        <v>25.007470767886641</v>
      </c>
      <c r="U71" s="7">
        <f t="shared" si="41"/>
        <v>11.476112475904271</v>
      </c>
      <c r="V71" s="7">
        <f t="shared" si="42"/>
        <v>12.907656526987569</v>
      </c>
      <c r="W71" s="7">
        <f t="shared" si="43"/>
        <v>15.485623822299399</v>
      </c>
      <c r="X71" s="22"/>
      <c r="Y71" s="10">
        <v>0.55000155643280191</v>
      </c>
      <c r="AB71" s="22"/>
    </row>
    <row r="72" spans="1:28" hidden="1" x14ac:dyDescent="0.25">
      <c r="A72" s="16"/>
      <c r="B72" s="3" t="s">
        <v>107</v>
      </c>
      <c r="C72" s="3" t="s">
        <v>108</v>
      </c>
      <c r="D72" s="11" t="s">
        <v>6</v>
      </c>
      <c r="E72" s="8">
        <f t="shared" si="26"/>
        <v>147.66552651317227</v>
      </c>
      <c r="F72" s="7">
        <f t="shared" si="27"/>
        <v>207.1628675989958</v>
      </c>
      <c r="G72" s="7">
        <f t="shared" si="28"/>
        <v>243.50863535596659</v>
      </c>
      <c r="H72" s="7">
        <f t="shared" si="29"/>
        <v>118.01362674375963</v>
      </c>
      <c r="I72" s="7">
        <f t="shared" si="30"/>
        <v>205.94155369897268</v>
      </c>
      <c r="J72" s="7">
        <f t="shared" si="31"/>
        <v>302.41200410789907</v>
      </c>
      <c r="K72" s="7">
        <f t="shared" si="32"/>
        <v>138.80265842994473</v>
      </c>
      <c r="L72" s="7">
        <f t="shared" si="33"/>
        <v>156.06789919147312</v>
      </c>
      <c r="M72" s="7">
        <f t="shared" si="34"/>
        <v>187.29482672266414</v>
      </c>
      <c r="N72" s="22"/>
      <c r="O72" s="7">
        <f t="shared" si="35"/>
        <v>13.721428297526991</v>
      </c>
      <c r="P72" s="7">
        <f t="shared" si="36"/>
        <v>19.247373156647782</v>
      </c>
      <c r="Q72" s="7">
        <f t="shared" si="37"/>
        <v>22.644360998788464</v>
      </c>
      <c r="R72" s="7">
        <f t="shared" si="38"/>
        <v>10.965129714414809</v>
      </c>
      <c r="S72" s="7">
        <f t="shared" si="39"/>
        <v>19.133917767028155</v>
      </c>
      <c r="T72" s="7">
        <f t="shared" si="40"/>
        <v>28.096893546978905</v>
      </c>
      <c r="U72" s="7">
        <f t="shared" si="41"/>
        <v>12.893871337948514</v>
      </c>
      <c r="V72" s="7">
        <f t="shared" si="42"/>
        <v>14.502268331967972</v>
      </c>
      <c r="W72" s="7">
        <f t="shared" si="43"/>
        <v>17.398717690492639</v>
      </c>
      <c r="X72" s="22"/>
      <c r="Y72" s="10">
        <v>0.61794874520495524</v>
      </c>
      <c r="AB72" s="22"/>
    </row>
    <row r="73" spans="1:28" hidden="1" x14ac:dyDescent="0.25">
      <c r="A73" s="16"/>
      <c r="B73" s="3" t="s">
        <v>109</v>
      </c>
      <c r="C73" s="3" t="s">
        <v>110</v>
      </c>
      <c r="D73" s="11" t="s">
        <v>6</v>
      </c>
      <c r="E73" s="8">
        <f t="shared" si="26"/>
        <v>161.56340042492951</v>
      </c>
      <c r="F73" s="7">
        <f t="shared" si="27"/>
        <v>226.66046789253537</v>
      </c>
      <c r="G73" s="7">
        <f t="shared" si="28"/>
        <v>266.42699951660506</v>
      </c>
      <c r="H73" s="7">
        <f t="shared" si="29"/>
        <v>129.12074526412496</v>
      </c>
      <c r="I73" s="7">
        <f t="shared" si="30"/>
        <v>225.32420728159067</v>
      </c>
      <c r="J73" s="7">
        <f t="shared" si="31"/>
        <v>330.87419160511757</v>
      </c>
      <c r="K73" s="7">
        <f t="shared" si="32"/>
        <v>151.86638353239104</v>
      </c>
      <c r="L73" s="7">
        <f t="shared" si="33"/>
        <v>170.7565813494069</v>
      </c>
      <c r="M73" s="7">
        <f t="shared" si="34"/>
        <v>204.92250156039151</v>
      </c>
      <c r="N73" s="22"/>
      <c r="O73" s="7">
        <f t="shared" si="35"/>
        <v>15.012851454110779</v>
      </c>
      <c r="P73" s="7">
        <f t="shared" si="36"/>
        <v>21.058883070844107</v>
      </c>
      <c r="Q73" s="7">
        <f t="shared" si="37"/>
        <v>24.775586081613753</v>
      </c>
      <c r="R73" s="7">
        <f t="shared" si="38"/>
        <v>11.997137616295724</v>
      </c>
      <c r="S73" s="7">
        <f t="shared" si="39"/>
        <v>20.934749571466735</v>
      </c>
      <c r="T73" s="7">
        <f t="shared" si="40"/>
        <v>30.741296022279371</v>
      </c>
      <c r="U73" s="7">
        <f t="shared" si="41"/>
        <v>14.107407105711102</v>
      </c>
      <c r="V73" s="7">
        <f t="shared" si="42"/>
        <v>15.867182008649186</v>
      </c>
      <c r="W73" s="7">
        <f t="shared" si="43"/>
        <v>19.036237228048055</v>
      </c>
      <c r="X73" s="22"/>
      <c r="Y73" s="10">
        <v>0.67610838440836118</v>
      </c>
      <c r="AB73" s="22"/>
    </row>
    <row r="74" spans="1:28" hidden="1" x14ac:dyDescent="0.25">
      <c r="A74" s="16"/>
      <c r="B74" s="3" t="s">
        <v>111</v>
      </c>
      <c r="C74" s="3" t="s">
        <v>112</v>
      </c>
      <c r="D74" s="11" t="s">
        <v>6</v>
      </c>
      <c r="E74" s="8">
        <f t="shared" si="26"/>
        <v>77.055388703434417</v>
      </c>
      <c r="F74" s="7">
        <f t="shared" si="27"/>
        <v>108.10251833785175</v>
      </c>
      <c r="G74" s="7">
        <f t="shared" si="28"/>
        <v>127.06860560527033</v>
      </c>
      <c r="H74" s="7">
        <f t="shared" si="29"/>
        <v>61.582321180639553</v>
      </c>
      <c r="I74" s="7">
        <f t="shared" si="30"/>
        <v>107.46520765662926</v>
      </c>
      <c r="J74" s="7">
        <f t="shared" si="31"/>
        <v>157.80578632914776</v>
      </c>
      <c r="K74" s="7">
        <f t="shared" si="32"/>
        <v>72.430533049535782</v>
      </c>
      <c r="L74" s="7">
        <f t="shared" si="33"/>
        <v>81.439946887363902</v>
      </c>
      <c r="M74" s="7">
        <f t="shared" si="34"/>
        <v>97.734901408893748</v>
      </c>
      <c r="N74" s="22"/>
      <c r="O74" s="7">
        <f t="shared" si="35"/>
        <v>7.1601680906743717</v>
      </c>
      <c r="P74" s="7">
        <f t="shared" si="36"/>
        <v>10.043737730303933</v>
      </c>
      <c r="Q74" s="7">
        <f t="shared" si="37"/>
        <v>11.816366892829837</v>
      </c>
      <c r="R74" s="7">
        <f t="shared" si="38"/>
        <v>5.7218658428881293</v>
      </c>
      <c r="S74" s="7">
        <f t="shared" si="39"/>
        <v>9.9845340058187873</v>
      </c>
      <c r="T74" s="7">
        <f t="shared" si="40"/>
        <v>14.661628240145479</v>
      </c>
      <c r="U74" s="7">
        <f t="shared" si="41"/>
        <v>6.7283291591356456</v>
      </c>
      <c r="V74" s="7">
        <f t="shared" si="42"/>
        <v>7.5676290180133314</v>
      </c>
      <c r="W74" s="7">
        <f t="shared" si="43"/>
        <v>9.0790652783988754</v>
      </c>
      <c r="X74" s="22"/>
      <c r="Y74" s="10">
        <v>0.32246037301278874</v>
      </c>
      <c r="AB74" s="22"/>
    </row>
    <row r="75" spans="1:28" hidden="1" x14ac:dyDescent="0.25">
      <c r="A75" s="16"/>
      <c r="B75" s="3" t="s">
        <v>113</v>
      </c>
      <c r="C75" s="3" t="s">
        <v>114</v>
      </c>
      <c r="D75" s="11" t="s">
        <v>6</v>
      </c>
      <c r="E75" s="8">
        <f t="shared" si="26"/>
        <v>205.58982714146342</v>
      </c>
      <c r="F75" s="7">
        <f t="shared" si="27"/>
        <v>288.42600670243905</v>
      </c>
      <c r="G75" s="7">
        <f t="shared" si="28"/>
        <v>339.02901667317076</v>
      </c>
      <c r="H75" s="7">
        <f t="shared" si="29"/>
        <v>164.30646810731707</v>
      </c>
      <c r="I75" s="7">
        <f t="shared" si="30"/>
        <v>286.72561176585367</v>
      </c>
      <c r="J75" s="7">
        <f t="shared" si="31"/>
        <v>421.03822820487807</v>
      </c>
      <c r="K75" s="7">
        <f t="shared" si="32"/>
        <v>193.25034913170728</v>
      </c>
      <c r="L75" s="7">
        <f t="shared" si="33"/>
        <v>217.28817263414632</v>
      </c>
      <c r="M75" s="7">
        <f t="shared" si="34"/>
        <v>260.76439071219511</v>
      </c>
      <c r="N75" s="22"/>
      <c r="O75" s="7">
        <f t="shared" si="35"/>
        <v>19.103890653658535</v>
      </c>
      <c r="P75" s="7">
        <f t="shared" si="36"/>
        <v>26.797480858536584</v>
      </c>
      <c r="Q75" s="7">
        <f t="shared" si="37"/>
        <v>31.526994643902437</v>
      </c>
      <c r="R75" s="7">
        <f t="shared" si="38"/>
        <v>15.266387326829268</v>
      </c>
      <c r="S75" s="7">
        <f t="shared" si="39"/>
        <v>26.639520673170733</v>
      </c>
      <c r="T75" s="7">
        <f t="shared" si="40"/>
        <v>39.118375317073173</v>
      </c>
      <c r="U75" s="7">
        <f t="shared" si="41"/>
        <v>17.951710478048781</v>
      </c>
      <c r="V75" s="7">
        <f t="shared" si="42"/>
        <v>20.191028399999997</v>
      </c>
      <c r="W75" s="7">
        <f t="shared" si="43"/>
        <v>24.223659014634148</v>
      </c>
      <c r="X75" s="22"/>
      <c r="Y75" s="10">
        <v>0.86034959349593487</v>
      </c>
      <c r="AB75" s="22"/>
    </row>
    <row r="76" spans="1:28" hidden="1" x14ac:dyDescent="0.25">
      <c r="A76" s="16"/>
      <c r="B76" s="3" t="s">
        <v>115</v>
      </c>
      <c r="C76" s="3" t="s">
        <v>116</v>
      </c>
      <c r="D76" s="11" t="s">
        <v>6</v>
      </c>
      <c r="E76" s="8">
        <f t="shared" si="26"/>
        <v>126.50350058400454</v>
      </c>
      <c r="F76" s="7">
        <f t="shared" si="27"/>
        <v>177.47424575739333</v>
      </c>
      <c r="G76" s="7">
        <f t="shared" si="28"/>
        <v>208.61128201249994</v>
      </c>
      <c r="H76" s="7">
        <f t="shared" si="29"/>
        <v>101.10103049927471</v>
      </c>
      <c r="I76" s="7">
        <f t="shared" si="30"/>
        <v>176.42795900846116</v>
      </c>
      <c r="J76" s="7">
        <f t="shared" si="31"/>
        <v>259.07317734624417</v>
      </c>
      <c r="K76" s="7">
        <f t="shared" si="32"/>
        <v>118.91077488683567</v>
      </c>
      <c r="L76" s="7">
        <f t="shared" si="33"/>
        <v>133.7017247201006</v>
      </c>
      <c r="M76" s="7">
        <f t="shared" si="34"/>
        <v>160.4535044919779</v>
      </c>
      <c r="N76" s="22"/>
      <c r="O76" s="7">
        <f t="shared" si="35"/>
        <v>11.755003037183101</v>
      </c>
      <c r="P76" s="7">
        <f t="shared" si="36"/>
        <v>16.489021770056453</v>
      </c>
      <c r="Q76" s="7">
        <f t="shared" si="37"/>
        <v>19.399185459709273</v>
      </c>
      <c r="R76" s="7">
        <f t="shared" si="38"/>
        <v>9.3937110846750187</v>
      </c>
      <c r="S76" s="7">
        <f t="shared" si="39"/>
        <v>16.391825733270405</v>
      </c>
      <c r="T76" s="7">
        <f t="shared" si="40"/>
        <v>24.070312639368126</v>
      </c>
      <c r="U76" s="7">
        <f t="shared" si="41"/>
        <v>11.046043710037818</v>
      </c>
      <c r="V76" s="7">
        <f t="shared" si="42"/>
        <v>12.423940466828251</v>
      </c>
      <c r="W76" s="7">
        <f t="shared" si="43"/>
        <v>14.905298111836744</v>
      </c>
      <c r="X76" s="22"/>
      <c r="Y76" s="10">
        <v>0.529390178573241</v>
      </c>
      <c r="AB76" s="22"/>
    </row>
    <row r="77" spans="1:28" hidden="1" x14ac:dyDescent="0.25">
      <c r="A77" s="16"/>
      <c r="B77" s="3" t="s">
        <v>117</v>
      </c>
      <c r="C77" s="3" t="s">
        <v>118</v>
      </c>
      <c r="D77" s="11" t="s">
        <v>6</v>
      </c>
      <c r="E77" s="8">
        <f t="shared" si="26"/>
        <v>188.8557714439024</v>
      </c>
      <c r="F77" s="7">
        <f t="shared" si="27"/>
        <v>264.94947127317073</v>
      </c>
      <c r="G77" s="7">
        <f t="shared" si="28"/>
        <v>311.43363159512188</v>
      </c>
      <c r="H77" s="7">
        <f t="shared" si="29"/>
        <v>150.93268581951219</v>
      </c>
      <c r="I77" s="7">
        <f t="shared" si="30"/>
        <v>263.38748057560969</v>
      </c>
      <c r="J77" s="7">
        <f t="shared" si="31"/>
        <v>386.76767474634141</v>
      </c>
      <c r="K77" s="7">
        <f t="shared" si="32"/>
        <v>177.52066955121947</v>
      </c>
      <c r="L77" s="7">
        <f t="shared" si="33"/>
        <v>199.6019260243902</v>
      </c>
      <c r="M77" s="7">
        <f t="shared" si="34"/>
        <v>239.5393821658536</v>
      </c>
      <c r="N77" s="22"/>
      <c r="O77" s="7">
        <f t="shared" si="35"/>
        <v>17.548922809756093</v>
      </c>
      <c r="P77" s="7">
        <f t="shared" si="36"/>
        <v>24.616290556097557</v>
      </c>
      <c r="Q77" s="7">
        <f t="shared" si="37"/>
        <v>28.960843917073166</v>
      </c>
      <c r="R77" s="7">
        <f t="shared" si="38"/>
        <v>14.023774404878045</v>
      </c>
      <c r="S77" s="7">
        <f t="shared" si="39"/>
        <v>24.47118759512195</v>
      </c>
      <c r="T77" s="7">
        <f t="shared" si="40"/>
        <v>35.934321512195119</v>
      </c>
      <c r="U77" s="7">
        <f t="shared" si="41"/>
        <v>16.490524741463414</v>
      </c>
      <c r="V77" s="7">
        <f t="shared" si="42"/>
        <v>18.547572599999999</v>
      </c>
      <c r="W77" s="7">
        <f t="shared" si="43"/>
        <v>22.251965839024386</v>
      </c>
      <c r="X77" s="22"/>
      <c r="Y77" s="10">
        <v>0.79032113821138195</v>
      </c>
      <c r="AB77" s="22"/>
    </row>
    <row r="78" spans="1:28" hidden="1" x14ac:dyDescent="0.25">
      <c r="A78" s="16"/>
      <c r="B78" s="3" t="s">
        <v>119</v>
      </c>
      <c r="C78" s="3" t="s">
        <v>120</v>
      </c>
      <c r="D78" s="11" t="s">
        <v>6</v>
      </c>
      <c r="E78" s="8">
        <f t="shared" si="26"/>
        <v>200.80866837073174</v>
      </c>
      <c r="F78" s="7">
        <f t="shared" si="27"/>
        <v>281.71842515121961</v>
      </c>
      <c r="G78" s="7">
        <f t="shared" si="28"/>
        <v>331.14462093658545</v>
      </c>
      <c r="H78" s="7">
        <f t="shared" si="29"/>
        <v>160.48538745365857</v>
      </c>
      <c r="I78" s="7">
        <f t="shared" si="30"/>
        <v>280.05757428292685</v>
      </c>
      <c r="J78" s="7">
        <f t="shared" si="31"/>
        <v>411.2466415024391</v>
      </c>
      <c r="K78" s="7">
        <f t="shared" si="32"/>
        <v>188.75615496585368</v>
      </c>
      <c r="L78" s="7">
        <f t="shared" si="33"/>
        <v>212.23495931707322</v>
      </c>
      <c r="M78" s="7">
        <f t="shared" si="34"/>
        <v>254.70010255609756</v>
      </c>
      <c r="N78" s="22"/>
      <c r="O78" s="7">
        <f t="shared" si="35"/>
        <v>18.659614126829268</v>
      </c>
      <c r="P78" s="7">
        <f t="shared" si="36"/>
        <v>26.174283629268295</v>
      </c>
      <c r="Q78" s="7">
        <f t="shared" si="37"/>
        <v>30.793808721951223</v>
      </c>
      <c r="R78" s="7">
        <f t="shared" si="38"/>
        <v>14.911355063414636</v>
      </c>
      <c r="S78" s="7">
        <f t="shared" si="39"/>
        <v>26.019996936585372</v>
      </c>
      <c r="T78" s="7">
        <f t="shared" si="40"/>
        <v>38.208645658536597</v>
      </c>
      <c r="U78" s="7">
        <f t="shared" si="41"/>
        <v>17.534228839024394</v>
      </c>
      <c r="V78" s="7">
        <f t="shared" si="42"/>
        <v>19.721469600000006</v>
      </c>
      <c r="W78" s="7">
        <f t="shared" si="43"/>
        <v>23.660318107317078</v>
      </c>
      <c r="X78" s="22"/>
      <c r="Y78" s="10">
        <v>0.84034146341463423</v>
      </c>
      <c r="AB78" s="22"/>
    </row>
    <row r="79" spans="1:28" hidden="1" x14ac:dyDescent="0.25">
      <c r="A79" s="21" t="s">
        <v>121</v>
      </c>
      <c r="B79" s="18" t="s">
        <v>122</v>
      </c>
      <c r="C79" s="18" t="s">
        <v>123</v>
      </c>
      <c r="D79" s="19" t="s">
        <v>6</v>
      </c>
      <c r="E79" s="8"/>
      <c r="F79" s="7"/>
      <c r="G79" s="7"/>
      <c r="H79" s="7"/>
      <c r="I79" s="7"/>
      <c r="J79" s="7"/>
      <c r="K79" s="7"/>
      <c r="L79" s="7"/>
      <c r="M79" s="7"/>
      <c r="N79" s="22"/>
      <c r="X79" s="22"/>
      <c r="Y79"/>
      <c r="AB79" s="22"/>
    </row>
    <row r="80" spans="1:28" hidden="1" x14ac:dyDescent="0.25">
      <c r="A80" s="16"/>
      <c r="B80" s="3" t="s">
        <v>122</v>
      </c>
      <c r="C80" s="3" t="s">
        <v>124</v>
      </c>
      <c r="D80" s="11" t="s">
        <v>6</v>
      </c>
      <c r="E80" s="8">
        <f>(221.26*$Y80)*1.08</f>
        <v>186.02713923851277</v>
      </c>
      <c r="F80" s="7">
        <f>(310.41*$Y80)*1.08</f>
        <v>260.9811275920942</v>
      </c>
      <c r="G80" s="7">
        <f>(364.87*$Y80)*1.08</f>
        <v>306.76906035413617</v>
      </c>
      <c r="H80" s="7">
        <f>(176.83*$Y80)*1.08</f>
        <v>148.67205564289171</v>
      </c>
      <c r="I80" s="7">
        <f>(308.58*$Y80)*1.08</f>
        <v>259.44253198147101</v>
      </c>
      <c r="J80" s="7">
        <f>(453.13*$Y80)*1.08</f>
        <v>380.9747699681248</v>
      </c>
      <c r="K80" s="7">
        <f>(207.98*$Y80)*1.08</f>
        <v>174.86181152863549</v>
      </c>
      <c r="L80" s="7">
        <f>(233.85*$Y80)*1.08</f>
        <v>196.61234073454858</v>
      </c>
      <c r="M80" s="7">
        <f>(280.64*$Y80)*1.08</f>
        <v>235.95162413403338</v>
      </c>
      <c r="N80" s="22"/>
      <c r="O80" s="7">
        <f t="shared" si="35"/>
        <v>17.286079647219665</v>
      </c>
      <c r="P80" s="7">
        <f t="shared" si="36"/>
        <v>24.247594213317857</v>
      </c>
      <c r="Q80" s="7">
        <f t="shared" si="37"/>
        <v>28.527075993684981</v>
      </c>
      <c r="R80" s="7">
        <f t="shared" si="38"/>
        <v>13.813729990458127</v>
      </c>
      <c r="S80" s="7">
        <f t="shared" si="39"/>
        <v>24.104664566429371</v>
      </c>
      <c r="T80" s="7">
        <f t="shared" si="40"/>
        <v>35.396106670620036</v>
      </c>
      <c r="U80" s="7">
        <f t="shared" si="41"/>
        <v>16.243533987562447</v>
      </c>
      <c r="V80" s="7">
        <f t="shared" si="42"/>
        <v>18.269771922863974</v>
      </c>
      <c r="W80" s="7">
        <f t="shared" si="43"/>
        <v>21.918681731664236</v>
      </c>
      <c r="X80" s="22"/>
      <c r="Y80" s="10">
        <v>0.77848391551464835</v>
      </c>
      <c r="AB80" s="22"/>
    </row>
    <row r="81" spans="1:28" hidden="1" x14ac:dyDescent="0.25">
      <c r="A81" s="21" t="s">
        <v>121</v>
      </c>
      <c r="B81" s="18" t="s">
        <v>122</v>
      </c>
      <c r="C81" s="18" t="s">
        <v>125</v>
      </c>
      <c r="D81" s="19" t="s">
        <v>6</v>
      </c>
      <c r="E81" s="8"/>
      <c r="F81" s="8"/>
      <c r="G81" s="8"/>
      <c r="H81" s="8"/>
      <c r="I81" s="8"/>
      <c r="J81" s="8"/>
      <c r="K81" s="8"/>
      <c r="L81" s="8"/>
      <c r="M81" s="8"/>
      <c r="N81" s="22"/>
      <c r="X81" s="22"/>
      <c r="Y81"/>
      <c r="AB81" s="22"/>
    </row>
    <row r="82" spans="1:28" hidden="1" x14ac:dyDescent="0.25">
      <c r="A82" s="21" t="s">
        <v>121</v>
      </c>
      <c r="B82" s="18" t="s">
        <v>122</v>
      </c>
      <c r="C82" s="18" t="s">
        <v>126</v>
      </c>
      <c r="D82" s="19" t="s">
        <v>6</v>
      </c>
      <c r="E82" s="8"/>
      <c r="F82" s="8"/>
      <c r="G82" s="8"/>
      <c r="H82" s="8"/>
      <c r="I82" s="8"/>
      <c r="J82" s="8"/>
      <c r="K82" s="8"/>
      <c r="L82" s="8"/>
      <c r="M82" s="8"/>
      <c r="N82" s="22"/>
      <c r="X82" s="22"/>
      <c r="Y82"/>
      <c r="AB82" s="22"/>
    </row>
    <row r="83" spans="1:28" hidden="1" x14ac:dyDescent="0.25">
      <c r="A83" s="21" t="s">
        <v>121</v>
      </c>
      <c r="B83" s="18" t="s">
        <v>122</v>
      </c>
      <c r="C83" s="18" t="s">
        <v>127</v>
      </c>
      <c r="D83" s="19" t="s">
        <v>6</v>
      </c>
      <c r="E83" s="8"/>
      <c r="F83" s="8"/>
      <c r="G83" s="8"/>
      <c r="H83" s="8"/>
      <c r="I83" s="8"/>
      <c r="J83" s="8"/>
      <c r="K83" s="8"/>
      <c r="L83" s="8"/>
      <c r="M83" s="8"/>
      <c r="N83" s="22"/>
      <c r="X83" s="22"/>
      <c r="Y83"/>
      <c r="AB83" s="22"/>
    </row>
    <row r="84" spans="1:28" hidden="1" x14ac:dyDescent="0.25">
      <c r="A84" s="21" t="s">
        <v>121</v>
      </c>
      <c r="B84" s="18" t="s">
        <v>122</v>
      </c>
      <c r="C84" s="18" t="s">
        <v>128</v>
      </c>
      <c r="D84" s="19" t="s">
        <v>6</v>
      </c>
      <c r="E84" s="8"/>
      <c r="F84" s="8"/>
      <c r="G84" s="8"/>
      <c r="H84" s="8"/>
      <c r="I84" s="8"/>
      <c r="J84" s="8"/>
      <c r="K84" s="8"/>
      <c r="L84" s="8"/>
      <c r="M84" s="8"/>
      <c r="N84" s="22"/>
      <c r="X84" s="22"/>
      <c r="Y84"/>
      <c r="AB84" s="22"/>
    </row>
    <row r="85" spans="1:28" hidden="1" x14ac:dyDescent="0.25">
      <c r="A85" s="21"/>
      <c r="B85" s="3" t="s">
        <v>129</v>
      </c>
      <c r="C85" s="3" t="s">
        <v>130</v>
      </c>
      <c r="D85" s="11" t="s">
        <v>6</v>
      </c>
      <c r="E85" s="8">
        <f t="shared" ref="E85:E107" si="44">(221.26*$Y85)*1.08</f>
        <v>145.71066839650936</v>
      </c>
      <c r="F85" s="7">
        <f>(310.41*$Y85)*1.08</f>
        <v>204.42035874970841</v>
      </c>
      <c r="G85" s="7">
        <f>(364.87*$Y85)*1.08</f>
        <v>240.28496600304791</v>
      </c>
      <c r="H85" s="7">
        <f>(176.83*$Y85)*1.08</f>
        <v>116.45131290135927</v>
      </c>
      <c r="I85" s="7">
        <f>(308.58*$Y85)*1.08</f>
        <v>203.21521311486424</v>
      </c>
      <c r="J85" s="7">
        <f>(453.13*$Y85)*1.08</f>
        <v>298.40854727700577</v>
      </c>
      <c r="K85" s="7">
        <f>(207.98*$Y85)*1.08</f>
        <v>136.96513067479896</v>
      </c>
      <c r="L85" s="7">
        <f>(233.85*$Y85)*1.08</f>
        <v>154.00180694442611</v>
      </c>
      <c r="M85" s="7">
        <f>(280.64*$Y85)*1.08</f>
        <v>184.81533932385605</v>
      </c>
      <c r="N85" s="22"/>
      <c r="O85" s="7">
        <f t="shared" ref="O85:O111" si="45">(20.56*$Y85)*1.08</f>
        <v>13.539778279997437</v>
      </c>
      <c r="P85" s="7">
        <f t="shared" ref="P85:P111" si="46">(28.84*$Y85)*1.08</f>
        <v>18.992568365521695</v>
      </c>
      <c r="Q85" s="7">
        <f t="shared" ref="Q85:Q111" si="47">(33.93*$Y85)*1.08</f>
        <v>22.344585459159195</v>
      </c>
      <c r="R85" s="7">
        <f t="shared" ref="R85:R111" si="48">(16.43*$Y85)*1.08</f>
        <v>10.819968732507681</v>
      </c>
      <c r="S85" s="7">
        <f t="shared" ref="S85:S111" si="49">(28.67*$Y85)*1.08</f>
        <v>18.88061494589137</v>
      </c>
      <c r="T85" s="7">
        <f t="shared" ref="T85:T111" si="50">(42.1*$Y85)*1.08</f>
        <v>27.724935096687361</v>
      </c>
      <c r="U85" s="7">
        <f t="shared" ref="U85:U111" si="51">(19.32*$Y85)*1.08</f>
        <v>12.723176866223273</v>
      </c>
      <c r="V85" s="7">
        <f t="shared" ref="V85:V111" si="52">(21.73*$Y85)*1.08</f>
        <v>14.310281226864996</v>
      </c>
      <c r="W85" s="7">
        <f t="shared" ref="W85:W111" si="53">(26.07*$Y85)*1.08</f>
        <v>17.16838617507457</v>
      </c>
      <c r="X85" s="22"/>
      <c r="Y85" s="10">
        <v>0.60976808077521238</v>
      </c>
      <c r="AB85" s="22"/>
    </row>
    <row r="86" spans="1:28" hidden="1" x14ac:dyDescent="0.25">
      <c r="A86" s="21"/>
      <c r="B86" s="3" t="s">
        <v>131</v>
      </c>
      <c r="C86" s="3" t="s">
        <v>132</v>
      </c>
      <c r="D86" s="11" t="s">
        <v>6</v>
      </c>
      <c r="E86" s="8">
        <f t="shared" si="44"/>
        <v>148.30746100573583</v>
      </c>
      <c r="F86" s="7">
        <f t="shared" ref="F86:F108" si="54">(310.41*$Y86)*1.08</f>
        <v>208.06345010752264</v>
      </c>
      <c r="G86" s="7">
        <f t="shared" ref="G86:G108" si="55">(364.87*$Y86)*1.08</f>
        <v>244.56722090374598</v>
      </c>
      <c r="H86" s="7">
        <f t="shared" ref="H86:H108" si="56">(176.83*$Y86)*1.08</f>
        <v>118.52665791215887</v>
      </c>
      <c r="I86" s="7">
        <f t="shared" ref="I86:I108" si="57">(308.58*$Y86)*1.08</f>
        <v>206.83682688759814</v>
      </c>
      <c r="J86" s="7">
        <f t="shared" ref="J86:J108" si="58">(453.13*$Y86)*1.08</f>
        <v>303.72665554338369</v>
      </c>
      <c r="K86" s="7">
        <f t="shared" ref="K86:K108" si="59">(207.98*$Y86)*1.08</f>
        <v>139.40606408737656</v>
      </c>
      <c r="L86" s="7">
        <f t="shared" ref="L86:L108" si="60">(233.85*$Y86)*1.08</f>
        <v>156.74636064445144</v>
      </c>
      <c r="M86" s="7">
        <f t="shared" ref="M86:M108" si="61">(280.64*$Y86)*1.08</f>
        <v>188.10903849159229</v>
      </c>
      <c r="N86" s="22"/>
      <c r="O86" s="7">
        <f t="shared" si="45"/>
        <v>13.781078361556219</v>
      </c>
      <c r="P86" s="7">
        <f t="shared" si="46"/>
        <v>19.331045717280222</v>
      </c>
      <c r="Q86" s="7">
        <f t="shared" si="47"/>
        <v>22.742801012042921</v>
      </c>
      <c r="R86" s="7">
        <f t="shared" si="48"/>
        <v>11.012797542819488</v>
      </c>
      <c r="S86" s="7">
        <f t="shared" si="49"/>
        <v>19.217097112150622</v>
      </c>
      <c r="T86" s="7">
        <f t="shared" si="50"/>
        <v>28.219036917388951</v>
      </c>
      <c r="U86" s="7">
        <f t="shared" si="51"/>
        <v>12.949923830022673</v>
      </c>
      <c r="V86" s="7">
        <f t="shared" si="52"/>
        <v>14.565312879212872</v>
      </c>
      <c r="W86" s="7">
        <f t="shared" si="53"/>
        <v>17.474353739580284</v>
      </c>
      <c r="X86" s="22"/>
      <c r="Y86" s="10">
        <v>0.62063510419171608</v>
      </c>
      <c r="AB86" s="22"/>
    </row>
    <row r="87" spans="1:28" hidden="1" x14ac:dyDescent="0.25">
      <c r="A87" s="21"/>
      <c r="B87" s="3" t="s">
        <v>133</v>
      </c>
      <c r="C87" s="3" t="s">
        <v>134</v>
      </c>
      <c r="D87" s="11" t="s">
        <v>6</v>
      </c>
      <c r="E87" s="8">
        <f t="shared" si="44"/>
        <v>175.95322405719745</v>
      </c>
      <c r="F87" s="7">
        <f t="shared" si="54"/>
        <v>246.84823411188046</v>
      </c>
      <c r="G87" s="7">
        <f t="shared" si="55"/>
        <v>290.15661602526279</v>
      </c>
      <c r="H87" s="7">
        <f t="shared" si="56"/>
        <v>140.62102779550858</v>
      </c>
      <c r="I87" s="7">
        <f t="shared" si="57"/>
        <v>245.39295796605799</v>
      </c>
      <c r="J87" s="7">
        <f t="shared" si="58"/>
        <v>360.34386882869876</v>
      </c>
      <c r="K87" s="7">
        <f t="shared" si="59"/>
        <v>165.3925315891527</v>
      </c>
      <c r="L87" s="7">
        <f t="shared" si="60"/>
        <v>185.96520584730916</v>
      </c>
      <c r="M87" s="7">
        <f t="shared" si="61"/>
        <v>223.17415167410238</v>
      </c>
      <c r="N87" s="22"/>
      <c r="O87" s="7">
        <f t="shared" si="45"/>
        <v>16.349987736671697</v>
      </c>
      <c r="P87" s="7">
        <f t="shared" si="46"/>
        <v>22.934515871868275</v>
      </c>
      <c r="Q87" s="7">
        <f t="shared" si="47"/>
        <v>26.982251162707719</v>
      </c>
      <c r="R87" s="7">
        <f t="shared" si="48"/>
        <v>13.065675997739104</v>
      </c>
      <c r="S87" s="7">
        <f t="shared" si="49"/>
        <v>22.799326284551441</v>
      </c>
      <c r="T87" s="7">
        <f t="shared" si="50"/>
        <v>33.479303682581637</v>
      </c>
      <c r="U87" s="7">
        <f t="shared" si="51"/>
        <v>15.363898982125351</v>
      </c>
      <c r="V87" s="7">
        <f t="shared" si="52"/>
        <v>17.280410190558168</v>
      </c>
      <c r="W87" s="7">
        <f t="shared" si="53"/>
        <v>20.731720831470387</v>
      </c>
      <c r="X87" s="22"/>
      <c r="Y87" s="10">
        <v>0.73632672830521761</v>
      </c>
      <c r="AB87" s="22"/>
    </row>
    <row r="88" spans="1:28" hidden="1" x14ac:dyDescent="0.25">
      <c r="A88" s="21"/>
      <c r="B88" s="3" t="s">
        <v>135</v>
      </c>
      <c r="C88" s="3" t="s">
        <v>136</v>
      </c>
      <c r="D88" s="11" t="s">
        <v>6</v>
      </c>
      <c r="E88" s="8">
        <f t="shared" si="44"/>
        <v>178.75835915826457</v>
      </c>
      <c r="F88" s="7">
        <f t="shared" si="54"/>
        <v>250.78361324377167</v>
      </c>
      <c r="G88" s="7">
        <f t="shared" si="55"/>
        <v>294.78243923924794</v>
      </c>
      <c r="H88" s="7">
        <f t="shared" si="56"/>
        <v>142.86287919170175</v>
      </c>
      <c r="I88" s="7">
        <f t="shared" si="57"/>
        <v>249.3051363511583</v>
      </c>
      <c r="J88" s="7">
        <f t="shared" si="58"/>
        <v>366.08865265020535</v>
      </c>
      <c r="K88" s="7">
        <f t="shared" si="59"/>
        <v>168.02930280093949</v>
      </c>
      <c r="L88" s="7">
        <f t="shared" si="60"/>
        <v>188.92995701509614</v>
      </c>
      <c r="M88" s="7">
        <f t="shared" si="61"/>
        <v>226.73210663552098</v>
      </c>
      <c r="N88" s="22"/>
      <c r="O88" s="7">
        <f t="shared" si="45"/>
        <v>16.610647492967185</v>
      </c>
      <c r="P88" s="7">
        <f t="shared" si="46"/>
        <v>23.300149498889773</v>
      </c>
      <c r="Q88" s="7">
        <f t="shared" si="47"/>
        <v>27.412415828617544</v>
      </c>
      <c r="R88" s="7">
        <f t="shared" si="48"/>
        <v>13.2739755987087</v>
      </c>
      <c r="S88" s="7">
        <f t="shared" si="49"/>
        <v>23.162804650942086</v>
      </c>
      <c r="T88" s="7">
        <f t="shared" si="50"/>
        <v>34.013047638809269</v>
      </c>
      <c r="U88" s="7">
        <f t="shared" si="51"/>
        <v>15.608838013819362</v>
      </c>
      <c r="V88" s="7">
        <f t="shared" si="52"/>
        <v>17.555903211195378</v>
      </c>
      <c r="W88" s="7">
        <f t="shared" si="53"/>
        <v>21.062236388212771</v>
      </c>
      <c r="X88" s="22"/>
      <c r="Y88" s="10">
        <v>0.74806562063009741</v>
      </c>
      <c r="AB88" s="22"/>
    </row>
    <row r="89" spans="1:28" hidden="1" x14ac:dyDescent="0.25">
      <c r="A89" s="21"/>
      <c r="B89" s="3" t="s">
        <v>137</v>
      </c>
      <c r="C89" s="3" t="s">
        <v>138</v>
      </c>
      <c r="D89" s="11" t="s">
        <v>6</v>
      </c>
      <c r="E89" s="8">
        <f t="shared" si="44"/>
        <v>116.90696327729988</v>
      </c>
      <c r="F89" s="7">
        <f t="shared" si="54"/>
        <v>164.01107507415105</v>
      </c>
      <c r="G89" s="7">
        <f t="shared" si="55"/>
        <v>192.78606025033179</v>
      </c>
      <c r="H89" s="7">
        <f t="shared" si="56"/>
        <v>93.431520908998195</v>
      </c>
      <c r="I89" s="7">
        <f t="shared" si="57"/>
        <v>163.0441594870704</v>
      </c>
      <c r="J89" s="7">
        <f t="shared" si="58"/>
        <v>239.4199234829743</v>
      </c>
      <c r="K89" s="7">
        <f t="shared" si="59"/>
        <v>109.8902206562995</v>
      </c>
      <c r="L89" s="7">
        <f t="shared" si="60"/>
        <v>123.55913116874527</v>
      </c>
      <c r="M89" s="7">
        <f t="shared" si="61"/>
        <v>148.28152478595968</v>
      </c>
      <c r="N89" s="22"/>
      <c r="O89" s="7">
        <f t="shared" si="45"/>
        <v>10.863270202392142</v>
      </c>
      <c r="P89" s="7">
        <f t="shared" si="46"/>
        <v>15.238166957052014</v>
      </c>
      <c r="Q89" s="7">
        <f t="shared" si="47"/>
        <v>17.927566048986645</v>
      </c>
      <c r="R89" s="7">
        <f t="shared" si="48"/>
        <v>8.6811055167948901</v>
      </c>
      <c r="S89" s="7">
        <f t="shared" si="49"/>
        <v>15.148344197596437</v>
      </c>
      <c r="T89" s="7">
        <f t="shared" si="50"/>
        <v>22.244342194587023</v>
      </c>
      <c r="U89" s="7">
        <f t="shared" si="51"/>
        <v>10.208092427539698</v>
      </c>
      <c r="V89" s="7">
        <f t="shared" si="52"/>
        <v>11.481462135115821</v>
      </c>
      <c r="W89" s="7">
        <f t="shared" si="53"/>
        <v>13.774584347099376</v>
      </c>
      <c r="X89" s="22"/>
      <c r="Y89" s="10">
        <v>0.48923071598898177</v>
      </c>
      <c r="AB89" s="22"/>
    </row>
    <row r="90" spans="1:28" hidden="1" x14ac:dyDescent="0.25">
      <c r="A90" s="16"/>
      <c r="B90" s="3" t="s">
        <v>139</v>
      </c>
      <c r="C90" s="3" t="s">
        <v>140</v>
      </c>
      <c r="D90" s="11" t="s">
        <v>6</v>
      </c>
      <c r="E90" s="8">
        <f t="shared" si="44"/>
        <v>113.91317482801449</v>
      </c>
      <c r="F90" s="7">
        <f t="shared" si="54"/>
        <v>159.81103045450593</v>
      </c>
      <c r="G90" s="7">
        <f t="shared" si="55"/>
        <v>187.84913721186683</v>
      </c>
      <c r="H90" s="7">
        <f t="shared" si="56"/>
        <v>91.038898602719911</v>
      </c>
      <c r="I90" s="7">
        <f t="shared" si="57"/>
        <v>158.86887593070918</v>
      </c>
      <c r="J90" s="7">
        <f t="shared" si="58"/>
        <v>233.28878653989972</v>
      </c>
      <c r="K90" s="7">
        <f t="shared" si="59"/>
        <v>107.07611904876822</v>
      </c>
      <c r="L90" s="7">
        <f t="shared" si="60"/>
        <v>120.39499201632103</v>
      </c>
      <c r="M90" s="7">
        <f t="shared" si="61"/>
        <v>144.48428719033711</v>
      </c>
      <c r="N90" s="22"/>
      <c r="O90" s="7">
        <f t="shared" si="45"/>
        <v>10.585080332929486</v>
      </c>
      <c r="P90" s="7">
        <f t="shared" si="46"/>
        <v>14.847943424206537</v>
      </c>
      <c r="Q90" s="7">
        <f t="shared" si="47"/>
        <v>17.468471580559214</v>
      </c>
      <c r="R90" s="7">
        <f t="shared" si="48"/>
        <v>8.4587971726669</v>
      </c>
      <c r="S90" s="7">
        <f t="shared" si="49"/>
        <v>14.760420872815583</v>
      </c>
      <c r="T90" s="7">
        <f t="shared" si="50"/>
        <v>21.674702432700943</v>
      </c>
      <c r="U90" s="7">
        <f t="shared" si="51"/>
        <v>9.9466805463131163</v>
      </c>
      <c r="V90" s="7">
        <f t="shared" si="52"/>
        <v>11.187441421914288</v>
      </c>
      <c r="W90" s="7">
        <f t="shared" si="53"/>
        <v>13.42184067507158</v>
      </c>
      <c r="X90" s="22"/>
      <c r="Y90" s="10">
        <v>0.47670234962393204</v>
      </c>
      <c r="AB90" s="22"/>
    </row>
    <row r="91" spans="1:28" hidden="1" x14ac:dyDescent="0.25">
      <c r="A91" s="16"/>
      <c r="B91" s="3" t="s">
        <v>141</v>
      </c>
      <c r="C91" s="3" t="s">
        <v>141</v>
      </c>
      <c r="D91" s="11" t="s">
        <v>6</v>
      </c>
      <c r="E91" s="8">
        <f t="shared" si="44"/>
        <v>154.08950984984662</v>
      </c>
      <c r="F91" s="7">
        <f t="shared" si="54"/>
        <v>216.17520000221862</v>
      </c>
      <c r="G91" s="7">
        <f t="shared" si="55"/>
        <v>254.1021398305773</v>
      </c>
      <c r="H91" s="7">
        <f t="shared" si="56"/>
        <v>123.1476454250582</v>
      </c>
      <c r="I91" s="7">
        <f t="shared" si="57"/>
        <v>214.90075453975263</v>
      </c>
      <c r="J91" s="7">
        <f t="shared" si="58"/>
        <v>315.56801770885386</v>
      </c>
      <c r="K91" s="7">
        <f t="shared" si="59"/>
        <v>144.84107501839961</v>
      </c>
      <c r="L91" s="7">
        <f t="shared" si="60"/>
        <v>162.85741606429826</v>
      </c>
      <c r="M91" s="7">
        <f t="shared" si="61"/>
        <v>195.44282764286791</v>
      </c>
      <c r="N91" s="22"/>
      <c r="O91" s="7">
        <f t="shared" si="45"/>
        <v>14.318359949890835</v>
      </c>
      <c r="P91" s="7">
        <f t="shared" si="46"/>
        <v>20.084703353835202</v>
      </c>
      <c r="Q91" s="7">
        <f t="shared" si="47"/>
        <v>23.62947242703288</v>
      </c>
      <c r="R91" s="7">
        <f t="shared" si="48"/>
        <v>11.442152430773659</v>
      </c>
      <c r="S91" s="7">
        <f t="shared" si="49"/>
        <v>19.966312245300113</v>
      </c>
      <c r="T91" s="7">
        <f t="shared" si="50"/>
        <v>29.31920981957219</v>
      </c>
      <c r="U91" s="7">
        <f t="shared" si="51"/>
        <v>13.454801275870183</v>
      </c>
      <c r="V91" s="7">
        <f t="shared" si="52"/>
        <v>15.133169343926452</v>
      </c>
      <c r="W91" s="7">
        <f t="shared" si="53"/>
        <v>18.155624702998743</v>
      </c>
      <c r="X91" s="22"/>
      <c r="Y91" s="10">
        <v>0.6448317458338213</v>
      </c>
      <c r="AB91" s="22"/>
    </row>
    <row r="92" spans="1:28" hidden="1" x14ac:dyDescent="0.25">
      <c r="A92" s="16"/>
      <c r="B92" s="3" t="s">
        <v>142</v>
      </c>
      <c r="C92" s="3" t="s">
        <v>143</v>
      </c>
      <c r="D92" s="11" t="s">
        <v>6</v>
      </c>
      <c r="E92" s="8">
        <f t="shared" si="44"/>
        <v>188.46286549112196</v>
      </c>
      <c r="F92" s="7">
        <f t="shared" si="54"/>
        <v>264.39825579453662</v>
      </c>
      <c r="G92" s="7">
        <f t="shared" si="55"/>
        <v>310.78570790809761</v>
      </c>
      <c r="H92" s="7">
        <f t="shared" si="56"/>
        <v>150.61867714360977</v>
      </c>
      <c r="I92" s="7">
        <f t="shared" si="57"/>
        <v>262.83951474848783</v>
      </c>
      <c r="J92" s="7">
        <f t="shared" si="58"/>
        <v>385.96302196507321</v>
      </c>
      <c r="K92" s="7">
        <f t="shared" si="59"/>
        <v>177.1513457689756</v>
      </c>
      <c r="L92" s="7">
        <f t="shared" si="60"/>
        <v>199.18666317951221</v>
      </c>
      <c r="M92" s="7">
        <f t="shared" si="61"/>
        <v>239.04103123668295</v>
      </c>
      <c r="N92" s="22"/>
      <c r="O92" s="7">
        <f t="shared" si="45"/>
        <v>17.512413063804878</v>
      </c>
      <c r="P92" s="7">
        <f t="shared" si="46"/>
        <v>24.565077468878052</v>
      </c>
      <c r="Q92" s="7">
        <f t="shared" si="47"/>
        <v>28.900592181658538</v>
      </c>
      <c r="R92" s="7">
        <f t="shared" si="48"/>
        <v>13.99459857190244</v>
      </c>
      <c r="S92" s="7">
        <f t="shared" si="49"/>
        <v>24.420276388097562</v>
      </c>
      <c r="T92" s="7">
        <f t="shared" si="50"/>
        <v>35.859561769756105</v>
      </c>
      <c r="U92" s="7">
        <f t="shared" si="51"/>
        <v>16.456216945170734</v>
      </c>
      <c r="V92" s="7">
        <f t="shared" si="52"/>
        <v>18.508985208000002</v>
      </c>
      <c r="W92" s="7">
        <f t="shared" si="53"/>
        <v>22.205671623219516</v>
      </c>
      <c r="X92" s="22"/>
      <c r="Y92" s="10">
        <v>0.78867691056910572</v>
      </c>
      <c r="AB92" s="22"/>
    </row>
    <row r="93" spans="1:28" hidden="1" x14ac:dyDescent="0.25">
      <c r="A93" s="16"/>
      <c r="B93" s="3" t="s">
        <v>144</v>
      </c>
      <c r="C93" s="3" t="s">
        <v>145</v>
      </c>
      <c r="D93" s="11" t="s">
        <v>6</v>
      </c>
      <c r="E93" s="8">
        <f t="shared" si="44"/>
        <v>114.80851861929318</v>
      </c>
      <c r="F93" s="7">
        <f t="shared" si="54"/>
        <v>161.06712584567842</v>
      </c>
      <c r="G93" s="7">
        <f t="shared" si="55"/>
        <v>189.32560873461767</v>
      </c>
      <c r="H93" s="7">
        <f t="shared" si="56"/>
        <v>91.754453346513685</v>
      </c>
      <c r="I93" s="7">
        <f t="shared" si="57"/>
        <v>160.11756610115472</v>
      </c>
      <c r="J93" s="7">
        <f t="shared" si="58"/>
        <v>235.12240821639844</v>
      </c>
      <c r="K93" s="7">
        <f t="shared" si="59"/>
        <v>107.91772440766788</v>
      </c>
      <c r="L93" s="7">
        <f t="shared" si="60"/>
        <v>121.34128210757349</v>
      </c>
      <c r="M93" s="7">
        <f t="shared" si="61"/>
        <v>145.61991623121412</v>
      </c>
      <c r="N93" s="22"/>
      <c r="O93" s="7">
        <f t="shared" si="45"/>
        <v>10.668277785468083</v>
      </c>
      <c r="P93" s="7">
        <f t="shared" si="46"/>
        <v>14.964646465607952</v>
      </c>
      <c r="Q93" s="7">
        <f t="shared" si="47"/>
        <v>17.605771656660121</v>
      </c>
      <c r="R93" s="7">
        <f t="shared" si="48"/>
        <v>8.5252822964611195</v>
      </c>
      <c r="S93" s="7">
        <f t="shared" si="49"/>
        <v>14.876435997537449</v>
      </c>
      <c r="T93" s="7">
        <f t="shared" si="50"/>
        <v>21.845062975107307</v>
      </c>
      <c r="U93" s="7">
        <f t="shared" si="51"/>
        <v>10.024860253659696</v>
      </c>
      <c r="V93" s="7">
        <f t="shared" si="52"/>
        <v>11.275373359835674</v>
      </c>
      <c r="W93" s="7">
        <f t="shared" si="53"/>
        <v>13.527334721165026</v>
      </c>
      <c r="X93" s="22"/>
      <c r="Y93" s="10">
        <v>0.48044917249730157</v>
      </c>
      <c r="AB93" s="22"/>
    </row>
    <row r="94" spans="1:28" hidden="1" x14ac:dyDescent="0.25">
      <c r="A94" s="16"/>
      <c r="B94" s="3" t="s">
        <v>146</v>
      </c>
      <c r="C94" s="3" t="s">
        <v>147</v>
      </c>
      <c r="D94" s="11" t="s">
        <v>6</v>
      </c>
      <c r="E94" s="8">
        <f t="shared" si="44"/>
        <v>147.0601644393175</v>
      </c>
      <c r="F94" s="7">
        <f t="shared" si="54"/>
        <v>206.31359325503277</v>
      </c>
      <c r="G94" s="7">
        <f t="shared" si="55"/>
        <v>242.51035975311299</v>
      </c>
      <c r="H94" s="7">
        <f t="shared" si="56"/>
        <v>117.5298240884232</v>
      </c>
      <c r="I94" s="7">
        <f t="shared" si="57"/>
        <v>205.09728619128896</v>
      </c>
      <c r="J94" s="7">
        <f t="shared" si="58"/>
        <v>301.17225125367418</v>
      </c>
      <c r="K94" s="7">
        <f t="shared" si="59"/>
        <v>138.23363011881614</v>
      </c>
      <c r="L94" s="7">
        <f t="shared" si="60"/>
        <v>155.4280911784073</v>
      </c>
      <c r="M94" s="7">
        <f t="shared" si="61"/>
        <v>186.527002387463</v>
      </c>
      <c r="N94" s="22"/>
      <c r="O94" s="7">
        <f t="shared" si="45"/>
        <v>13.665176628728048</v>
      </c>
      <c r="P94" s="7">
        <f t="shared" si="46"/>
        <v>19.168467605667168</v>
      </c>
      <c r="Q94" s="7">
        <f t="shared" si="47"/>
        <v>22.551529329413558</v>
      </c>
      <c r="R94" s="7">
        <f t="shared" si="48"/>
        <v>10.920177626945614</v>
      </c>
      <c r="S94" s="7">
        <f t="shared" si="49"/>
        <v>19.055477331986051</v>
      </c>
      <c r="T94" s="7">
        <f t="shared" si="50"/>
        <v>27.981708952794303</v>
      </c>
      <c r="U94" s="7">
        <f t="shared" si="51"/>
        <v>12.841012279524605</v>
      </c>
      <c r="V94" s="7">
        <f t="shared" si="52"/>
        <v>14.442815571121621</v>
      </c>
      <c r="W94" s="7">
        <f t="shared" si="53"/>
        <v>17.327390793333667</v>
      </c>
      <c r="X94" s="22"/>
      <c r="Y94" s="10">
        <v>0.61541543399301268</v>
      </c>
      <c r="AB94" s="22"/>
    </row>
    <row r="95" spans="1:28" hidden="1" x14ac:dyDescent="0.25">
      <c r="A95" s="16"/>
      <c r="B95" s="3" t="s">
        <v>148</v>
      </c>
      <c r="C95" s="3" t="s">
        <v>149</v>
      </c>
      <c r="D95" s="11" t="s">
        <v>6</v>
      </c>
      <c r="E95" s="8">
        <f t="shared" si="44"/>
        <v>190.65574852682929</v>
      </c>
      <c r="F95" s="7">
        <f t="shared" si="54"/>
        <v>267.47469447804883</v>
      </c>
      <c r="G95" s="7">
        <f t="shared" si="55"/>
        <v>314.40189354146349</v>
      </c>
      <c r="H95" s="7">
        <f t="shared" si="56"/>
        <v>152.37121943414638</v>
      </c>
      <c r="I95" s="7">
        <f t="shared" si="57"/>
        <v>265.89781650731709</v>
      </c>
      <c r="J95" s="7">
        <f t="shared" si="58"/>
        <v>390.45394255609762</v>
      </c>
      <c r="K95" s="7">
        <f t="shared" si="59"/>
        <v>179.21261221463416</v>
      </c>
      <c r="L95" s="7">
        <f t="shared" si="60"/>
        <v>201.50432429268295</v>
      </c>
      <c r="M95" s="7">
        <f t="shared" si="61"/>
        <v>241.82242279024393</v>
      </c>
      <c r="N95" s="22"/>
      <c r="O95" s="7">
        <f t="shared" si="45"/>
        <v>17.716180917073171</v>
      </c>
      <c r="P95" s="7">
        <f t="shared" si="46"/>
        <v>24.850907473170732</v>
      </c>
      <c r="Q95" s="7">
        <f t="shared" si="47"/>
        <v>29.236868604878051</v>
      </c>
      <c r="R95" s="7">
        <f t="shared" si="48"/>
        <v>14.157434458536587</v>
      </c>
      <c r="S95" s="7">
        <f t="shared" si="49"/>
        <v>24.704421541463418</v>
      </c>
      <c r="T95" s="7">
        <f t="shared" si="50"/>
        <v>36.276810146341468</v>
      </c>
      <c r="U95" s="7">
        <f t="shared" si="51"/>
        <v>16.647695297560979</v>
      </c>
      <c r="V95" s="7">
        <f t="shared" si="52"/>
        <v>18.724348800000001</v>
      </c>
      <c r="W95" s="7">
        <f t="shared" si="53"/>
        <v>22.464048468292685</v>
      </c>
      <c r="X95" s="22"/>
      <c r="Y95" s="10">
        <v>0.79785365853658541</v>
      </c>
      <c r="AB95" s="22"/>
    </row>
    <row r="96" spans="1:28" hidden="1" x14ac:dyDescent="0.25">
      <c r="A96" s="16"/>
      <c r="B96" s="3" t="s">
        <v>150</v>
      </c>
      <c r="C96" s="3" t="s">
        <v>151</v>
      </c>
      <c r="D96" s="11" t="s">
        <v>6</v>
      </c>
      <c r="E96" s="8">
        <f t="shared" si="44"/>
        <v>153.05091241775582</v>
      </c>
      <c r="F96" s="7">
        <f t="shared" si="54"/>
        <v>214.71813126455572</v>
      </c>
      <c r="G96" s="7">
        <f t="shared" si="55"/>
        <v>252.38943511645383</v>
      </c>
      <c r="H96" s="7">
        <f t="shared" si="56"/>
        <v>122.31760301379268</v>
      </c>
      <c r="I96" s="7">
        <f t="shared" si="57"/>
        <v>213.45227584683673</v>
      </c>
      <c r="J96" s="7">
        <f t="shared" si="58"/>
        <v>313.44101936119364</v>
      </c>
      <c r="K96" s="7">
        <f t="shared" si="59"/>
        <v>143.86481408589378</v>
      </c>
      <c r="L96" s="7">
        <f t="shared" si="60"/>
        <v>161.75972100195338</v>
      </c>
      <c r="M96" s="7">
        <f t="shared" si="61"/>
        <v>194.12549968778359</v>
      </c>
      <c r="N96" s="22"/>
      <c r="O96" s="7">
        <f t="shared" si="45"/>
        <v>14.221851031858717</v>
      </c>
      <c r="P96" s="7">
        <f t="shared" si="46"/>
        <v>19.949328003832949</v>
      </c>
      <c r="Q96" s="7">
        <f t="shared" si="47"/>
        <v>23.470204548198751</v>
      </c>
      <c r="R96" s="7">
        <f t="shared" si="48"/>
        <v>11.365029788591377</v>
      </c>
      <c r="S96" s="7">
        <f t="shared" si="49"/>
        <v>19.831734877596762</v>
      </c>
      <c r="T96" s="7">
        <f t="shared" si="50"/>
        <v>29.121591850255452</v>
      </c>
      <c r="U96" s="7">
        <f t="shared" si="51"/>
        <v>13.36411293460654</v>
      </c>
      <c r="V96" s="7">
        <f t="shared" si="52"/>
        <v>15.031168430072469</v>
      </c>
      <c r="W96" s="7">
        <f t="shared" si="53"/>
        <v>18.033251770455099</v>
      </c>
      <c r="X96" s="22"/>
      <c r="Y96" s="10">
        <v>0.64048543701626304</v>
      </c>
      <c r="AB96" s="22"/>
    </row>
    <row r="97" spans="1:28" hidden="1" x14ac:dyDescent="0.25">
      <c r="A97" s="16"/>
      <c r="B97" s="3" t="s">
        <v>152</v>
      </c>
      <c r="C97" s="3" t="s">
        <v>153</v>
      </c>
      <c r="D97" s="11" t="s">
        <v>6</v>
      </c>
      <c r="E97" s="8">
        <f t="shared" si="44"/>
        <v>120.78432456073168</v>
      </c>
      <c r="F97" s="7">
        <f t="shared" si="54"/>
        <v>169.45070137800198</v>
      </c>
      <c r="G97" s="7">
        <f t="shared" si="55"/>
        <v>199.18004385100861</v>
      </c>
      <c r="H97" s="7">
        <f t="shared" si="56"/>
        <v>96.530290662904193</v>
      </c>
      <c r="I97" s="7">
        <f t="shared" si="57"/>
        <v>168.45171686229133</v>
      </c>
      <c r="J97" s="7">
        <f t="shared" si="58"/>
        <v>247.36057573987318</v>
      </c>
      <c r="K97" s="7">
        <f t="shared" si="59"/>
        <v>113.53486315710464</v>
      </c>
      <c r="L97" s="7">
        <f t="shared" si="60"/>
        <v>127.65711967154976</v>
      </c>
      <c r="M97" s="7">
        <f t="shared" si="61"/>
        <v>153.19946146941939</v>
      </c>
      <c r="N97" s="22"/>
      <c r="O97" s="7">
        <f t="shared" si="45"/>
        <v>11.223563739350281</v>
      </c>
      <c r="P97" s="7">
        <f t="shared" si="46"/>
        <v>15.743559253057496</v>
      </c>
      <c r="Q97" s="7">
        <f t="shared" si="47"/>
        <v>18.522155528995867</v>
      </c>
      <c r="R97" s="7">
        <f t="shared" si="48"/>
        <v>8.9690249142765133</v>
      </c>
      <c r="S97" s="7">
        <f t="shared" si="49"/>
        <v>15.650757412800223</v>
      </c>
      <c r="T97" s="7">
        <f t="shared" si="50"/>
        <v>22.982102793124845</v>
      </c>
      <c r="U97" s="7">
        <f t="shared" si="51"/>
        <v>10.546656198650167</v>
      </c>
      <c r="V97" s="7">
        <f t="shared" si="52"/>
        <v>11.862258757591517</v>
      </c>
      <c r="W97" s="7">
        <f t="shared" si="53"/>
        <v>14.231435150041918</v>
      </c>
      <c r="X97" s="22"/>
      <c r="Y97" s="10">
        <v>0.50545664628144726</v>
      </c>
      <c r="AB97" s="22"/>
    </row>
    <row r="98" spans="1:28" hidden="1" x14ac:dyDescent="0.25">
      <c r="A98" s="16"/>
      <c r="B98" s="3" t="s">
        <v>154</v>
      </c>
      <c r="C98" s="3" t="s">
        <v>155</v>
      </c>
      <c r="D98" s="11" t="s">
        <v>6</v>
      </c>
      <c r="E98" s="8">
        <f t="shared" si="44"/>
        <v>126.03528665546318</v>
      </c>
      <c r="F98" s="7">
        <f t="shared" si="54"/>
        <v>176.81737924036128</v>
      </c>
      <c r="G98" s="7">
        <f t="shared" si="55"/>
        <v>207.83917130063659</v>
      </c>
      <c r="H98" s="7">
        <f t="shared" si="56"/>
        <v>100.72683602678097</v>
      </c>
      <c r="I98" s="7">
        <f t="shared" si="57"/>
        <v>175.77496500109748</v>
      </c>
      <c r="J98" s="7">
        <f t="shared" si="58"/>
        <v>258.11429739758671</v>
      </c>
      <c r="K98" s="7">
        <f t="shared" si="59"/>
        <v>118.47066310495902</v>
      </c>
      <c r="L98" s="7">
        <f t="shared" si="60"/>
        <v>133.20686877149083</v>
      </c>
      <c r="M98" s="7">
        <f t="shared" si="61"/>
        <v>159.85963503113618</v>
      </c>
      <c r="N98" s="22"/>
      <c r="O98" s="7">
        <f t="shared" si="45"/>
        <v>11.711495496864877</v>
      </c>
      <c r="P98" s="7">
        <f t="shared" si="46"/>
        <v>16.427992710582835</v>
      </c>
      <c r="Q98" s="7">
        <f t="shared" si="47"/>
        <v>19.327385321431194</v>
      </c>
      <c r="R98" s="7">
        <f t="shared" si="48"/>
        <v>9.3589431426794736</v>
      </c>
      <c r="S98" s="7">
        <f t="shared" si="49"/>
        <v>16.331156415132106</v>
      </c>
      <c r="T98" s="7">
        <f t="shared" si="50"/>
        <v>23.981223755739855</v>
      </c>
      <c r="U98" s="7">
        <f t="shared" si="51"/>
        <v>11.0051601653419</v>
      </c>
      <c r="V98" s="7">
        <f t="shared" si="52"/>
        <v>12.377957059672852</v>
      </c>
      <c r="W98" s="7">
        <f t="shared" si="53"/>
        <v>14.850130720003277</v>
      </c>
      <c r="X98" s="22"/>
      <c r="Y98" s="10">
        <v>0.52743080310855661</v>
      </c>
      <c r="AB98" s="22"/>
    </row>
    <row r="99" spans="1:28" hidden="1" x14ac:dyDescent="0.25">
      <c r="A99" s="16"/>
      <c r="B99" s="3" t="s">
        <v>156</v>
      </c>
      <c r="C99" s="3" t="s">
        <v>157</v>
      </c>
      <c r="D99" s="11" t="s">
        <v>6</v>
      </c>
      <c r="E99" s="8">
        <f t="shared" si="44"/>
        <v>146.67072632341532</v>
      </c>
      <c r="F99" s="7">
        <f t="shared" si="54"/>
        <v>205.76724287287067</v>
      </c>
      <c r="G99" s="7">
        <f t="shared" si="55"/>
        <v>241.86815472125352</v>
      </c>
      <c r="H99" s="7">
        <f t="shared" si="56"/>
        <v>117.21858689220616</v>
      </c>
      <c r="I99" s="7">
        <f t="shared" si="57"/>
        <v>204.55415677880998</v>
      </c>
      <c r="J99" s="7">
        <f t="shared" si="58"/>
        <v>300.37470043807821</v>
      </c>
      <c r="K99" s="7">
        <f t="shared" si="59"/>
        <v>137.86756603427605</v>
      </c>
      <c r="L99" s="7">
        <f t="shared" si="60"/>
        <v>155.01649349512192</v>
      </c>
      <c r="M99" s="7">
        <f t="shared" si="61"/>
        <v>186.03304996566609</v>
      </c>
      <c r="N99" s="22"/>
      <c r="O99" s="7">
        <f t="shared" si="45"/>
        <v>13.628989122342126</v>
      </c>
      <c r="P99" s="7">
        <f t="shared" si="46"/>
        <v>19.117706531534385</v>
      </c>
      <c r="Q99" s="7">
        <f t="shared" si="47"/>
        <v>22.491809383320447</v>
      </c>
      <c r="R99" s="7">
        <f t="shared" si="48"/>
        <v>10.891259303505892</v>
      </c>
      <c r="S99" s="7">
        <f t="shared" si="49"/>
        <v>19.005015473616186</v>
      </c>
      <c r="T99" s="7">
        <f t="shared" si="50"/>
        <v>27.907609049153873</v>
      </c>
      <c r="U99" s="7">
        <f t="shared" si="51"/>
        <v>12.807007288115267</v>
      </c>
      <c r="V99" s="7">
        <f t="shared" si="52"/>
        <v>14.404568756249731</v>
      </c>
      <c r="W99" s="7">
        <f t="shared" si="53"/>
        <v>17.281505176043737</v>
      </c>
      <c r="X99" s="22"/>
      <c r="Y99" s="10">
        <v>0.61378571850870656</v>
      </c>
      <c r="AB99" s="22"/>
    </row>
    <row r="100" spans="1:28" hidden="1" x14ac:dyDescent="0.25">
      <c r="A100" s="16"/>
      <c r="B100" s="3" t="s">
        <v>158</v>
      </c>
      <c r="C100" s="3" t="s">
        <v>159</v>
      </c>
      <c r="D100" s="11" t="s">
        <v>6</v>
      </c>
      <c r="E100" s="8">
        <f t="shared" si="44"/>
        <v>141.33287575540098</v>
      </c>
      <c r="F100" s="7">
        <f t="shared" si="54"/>
        <v>198.27866746467515</v>
      </c>
      <c r="G100" s="7">
        <f t="shared" si="55"/>
        <v>233.06574336469833</v>
      </c>
      <c r="H100" s="7">
        <f t="shared" si="56"/>
        <v>112.95260065003868</v>
      </c>
      <c r="I100" s="7">
        <f t="shared" si="57"/>
        <v>197.10972973244884</v>
      </c>
      <c r="J100" s="7">
        <f t="shared" si="58"/>
        <v>289.4430353025619</v>
      </c>
      <c r="K100" s="7">
        <f t="shared" si="59"/>
        <v>132.85009264940928</v>
      </c>
      <c r="L100" s="7">
        <f t="shared" si="60"/>
        <v>149.37491184760245</v>
      </c>
      <c r="M100" s="7">
        <f t="shared" si="61"/>
        <v>179.26266949288498</v>
      </c>
      <c r="N100" s="22"/>
      <c r="O100" s="7">
        <f t="shared" si="45"/>
        <v>13.132983483372701</v>
      </c>
      <c r="P100" s="7">
        <f t="shared" si="46"/>
        <v>18.421947648855483</v>
      </c>
      <c r="Q100" s="7">
        <f t="shared" si="47"/>
        <v>21.673255330293568</v>
      </c>
      <c r="R100" s="7">
        <f t="shared" si="48"/>
        <v>10.49488903851233</v>
      </c>
      <c r="S100" s="7">
        <f t="shared" si="49"/>
        <v>18.313357804878184</v>
      </c>
      <c r="T100" s="7">
        <f t="shared" si="50"/>
        <v>26.891955479085158</v>
      </c>
      <c r="U100" s="7">
        <f t="shared" si="51"/>
        <v>12.340916386126489</v>
      </c>
      <c r="V100" s="7">
        <f t="shared" si="52"/>
        <v>13.880337115451791</v>
      </c>
      <c r="W100" s="7">
        <f t="shared" si="53"/>
        <v>16.652571955813539</v>
      </c>
      <c r="X100" s="22"/>
      <c r="Y100" s="10">
        <v>0.59144795194609734</v>
      </c>
      <c r="AB100" s="22"/>
    </row>
    <row r="101" spans="1:28" hidden="1" x14ac:dyDescent="0.25">
      <c r="A101" s="16"/>
      <c r="B101" s="3" t="s">
        <v>160</v>
      </c>
      <c r="C101" s="3" t="s">
        <v>161</v>
      </c>
      <c r="D101" s="11" t="s">
        <v>6</v>
      </c>
      <c r="E101" s="8">
        <f t="shared" si="44"/>
        <v>220.21054685908413</v>
      </c>
      <c r="F101" s="7">
        <f t="shared" si="54"/>
        <v>308.93770157519805</v>
      </c>
      <c r="G101" s="7">
        <f t="shared" si="55"/>
        <v>363.13939362050996</v>
      </c>
      <c r="H101" s="7">
        <f t="shared" si="56"/>
        <v>175.99128175491211</v>
      </c>
      <c r="I101" s="7">
        <f t="shared" si="57"/>
        <v>307.11638140547859</v>
      </c>
      <c r="J101" s="7">
        <f t="shared" si="58"/>
        <v>450.98076967484769</v>
      </c>
      <c r="K101" s="7">
        <f t="shared" si="59"/>
        <v>206.9935349170764</v>
      </c>
      <c r="L101" s="7">
        <f t="shared" si="60"/>
        <v>232.74083152398461</v>
      </c>
      <c r="M101" s="7">
        <f t="shared" si="61"/>
        <v>279.30890296724834</v>
      </c>
      <c r="N101" s="22"/>
      <c r="O101" s="7">
        <f t="shared" si="45"/>
        <v>20.462482343951777</v>
      </c>
      <c r="P101" s="7">
        <f t="shared" si="46"/>
        <v>28.703209669239751</v>
      </c>
      <c r="Q101" s="7">
        <f t="shared" si="47"/>
        <v>33.769067409060497</v>
      </c>
      <c r="R101" s="7">
        <f t="shared" si="48"/>
        <v>16.352071250541229</v>
      </c>
      <c r="S101" s="7">
        <f t="shared" si="49"/>
        <v>28.534015992271282</v>
      </c>
      <c r="T101" s="7">
        <f t="shared" si="50"/>
        <v>41.900316472780638</v>
      </c>
      <c r="U101" s="7">
        <f t="shared" si="51"/>
        <v>19.228363759005269</v>
      </c>
      <c r="V101" s="7">
        <f t="shared" si="52"/>
        <v>21.626932944264212</v>
      </c>
      <c r="W101" s="7">
        <f t="shared" si="53"/>
        <v>25.946347991576985</v>
      </c>
      <c r="X101" s="22"/>
      <c r="Y101" s="10">
        <v>0.92153418828144262</v>
      </c>
      <c r="AB101" s="22"/>
    </row>
    <row r="102" spans="1:28" hidden="1" x14ac:dyDescent="0.25">
      <c r="A102" s="16"/>
      <c r="B102" s="3" t="s">
        <v>162</v>
      </c>
      <c r="C102" s="3" t="s">
        <v>163</v>
      </c>
      <c r="D102" s="11" t="s">
        <v>6</v>
      </c>
      <c r="E102" s="8">
        <f t="shared" si="44"/>
        <v>173.69516082249194</v>
      </c>
      <c r="F102" s="7">
        <f t="shared" si="54"/>
        <v>243.68035284692098</v>
      </c>
      <c r="G102" s="7">
        <f t="shared" si="55"/>
        <v>286.43294463211896</v>
      </c>
      <c r="H102" s="7">
        <f t="shared" si="56"/>
        <v>138.81639378216241</v>
      </c>
      <c r="I102" s="7">
        <f t="shared" si="57"/>
        <v>242.24375271899382</v>
      </c>
      <c r="J102" s="7">
        <f t="shared" si="58"/>
        <v>355.71946227739215</v>
      </c>
      <c r="K102" s="7">
        <f t="shared" si="59"/>
        <v>163.26999705261628</v>
      </c>
      <c r="L102" s="7">
        <f t="shared" si="60"/>
        <v>183.57865569167379</v>
      </c>
      <c r="M102" s="7">
        <f t="shared" si="61"/>
        <v>220.31008737785476</v>
      </c>
      <c r="N102" s="22"/>
      <c r="O102" s="7">
        <f t="shared" si="45"/>
        <v>16.140163185891868</v>
      </c>
      <c r="P102" s="7">
        <f t="shared" si="46"/>
        <v>22.640189994217973</v>
      </c>
      <c r="Q102" s="7">
        <f t="shared" si="47"/>
        <v>26.635979421075444</v>
      </c>
      <c r="R102" s="7">
        <f t="shared" si="48"/>
        <v>12.898000055651917</v>
      </c>
      <c r="S102" s="7">
        <f t="shared" si="49"/>
        <v>22.506735337525289</v>
      </c>
      <c r="T102" s="7">
        <f t="shared" si="50"/>
        <v>33.049653216247457</v>
      </c>
      <c r="U102" s="7">
        <f t="shared" si="51"/>
        <v>15.166729219427573</v>
      </c>
      <c r="V102" s="7">
        <f t="shared" si="52"/>
        <v>17.05864523489447</v>
      </c>
      <c r="W102" s="7">
        <f t="shared" si="53"/>
        <v>20.465664117519506</v>
      </c>
      <c r="X102" s="22"/>
      <c r="Y102" s="10">
        <v>0.72687721510177383</v>
      </c>
      <c r="AB102" s="22"/>
    </row>
    <row r="103" spans="1:28" hidden="1" x14ac:dyDescent="0.25">
      <c r="A103" s="16"/>
      <c r="B103" s="3" t="s">
        <v>164</v>
      </c>
      <c r="C103" s="3" t="s">
        <v>165</v>
      </c>
      <c r="D103" s="11" t="s">
        <v>6</v>
      </c>
      <c r="E103" s="8">
        <f t="shared" si="44"/>
        <v>117.19338101419218</v>
      </c>
      <c r="F103" s="7">
        <f t="shared" si="54"/>
        <v>164.41289614306876</v>
      </c>
      <c r="G103" s="7">
        <f t="shared" si="55"/>
        <v>193.2583789688525</v>
      </c>
      <c r="H103" s="7">
        <f t="shared" si="56"/>
        <v>93.660424680193458</v>
      </c>
      <c r="I103" s="7">
        <f t="shared" si="57"/>
        <v>163.44361164855565</v>
      </c>
      <c r="J103" s="7">
        <f t="shared" si="58"/>
        <v>240.0064934419276</v>
      </c>
      <c r="K103" s="7">
        <f t="shared" si="59"/>
        <v>110.15944763324455</v>
      </c>
      <c r="L103" s="7">
        <f t="shared" si="60"/>
        <v>123.86184647097913</v>
      </c>
      <c r="M103" s="7">
        <f t="shared" si="61"/>
        <v>148.64480903833905</v>
      </c>
      <c r="N103" s="22"/>
      <c r="O103" s="7">
        <f t="shared" si="45"/>
        <v>10.88988481267193</v>
      </c>
      <c r="P103" s="7">
        <f t="shared" si="46"/>
        <v>15.275499902600121</v>
      </c>
      <c r="Q103" s="7">
        <f t="shared" si="47"/>
        <v>17.971487922857907</v>
      </c>
      <c r="R103" s="7">
        <f t="shared" si="48"/>
        <v>8.7023739042898747</v>
      </c>
      <c r="S103" s="7">
        <f t="shared" si="49"/>
        <v>15.185457080705461</v>
      </c>
      <c r="T103" s="7">
        <f t="shared" si="50"/>
        <v>22.298840010383671</v>
      </c>
      <c r="U103" s="7">
        <f t="shared" si="51"/>
        <v>10.233101876499109</v>
      </c>
      <c r="V103" s="7">
        <f t="shared" si="52"/>
        <v>11.509591292770478</v>
      </c>
      <c r="W103" s="7">
        <f t="shared" si="53"/>
        <v>13.808331569375353</v>
      </c>
      <c r="X103" s="22"/>
      <c r="Y103" s="10">
        <v>0.49042931315174781</v>
      </c>
      <c r="AB103" s="22"/>
    </row>
    <row r="104" spans="1:28" hidden="1" x14ac:dyDescent="0.25">
      <c r="A104" s="16"/>
      <c r="B104" s="3" t="s">
        <v>166</v>
      </c>
      <c r="C104" s="3" t="s">
        <v>167</v>
      </c>
      <c r="D104" s="11" t="s">
        <v>6</v>
      </c>
      <c r="E104" s="8">
        <f t="shared" si="44"/>
        <v>104.73192301708707</v>
      </c>
      <c r="F104" s="7">
        <f t="shared" si="54"/>
        <v>146.93047195034799</v>
      </c>
      <c r="G104" s="7">
        <f t="shared" si="55"/>
        <v>172.70874424317344</v>
      </c>
      <c r="H104" s="7">
        <f t="shared" si="56"/>
        <v>83.70128331877207</v>
      </c>
      <c r="I104" s="7">
        <f t="shared" si="57"/>
        <v>146.06425383988395</v>
      </c>
      <c r="J104" s="7">
        <f t="shared" si="58"/>
        <v>214.48601770194642</v>
      </c>
      <c r="K104" s="7">
        <f t="shared" si="59"/>
        <v>98.445924925850889</v>
      </c>
      <c r="L104" s="7">
        <f t="shared" si="60"/>
        <v>110.69131427978762</v>
      </c>
      <c r="M104" s="7">
        <f t="shared" si="61"/>
        <v>132.83904400034038</v>
      </c>
      <c r="N104" s="22"/>
      <c r="O104" s="7">
        <f t="shared" si="45"/>
        <v>9.7319368039017888</v>
      </c>
      <c r="P104" s="7">
        <f t="shared" si="46"/>
        <v>13.651218746329166</v>
      </c>
      <c r="Q104" s="7">
        <f t="shared" si="47"/>
        <v>16.060535785816523</v>
      </c>
      <c r="R104" s="7">
        <f t="shared" si="48"/>
        <v>7.7770292649857211</v>
      </c>
      <c r="S104" s="7">
        <f t="shared" si="49"/>
        <v>13.570750397269666</v>
      </c>
      <c r="T104" s="7">
        <f t="shared" si="50"/>
        <v>19.927749972970105</v>
      </c>
      <c r="U104" s="7">
        <f t="shared" si="51"/>
        <v>9.1449911989972072</v>
      </c>
      <c r="V104" s="7">
        <f t="shared" si="52"/>
        <v>10.285748382723051</v>
      </c>
      <c r="W104" s="7">
        <f t="shared" si="53"/>
        <v>12.340057999889089</v>
      </c>
      <c r="X104" s="22"/>
      <c r="Y104" s="10">
        <v>0.43828076829792612</v>
      </c>
      <c r="AB104" s="22"/>
    </row>
    <row r="105" spans="1:28" hidden="1" x14ac:dyDescent="0.25">
      <c r="A105" s="16"/>
      <c r="B105" s="3" t="s">
        <v>168</v>
      </c>
      <c r="C105" s="3" t="s">
        <v>169</v>
      </c>
      <c r="D105" s="11" t="s">
        <v>6</v>
      </c>
      <c r="E105" s="8">
        <f t="shared" si="44"/>
        <v>190.45991723707317</v>
      </c>
      <c r="F105" s="7">
        <f t="shared" si="54"/>
        <v>267.19995891512195</v>
      </c>
      <c r="G105" s="7">
        <f t="shared" si="55"/>
        <v>314.07895689365853</v>
      </c>
      <c r="H105" s="7">
        <f t="shared" si="56"/>
        <v>152.21471194536588</v>
      </c>
      <c r="I105" s="7">
        <f t="shared" si="57"/>
        <v>265.62470062829271</v>
      </c>
      <c r="J105" s="7">
        <f t="shared" si="58"/>
        <v>390.0528893502439</v>
      </c>
      <c r="K105" s="7">
        <f t="shared" si="59"/>
        <v>179.02853469658535</v>
      </c>
      <c r="L105" s="7">
        <f t="shared" si="60"/>
        <v>201.29734993170734</v>
      </c>
      <c r="M105" s="7">
        <f t="shared" si="61"/>
        <v>241.57403585560974</v>
      </c>
      <c r="N105" s="22"/>
      <c r="O105" s="7">
        <f t="shared" si="45"/>
        <v>17.697983812682928</v>
      </c>
      <c r="P105" s="7">
        <f t="shared" si="46"/>
        <v>24.82538196292683</v>
      </c>
      <c r="Q105" s="7">
        <f t="shared" si="47"/>
        <v>29.206838072195126</v>
      </c>
      <c r="R105" s="7">
        <f t="shared" si="48"/>
        <v>14.142892706341463</v>
      </c>
      <c r="S105" s="7">
        <f t="shared" si="49"/>
        <v>24.679046493658539</v>
      </c>
      <c r="T105" s="7">
        <f t="shared" si="50"/>
        <v>36.23954856585366</v>
      </c>
      <c r="U105" s="7">
        <f t="shared" si="51"/>
        <v>16.630595683902438</v>
      </c>
      <c r="V105" s="7">
        <f t="shared" si="52"/>
        <v>18.705116160000003</v>
      </c>
      <c r="W105" s="7">
        <f t="shared" si="53"/>
        <v>22.440974610731708</v>
      </c>
      <c r="X105" s="22"/>
      <c r="Y105" s="10">
        <v>0.79703414634146341</v>
      </c>
      <c r="AB105" s="22"/>
    </row>
    <row r="106" spans="1:28" ht="14.5" hidden="1" customHeight="1" x14ac:dyDescent="0.25">
      <c r="A106" s="16"/>
      <c r="B106" s="3" t="s">
        <v>170</v>
      </c>
      <c r="C106" s="3" t="s">
        <v>171</v>
      </c>
      <c r="D106" s="11" t="s">
        <v>6</v>
      </c>
      <c r="E106" s="8">
        <f t="shared" si="44"/>
        <v>198.22576507705401</v>
      </c>
      <c r="F106" s="7">
        <f t="shared" si="54"/>
        <v>278.09481938700327</v>
      </c>
      <c r="G106" s="7">
        <f t="shared" si="55"/>
        <v>326.88527028683319</v>
      </c>
      <c r="H106" s="7">
        <f t="shared" si="56"/>
        <v>158.42114272157403</v>
      </c>
      <c r="I106" s="7">
        <f t="shared" si="57"/>
        <v>276.45533122786463</v>
      </c>
      <c r="J106" s="7">
        <f t="shared" si="58"/>
        <v>405.95697789643634</v>
      </c>
      <c r="K106" s="7">
        <f t="shared" si="59"/>
        <v>186.32827723368749</v>
      </c>
      <c r="L106" s="7">
        <f t="shared" si="60"/>
        <v>209.5050852538601</v>
      </c>
      <c r="M106" s="7">
        <f t="shared" si="61"/>
        <v>251.42402020801066</v>
      </c>
      <c r="N106" s="22"/>
      <c r="O106" s="7">
        <f t="shared" si="45"/>
        <v>18.419604673163835</v>
      </c>
      <c r="P106" s="7">
        <f t="shared" si="46"/>
        <v>25.837616671889357</v>
      </c>
      <c r="Q106" s="7">
        <f t="shared" si="47"/>
        <v>30.397723081733904</v>
      </c>
      <c r="R106" s="7">
        <f t="shared" si="48"/>
        <v>14.719557625490364</v>
      </c>
      <c r="S106" s="7">
        <f t="shared" si="49"/>
        <v>25.685314493171564</v>
      </c>
      <c r="T106" s="7">
        <f t="shared" si="50"/>
        <v>37.717186611877317</v>
      </c>
      <c r="U106" s="7">
        <f t="shared" si="51"/>
        <v>17.308694663692869</v>
      </c>
      <c r="V106" s="7">
        <f t="shared" si="52"/>
        <v>19.467802020809838</v>
      </c>
      <c r="W106" s="7">
        <f t="shared" si="53"/>
        <v>23.355987053958234</v>
      </c>
      <c r="X106" s="22"/>
      <c r="Y106" s="10">
        <v>0.82953256382240947</v>
      </c>
      <c r="AB106" s="22"/>
    </row>
    <row r="107" spans="1:28" hidden="1" x14ac:dyDescent="0.25">
      <c r="A107" s="16"/>
      <c r="B107" s="3" t="s">
        <v>170</v>
      </c>
      <c r="C107" s="18" t="s">
        <v>172</v>
      </c>
      <c r="D107" s="11" t="s">
        <v>6</v>
      </c>
      <c r="E107" s="8">
        <f t="shared" si="44"/>
        <v>306.0038751804878</v>
      </c>
      <c r="F107" s="7">
        <f t="shared" si="54"/>
        <v>429.29884703414649</v>
      </c>
      <c r="G107" s="7">
        <f t="shared" si="55"/>
        <v>504.61734582439038</v>
      </c>
      <c r="H107" s="7">
        <f t="shared" si="56"/>
        <v>244.5569251024391</v>
      </c>
      <c r="I107" s="7">
        <f t="shared" si="57"/>
        <v>426.76794632195129</v>
      </c>
      <c r="J107" s="7">
        <f t="shared" si="58"/>
        <v>626.68144246829286</v>
      </c>
      <c r="K107" s="7">
        <f t="shared" si="59"/>
        <v>287.63755744390249</v>
      </c>
      <c r="L107" s="7">
        <f t="shared" si="60"/>
        <v>323.41591887804884</v>
      </c>
      <c r="M107" s="7">
        <f t="shared" si="61"/>
        <v>388.12676277073177</v>
      </c>
      <c r="N107" s="22"/>
      <c r="O107" s="7">
        <f t="shared" si="45"/>
        <v>28.434600351219515</v>
      </c>
      <c r="P107" s="7">
        <f t="shared" si="46"/>
        <v>39.885888819512203</v>
      </c>
      <c r="Q107" s="7">
        <f t="shared" si="47"/>
        <v>46.925388614634151</v>
      </c>
      <c r="R107" s="7">
        <f t="shared" si="48"/>
        <v>22.722786175609759</v>
      </c>
      <c r="S107" s="7">
        <f t="shared" si="49"/>
        <v>39.650777824390254</v>
      </c>
      <c r="T107" s="7">
        <f t="shared" si="50"/>
        <v>58.224546439024401</v>
      </c>
      <c r="U107" s="7">
        <f t="shared" si="51"/>
        <v>26.719673092682932</v>
      </c>
      <c r="V107" s="7">
        <f t="shared" si="52"/>
        <v>30.052717200000004</v>
      </c>
      <c r="W107" s="7">
        <f t="shared" si="53"/>
        <v>36.05496260487805</v>
      </c>
      <c r="X107" s="22"/>
      <c r="Y107" s="10">
        <v>1.2805609756097562</v>
      </c>
      <c r="AB107" s="22"/>
    </row>
    <row r="108" spans="1:28" hidden="1" x14ac:dyDescent="0.25">
      <c r="A108" s="16"/>
      <c r="B108" s="3" t="s">
        <v>173</v>
      </c>
      <c r="C108" s="3" t="s">
        <v>174</v>
      </c>
      <c r="D108" s="11" t="s">
        <v>6</v>
      </c>
      <c r="E108" s="8">
        <f>(221.26*$Y108)*1.08</f>
        <v>166.64018812682926</v>
      </c>
      <c r="F108" s="7">
        <f t="shared" si="54"/>
        <v>233.78279307804883</v>
      </c>
      <c r="G108" s="7">
        <f t="shared" si="55"/>
        <v>274.79890374146345</v>
      </c>
      <c r="H108" s="7">
        <f t="shared" si="56"/>
        <v>133.17809123414636</v>
      </c>
      <c r="I108" s="7">
        <f t="shared" si="57"/>
        <v>232.40454330731708</v>
      </c>
      <c r="J108" s="7">
        <f t="shared" si="58"/>
        <v>341.27121235609758</v>
      </c>
      <c r="K108" s="7">
        <f t="shared" si="59"/>
        <v>156.63846301463417</v>
      </c>
      <c r="L108" s="7">
        <f t="shared" si="60"/>
        <v>176.12224529268295</v>
      </c>
      <c r="M108" s="7">
        <f t="shared" si="61"/>
        <v>211.36175719024391</v>
      </c>
      <c r="N108" s="22"/>
      <c r="O108" s="7">
        <f t="shared" si="45"/>
        <v>15.484598517073172</v>
      </c>
      <c r="P108" s="7">
        <f t="shared" si="46"/>
        <v>21.720613873170731</v>
      </c>
      <c r="Q108" s="7">
        <f t="shared" si="47"/>
        <v>25.554106404878052</v>
      </c>
      <c r="R108" s="7">
        <f t="shared" si="48"/>
        <v>12.374122258536586</v>
      </c>
      <c r="S108" s="7">
        <f t="shared" si="49"/>
        <v>21.592579741463418</v>
      </c>
      <c r="T108" s="7">
        <f t="shared" si="50"/>
        <v>31.707276146341467</v>
      </c>
      <c r="U108" s="7">
        <f t="shared" si="51"/>
        <v>14.550702497560978</v>
      </c>
      <c r="V108" s="7">
        <f t="shared" si="52"/>
        <v>16.365774600000002</v>
      </c>
      <c r="W108" s="7">
        <f t="shared" si="53"/>
        <v>19.634410668292688</v>
      </c>
      <c r="X108" s="22"/>
      <c r="Y108" s="10">
        <v>0.69735365853658537</v>
      </c>
      <c r="AB108" s="22"/>
    </row>
    <row r="109" spans="1:28" hidden="1" x14ac:dyDescent="0.25">
      <c r="A109" s="16"/>
      <c r="B109" s="3" t="s">
        <v>175</v>
      </c>
      <c r="C109" s="3" t="s">
        <v>176</v>
      </c>
      <c r="D109" s="11" t="s">
        <v>6</v>
      </c>
      <c r="E109" s="8">
        <f t="shared" ref="E109:E110" si="62">(146.93*$AA109)</f>
        <v>133.24316664438598</v>
      </c>
      <c r="F109" s="8">
        <f>(202.05*$AA109)</f>
        <v>183.22862465458508</v>
      </c>
      <c r="G109" s="8">
        <f>(212.49*$AA109)</f>
        <v>192.6961170643543</v>
      </c>
      <c r="H109" s="8">
        <f>(109.98*$AA109)</f>
        <v>99.735135558085958</v>
      </c>
      <c r="I109" s="8">
        <f>(202.95*$AA109)</f>
        <v>184.04478779335827</v>
      </c>
      <c r="J109" s="8">
        <f>(217.97*$AA109)</f>
        <v>197.66564373155114</v>
      </c>
      <c r="K109" s="8">
        <f>(95.04*$AA109)</f>
        <v>86.186827454450707</v>
      </c>
      <c r="L109" s="8">
        <f>(131.26*$AA109)</f>
        <v>119.03285955041245</v>
      </c>
      <c r="M109" s="8">
        <f>(135.02*$AA109)</f>
        <v>122.44260777462053</v>
      </c>
      <c r="N109" s="22"/>
      <c r="O109" s="8">
        <f t="shared" ref="O109:O110" si="63">(13.65*$AA109)</f>
        <v>12.378474271393646</v>
      </c>
      <c r="P109" s="8">
        <f t="shared" ref="P109:P110" si="64">(18.77*$AA109)</f>
        <v>17.021535683081225</v>
      </c>
      <c r="Q109" s="8">
        <f t="shared" ref="Q109:Q110" si="65">(19.74*$AA109)</f>
        <v>17.901178177092348</v>
      </c>
      <c r="R109" s="8">
        <f t="shared" ref="R109:R110" si="66">(10.22*$AA109)</f>
        <v>9.2679858647357563</v>
      </c>
      <c r="S109" s="8">
        <f t="shared" ref="S109:S110" si="67">(18.85*$AA109)</f>
        <v>17.094083517638847</v>
      </c>
      <c r="T109" s="8">
        <f t="shared" ref="T109:T110" si="68">(20.25*$AA109)</f>
        <v>18.363670622397169</v>
      </c>
      <c r="U109" s="8">
        <f t="shared" ref="U109:U110" si="69">(8.83*$AA109)</f>
        <v>8.0074672392971351</v>
      </c>
      <c r="V109" s="8">
        <f t="shared" ref="V109:V110" si="70">(12.19*$AA109)</f>
        <v>11.05447629071711</v>
      </c>
      <c r="W109" s="8">
        <f t="shared" ref="W109:W110" si="71">(12.54*$AA109)</f>
        <v>11.371873066906689</v>
      </c>
      <c r="X109" s="22"/>
      <c r="Y109"/>
      <c r="AA109" s="10">
        <v>0.9068479319702305</v>
      </c>
      <c r="AB109" s="22"/>
    </row>
    <row r="110" spans="1:28" hidden="1" x14ac:dyDescent="0.25">
      <c r="A110" s="16"/>
      <c r="B110" s="3" t="s">
        <v>175</v>
      </c>
      <c r="C110" s="3" t="s">
        <v>177</v>
      </c>
      <c r="D110" s="11" t="s">
        <v>6</v>
      </c>
      <c r="E110" s="8">
        <f t="shared" si="62"/>
        <v>133.24316664438598</v>
      </c>
      <c r="F110" s="8">
        <f>(202.05*$AA110)</f>
        <v>183.22862465458508</v>
      </c>
      <c r="G110" s="8">
        <f>(212.49*$AA110)</f>
        <v>192.6961170643543</v>
      </c>
      <c r="H110" s="8">
        <f>(109.98*$AA110)</f>
        <v>99.735135558085958</v>
      </c>
      <c r="I110" s="8">
        <f>(202.95*$AA110)</f>
        <v>184.04478779335827</v>
      </c>
      <c r="J110" s="8">
        <f>(217.97*$AA110)</f>
        <v>197.66564373155114</v>
      </c>
      <c r="K110" s="8">
        <f>(95.04*$AA110)</f>
        <v>86.186827454450707</v>
      </c>
      <c r="L110" s="8">
        <f>(131.26*$AA110)</f>
        <v>119.03285955041245</v>
      </c>
      <c r="M110" s="8">
        <f>(135.02*$AA110)</f>
        <v>122.44260777462053</v>
      </c>
      <c r="N110" s="22"/>
      <c r="O110" s="8">
        <f t="shared" si="63"/>
        <v>12.378474271393646</v>
      </c>
      <c r="P110" s="8">
        <f t="shared" si="64"/>
        <v>17.021535683081225</v>
      </c>
      <c r="Q110" s="8">
        <f t="shared" si="65"/>
        <v>17.901178177092348</v>
      </c>
      <c r="R110" s="8">
        <f t="shared" si="66"/>
        <v>9.2679858647357563</v>
      </c>
      <c r="S110" s="8">
        <f t="shared" si="67"/>
        <v>17.094083517638847</v>
      </c>
      <c r="T110" s="8">
        <f t="shared" si="68"/>
        <v>18.363670622397169</v>
      </c>
      <c r="U110" s="8">
        <f t="shared" si="69"/>
        <v>8.0074672392971351</v>
      </c>
      <c r="V110" s="8">
        <f t="shared" si="70"/>
        <v>11.05447629071711</v>
      </c>
      <c r="W110" s="8">
        <f t="shared" si="71"/>
        <v>11.371873066906689</v>
      </c>
      <c r="X110" s="22"/>
      <c r="Y110"/>
      <c r="AA110" s="10">
        <v>0.9068479319702305</v>
      </c>
      <c r="AB110" s="22"/>
    </row>
    <row r="111" spans="1:28" hidden="1" x14ac:dyDescent="0.25">
      <c r="A111" s="16"/>
      <c r="B111" s="3" t="s">
        <v>178</v>
      </c>
      <c r="C111" s="3" t="s">
        <v>179</v>
      </c>
      <c r="D111" s="11" t="s">
        <v>6</v>
      </c>
      <c r="E111" s="8">
        <f>(221.26*$Y111)*1.08</f>
        <v>144.37899610505198</v>
      </c>
      <c r="F111" s="7">
        <f t="shared" ref="F111" si="72">(310.41*$Y111)*1.08</f>
        <v>202.55212953524901</v>
      </c>
      <c r="G111" s="7">
        <f t="shared" ref="G111" si="73">(364.87*$Y111)*1.08</f>
        <v>238.08896460657292</v>
      </c>
      <c r="H111" s="7">
        <f t="shared" ref="H111" si="74">(176.83*$Y111)*1.08</f>
        <v>115.38704637646364</v>
      </c>
      <c r="I111" s="7">
        <f t="shared" ref="I111" si="75">(308.58*$Y111)*1.08</f>
        <v>201.35799791239691</v>
      </c>
      <c r="J111" s="7">
        <f t="shared" ref="J111" si="76">(453.13*$Y111)*1.08</f>
        <v>295.68134549888009</v>
      </c>
      <c r="K111" s="7">
        <f t="shared" ref="K111" si="77">(207.98*$Y111)*1.08</f>
        <v>135.7133852026065</v>
      </c>
      <c r="L111" s="7">
        <f t="shared" ref="L111" si="78">(233.85*$Y111)*1.08</f>
        <v>152.59436065789751</v>
      </c>
      <c r="M111" s="7">
        <f t="shared" ref="M111" si="79">(280.64*$Y111)*1.08</f>
        <v>183.12628340830599</v>
      </c>
      <c r="N111" s="22"/>
      <c r="O111" s="7">
        <f t="shared" si="45"/>
        <v>13.416036156195737</v>
      </c>
      <c r="P111" s="7">
        <f t="shared" si="46"/>
        <v>18.818992351395188</v>
      </c>
      <c r="Q111" s="7">
        <f t="shared" si="47"/>
        <v>22.140374843371664</v>
      </c>
      <c r="R111" s="7">
        <f t="shared" si="48"/>
        <v>10.721083368010504</v>
      </c>
      <c r="S111" s="7">
        <f t="shared" si="49"/>
        <v>18.708062091348825</v>
      </c>
      <c r="T111" s="7">
        <f t="shared" si="50"/>
        <v>27.471552635011701</v>
      </c>
      <c r="U111" s="7">
        <f t="shared" si="51"/>
        <v>12.606897788798719</v>
      </c>
      <c r="V111" s="7">
        <f t="shared" si="52"/>
        <v>14.179497357691313</v>
      </c>
      <c r="W111" s="7">
        <f t="shared" si="53"/>
        <v>17.011481643580879</v>
      </c>
      <c r="X111" s="22"/>
      <c r="Y111" s="10">
        <v>0.60419531615667499</v>
      </c>
      <c r="AA111"/>
      <c r="AB111" s="22"/>
    </row>
    <row r="112" spans="1:28" hidden="1" x14ac:dyDescent="0.25">
      <c r="A112" s="16"/>
      <c r="B112" s="3" t="s">
        <v>180</v>
      </c>
      <c r="C112" s="3" t="s">
        <v>181</v>
      </c>
      <c r="D112" s="11" t="s">
        <v>8</v>
      </c>
      <c r="E112" s="46">
        <f>(146.93*$AA112)</f>
        <v>95.504500000000007</v>
      </c>
      <c r="F112" s="46">
        <f>(202.05*$AA112)</f>
        <v>131.33250000000001</v>
      </c>
      <c r="G112" s="46">
        <f>(212.49*$AA112)</f>
        <v>138.11850000000001</v>
      </c>
      <c r="H112" s="46">
        <f>(109.98*$AA112)</f>
        <v>71.487000000000009</v>
      </c>
      <c r="I112" s="46">
        <f>(202.95*$AA112)</f>
        <v>131.91749999999999</v>
      </c>
      <c r="J112" s="46">
        <f>(217.97*$AA112)</f>
        <v>141.68049999999999</v>
      </c>
      <c r="K112" s="46">
        <f>(95.04*$AA112)</f>
        <v>61.776000000000003</v>
      </c>
      <c r="L112" s="46">
        <f>(131.26*$AA112)</f>
        <v>85.319000000000003</v>
      </c>
      <c r="M112" s="46">
        <f>(135.02*$AA112)</f>
        <v>87.763000000000005</v>
      </c>
      <c r="N112" s="22"/>
      <c r="O112" s="8">
        <f>(13.65*$AA112)</f>
        <v>8.8725000000000005</v>
      </c>
      <c r="P112" s="8">
        <f>(18.77*$AA112)</f>
        <v>12.2005</v>
      </c>
      <c r="Q112" s="8">
        <f>(19.74*$AA112)</f>
        <v>12.831</v>
      </c>
      <c r="R112" s="8">
        <f>(10.22*$AA112)</f>
        <v>6.6430000000000007</v>
      </c>
      <c r="S112" s="8">
        <f>(18.85*$AA112)</f>
        <v>12.252500000000001</v>
      </c>
      <c r="T112" s="8">
        <f>(20.25*$AA112)</f>
        <v>13.1625</v>
      </c>
      <c r="U112" s="8">
        <f>(8.83*$AA112)</f>
        <v>5.7395000000000005</v>
      </c>
      <c r="V112" s="8">
        <f>(12.19*$AA112)</f>
        <v>7.9234999999999998</v>
      </c>
      <c r="W112" s="8">
        <f>(12.54*$AA112)</f>
        <v>8.1509999999999998</v>
      </c>
      <c r="X112" s="22"/>
      <c r="Y112"/>
      <c r="AA112" s="47">
        <v>0.65</v>
      </c>
      <c r="AB112" s="22"/>
    </row>
    <row r="113" spans="1:28" hidden="1" x14ac:dyDescent="0.25">
      <c r="A113" s="16"/>
      <c r="B113" s="3" t="s">
        <v>182</v>
      </c>
      <c r="C113" s="3" t="s">
        <v>183</v>
      </c>
      <c r="D113" s="11" t="s">
        <v>8</v>
      </c>
      <c r="E113" s="8">
        <f t="shared" ref="E113:E137" si="80">(146.93*$AA113)</f>
        <v>110.2048156699323</v>
      </c>
      <c r="F113" s="8">
        <f>(202.05*$AA113)</f>
        <v>151.54756010419806</v>
      </c>
      <c r="G113" s="8">
        <f>(212.49*$AA113)</f>
        <v>159.37807991359091</v>
      </c>
      <c r="H113" s="8">
        <f>(109.98*$AA113)</f>
        <v>82.490475923086876</v>
      </c>
      <c r="I113" s="8">
        <f>(202.95*$AA113)</f>
        <v>152.2226049153526</v>
      </c>
      <c r="J113" s="8">
        <f>(217.97*$AA113)</f>
        <v>163.488352763732</v>
      </c>
      <c r="K113" s="8">
        <f>(95.04*$AA113)</f>
        <v>71.284732057921218</v>
      </c>
      <c r="L113" s="8">
        <f>(131.26*$AA113)</f>
        <v>98.451535457941276</v>
      </c>
      <c r="M113" s="8">
        <f>(135.02*$AA113)</f>
        <v>101.271722668987</v>
      </c>
      <c r="N113" s="22"/>
      <c r="O113" s="8">
        <f t="shared" ref="O113:O137" si="81">(13.65*$AA113)</f>
        <v>10.238179635844116</v>
      </c>
      <c r="P113" s="8">
        <f t="shared" ref="P113:P137" si="82">(18.77*$AA113)</f>
        <v>14.078434561523371</v>
      </c>
      <c r="Q113" s="8">
        <f t="shared" ref="Q113:Q137" si="83">(19.74*$AA113)</f>
        <v>14.80598285798995</v>
      </c>
      <c r="R113" s="8">
        <f t="shared" ref="R113:R137" si="84">(10.22*$AA113)</f>
        <v>7.665508855555081</v>
      </c>
      <c r="S113" s="8">
        <f t="shared" ref="S113:S137" si="85">(18.85*$AA113)</f>
        <v>14.138438544737111</v>
      </c>
      <c r="T113" s="8">
        <f t="shared" ref="T113:T137" si="86">(20.25*$AA113)</f>
        <v>15.188508250977533</v>
      </c>
      <c r="U113" s="8">
        <f t="shared" ref="U113:U137" si="87">(8.83*$AA113)</f>
        <v>6.6229396472163762</v>
      </c>
      <c r="V113" s="8">
        <f t="shared" ref="V113:V137" si="88">(12.19*$AA113)</f>
        <v>9.1431069421933877</v>
      </c>
      <c r="W113" s="8">
        <f t="shared" ref="W113:W137" si="89">(12.54*$AA113)</f>
        <v>9.4056243687534931</v>
      </c>
      <c r="X113" s="22"/>
      <c r="Y113"/>
      <c r="AA113" s="10">
        <v>0.75004979017173001</v>
      </c>
      <c r="AB113" s="22"/>
    </row>
    <row r="114" spans="1:28" hidden="1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8">
        <f>E113*1.02</f>
        <v>112.40891198333095</v>
      </c>
      <c r="F114" s="8">
        <f t="shared" ref="F114:M114" si="90">F113*1.02</f>
        <v>154.57851130628202</v>
      </c>
      <c r="G114" s="8">
        <f t="shared" si="90"/>
        <v>162.56564151186274</v>
      </c>
      <c r="H114" s="8">
        <f t="shared" si="90"/>
        <v>84.140285441548613</v>
      </c>
      <c r="I114" s="8">
        <f t="shared" si="90"/>
        <v>155.26705701365967</v>
      </c>
      <c r="J114" s="8">
        <f t="shared" si="90"/>
        <v>166.75811981900665</v>
      </c>
      <c r="K114" s="8">
        <f t="shared" si="90"/>
        <v>72.710426699079648</v>
      </c>
      <c r="L114" s="8">
        <f t="shared" si="90"/>
        <v>100.42056616710011</v>
      </c>
      <c r="M114" s="8">
        <f t="shared" si="90"/>
        <v>103.29715712236674</v>
      </c>
      <c r="N114" s="22"/>
      <c r="O114" s="25">
        <f t="shared" si="81"/>
        <v>10.5105</v>
      </c>
      <c r="P114" s="25">
        <f t="shared" si="82"/>
        <v>14.4529</v>
      </c>
      <c r="Q114" s="25">
        <f t="shared" si="83"/>
        <v>15.1998</v>
      </c>
      <c r="R114" s="25">
        <f t="shared" si="84"/>
        <v>7.8694000000000006</v>
      </c>
      <c r="S114" s="25">
        <f t="shared" si="85"/>
        <v>14.514500000000002</v>
      </c>
      <c r="T114" s="25">
        <f t="shared" si="86"/>
        <v>15.592500000000001</v>
      </c>
      <c r="U114" s="25">
        <f t="shared" si="87"/>
        <v>6.7991000000000001</v>
      </c>
      <c r="V114" s="25">
        <f t="shared" si="88"/>
        <v>9.3863000000000003</v>
      </c>
      <c r="W114" s="25">
        <f t="shared" si="89"/>
        <v>9.6557999999999993</v>
      </c>
      <c r="X114" s="22"/>
      <c r="Y114"/>
      <c r="AA114" s="31">
        <v>0.77</v>
      </c>
      <c r="AB114" s="22"/>
    </row>
    <row r="115" spans="1:28" hidden="1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8">
        <f>E113*1.04</f>
        <v>114.6130082967296</v>
      </c>
      <c r="F115" s="8">
        <f t="shared" ref="F115:M115" si="91">F113*1.04</f>
        <v>157.60946250836599</v>
      </c>
      <c r="G115" s="8">
        <f t="shared" si="91"/>
        <v>165.75320311013456</v>
      </c>
      <c r="H115" s="8">
        <f t="shared" si="91"/>
        <v>85.79009496001035</v>
      </c>
      <c r="I115" s="8">
        <f t="shared" si="91"/>
        <v>158.31150911196673</v>
      </c>
      <c r="J115" s="8">
        <f t="shared" si="91"/>
        <v>170.02788687428128</v>
      </c>
      <c r="K115" s="8">
        <f t="shared" si="91"/>
        <v>74.136121340238063</v>
      </c>
      <c r="L115" s="8">
        <f t="shared" si="91"/>
        <v>102.38959687625893</v>
      </c>
      <c r="M115" s="8">
        <f t="shared" si="91"/>
        <v>105.32259157574649</v>
      </c>
      <c r="N115" s="22"/>
      <c r="O115" s="25">
        <f t="shared" si="81"/>
        <v>10.647</v>
      </c>
      <c r="P115" s="25">
        <f t="shared" si="82"/>
        <v>14.640600000000001</v>
      </c>
      <c r="Q115" s="25">
        <f t="shared" si="83"/>
        <v>15.3972</v>
      </c>
      <c r="R115" s="25">
        <f t="shared" si="84"/>
        <v>7.9716000000000005</v>
      </c>
      <c r="S115" s="25">
        <f t="shared" si="85"/>
        <v>14.703000000000001</v>
      </c>
      <c r="T115" s="25">
        <f t="shared" si="86"/>
        <v>15.795</v>
      </c>
      <c r="U115" s="25">
        <f t="shared" si="87"/>
        <v>6.8874000000000004</v>
      </c>
      <c r="V115" s="25">
        <f t="shared" si="88"/>
        <v>9.5082000000000004</v>
      </c>
      <c r="W115" s="25">
        <f t="shared" si="89"/>
        <v>9.7812000000000001</v>
      </c>
      <c r="X115" s="22"/>
      <c r="Y115"/>
      <c r="AA115" s="31">
        <v>0.78</v>
      </c>
      <c r="AB115" s="22"/>
    </row>
    <row r="116" spans="1:28" hidden="1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8">
        <f>E113*1.03</f>
        <v>113.51096014003028</v>
      </c>
      <c r="F116" s="8">
        <f t="shared" ref="F116:M116" si="92">F113*1.03</f>
        <v>156.09398690732399</v>
      </c>
      <c r="G116" s="8">
        <f t="shared" si="92"/>
        <v>164.15942231099865</v>
      </c>
      <c r="H116" s="8">
        <f t="shared" si="92"/>
        <v>84.965190200779489</v>
      </c>
      <c r="I116" s="8">
        <f t="shared" si="92"/>
        <v>156.78928306281318</v>
      </c>
      <c r="J116" s="8">
        <f t="shared" si="92"/>
        <v>168.39300334664395</v>
      </c>
      <c r="K116" s="8">
        <f t="shared" si="92"/>
        <v>73.423274019658862</v>
      </c>
      <c r="L116" s="8">
        <f t="shared" si="92"/>
        <v>101.40508152167952</v>
      </c>
      <c r="M116" s="8">
        <f t="shared" si="92"/>
        <v>104.30987434905661</v>
      </c>
      <c r="N116" s="22"/>
      <c r="O116" s="25">
        <f t="shared" si="81"/>
        <v>10.5105</v>
      </c>
      <c r="P116" s="25">
        <f t="shared" si="82"/>
        <v>14.4529</v>
      </c>
      <c r="Q116" s="25">
        <f t="shared" si="83"/>
        <v>15.1998</v>
      </c>
      <c r="R116" s="25">
        <f t="shared" si="84"/>
        <v>7.8694000000000006</v>
      </c>
      <c r="S116" s="25">
        <f t="shared" si="85"/>
        <v>14.514500000000002</v>
      </c>
      <c r="T116" s="25">
        <f t="shared" si="86"/>
        <v>15.592500000000001</v>
      </c>
      <c r="U116" s="25">
        <f t="shared" si="87"/>
        <v>6.7991000000000001</v>
      </c>
      <c r="V116" s="25">
        <f t="shared" si="88"/>
        <v>9.3863000000000003</v>
      </c>
      <c r="W116" s="25">
        <f t="shared" si="89"/>
        <v>9.6557999999999993</v>
      </c>
      <c r="X116" s="22"/>
      <c r="Y116"/>
      <c r="AA116" s="31">
        <v>0.77</v>
      </c>
      <c r="AB116" s="22"/>
    </row>
    <row r="117" spans="1:28" hidden="1" x14ac:dyDescent="0.25">
      <c r="A117" s="16"/>
      <c r="B117" s="3" t="s">
        <v>180</v>
      </c>
      <c r="C117" s="3" t="s">
        <v>187</v>
      </c>
      <c r="D117" s="11" t="s">
        <v>8</v>
      </c>
      <c r="E117" s="46">
        <f t="shared" si="80"/>
        <v>91.096600000000009</v>
      </c>
      <c r="F117" s="46">
        <f>(202.05*$AA117)</f>
        <v>125.271</v>
      </c>
      <c r="G117" s="46">
        <f>(212.49*$AA117)</f>
        <v>131.74379999999999</v>
      </c>
      <c r="H117" s="46">
        <f>(109.98*$AA117)</f>
        <v>68.187600000000003</v>
      </c>
      <c r="I117" s="46">
        <f>(202.95*$AA117)</f>
        <v>125.82899999999999</v>
      </c>
      <c r="J117" s="46">
        <f>(217.97*$AA117)</f>
        <v>135.1414</v>
      </c>
      <c r="K117" s="46">
        <f>(95.04*$AA117)</f>
        <v>58.924800000000005</v>
      </c>
      <c r="L117" s="46">
        <f>(131.26*$AA117)</f>
        <v>81.381199999999993</v>
      </c>
      <c r="M117" s="46">
        <f>(135.02*$AA117)</f>
        <v>83.712400000000002</v>
      </c>
      <c r="N117" s="22"/>
      <c r="O117" s="8">
        <f t="shared" si="81"/>
        <v>8.463000000000001</v>
      </c>
      <c r="P117" s="8">
        <f t="shared" si="82"/>
        <v>11.6374</v>
      </c>
      <c r="Q117" s="8">
        <f t="shared" si="83"/>
        <v>12.238799999999999</v>
      </c>
      <c r="R117" s="8">
        <f t="shared" si="84"/>
        <v>6.3364000000000003</v>
      </c>
      <c r="S117" s="8">
        <f t="shared" si="85"/>
        <v>11.687000000000001</v>
      </c>
      <c r="T117" s="8">
        <f t="shared" si="86"/>
        <v>12.555</v>
      </c>
      <c r="U117" s="8">
        <f t="shared" si="87"/>
        <v>5.4745999999999997</v>
      </c>
      <c r="V117" s="8">
        <f t="shared" si="88"/>
        <v>7.5577999999999994</v>
      </c>
      <c r="W117" s="8">
        <f t="shared" si="89"/>
        <v>7.774799999999999</v>
      </c>
      <c r="X117" s="22"/>
      <c r="Y117"/>
      <c r="AA117" s="47">
        <v>0.62</v>
      </c>
      <c r="AB117" s="22"/>
    </row>
    <row r="118" spans="1:28" hidden="1" x14ac:dyDescent="0.25">
      <c r="A118" s="16"/>
      <c r="B118" s="3" t="s">
        <v>180</v>
      </c>
      <c r="C118" s="3" t="s">
        <v>188</v>
      </c>
      <c r="D118" s="11" t="s">
        <v>8</v>
      </c>
      <c r="E118" s="46">
        <f t="shared" si="80"/>
        <v>88.158000000000001</v>
      </c>
      <c r="F118" s="46">
        <f t="shared" ref="F118:F120" si="93">(202.05*$AA118)</f>
        <v>121.23</v>
      </c>
      <c r="G118" s="46">
        <f t="shared" ref="G118:G120" si="94">(212.49*$AA118)</f>
        <v>127.494</v>
      </c>
      <c r="H118" s="46">
        <f t="shared" ref="H118:H120" si="95">(109.98*$AA118)</f>
        <v>65.988</v>
      </c>
      <c r="I118" s="46">
        <f t="shared" ref="I118:I120" si="96">(202.95*$AA118)</f>
        <v>121.76999999999998</v>
      </c>
      <c r="J118" s="46">
        <f t="shared" ref="J118:J120" si="97">(217.97*$AA118)</f>
        <v>130.78199999999998</v>
      </c>
      <c r="K118" s="46">
        <f t="shared" ref="K118:K120" si="98">(95.04*$AA118)</f>
        <v>57.024000000000001</v>
      </c>
      <c r="L118" s="46">
        <f t="shared" ref="L118:L120" si="99">(131.26*$AA118)</f>
        <v>78.755999999999986</v>
      </c>
      <c r="M118" s="46">
        <f t="shared" ref="M118:M120" si="100">(135.02*$AA118)</f>
        <v>81.012</v>
      </c>
      <c r="N118" s="22"/>
      <c r="O118" s="8">
        <f t="shared" si="81"/>
        <v>8.19</v>
      </c>
      <c r="P118" s="8">
        <f t="shared" si="82"/>
        <v>11.261999999999999</v>
      </c>
      <c r="Q118" s="8">
        <f t="shared" si="83"/>
        <v>11.843999999999999</v>
      </c>
      <c r="R118" s="8">
        <f t="shared" si="84"/>
        <v>6.1320000000000006</v>
      </c>
      <c r="S118" s="8">
        <f t="shared" si="85"/>
        <v>11.31</v>
      </c>
      <c r="T118" s="8">
        <f t="shared" si="86"/>
        <v>12.15</v>
      </c>
      <c r="U118" s="8">
        <f t="shared" si="87"/>
        <v>5.298</v>
      </c>
      <c r="V118" s="8">
        <f t="shared" si="88"/>
        <v>7.3139999999999992</v>
      </c>
      <c r="W118" s="8">
        <f t="shared" si="89"/>
        <v>7.5239999999999991</v>
      </c>
      <c r="X118" s="22"/>
      <c r="Y118"/>
      <c r="AA118" s="47">
        <v>0.6</v>
      </c>
      <c r="AB118" s="22"/>
    </row>
    <row r="119" spans="1:28" hidden="1" x14ac:dyDescent="0.25">
      <c r="A119" s="16"/>
      <c r="B119" s="3" t="s">
        <v>180</v>
      </c>
      <c r="C119" s="3" t="s">
        <v>189</v>
      </c>
      <c r="D119" s="11" t="s">
        <v>8</v>
      </c>
      <c r="E119" s="46">
        <f t="shared" si="80"/>
        <v>91.096600000000009</v>
      </c>
      <c r="F119" s="46">
        <f t="shared" si="93"/>
        <v>125.271</v>
      </c>
      <c r="G119" s="46">
        <f t="shared" si="94"/>
        <v>131.74379999999999</v>
      </c>
      <c r="H119" s="46">
        <f t="shared" si="95"/>
        <v>68.187600000000003</v>
      </c>
      <c r="I119" s="46">
        <f t="shared" si="96"/>
        <v>125.82899999999999</v>
      </c>
      <c r="J119" s="46">
        <f t="shared" si="97"/>
        <v>135.1414</v>
      </c>
      <c r="K119" s="46">
        <f t="shared" si="98"/>
        <v>58.924800000000005</v>
      </c>
      <c r="L119" s="46">
        <f t="shared" si="99"/>
        <v>81.381199999999993</v>
      </c>
      <c r="M119" s="46">
        <f t="shared" si="100"/>
        <v>83.712400000000002</v>
      </c>
      <c r="N119" s="22"/>
      <c r="O119" s="8">
        <f t="shared" si="81"/>
        <v>8.463000000000001</v>
      </c>
      <c r="P119" s="8">
        <f t="shared" si="82"/>
        <v>11.6374</v>
      </c>
      <c r="Q119" s="8">
        <f t="shared" si="83"/>
        <v>12.238799999999999</v>
      </c>
      <c r="R119" s="8">
        <f t="shared" si="84"/>
        <v>6.3364000000000003</v>
      </c>
      <c r="S119" s="8">
        <f t="shared" si="85"/>
        <v>11.687000000000001</v>
      </c>
      <c r="T119" s="8">
        <f t="shared" si="86"/>
        <v>12.555</v>
      </c>
      <c r="U119" s="8">
        <f t="shared" si="87"/>
        <v>5.4745999999999997</v>
      </c>
      <c r="V119" s="8">
        <f t="shared" si="88"/>
        <v>7.5577999999999994</v>
      </c>
      <c r="W119" s="8">
        <f t="shared" si="89"/>
        <v>7.774799999999999</v>
      </c>
      <c r="X119" s="22"/>
      <c r="Y119"/>
      <c r="AA119" s="47">
        <v>0.62</v>
      </c>
      <c r="AB119" s="22"/>
    </row>
    <row r="120" spans="1:28" hidden="1" x14ac:dyDescent="0.25">
      <c r="A120" s="16"/>
      <c r="B120" s="3" t="s">
        <v>190</v>
      </c>
      <c r="C120" s="3" t="s">
        <v>191</v>
      </c>
      <c r="D120" s="11" t="s">
        <v>8</v>
      </c>
      <c r="E120" s="8">
        <f t="shared" si="80"/>
        <v>39.671100000000003</v>
      </c>
      <c r="F120" s="8">
        <f t="shared" si="93"/>
        <v>54.553500000000007</v>
      </c>
      <c r="G120" s="8">
        <f t="shared" si="94"/>
        <v>57.372300000000003</v>
      </c>
      <c r="H120" s="8">
        <f t="shared" si="95"/>
        <v>29.694600000000005</v>
      </c>
      <c r="I120" s="8">
        <f t="shared" si="96"/>
        <v>54.796500000000002</v>
      </c>
      <c r="J120" s="8">
        <f t="shared" si="97"/>
        <v>58.851900000000001</v>
      </c>
      <c r="K120" s="8">
        <f t="shared" si="98"/>
        <v>25.660800000000002</v>
      </c>
      <c r="L120" s="8">
        <f t="shared" si="99"/>
        <v>35.440199999999997</v>
      </c>
      <c r="M120" s="8">
        <f t="shared" si="100"/>
        <v>36.455400000000004</v>
      </c>
      <c r="N120" s="22"/>
      <c r="O120" s="8">
        <f t="shared" si="81"/>
        <v>3.6855000000000002</v>
      </c>
      <c r="P120" s="8">
        <f t="shared" si="82"/>
        <v>5.0678999999999998</v>
      </c>
      <c r="Q120" s="8">
        <f t="shared" si="83"/>
        <v>5.3297999999999996</v>
      </c>
      <c r="R120" s="8">
        <f t="shared" si="84"/>
        <v>2.7594000000000003</v>
      </c>
      <c r="S120" s="8">
        <f t="shared" si="85"/>
        <v>5.089500000000001</v>
      </c>
      <c r="T120" s="8">
        <f t="shared" si="86"/>
        <v>5.4675000000000002</v>
      </c>
      <c r="U120" s="8">
        <f t="shared" si="87"/>
        <v>2.3841000000000001</v>
      </c>
      <c r="V120" s="8">
        <f t="shared" si="88"/>
        <v>3.2913000000000001</v>
      </c>
      <c r="W120" s="8">
        <f t="shared" si="89"/>
        <v>3.3858000000000001</v>
      </c>
      <c r="X120" s="22"/>
      <c r="Y120"/>
      <c r="AA120" s="31">
        <v>0.27</v>
      </c>
      <c r="AB120" s="22"/>
    </row>
    <row r="121" spans="1:28" hidden="1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25">
        <f>E120/1.01</f>
        <v>39.278316831683171</v>
      </c>
      <c r="F121" s="25">
        <f t="shared" ref="F121:M121" si="101">F120/1.01</f>
        <v>54.013366336633666</v>
      </c>
      <c r="G121" s="25">
        <f t="shared" si="101"/>
        <v>56.804257425742577</v>
      </c>
      <c r="H121" s="25">
        <f t="shared" si="101"/>
        <v>29.400594059405947</v>
      </c>
      <c r="I121" s="25">
        <f t="shared" si="101"/>
        <v>54.253960396039602</v>
      </c>
      <c r="J121" s="25">
        <f t="shared" si="101"/>
        <v>58.269207920792077</v>
      </c>
      <c r="K121" s="25">
        <f t="shared" si="101"/>
        <v>25.406732673267328</v>
      </c>
      <c r="L121" s="25">
        <f t="shared" si="101"/>
        <v>35.08930693069307</v>
      </c>
      <c r="M121" s="25">
        <f t="shared" si="101"/>
        <v>36.094455445544561</v>
      </c>
      <c r="N121" s="22"/>
      <c r="O121" s="25">
        <f t="shared" si="81"/>
        <v>3.6855000000000002</v>
      </c>
      <c r="P121" s="25">
        <f t="shared" si="82"/>
        <v>5.0678999999999998</v>
      </c>
      <c r="Q121" s="25">
        <f t="shared" si="83"/>
        <v>5.3297999999999996</v>
      </c>
      <c r="R121" s="25">
        <f t="shared" si="84"/>
        <v>2.7594000000000003</v>
      </c>
      <c r="S121" s="25">
        <f t="shared" si="85"/>
        <v>5.089500000000001</v>
      </c>
      <c r="T121" s="25">
        <f t="shared" si="86"/>
        <v>5.4675000000000002</v>
      </c>
      <c r="U121" s="25">
        <f t="shared" si="87"/>
        <v>2.3841000000000001</v>
      </c>
      <c r="V121" s="25">
        <f t="shared" si="88"/>
        <v>3.2913000000000001</v>
      </c>
      <c r="W121" s="25">
        <f t="shared" si="89"/>
        <v>3.3858000000000001</v>
      </c>
      <c r="X121" s="22"/>
      <c r="Y121"/>
      <c r="AA121" s="31">
        <v>0.27</v>
      </c>
      <c r="AB121" s="22"/>
    </row>
    <row r="122" spans="1:28" hidden="1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25">
        <f>E120/1.01</f>
        <v>39.278316831683171</v>
      </c>
      <c r="F122" s="25">
        <f t="shared" ref="F122:M122" si="102">F120/1.01</f>
        <v>54.013366336633666</v>
      </c>
      <c r="G122" s="25">
        <f t="shared" si="102"/>
        <v>56.804257425742577</v>
      </c>
      <c r="H122" s="25">
        <f t="shared" si="102"/>
        <v>29.400594059405947</v>
      </c>
      <c r="I122" s="25">
        <f t="shared" si="102"/>
        <v>54.253960396039602</v>
      </c>
      <c r="J122" s="25">
        <f t="shared" si="102"/>
        <v>58.269207920792077</v>
      </c>
      <c r="K122" s="25">
        <f t="shared" si="102"/>
        <v>25.406732673267328</v>
      </c>
      <c r="L122" s="25">
        <f t="shared" si="102"/>
        <v>35.08930693069307</v>
      </c>
      <c r="M122" s="25">
        <f t="shared" si="102"/>
        <v>36.094455445544561</v>
      </c>
      <c r="N122" s="22"/>
      <c r="O122" s="25">
        <f t="shared" si="81"/>
        <v>3.6855000000000002</v>
      </c>
      <c r="P122" s="25">
        <f t="shared" si="82"/>
        <v>5.0678999999999998</v>
      </c>
      <c r="Q122" s="25">
        <f t="shared" si="83"/>
        <v>5.3297999999999996</v>
      </c>
      <c r="R122" s="25">
        <f t="shared" si="84"/>
        <v>2.7594000000000003</v>
      </c>
      <c r="S122" s="25">
        <f t="shared" si="85"/>
        <v>5.089500000000001</v>
      </c>
      <c r="T122" s="25">
        <f t="shared" si="86"/>
        <v>5.4675000000000002</v>
      </c>
      <c r="U122" s="25">
        <f t="shared" si="87"/>
        <v>2.3841000000000001</v>
      </c>
      <c r="V122" s="25">
        <f t="shared" si="88"/>
        <v>3.2913000000000001</v>
      </c>
      <c r="W122" s="25">
        <f t="shared" si="89"/>
        <v>3.3858000000000001</v>
      </c>
      <c r="X122" s="22"/>
      <c r="Y122"/>
      <c r="AA122" s="31">
        <v>0.27</v>
      </c>
      <c r="AB122" s="22"/>
    </row>
    <row r="123" spans="1:28" hidden="1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25">
        <f>E120/1.02</f>
        <v>38.893235294117652</v>
      </c>
      <c r="F123" s="25">
        <f t="shared" ref="F123:M123" si="103">F120/1.02</f>
        <v>53.483823529411772</v>
      </c>
      <c r="G123" s="25">
        <f t="shared" si="103"/>
        <v>56.247352941176473</v>
      </c>
      <c r="H123" s="25">
        <f t="shared" si="103"/>
        <v>29.112352941176475</v>
      </c>
      <c r="I123" s="25">
        <f t="shared" si="103"/>
        <v>53.722058823529416</v>
      </c>
      <c r="J123" s="25">
        <f t="shared" si="103"/>
        <v>57.697941176470586</v>
      </c>
      <c r="K123" s="25">
        <f t="shared" si="103"/>
        <v>25.157647058823532</v>
      </c>
      <c r="L123" s="25">
        <f t="shared" si="103"/>
        <v>34.745294117647056</v>
      </c>
      <c r="M123" s="25">
        <f t="shared" si="103"/>
        <v>35.740588235294119</v>
      </c>
      <c r="N123" s="22"/>
      <c r="O123" s="25">
        <f t="shared" si="81"/>
        <v>3.6855000000000002</v>
      </c>
      <c r="P123" s="25">
        <f t="shared" si="82"/>
        <v>5.0678999999999998</v>
      </c>
      <c r="Q123" s="25">
        <f t="shared" si="83"/>
        <v>5.3297999999999996</v>
      </c>
      <c r="R123" s="25">
        <f t="shared" si="84"/>
        <v>2.7594000000000003</v>
      </c>
      <c r="S123" s="25">
        <f t="shared" si="85"/>
        <v>5.089500000000001</v>
      </c>
      <c r="T123" s="25">
        <f t="shared" si="86"/>
        <v>5.4675000000000002</v>
      </c>
      <c r="U123" s="25">
        <f t="shared" si="87"/>
        <v>2.3841000000000001</v>
      </c>
      <c r="V123" s="25">
        <f t="shared" si="88"/>
        <v>3.2913000000000001</v>
      </c>
      <c r="W123" s="25">
        <f t="shared" si="89"/>
        <v>3.3858000000000001</v>
      </c>
      <c r="X123" s="22"/>
      <c r="Y123"/>
      <c r="AA123" s="31">
        <v>0.27</v>
      </c>
      <c r="AB123" s="22"/>
    </row>
    <row r="124" spans="1:28" hidden="1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25">
        <f>E120*1.08</f>
        <v>42.844788000000008</v>
      </c>
      <c r="F124" s="25">
        <f t="shared" ref="F124:M124" si="104">F120*1.08</f>
        <v>58.917780000000015</v>
      </c>
      <c r="G124" s="25">
        <f t="shared" si="104"/>
        <v>61.962084000000004</v>
      </c>
      <c r="H124" s="25">
        <f t="shared" si="104"/>
        <v>32.07016800000001</v>
      </c>
      <c r="I124" s="25">
        <f t="shared" si="104"/>
        <v>59.180220000000006</v>
      </c>
      <c r="J124" s="25">
        <f t="shared" si="104"/>
        <v>63.560052000000006</v>
      </c>
      <c r="K124" s="25">
        <f t="shared" si="104"/>
        <v>27.713664000000005</v>
      </c>
      <c r="L124" s="25">
        <f t="shared" si="104"/>
        <v>38.275416</v>
      </c>
      <c r="M124" s="25">
        <f t="shared" si="104"/>
        <v>39.371832000000005</v>
      </c>
      <c r="N124" s="22"/>
      <c r="O124" s="25">
        <f t="shared" si="81"/>
        <v>4.0949999999999998</v>
      </c>
      <c r="P124" s="25">
        <f t="shared" si="82"/>
        <v>5.6309999999999993</v>
      </c>
      <c r="Q124" s="25">
        <f t="shared" si="83"/>
        <v>5.9219999999999997</v>
      </c>
      <c r="R124" s="25">
        <f t="shared" si="84"/>
        <v>3.0660000000000003</v>
      </c>
      <c r="S124" s="25">
        <f t="shared" si="85"/>
        <v>5.6550000000000002</v>
      </c>
      <c r="T124" s="25">
        <f t="shared" si="86"/>
        <v>6.0750000000000002</v>
      </c>
      <c r="U124" s="25">
        <f t="shared" si="87"/>
        <v>2.649</v>
      </c>
      <c r="V124" s="25">
        <f t="shared" si="88"/>
        <v>3.6569999999999996</v>
      </c>
      <c r="W124" s="25">
        <f t="shared" si="89"/>
        <v>3.7619999999999996</v>
      </c>
      <c r="X124" s="22"/>
      <c r="Y124"/>
      <c r="AA124" s="31">
        <v>0.3</v>
      </c>
      <c r="AB124" s="22"/>
    </row>
    <row r="125" spans="1:28" hidden="1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25">
        <f>E120*1.05</f>
        <v>41.654655000000005</v>
      </c>
      <c r="F125" s="25">
        <f t="shared" ref="F125:M125" si="105">F120*1.05</f>
        <v>57.281175000000012</v>
      </c>
      <c r="G125" s="25">
        <f t="shared" si="105"/>
        <v>60.240915000000008</v>
      </c>
      <c r="H125" s="25">
        <f t="shared" si="105"/>
        <v>31.179330000000007</v>
      </c>
      <c r="I125" s="25">
        <f t="shared" si="105"/>
        <v>57.536325000000005</v>
      </c>
      <c r="J125" s="25">
        <f t="shared" si="105"/>
        <v>61.794495000000005</v>
      </c>
      <c r="K125" s="25">
        <f t="shared" si="105"/>
        <v>26.943840000000002</v>
      </c>
      <c r="L125" s="25">
        <f t="shared" si="105"/>
        <v>37.212209999999999</v>
      </c>
      <c r="M125" s="25">
        <f t="shared" si="105"/>
        <v>38.278170000000003</v>
      </c>
      <c r="N125" s="22"/>
      <c r="O125" s="25">
        <f t="shared" si="81"/>
        <v>3.9584999999999999</v>
      </c>
      <c r="P125" s="25">
        <f t="shared" si="82"/>
        <v>5.4432999999999998</v>
      </c>
      <c r="Q125" s="25">
        <f t="shared" si="83"/>
        <v>5.7245999999999988</v>
      </c>
      <c r="R125" s="25">
        <f t="shared" si="84"/>
        <v>2.9638</v>
      </c>
      <c r="S125" s="25">
        <f t="shared" si="85"/>
        <v>5.4664999999999999</v>
      </c>
      <c r="T125" s="25">
        <f t="shared" si="86"/>
        <v>5.8724999999999996</v>
      </c>
      <c r="U125" s="25">
        <f t="shared" si="87"/>
        <v>2.5606999999999998</v>
      </c>
      <c r="V125" s="25">
        <f t="shared" si="88"/>
        <v>3.5350999999999995</v>
      </c>
      <c r="W125" s="25">
        <f t="shared" si="89"/>
        <v>3.6365999999999996</v>
      </c>
      <c r="X125" s="22"/>
      <c r="Y125"/>
      <c r="AA125" s="31">
        <v>0.28999999999999998</v>
      </c>
      <c r="AB125" s="22"/>
    </row>
    <row r="126" spans="1:28" hidden="1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25">
        <f>E120/1.01</f>
        <v>39.278316831683171</v>
      </c>
      <c r="F126" s="25">
        <f t="shared" ref="F126:M126" si="106">F120/1.01</f>
        <v>54.013366336633666</v>
      </c>
      <c r="G126" s="25">
        <f t="shared" si="106"/>
        <v>56.804257425742577</v>
      </c>
      <c r="H126" s="25">
        <f t="shared" si="106"/>
        <v>29.400594059405947</v>
      </c>
      <c r="I126" s="25">
        <f t="shared" si="106"/>
        <v>54.253960396039602</v>
      </c>
      <c r="J126" s="25">
        <f t="shared" si="106"/>
        <v>58.269207920792077</v>
      </c>
      <c r="K126" s="25">
        <f t="shared" si="106"/>
        <v>25.406732673267328</v>
      </c>
      <c r="L126" s="25">
        <f t="shared" si="106"/>
        <v>35.08930693069307</v>
      </c>
      <c r="M126" s="25">
        <f t="shared" si="106"/>
        <v>36.094455445544561</v>
      </c>
      <c r="N126" s="22"/>
      <c r="O126" s="25">
        <f t="shared" si="81"/>
        <v>3.6855000000000002</v>
      </c>
      <c r="P126" s="25">
        <f t="shared" si="82"/>
        <v>5.0678999999999998</v>
      </c>
      <c r="Q126" s="25">
        <f t="shared" si="83"/>
        <v>5.3297999999999996</v>
      </c>
      <c r="R126" s="25">
        <f t="shared" si="84"/>
        <v>2.7594000000000003</v>
      </c>
      <c r="S126" s="25">
        <f t="shared" si="85"/>
        <v>5.089500000000001</v>
      </c>
      <c r="T126" s="25">
        <f t="shared" si="86"/>
        <v>5.4675000000000002</v>
      </c>
      <c r="U126" s="25">
        <f t="shared" si="87"/>
        <v>2.3841000000000001</v>
      </c>
      <c r="V126" s="25">
        <f t="shared" si="88"/>
        <v>3.2913000000000001</v>
      </c>
      <c r="W126" s="25">
        <f t="shared" si="89"/>
        <v>3.3858000000000001</v>
      </c>
      <c r="X126" s="22"/>
      <c r="Y126"/>
      <c r="AA126" s="31">
        <v>0.27</v>
      </c>
      <c r="AB126" s="22"/>
    </row>
    <row r="127" spans="1:28" hidden="1" x14ac:dyDescent="0.25">
      <c r="A127" s="16"/>
      <c r="B127" s="3" t="s">
        <v>198</v>
      </c>
      <c r="C127" s="3" t="s">
        <v>199</v>
      </c>
      <c r="D127" s="11" t="s">
        <v>8</v>
      </c>
      <c r="E127" s="8">
        <f t="shared" si="80"/>
        <v>69.057100000000005</v>
      </c>
      <c r="F127" s="8">
        <f>(202.05*$AA127)</f>
        <v>94.963499999999996</v>
      </c>
      <c r="G127" s="8">
        <f t="shared" ref="G127:G137" si="107">(212.49*$AA127)</f>
        <v>99.8703</v>
      </c>
      <c r="H127" s="8">
        <f t="shared" ref="H127:H137" si="108">(109.98*$AA127)</f>
        <v>51.690599999999996</v>
      </c>
      <c r="I127" s="8">
        <f t="shared" ref="I127:I137" si="109">(202.95*$AA127)</f>
        <v>95.386499999999984</v>
      </c>
      <c r="J127" s="8">
        <f t="shared" ref="J127:J137" si="110">(217.97*$AA127)</f>
        <v>102.44589999999999</v>
      </c>
      <c r="K127" s="8">
        <f t="shared" ref="K127:K137" si="111">(95.04*$AA127)</f>
        <v>44.668799999999997</v>
      </c>
      <c r="L127" s="8">
        <f t="shared" ref="L127:L137" si="112">(131.26*$AA127)</f>
        <v>61.692199999999993</v>
      </c>
      <c r="M127" s="8">
        <f t="shared" ref="M127:M137" si="113">(135.02*$AA127)</f>
        <v>63.459400000000002</v>
      </c>
      <c r="N127" s="22"/>
      <c r="O127" s="8">
        <f t="shared" si="81"/>
        <v>6.4154999999999998</v>
      </c>
      <c r="P127" s="8">
        <f t="shared" si="82"/>
        <v>8.8218999999999994</v>
      </c>
      <c r="Q127" s="8">
        <f t="shared" si="83"/>
        <v>9.2777999999999992</v>
      </c>
      <c r="R127" s="8">
        <f t="shared" si="84"/>
        <v>4.8033999999999999</v>
      </c>
      <c r="S127" s="8">
        <f t="shared" si="85"/>
        <v>8.8595000000000006</v>
      </c>
      <c r="T127" s="8">
        <f t="shared" si="86"/>
        <v>9.5175000000000001</v>
      </c>
      <c r="U127" s="8">
        <f t="shared" si="87"/>
        <v>4.1501000000000001</v>
      </c>
      <c r="V127" s="8">
        <f t="shared" si="88"/>
        <v>5.7292999999999994</v>
      </c>
      <c r="W127" s="8">
        <f t="shared" si="89"/>
        <v>5.8937999999999997</v>
      </c>
      <c r="X127" s="22"/>
      <c r="Y127"/>
      <c r="AA127" s="10">
        <v>0.47</v>
      </c>
      <c r="AB127" s="22"/>
    </row>
    <row r="128" spans="1:28" hidden="1" x14ac:dyDescent="0.25">
      <c r="A128" s="16"/>
      <c r="B128" s="3" t="s">
        <v>200</v>
      </c>
      <c r="C128" s="3" t="s">
        <v>201</v>
      </c>
      <c r="D128" s="11" t="s">
        <v>8</v>
      </c>
      <c r="E128" s="8">
        <f t="shared" si="80"/>
        <v>157.84652289553566</v>
      </c>
      <c r="F128" s="8">
        <f t="shared" ref="F128:F137" si="114">(202.05*$AA128)</f>
        <v>217.0617978019668</v>
      </c>
      <c r="G128" s="8">
        <f t="shared" si="107"/>
        <v>228.2774630781486</v>
      </c>
      <c r="H128" s="8">
        <f t="shared" si="108"/>
        <v>118.15123247839796</v>
      </c>
      <c r="I128" s="8">
        <f t="shared" si="109"/>
        <v>218.02866549818935</v>
      </c>
      <c r="J128" s="8">
        <f t="shared" si="110"/>
        <v>234.16461305070379</v>
      </c>
      <c r="K128" s="8">
        <f t="shared" si="111"/>
        <v>102.10122872110331</v>
      </c>
      <c r="L128" s="8">
        <f t="shared" si="112"/>
        <v>141.01228200686046</v>
      </c>
      <c r="M128" s="8">
        <f t="shared" si="113"/>
        <v>145.05164038219033</v>
      </c>
      <c r="N128" s="22"/>
      <c r="O128" s="8">
        <f t="shared" si="81"/>
        <v>14.664160059375634</v>
      </c>
      <c r="P128" s="8">
        <f t="shared" si="82"/>
        <v>20.164562953441806</v>
      </c>
      <c r="Q128" s="8">
        <f t="shared" si="83"/>
        <v>21.206631470481682</v>
      </c>
      <c r="R128" s="8">
        <f t="shared" si="84"/>
        <v>10.979319839327397</v>
      </c>
      <c r="S128" s="8">
        <f t="shared" si="85"/>
        <v>20.250506748661589</v>
      </c>
      <c r="T128" s="8">
        <f t="shared" si="86"/>
        <v>21.754523165007807</v>
      </c>
      <c r="U128" s="8">
        <f t="shared" si="87"/>
        <v>9.4860463973836513</v>
      </c>
      <c r="V128" s="8">
        <f t="shared" si="88"/>
        <v>13.095685796614577</v>
      </c>
      <c r="W128" s="8">
        <f t="shared" si="89"/>
        <v>13.471689900701129</v>
      </c>
      <c r="X128" s="22"/>
      <c r="Y128"/>
      <c r="AA128" s="10">
        <v>1.0742974402472991</v>
      </c>
      <c r="AB128" s="22"/>
    </row>
    <row r="129" spans="1:28" hidden="1" x14ac:dyDescent="0.25">
      <c r="A129" s="16"/>
      <c r="B129" s="3" t="s">
        <v>202</v>
      </c>
      <c r="C129" s="3" t="s">
        <v>203</v>
      </c>
      <c r="D129" s="11" t="s">
        <v>8</v>
      </c>
      <c r="E129" s="46">
        <f t="shared" si="80"/>
        <v>68.851454625286422</v>
      </c>
      <c r="F129" s="46">
        <f t="shared" si="114"/>
        <v>94.680707867958347</v>
      </c>
      <c r="G129" s="46">
        <f t="shared" si="107"/>
        <v>99.572895891425233</v>
      </c>
      <c r="H129" s="46">
        <f t="shared" si="108"/>
        <v>51.536670385142585</v>
      </c>
      <c r="I129" s="46">
        <f t="shared" si="109"/>
        <v>95.102448214808931</v>
      </c>
      <c r="J129" s="46">
        <f t="shared" si="110"/>
        <v>102.14082600335996</v>
      </c>
      <c r="K129" s="46">
        <f t="shared" si="111"/>
        <v>44.535780627422724</v>
      </c>
      <c r="L129" s="46">
        <f t="shared" si="112"/>
        <v>61.508486586232181</v>
      </c>
      <c r="M129" s="46">
        <f t="shared" si="113"/>
        <v>63.270424035296891</v>
      </c>
      <c r="N129" s="22"/>
      <c r="O129" s="8">
        <f t="shared" si="81"/>
        <v>6.396395260567342</v>
      </c>
      <c r="P129" s="8">
        <f t="shared" si="82"/>
        <v>8.7956292337618311</v>
      </c>
      <c r="Q129" s="8">
        <f t="shared" si="83"/>
        <v>9.250171607589694</v>
      </c>
      <c r="R129" s="8">
        <f t="shared" si="84"/>
        <v>4.7890959386811893</v>
      </c>
      <c r="S129" s="8">
        <f t="shared" si="85"/>
        <v>8.8331172645929961</v>
      </c>
      <c r="T129" s="8">
        <f t="shared" si="86"/>
        <v>9.4891578041383635</v>
      </c>
      <c r="U129" s="8">
        <f t="shared" si="87"/>
        <v>4.1377414029897164</v>
      </c>
      <c r="V129" s="8">
        <f t="shared" si="88"/>
        <v>5.7122386978986004</v>
      </c>
      <c r="W129" s="8">
        <f t="shared" si="89"/>
        <v>5.8762488327849418</v>
      </c>
      <c r="X129" s="22"/>
      <c r="Y129"/>
      <c r="AA129" s="10">
        <v>0.46860038538954885</v>
      </c>
      <c r="AB129" s="22"/>
    </row>
    <row r="130" spans="1:28" hidden="1" x14ac:dyDescent="0.25">
      <c r="A130" s="16"/>
      <c r="B130" s="3" t="s">
        <v>204</v>
      </c>
      <c r="C130" s="3" t="s">
        <v>205</v>
      </c>
      <c r="D130" s="11" t="s">
        <v>8</v>
      </c>
      <c r="E130" s="8">
        <f t="shared" si="80"/>
        <v>93.153410843536633</v>
      </c>
      <c r="F130" s="8">
        <f t="shared" si="114"/>
        <v>128.09941237961326</v>
      </c>
      <c r="G130" s="8">
        <f t="shared" si="107"/>
        <v>134.71835751815897</v>
      </c>
      <c r="H130" s="8">
        <f t="shared" si="108"/>
        <v>69.727163442266104</v>
      </c>
      <c r="I130" s="8">
        <f t="shared" si="109"/>
        <v>128.67001109845339</v>
      </c>
      <c r="J130" s="8">
        <f t="shared" si="110"/>
        <v>138.19266971731898</v>
      </c>
      <c r="K130" s="8">
        <f t="shared" si="111"/>
        <v>60.255224709519645</v>
      </c>
      <c r="L130" s="8">
        <f t="shared" si="112"/>
        <v>83.218653149953155</v>
      </c>
      <c r="M130" s="8">
        <f t="shared" si="113"/>
        <v>85.602487797552001</v>
      </c>
      <c r="N130" s="22"/>
      <c r="O130" s="8">
        <f t="shared" si="81"/>
        <v>8.65408056907558</v>
      </c>
      <c r="P130" s="8">
        <f t="shared" si="82"/>
        <v>11.900153280699532</v>
      </c>
      <c r="Q130" s="8">
        <f t="shared" si="83"/>
        <v>12.515131899893914</v>
      </c>
      <c r="R130" s="8">
        <f t="shared" si="84"/>
        <v>6.4794654517181263</v>
      </c>
      <c r="S130" s="8">
        <f t="shared" si="85"/>
        <v>11.950873166818658</v>
      </c>
      <c r="T130" s="8">
        <f t="shared" si="86"/>
        <v>12.838471173903333</v>
      </c>
      <c r="U130" s="8">
        <f t="shared" si="87"/>
        <v>5.5982074303983422</v>
      </c>
      <c r="V130" s="8">
        <f t="shared" si="88"/>
        <v>7.7284426474015611</v>
      </c>
      <c r="W130" s="8">
        <f t="shared" si="89"/>
        <v>7.9503421491727293</v>
      </c>
      <c r="X130" s="22"/>
      <c r="Y130"/>
      <c r="AA130" s="10">
        <v>0.63399857648905344</v>
      </c>
      <c r="AB130" s="22"/>
    </row>
    <row r="131" spans="1:28" hidden="1" x14ac:dyDescent="0.25">
      <c r="A131" s="16"/>
      <c r="B131" s="3" t="s">
        <v>206</v>
      </c>
      <c r="C131" s="3" t="s">
        <v>207</v>
      </c>
      <c r="D131" s="11" t="s">
        <v>8</v>
      </c>
      <c r="E131" s="46">
        <f t="shared" si="80"/>
        <v>51.4255</v>
      </c>
      <c r="F131" s="46">
        <f t="shared" si="114"/>
        <v>70.717500000000001</v>
      </c>
      <c r="G131" s="46">
        <f t="shared" si="107"/>
        <v>74.371499999999997</v>
      </c>
      <c r="H131" s="46">
        <f t="shared" si="108"/>
        <v>38.493000000000002</v>
      </c>
      <c r="I131" s="46">
        <f t="shared" si="109"/>
        <v>71.032499999999985</v>
      </c>
      <c r="J131" s="46">
        <f t="shared" si="110"/>
        <v>76.28949999999999</v>
      </c>
      <c r="K131" s="46">
        <f t="shared" si="111"/>
        <v>33.264000000000003</v>
      </c>
      <c r="L131" s="46">
        <f t="shared" si="112"/>
        <v>45.940999999999995</v>
      </c>
      <c r="M131" s="46">
        <f t="shared" si="113"/>
        <v>47.256999999999998</v>
      </c>
      <c r="N131" s="22"/>
      <c r="O131" s="8">
        <f t="shared" si="81"/>
        <v>4.7774999999999999</v>
      </c>
      <c r="P131" s="8">
        <f t="shared" si="82"/>
        <v>6.5694999999999997</v>
      </c>
      <c r="Q131" s="8">
        <f t="shared" si="83"/>
        <v>6.9089999999999989</v>
      </c>
      <c r="R131" s="8">
        <f t="shared" si="84"/>
        <v>3.577</v>
      </c>
      <c r="S131" s="8">
        <f t="shared" si="85"/>
        <v>6.5975000000000001</v>
      </c>
      <c r="T131" s="8">
        <f t="shared" si="86"/>
        <v>7.0874999999999995</v>
      </c>
      <c r="U131" s="8">
        <f t="shared" si="87"/>
        <v>3.0905</v>
      </c>
      <c r="V131" s="8">
        <f t="shared" si="88"/>
        <v>4.2664999999999997</v>
      </c>
      <c r="W131" s="8">
        <f t="shared" si="89"/>
        <v>4.3889999999999993</v>
      </c>
      <c r="X131" s="22"/>
      <c r="Y131"/>
      <c r="AA131" s="47">
        <v>0.35</v>
      </c>
      <c r="AB131" s="22"/>
    </row>
    <row r="132" spans="1:28" hidden="1" x14ac:dyDescent="0.25">
      <c r="A132" s="16"/>
      <c r="B132" s="3" t="s">
        <v>208</v>
      </c>
      <c r="C132" s="3" t="s">
        <v>209</v>
      </c>
      <c r="D132" s="11" t="s">
        <v>8</v>
      </c>
      <c r="E132" s="46">
        <f t="shared" si="80"/>
        <v>73.465000000000003</v>
      </c>
      <c r="F132" s="46">
        <f t="shared" si="114"/>
        <v>101.02500000000001</v>
      </c>
      <c r="G132" s="46">
        <f t="shared" si="107"/>
        <v>106.245</v>
      </c>
      <c r="H132" s="46">
        <f t="shared" si="108"/>
        <v>54.99</v>
      </c>
      <c r="I132" s="46">
        <f t="shared" si="109"/>
        <v>101.47499999999999</v>
      </c>
      <c r="J132" s="46">
        <f t="shared" si="110"/>
        <v>108.985</v>
      </c>
      <c r="K132" s="46">
        <f t="shared" si="111"/>
        <v>47.52</v>
      </c>
      <c r="L132" s="46">
        <f t="shared" si="112"/>
        <v>65.63</v>
      </c>
      <c r="M132" s="46">
        <f t="shared" si="113"/>
        <v>67.510000000000005</v>
      </c>
      <c r="N132" s="22"/>
      <c r="O132" s="8">
        <f t="shared" si="81"/>
        <v>6.8250000000000002</v>
      </c>
      <c r="P132" s="8">
        <f t="shared" si="82"/>
        <v>9.3849999999999998</v>
      </c>
      <c r="Q132" s="8">
        <f t="shared" si="83"/>
        <v>9.8699999999999992</v>
      </c>
      <c r="R132" s="8">
        <f t="shared" si="84"/>
        <v>5.1100000000000003</v>
      </c>
      <c r="S132" s="8">
        <f t="shared" si="85"/>
        <v>9.4250000000000007</v>
      </c>
      <c r="T132" s="8">
        <f t="shared" si="86"/>
        <v>10.125</v>
      </c>
      <c r="U132" s="8">
        <f t="shared" si="87"/>
        <v>4.415</v>
      </c>
      <c r="V132" s="8">
        <f t="shared" si="88"/>
        <v>6.0949999999999998</v>
      </c>
      <c r="W132" s="8">
        <f t="shared" si="89"/>
        <v>6.27</v>
      </c>
      <c r="X132" s="22"/>
      <c r="Y132"/>
      <c r="AA132" s="47">
        <v>0.5</v>
      </c>
      <c r="AB132" s="22"/>
    </row>
    <row r="133" spans="1:28" hidden="1" x14ac:dyDescent="0.25">
      <c r="A133" s="16"/>
      <c r="B133" s="3" t="s">
        <v>210</v>
      </c>
      <c r="C133" s="3" t="s">
        <v>210</v>
      </c>
      <c r="D133" s="11" t="s">
        <v>8</v>
      </c>
      <c r="E133" s="46">
        <f t="shared" si="80"/>
        <v>132.23700000000002</v>
      </c>
      <c r="F133" s="46">
        <f t="shared" si="114"/>
        <v>181.84500000000003</v>
      </c>
      <c r="G133" s="46">
        <f t="shared" si="107"/>
        <v>191.24100000000001</v>
      </c>
      <c r="H133" s="46">
        <f t="shared" si="108"/>
        <v>98.981999999999999</v>
      </c>
      <c r="I133" s="46">
        <f t="shared" si="109"/>
        <v>182.655</v>
      </c>
      <c r="J133" s="46">
        <f t="shared" si="110"/>
        <v>196.173</v>
      </c>
      <c r="K133" s="46">
        <f t="shared" si="111"/>
        <v>85.536000000000001</v>
      </c>
      <c r="L133" s="46">
        <f t="shared" si="112"/>
        <v>118.134</v>
      </c>
      <c r="M133" s="46">
        <f t="shared" si="113"/>
        <v>121.51800000000001</v>
      </c>
      <c r="N133" s="22"/>
      <c r="O133" s="8">
        <f t="shared" si="81"/>
        <v>12.285</v>
      </c>
      <c r="P133" s="8">
        <f t="shared" si="82"/>
        <v>16.893000000000001</v>
      </c>
      <c r="Q133" s="8">
        <f t="shared" si="83"/>
        <v>17.765999999999998</v>
      </c>
      <c r="R133" s="8">
        <f t="shared" si="84"/>
        <v>9.1980000000000004</v>
      </c>
      <c r="S133" s="8">
        <f t="shared" si="85"/>
        <v>16.965000000000003</v>
      </c>
      <c r="T133" s="8">
        <f t="shared" si="86"/>
        <v>18.225000000000001</v>
      </c>
      <c r="U133" s="8">
        <f t="shared" si="87"/>
        <v>7.9470000000000001</v>
      </c>
      <c r="V133" s="8">
        <f t="shared" si="88"/>
        <v>10.971</v>
      </c>
      <c r="W133" s="8">
        <f t="shared" si="89"/>
        <v>11.286</v>
      </c>
      <c r="X133" s="22"/>
      <c r="Y133"/>
      <c r="AA133" s="47">
        <v>0.9</v>
      </c>
      <c r="AB133" s="22"/>
    </row>
    <row r="134" spans="1:28" hidden="1" x14ac:dyDescent="0.25">
      <c r="A134" s="16"/>
      <c r="B134" s="3" t="s">
        <v>211</v>
      </c>
      <c r="C134" s="3" t="s">
        <v>212</v>
      </c>
      <c r="D134" s="11" t="s">
        <v>8</v>
      </c>
      <c r="E134" s="46">
        <f t="shared" si="80"/>
        <v>88.158000000000001</v>
      </c>
      <c r="F134" s="46">
        <f t="shared" si="114"/>
        <v>121.23</v>
      </c>
      <c r="G134" s="46">
        <f t="shared" si="107"/>
        <v>127.494</v>
      </c>
      <c r="H134" s="46">
        <f t="shared" si="108"/>
        <v>65.988</v>
      </c>
      <c r="I134" s="46">
        <f t="shared" si="109"/>
        <v>121.76999999999998</v>
      </c>
      <c r="J134" s="46">
        <f t="shared" si="110"/>
        <v>130.78199999999998</v>
      </c>
      <c r="K134" s="46">
        <f t="shared" si="111"/>
        <v>57.024000000000001</v>
      </c>
      <c r="L134" s="46">
        <f t="shared" si="112"/>
        <v>78.755999999999986</v>
      </c>
      <c r="M134" s="46">
        <f t="shared" si="113"/>
        <v>81.012</v>
      </c>
      <c r="N134" s="22"/>
      <c r="O134" s="8">
        <f t="shared" si="81"/>
        <v>8.19</v>
      </c>
      <c r="P134" s="8">
        <f t="shared" si="82"/>
        <v>11.261999999999999</v>
      </c>
      <c r="Q134" s="8">
        <f t="shared" si="83"/>
        <v>11.843999999999999</v>
      </c>
      <c r="R134" s="8">
        <f t="shared" si="84"/>
        <v>6.1320000000000006</v>
      </c>
      <c r="S134" s="8">
        <f t="shared" si="85"/>
        <v>11.31</v>
      </c>
      <c r="T134" s="8">
        <f t="shared" si="86"/>
        <v>12.15</v>
      </c>
      <c r="U134" s="8">
        <f t="shared" si="87"/>
        <v>5.298</v>
      </c>
      <c r="V134" s="8">
        <f t="shared" si="88"/>
        <v>7.3139999999999992</v>
      </c>
      <c r="W134" s="8">
        <f t="shared" si="89"/>
        <v>7.5239999999999991</v>
      </c>
      <c r="X134" s="22"/>
      <c r="Y134"/>
      <c r="AA134" s="47">
        <v>0.6</v>
      </c>
      <c r="AB134" s="22"/>
    </row>
    <row r="135" spans="1:28" hidden="1" x14ac:dyDescent="0.25">
      <c r="A135" s="16"/>
      <c r="B135" s="3" t="s">
        <v>213</v>
      </c>
      <c r="C135" s="3" t="s">
        <v>214</v>
      </c>
      <c r="D135" s="11" t="s">
        <v>8</v>
      </c>
      <c r="E135" s="46">
        <f t="shared" si="80"/>
        <v>76.403600000000012</v>
      </c>
      <c r="F135" s="46">
        <f t="shared" si="114"/>
        <v>105.066</v>
      </c>
      <c r="G135" s="46">
        <f t="shared" si="107"/>
        <v>110.49480000000001</v>
      </c>
      <c r="H135" s="46">
        <f t="shared" si="108"/>
        <v>57.189600000000006</v>
      </c>
      <c r="I135" s="46">
        <f t="shared" si="109"/>
        <v>105.53399999999999</v>
      </c>
      <c r="J135" s="46">
        <f t="shared" si="110"/>
        <v>113.34440000000001</v>
      </c>
      <c r="K135" s="46">
        <f t="shared" si="111"/>
        <v>49.420800000000007</v>
      </c>
      <c r="L135" s="46">
        <f t="shared" si="112"/>
        <v>68.255200000000002</v>
      </c>
      <c r="M135" s="46">
        <f t="shared" si="113"/>
        <v>70.210400000000007</v>
      </c>
      <c r="N135" s="22"/>
      <c r="O135" s="8">
        <f t="shared" si="81"/>
        <v>7.0980000000000008</v>
      </c>
      <c r="P135" s="8">
        <f t="shared" si="82"/>
        <v>9.7604000000000006</v>
      </c>
      <c r="Q135" s="8">
        <f t="shared" si="83"/>
        <v>10.264799999999999</v>
      </c>
      <c r="R135" s="8">
        <f t="shared" si="84"/>
        <v>5.3144000000000009</v>
      </c>
      <c r="S135" s="8">
        <f t="shared" si="85"/>
        <v>9.8020000000000014</v>
      </c>
      <c r="T135" s="8">
        <f t="shared" si="86"/>
        <v>10.530000000000001</v>
      </c>
      <c r="U135" s="8">
        <f t="shared" si="87"/>
        <v>4.5916000000000006</v>
      </c>
      <c r="V135" s="8">
        <f t="shared" si="88"/>
        <v>6.3388</v>
      </c>
      <c r="W135" s="8">
        <f t="shared" si="89"/>
        <v>6.5207999999999995</v>
      </c>
      <c r="X135" s="22"/>
      <c r="Y135"/>
      <c r="AA135" s="47">
        <v>0.52</v>
      </c>
      <c r="AB135" s="22"/>
    </row>
    <row r="136" spans="1:28" hidden="1" x14ac:dyDescent="0.25">
      <c r="A136" s="16"/>
      <c r="B136" s="3" t="s">
        <v>215</v>
      </c>
      <c r="C136" s="3" t="s">
        <v>216</v>
      </c>
      <c r="D136" s="11" t="s">
        <v>8</v>
      </c>
      <c r="E136" s="8">
        <f t="shared" si="80"/>
        <v>46.229310428409178</v>
      </c>
      <c r="F136" s="8">
        <f t="shared" si="114"/>
        <v>63.571987831348771</v>
      </c>
      <c r="G136" s="8">
        <f t="shared" si="107"/>
        <v>66.856776512166789</v>
      </c>
      <c r="H136" s="8">
        <f t="shared" si="108"/>
        <v>34.60354972378984</v>
      </c>
      <c r="I136" s="8">
        <f t="shared" si="109"/>
        <v>63.855159269350317</v>
      </c>
      <c r="J136" s="8">
        <f t="shared" si="110"/>
        <v>68.580975934665133</v>
      </c>
      <c r="K136" s="8">
        <f t="shared" si="111"/>
        <v>29.902903852964055</v>
      </c>
      <c r="L136" s="8">
        <f t="shared" si="112"/>
        <v>41.298981057871011</v>
      </c>
      <c r="M136" s="8">
        <f t="shared" si="113"/>
        <v>42.482008398855285</v>
      </c>
      <c r="N136" s="22"/>
      <c r="O136" s="8">
        <f t="shared" si="81"/>
        <v>4.2947668096902287</v>
      </c>
      <c r="P136" s="8">
        <f t="shared" si="82"/>
        <v>5.9056976569879547</v>
      </c>
      <c r="Q136" s="8">
        <f t="shared" si="83"/>
        <v>6.2108935401674064</v>
      </c>
      <c r="R136" s="8">
        <f t="shared" si="84"/>
        <v>3.215568995973197</v>
      </c>
      <c r="S136" s="8">
        <f t="shared" si="85"/>
        <v>5.9308684514769823</v>
      </c>
      <c r="T136" s="8">
        <f t="shared" si="86"/>
        <v>6.371357355034954</v>
      </c>
      <c r="U136" s="8">
        <f t="shared" si="87"/>
        <v>2.7782264417263529</v>
      </c>
      <c r="V136" s="8">
        <f t="shared" si="88"/>
        <v>3.835399810265486</v>
      </c>
      <c r="W136" s="8">
        <f t="shared" si="89"/>
        <v>3.945522036154979</v>
      </c>
      <c r="X136" s="22"/>
      <c r="Y136"/>
      <c r="AA136" s="10">
        <v>0.31463493111283725</v>
      </c>
      <c r="AB136" s="22"/>
    </row>
    <row r="137" spans="1:28" hidden="1" x14ac:dyDescent="0.25">
      <c r="A137" s="16"/>
      <c r="B137" s="3" t="s">
        <v>217</v>
      </c>
      <c r="C137" s="3" t="s">
        <v>218</v>
      </c>
      <c r="D137" s="11" t="s">
        <v>8</v>
      </c>
      <c r="E137" s="8">
        <f t="shared" si="80"/>
        <v>54.380652427809096</v>
      </c>
      <c r="F137" s="8">
        <f t="shared" si="114"/>
        <v>74.781261982160402</v>
      </c>
      <c r="G137" s="8">
        <f t="shared" si="107"/>
        <v>78.64523810239676</v>
      </c>
      <c r="H137" s="8">
        <f t="shared" si="108"/>
        <v>40.704989818351898</v>
      </c>
      <c r="I137" s="8">
        <f t="shared" si="109"/>
        <v>75.11436337183595</v>
      </c>
      <c r="J137" s="8">
        <f t="shared" si="110"/>
        <v>80.673455452865639</v>
      </c>
      <c r="K137" s="8">
        <f t="shared" si="111"/>
        <v>35.175506749737814</v>
      </c>
      <c r="L137" s="8">
        <f t="shared" si="112"/>
        <v>48.580987120902613</v>
      </c>
      <c r="M137" s="8">
        <f t="shared" si="113"/>
        <v>49.972610704436022</v>
      </c>
      <c r="N137" s="22"/>
      <c r="O137" s="8">
        <f t="shared" si="81"/>
        <v>5.0520377434124697</v>
      </c>
      <c r="P137" s="8">
        <f t="shared" si="82"/>
        <v>6.947014538011139</v>
      </c>
      <c r="Q137" s="8">
        <f t="shared" si="83"/>
        <v>7.3060238135503397</v>
      </c>
      <c r="R137" s="8">
        <f t="shared" si="84"/>
        <v>3.7825513360934391</v>
      </c>
      <c r="S137" s="8">
        <f t="shared" si="85"/>
        <v>6.9766235504267442</v>
      </c>
      <c r="T137" s="8">
        <f t="shared" si="86"/>
        <v>7.4947812676998176</v>
      </c>
      <c r="U137" s="8">
        <f t="shared" si="87"/>
        <v>3.2680947453723155</v>
      </c>
      <c r="V137" s="8">
        <f t="shared" si="88"/>
        <v>4.5116732668276924</v>
      </c>
      <c r="W137" s="8">
        <f t="shared" si="89"/>
        <v>4.6412126961459608</v>
      </c>
      <c r="X137" s="22"/>
      <c r="Y137"/>
      <c r="AA137" s="10">
        <v>0.37011265519505271</v>
      </c>
      <c r="AB137" s="22"/>
    </row>
    <row r="138" spans="1:28" ht="14.5" hidden="1" customHeight="1" x14ac:dyDescent="0.25">
      <c r="A138" s="16"/>
      <c r="B138" s="3" t="s">
        <v>219</v>
      </c>
      <c r="C138" s="3" t="s">
        <v>220</v>
      </c>
      <c r="D138" s="11" t="s">
        <v>6</v>
      </c>
      <c r="E138" s="8">
        <f>(221.26*$Y138)*1.08</f>
        <v>238.96080000000001</v>
      </c>
      <c r="F138" s="7">
        <f t="shared" ref="F138:F139" si="115">(310.41*$Y138)*1.08</f>
        <v>335.24280000000005</v>
      </c>
      <c r="G138" s="7">
        <f t="shared" ref="G138:G139" si="116">(364.87*$Y138)*1.08</f>
        <v>394.05960000000005</v>
      </c>
      <c r="H138" s="7">
        <f t="shared" ref="H138:H139" si="117">(176.83*$Y138)*1.08</f>
        <v>190.97640000000001</v>
      </c>
      <c r="I138" s="7">
        <f t="shared" ref="I138:I139" si="118">(308.58*$Y138)*1.08</f>
        <v>333.26640000000003</v>
      </c>
      <c r="J138" s="7">
        <f t="shared" ref="J138:J139" si="119">(453.13*$Y138)*1.08</f>
        <v>489.38040000000001</v>
      </c>
      <c r="K138" s="7">
        <f t="shared" ref="K138:K139" si="120">(207.98*$Y138)*1.08</f>
        <v>224.61840000000001</v>
      </c>
      <c r="L138" s="7">
        <f t="shared" ref="L138:L139" si="121">(233.85*$Y138)*1.08</f>
        <v>252.55800000000002</v>
      </c>
      <c r="M138" s="7">
        <f t="shared" ref="M138:M139" si="122">(280.64*$Y138)*1.08</f>
        <v>303.09120000000001</v>
      </c>
      <c r="N138" s="22"/>
      <c r="O138" s="7">
        <f t="shared" ref="O138:O139" si="123">(20.56*$Y138)*1.08</f>
        <v>22.204799999999999</v>
      </c>
      <c r="P138" s="7">
        <f t="shared" ref="P138:P139" si="124">(28.84*$Y138)*1.08</f>
        <v>31.147200000000002</v>
      </c>
      <c r="Q138" s="7">
        <f t="shared" ref="Q138:Q139" si="125">(33.93*$Y138)*1.08</f>
        <v>36.644400000000005</v>
      </c>
      <c r="R138" s="7">
        <f t="shared" ref="R138:R139" si="126">(16.43*$Y138)*1.08</f>
        <v>17.744400000000002</v>
      </c>
      <c r="S138" s="7">
        <f t="shared" ref="S138:S139" si="127">(28.67*$Y138)*1.08</f>
        <v>30.963600000000003</v>
      </c>
      <c r="T138" s="7">
        <f t="shared" ref="T138:T139" si="128">(42.1*$Y138)*1.08</f>
        <v>45.468000000000004</v>
      </c>
      <c r="U138" s="7">
        <f t="shared" ref="U138:U139" si="129">(19.32*$Y138)*1.08</f>
        <v>20.865600000000001</v>
      </c>
      <c r="V138" s="7">
        <f t="shared" ref="V138:V139" si="130">(21.73*$Y138)*1.08</f>
        <v>23.468400000000003</v>
      </c>
      <c r="W138" s="7">
        <f t="shared" ref="W138:W139" si="131">(26.07*$Y138)*1.08</f>
        <v>28.155600000000003</v>
      </c>
      <c r="X138" s="22"/>
      <c r="Y138" s="10">
        <v>1</v>
      </c>
      <c r="AB138" s="22"/>
    </row>
    <row r="139" spans="1:28" ht="14.5" hidden="1" customHeight="1" x14ac:dyDescent="0.25">
      <c r="A139" s="16"/>
      <c r="B139" s="3" t="s">
        <v>221</v>
      </c>
      <c r="C139" s="3" t="s">
        <v>222</v>
      </c>
      <c r="D139" s="11" t="s">
        <v>6</v>
      </c>
      <c r="E139" s="8">
        <f>(221.26*$Y139)*1.08</f>
        <v>144.37899610505198</v>
      </c>
      <c r="F139" s="7">
        <f t="shared" si="115"/>
        <v>202.55212953524901</v>
      </c>
      <c r="G139" s="7">
        <f t="shared" si="116"/>
        <v>238.08896460657292</v>
      </c>
      <c r="H139" s="7">
        <f t="shared" si="117"/>
        <v>115.38704637646364</v>
      </c>
      <c r="I139" s="7">
        <f t="shared" si="118"/>
        <v>201.35799791239691</v>
      </c>
      <c r="J139" s="7">
        <f t="shared" si="119"/>
        <v>295.68134549888009</v>
      </c>
      <c r="K139" s="7">
        <f t="shared" si="120"/>
        <v>135.7133852026065</v>
      </c>
      <c r="L139" s="7">
        <f t="shared" si="121"/>
        <v>152.59436065789751</v>
      </c>
      <c r="M139" s="7">
        <f t="shared" si="122"/>
        <v>183.12628340830599</v>
      </c>
      <c r="N139" s="22"/>
      <c r="O139" s="7">
        <f t="shared" si="123"/>
        <v>13.416036156195737</v>
      </c>
      <c r="P139" s="7">
        <f t="shared" si="124"/>
        <v>18.818992351395188</v>
      </c>
      <c r="Q139" s="7">
        <f t="shared" si="125"/>
        <v>22.140374843371664</v>
      </c>
      <c r="R139" s="7">
        <f t="shared" si="126"/>
        <v>10.721083368010504</v>
      </c>
      <c r="S139" s="7">
        <f t="shared" si="127"/>
        <v>18.708062091348825</v>
      </c>
      <c r="T139" s="7">
        <f t="shared" si="128"/>
        <v>27.471552635011701</v>
      </c>
      <c r="U139" s="7">
        <f t="shared" si="129"/>
        <v>12.606897788798719</v>
      </c>
      <c r="V139" s="7">
        <f t="shared" si="130"/>
        <v>14.179497357691313</v>
      </c>
      <c r="W139" s="7">
        <f t="shared" si="131"/>
        <v>17.011481643580879</v>
      </c>
      <c r="X139" s="22"/>
      <c r="Y139" s="10">
        <v>0.60419531615667499</v>
      </c>
      <c r="AB139" s="22"/>
    </row>
    <row r="140" spans="1:28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8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8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8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8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16"/>
      <c r="B147" s="17"/>
      <c r="C147" s="3"/>
      <c r="D147" s="1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16"/>
      <c r="B148" s="17"/>
      <c r="C148" s="3"/>
      <c r="D148" s="1"/>
      <c r="E148" s="48"/>
      <c r="F148" s="48"/>
      <c r="G148" s="48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E149" s="7"/>
      <c r="F149" s="7"/>
      <c r="G149" s="7"/>
      <c r="H149" s="4"/>
      <c r="I149" s="4"/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E150" s="32"/>
      <c r="F150" s="32"/>
      <c r="G150" s="32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E151" s="32"/>
      <c r="F151" s="32"/>
      <c r="G151" s="32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E152" s="32"/>
      <c r="F152" s="32"/>
      <c r="G152" s="32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E153" s="48"/>
      <c r="F153" s="48"/>
      <c r="G153" s="48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E154" s="48"/>
      <c r="F154" s="48"/>
      <c r="G154" s="48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E155" s="48"/>
      <c r="F155" s="48"/>
      <c r="G155" s="48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E156" s="7"/>
      <c r="F156" s="7"/>
      <c r="G156" s="7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E157" s="32"/>
      <c r="F157" s="32"/>
      <c r="G157" s="32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E158" s="32"/>
      <c r="F158" s="32"/>
      <c r="G158" s="32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E159" s="32"/>
      <c r="F159" s="32"/>
      <c r="G159" s="32"/>
      <c r="H159" s="4"/>
      <c r="I159" s="4"/>
      <c r="J159" s="4"/>
      <c r="K159" s="4"/>
      <c r="L159" s="4"/>
      <c r="M159" s="4"/>
    </row>
    <row r="160" spans="1:13" x14ac:dyDescent="0.25">
      <c r="E160" s="32"/>
      <c r="F160" s="32"/>
      <c r="G160" s="32"/>
    </row>
    <row r="161" spans="5:7" x14ac:dyDescent="0.25">
      <c r="E161" s="32"/>
      <c r="F161" s="32"/>
      <c r="G161" s="32"/>
    </row>
    <row r="162" spans="5:7" x14ac:dyDescent="0.25">
      <c r="E162" s="32"/>
      <c r="F162" s="32"/>
      <c r="G162" s="32"/>
    </row>
    <row r="163" spans="5:7" x14ac:dyDescent="0.25">
      <c r="E163" s="7"/>
      <c r="F163" s="7"/>
      <c r="G163" s="7"/>
    </row>
    <row r="164" spans="5:7" x14ac:dyDescent="0.25">
      <c r="E164" s="7"/>
      <c r="F164" s="7"/>
      <c r="G164" s="7"/>
    </row>
    <row r="165" spans="5:7" x14ac:dyDescent="0.25">
      <c r="E165" s="7"/>
      <c r="F165" s="7"/>
      <c r="G165" s="7"/>
    </row>
    <row r="166" spans="5:7" x14ac:dyDescent="0.25">
      <c r="E166" s="7"/>
      <c r="F166" s="7"/>
      <c r="G166" s="7"/>
    </row>
    <row r="167" spans="5:7" x14ac:dyDescent="0.25">
      <c r="E167" s="48"/>
      <c r="F167" s="48"/>
      <c r="G167" s="48"/>
    </row>
    <row r="168" spans="5:7" x14ac:dyDescent="0.25">
      <c r="E168" s="48"/>
      <c r="F168" s="48"/>
      <c r="G168" s="48"/>
    </row>
    <row r="169" spans="5:7" x14ac:dyDescent="0.25">
      <c r="E169" s="7"/>
      <c r="F169" s="7"/>
      <c r="G169" s="7"/>
    </row>
    <row r="170" spans="5:7" x14ac:dyDescent="0.25">
      <c r="E170" s="48"/>
      <c r="F170" s="48"/>
      <c r="G170" s="48"/>
    </row>
    <row r="171" spans="5:7" x14ac:dyDescent="0.25">
      <c r="E171" s="7"/>
      <c r="F171" s="7"/>
      <c r="G171" s="7"/>
    </row>
    <row r="172" spans="5:7" x14ac:dyDescent="0.25">
      <c r="E172" s="7"/>
      <c r="F172" s="7"/>
      <c r="G172" s="7"/>
    </row>
    <row r="173" spans="5:7" x14ac:dyDescent="0.25">
      <c r="E173" s="7"/>
      <c r="F173" s="7"/>
      <c r="G173" s="7"/>
    </row>
  </sheetData>
  <autoFilter ref="B4:D139" xr:uid="{B593B8AD-AE04-4543-B232-6D3D3239B900}">
    <filterColumn colId="2">
      <filters>
        <filter val="AMERICAS"/>
      </filters>
    </filterColumn>
    <sortState xmlns:xlrd2="http://schemas.microsoft.com/office/spreadsheetml/2017/richdata2" ref="B68:D139">
      <sortCondition ref="B4:B139"/>
    </sortState>
  </autoFilter>
  <mergeCells count="9">
    <mergeCell ref="E1:M1"/>
    <mergeCell ref="O1:W1"/>
    <mergeCell ref="Y1:AA1"/>
    <mergeCell ref="E2:G2"/>
    <mergeCell ref="H2:J2"/>
    <mergeCell ref="K2:M2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4" manualBreakCount="4">
    <brk id="13" max="1048575" man="1"/>
    <brk id="14" max="1048575" man="1"/>
    <brk id="23" max="1048575" man="1"/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A1E3-8A34-4EB5-B0B9-2380943EF49A}">
  <sheetPr filterMode="1"/>
  <dimension ref="A1:AA159"/>
  <sheetViews>
    <sheetView view="pageBreakPreview" topLeftCell="C1" zoomScaleNormal="70" zoomScaleSheetLayoutView="100" workbookViewId="0">
      <selection activeCell="C131" sqref="A131:XFD131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1.5" customWidth="1"/>
    <col min="5" max="5" width="9.58203125" style="4" customWidth="1"/>
    <col min="6" max="6" width="10.5" customWidth="1"/>
    <col min="7" max="8" width="9.83203125" customWidth="1"/>
    <col min="9" max="9" width="11" customWidth="1"/>
    <col min="10" max="10" width="10.08203125" customWidth="1"/>
    <col min="11" max="11" width="10" customWidth="1"/>
    <col min="12" max="12" width="10.58203125" customWidth="1"/>
    <col min="13" max="13" width="11" customWidth="1"/>
    <col min="14" max="14" width="6" customWidth="1"/>
    <col min="15" max="16" width="8.5" customWidth="1"/>
    <col min="17" max="17" width="9" customWidth="1"/>
    <col min="18" max="23" width="8.5" customWidth="1"/>
    <col min="24" max="24" width="6" customWidth="1"/>
    <col min="25" max="25" width="21.08203125" style="24" bestFit="1" customWidth="1"/>
    <col min="26" max="26" width="6" customWidth="1"/>
    <col min="27" max="27" width="24.5" style="24" customWidth="1"/>
  </cols>
  <sheetData>
    <row r="1" spans="1:27" ht="17.5" customHeight="1" x14ac:dyDescent="0.25">
      <c r="A1" s="20" t="s">
        <v>223</v>
      </c>
      <c r="B1" s="15"/>
      <c r="C1" s="2"/>
      <c r="D1" s="2"/>
      <c r="E1" s="60" t="s">
        <v>226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227</v>
      </c>
      <c r="P1" s="60"/>
      <c r="Q1" s="60"/>
      <c r="R1" s="60"/>
      <c r="S1" s="60"/>
      <c r="T1" s="60"/>
      <c r="U1" s="60"/>
      <c r="V1" s="60"/>
      <c r="W1" s="60"/>
      <c r="X1" s="22"/>
      <c r="Y1" s="27" t="s">
        <v>2</v>
      </c>
      <c r="Z1" s="22"/>
      <c r="AA1" s="27" t="s">
        <v>228</v>
      </c>
    </row>
    <row r="2" spans="1:27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9" t="s">
        <v>229</v>
      </c>
      <c r="Z2" s="22"/>
    </row>
    <row r="3" spans="1:27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Z3" s="22"/>
    </row>
    <row r="4" spans="1:27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Z4" s="22"/>
    </row>
    <row r="5" spans="1:27" x14ac:dyDescent="0.25">
      <c r="A5" s="16"/>
      <c r="B5" s="3" t="s">
        <v>17</v>
      </c>
      <c r="C5" s="3" t="s">
        <v>18</v>
      </c>
      <c r="D5" s="11" t="s">
        <v>19</v>
      </c>
      <c r="E5" s="7">
        <f t="shared" ref="E5:E36" si="0">(331.44*$Y5)*$AA5</f>
        <v>412.61379064966394</v>
      </c>
      <c r="F5" s="7">
        <f t="shared" ref="F5:F36" si="1">(339.03*$Y5)*$AA5</f>
        <v>422.06267633344061</v>
      </c>
      <c r="G5" s="7">
        <f t="shared" ref="G5:G36" si="2">(371.99*$Y5)*$AA5</f>
        <v>463.09499150304276</v>
      </c>
      <c r="H5" s="7">
        <f t="shared" ref="H5:H36" si="3">(331.44*$Y5)*$AA5</f>
        <v>412.61379064966394</v>
      </c>
      <c r="I5" s="7">
        <f t="shared" ref="I5:I36" si="4">(339.03*$Y5)*$AA5</f>
        <v>422.06267633344061</v>
      </c>
      <c r="J5" s="7">
        <f t="shared" ref="J5:J36" si="5">(371.99*$Y5)*$AA5</f>
        <v>463.09499150304276</v>
      </c>
      <c r="K5" s="7">
        <f t="shared" ref="K5:K36" si="6">(331.44*$Y5)*$AA5</f>
        <v>412.61379064966394</v>
      </c>
      <c r="L5" s="7">
        <f t="shared" ref="L5:L36" si="7">(339.03*$Y5)*$AA5</f>
        <v>422.06267633344061</v>
      </c>
      <c r="M5" s="7">
        <f t="shared" ref="M5:M36" si="8">(371.99*$Y5)*$AA5</f>
        <v>463.09499150304276</v>
      </c>
      <c r="N5" s="22"/>
      <c r="O5" s="7">
        <f>(30.8*$Y5)*$AA5</f>
        <v>38.343304224021395</v>
      </c>
      <c r="P5" s="7">
        <f>(31.5*$Y5)*$AA5</f>
        <v>39.214742956385514</v>
      </c>
      <c r="Q5" s="7">
        <f>(34.6*$Y5)*$AA5</f>
        <v>43.073971628283772</v>
      </c>
      <c r="R5" s="7">
        <f>(30.8*$Y5)*$AA5</f>
        <v>38.343304224021395</v>
      </c>
      <c r="S5" s="7">
        <f>(31.5*$Y5)*$AA5</f>
        <v>39.214742956385514</v>
      </c>
      <c r="T5" s="7">
        <f>(34.6*$Y5)*$AA5</f>
        <v>43.073971628283772</v>
      </c>
      <c r="U5" s="7">
        <f>(30.8*$Y5)*$AA5</f>
        <v>38.343304224021395</v>
      </c>
      <c r="V5" s="7">
        <f>(31.5*$Y5)*$AA5</f>
        <v>39.214742956385514</v>
      </c>
      <c r="W5" s="7">
        <f>(34.6*$Y5)*$AA5</f>
        <v>43.073971628283772</v>
      </c>
      <c r="X5" s="22"/>
      <c r="Y5" s="10">
        <v>1.1580581160985017</v>
      </c>
      <c r="Z5" s="22"/>
      <c r="AA5">
        <v>1.075</v>
      </c>
    </row>
    <row r="6" spans="1:27" x14ac:dyDescent="0.25">
      <c r="A6" s="16"/>
      <c r="B6" s="3" t="s">
        <v>17</v>
      </c>
      <c r="C6" s="3" t="s">
        <v>20</v>
      </c>
      <c r="D6" s="11" t="s">
        <v>19</v>
      </c>
      <c r="E6" s="7">
        <f t="shared" si="0"/>
        <v>385.42587907297639</v>
      </c>
      <c r="F6" s="7">
        <f t="shared" si="1"/>
        <v>394.25215961293503</v>
      </c>
      <c r="G6" s="7">
        <f t="shared" si="2"/>
        <v>432.58077708290034</v>
      </c>
      <c r="H6" s="7">
        <f t="shared" si="3"/>
        <v>385.42587907297639</v>
      </c>
      <c r="I6" s="7">
        <f t="shared" si="4"/>
        <v>394.25215961293503</v>
      </c>
      <c r="J6" s="7">
        <f t="shared" si="5"/>
        <v>432.58077708290034</v>
      </c>
      <c r="K6" s="7">
        <f t="shared" si="6"/>
        <v>385.42587907297639</v>
      </c>
      <c r="L6" s="7">
        <f t="shared" si="7"/>
        <v>394.25215961293503</v>
      </c>
      <c r="M6" s="7">
        <f t="shared" si="8"/>
        <v>432.58077708290034</v>
      </c>
      <c r="N6" s="22"/>
      <c r="O6" s="7">
        <f t="shared" ref="O6:O69" si="9">(30.8*$Y6)*$AA6</f>
        <v>35.8167905969336</v>
      </c>
      <c r="P6" s="7">
        <f t="shared" ref="P6:P69" si="10">(31.5*$Y6)*$AA6</f>
        <v>36.630808565045733</v>
      </c>
      <c r="Q6" s="7">
        <f t="shared" ref="Q6:Q69" si="11">(34.6*$Y6)*$AA6</f>
        <v>40.235745280970868</v>
      </c>
      <c r="R6" s="7">
        <f t="shared" ref="R6:R69" si="12">(30.8*$Y6)*$AA6</f>
        <v>35.8167905969336</v>
      </c>
      <c r="S6" s="7">
        <f t="shared" ref="S6:S69" si="13">(31.5*$Y6)*$AA6</f>
        <v>36.630808565045733</v>
      </c>
      <c r="T6" s="7">
        <f t="shared" ref="T6:T69" si="14">(34.6*$Y6)*$AA6</f>
        <v>40.235745280970868</v>
      </c>
      <c r="U6" s="7">
        <f t="shared" ref="U6:U69" si="15">(30.8*$Y6)*$AA6</f>
        <v>35.8167905969336</v>
      </c>
      <c r="V6" s="7">
        <f t="shared" ref="V6:V69" si="16">(31.5*$Y6)*$AA6</f>
        <v>36.630808565045733</v>
      </c>
      <c r="W6" s="7">
        <f t="shared" ref="W6:W69" si="17">(34.6*$Y6)*$AA6</f>
        <v>40.235745280970868</v>
      </c>
      <c r="X6" s="22"/>
      <c r="Y6" s="10">
        <v>1.0817514526407008</v>
      </c>
      <c r="Z6" s="22"/>
      <c r="AA6">
        <v>1.075</v>
      </c>
    </row>
    <row r="7" spans="1:27" x14ac:dyDescent="0.25">
      <c r="A7" s="16"/>
      <c r="B7" s="3" t="s">
        <v>17</v>
      </c>
      <c r="C7" s="3" t="s">
        <v>21</v>
      </c>
      <c r="D7" s="11" t="s">
        <v>19</v>
      </c>
      <c r="E7" s="7">
        <f t="shared" si="0"/>
        <v>385.42587907297639</v>
      </c>
      <c r="F7" s="7">
        <f t="shared" si="1"/>
        <v>394.25215961293503</v>
      </c>
      <c r="G7" s="7">
        <f t="shared" si="2"/>
        <v>432.58077708290034</v>
      </c>
      <c r="H7" s="7">
        <f t="shared" si="3"/>
        <v>385.42587907297639</v>
      </c>
      <c r="I7" s="7">
        <f t="shared" si="4"/>
        <v>394.25215961293503</v>
      </c>
      <c r="J7" s="7">
        <f t="shared" si="5"/>
        <v>432.58077708290034</v>
      </c>
      <c r="K7" s="7">
        <f t="shared" si="6"/>
        <v>385.42587907297639</v>
      </c>
      <c r="L7" s="7">
        <f t="shared" si="7"/>
        <v>394.25215961293503</v>
      </c>
      <c r="M7" s="7">
        <f t="shared" si="8"/>
        <v>432.58077708290034</v>
      </c>
      <c r="N7" s="22"/>
      <c r="O7" s="7">
        <f t="shared" si="9"/>
        <v>35.8167905969336</v>
      </c>
      <c r="P7" s="7">
        <f t="shared" si="10"/>
        <v>36.630808565045733</v>
      </c>
      <c r="Q7" s="7">
        <f t="shared" si="11"/>
        <v>40.235745280970868</v>
      </c>
      <c r="R7" s="7">
        <f t="shared" si="12"/>
        <v>35.8167905969336</v>
      </c>
      <c r="S7" s="7">
        <f t="shared" si="13"/>
        <v>36.630808565045733</v>
      </c>
      <c r="T7" s="7">
        <f t="shared" si="14"/>
        <v>40.235745280970868</v>
      </c>
      <c r="U7" s="7">
        <f t="shared" si="15"/>
        <v>35.8167905969336</v>
      </c>
      <c r="V7" s="7">
        <f t="shared" si="16"/>
        <v>36.630808565045733</v>
      </c>
      <c r="W7" s="7">
        <f t="shared" si="17"/>
        <v>40.235745280970868</v>
      </c>
      <c r="X7" s="22"/>
      <c r="Y7" s="10">
        <v>1.0817514526407008</v>
      </c>
      <c r="Z7" s="22"/>
      <c r="AA7">
        <v>1.075</v>
      </c>
    </row>
    <row r="8" spans="1:27" x14ac:dyDescent="0.25">
      <c r="A8" s="16"/>
      <c r="B8" s="3" t="s">
        <v>17</v>
      </c>
      <c r="C8" s="3" t="s">
        <v>22</v>
      </c>
      <c r="D8" s="11" t="s">
        <v>19</v>
      </c>
      <c r="E8" s="7">
        <f t="shared" si="0"/>
        <v>504.96594440274635</v>
      </c>
      <c r="F8" s="7">
        <f t="shared" si="1"/>
        <v>516.52970109480771</v>
      </c>
      <c r="G8" s="7">
        <f t="shared" si="2"/>
        <v>566.74596203951728</v>
      </c>
      <c r="H8" s="7">
        <f t="shared" si="3"/>
        <v>504.96594440274635</v>
      </c>
      <c r="I8" s="7">
        <f t="shared" si="4"/>
        <v>516.52970109480771</v>
      </c>
      <c r="J8" s="7">
        <f t="shared" si="5"/>
        <v>566.74596203951728</v>
      </c>
      <c r="K8" s="7">
        <f t="shared" si="6"/>
        <v>504.96594440274635</v>
      </c>
      <c r="L8" s="7">
        <f t="shared" si="7"/>
        <v>516.52970109480771</v>
      </c>
      <c r="M8" s="7">
        <f t="shared" si="8"/>
        <v>566.74596203951728</v>
      </c>
      <c r="N8" s="22"/>
      <c r="O8" s="7">
        <f t="shared" si="9"/>
        <v>46.925389475031949</v>
      </c>
      <c r="P8" s="7">
        <f t="shared" si="10"/>
        <v>47.991875599464485</v>
      </c>
      <c r="Q8" s="7">
        <f t="shared" si="11"/>
        <v>52.714885579094329</v>
      </c>
      <c r="R8" s="7">
        <f t="shared" si="12"/>
        <v>46.925389475031949</v>
      </c>
      <c r="S8" s="7">
        <f t="shared" si="13"/>
        <v>47.991875599464485</v>
      </c>
      <c r="T8" s="7">
        <f t="shared" si="14"/>
        <v>52.714885579094329</v>
      </c>
      <c r="U8" s="7">
        <f t="shared" si="15"/>
        <v>46.925389475031949</v>
      </c>
      <c r="V8" s="7">
        <f t="shared" si="16"/>
        <v>47.991875599464485</v>
      </c>
      <c r="W8" s="7">
        <f t="shared" si="17"/>
        <v>52.714885579094329</v>
      </c>
      <c r="X8" s="22"/>
      <c r="Y8" s="10">
        <v>1.4172573082160056</v>
      </c>
      <c r="Z8" s="22"/>
      <c r="AA8">
        <v>1.075</v>
      </c>
    </row>
    <row r="9" spans="1:27" x14ac:dyDescent="0.25">
      <c r="A9" s="16"/>
      <c r="B9" s="3" t="s">
        <v>17</v>
      </c>
      <c r="C9" s="3" t="s">
        <v>23</v>
      </c>
      <c r="D9" s="11" t="s">
        <v>19</v>
      </c>
      <c r="E9" s="7">
        <f t="shared" si="0"/>
        <v>400.21643528424357</v>
      </c>
      <c r="F9" s="7">
        <f t="shared" si="1"/>
        <v>409.38142063244351</v>
      </c>
      <c r="G9" s="7">
        <f t="shared" si="2"/>
        <v>449.18088269788126</v>
      </c>
      <c r="H9" s="7">
        <f t="shared" si="3"/>
        <v>400.21643528424357</v>
      </c>
      <c r="I9" s="7">
        <f t="shared" si="4"/>
        <v>409.38142063244351</v>
      </c>
      <c r="J9" s="7">
        <f t="shared" si="5"/>
        <v>449.18088269788126</v>
      </c>
      <c r="K9" s="7">
        <f t="shared" si="6"/>
        <v>400.21643528424357</v>
      </c>
      <c r="L9" s="7">
        <f t="shared" si="7"/>
        <v>409.38142063244351</v>
      </c>
      <c r="M9" s="7">
        <f t="shared" si="8"/>
        <v>449.18088269788126</v>
      </c>
      <c r="N9" s="22"/>
      <c r="O9" s="7">
        <f t="shared" si="9"/>
        <v>37.191244891246384</v>
      </c>
      <c r="P9" s="7">
        <f t="shared" si="10"/>
        <v>38.036500456956531</v>
      </c>
      <c r="Q9" s="7">
        <f t="shared" si="11"/>
        <v>41.779775105101457</v>
      </c>
      <c r="R9" s="7">
        <f t="shared" si="12"/>
        <v>37.191244891246384</v>
      </c>
      <c r="S9" s="7">
        <f t="shared" si="13"/>
        <v>38.036500456956531</v>
      </c>
      <c r="T9" s="7">
        <f t="shared" si="14"/>
        <v>41.779775105101457</v>
      </c>
      <c r="U9" s="7">
        <f t="shared" si="15"/>
        <v>37.191244891246384</v>
      </c>
      <c r="V9" s="7">
        <f t="shared" si="16"/>
        <v>38.036500456956531</v>
      </c>
      <c r="W9" s="7">
        <f t="shared" si="17"/>
        <v>41.779775105101457</v>
      </c>
      <c r="X9" s="22"/>
      <c r="Y9" s="10">
        <v>1.12326321024604</v>
      </c>
      <c r="Z9" s="22"/>
      <c r="AA9">
        <v>1.075</v>
      </c>
    </row>
    <row r="10" spans="1:27" x14ac:dyDescent="0.25">
      <c r="A10" s="16"/>
      <c r="B10" s="3" t="s">
        <v>17</v>
      </c>
      <c r="C10" s="3" t="s">
        <v>24</v>
      </c>
      <c r="D10" s="11" t="s">
        <v>19</v>
      </c>
      <c r="E10" s="7">
        <f t="shared" si="0"/>
        <v>491.58783396121635</v>
      </c>
      <c r="F10" s="7">
        <f t="shared" si="1"/>
        <v>502.8452309554404</v>
      </c>
      <c r="G10" s="7">
        <f t="shared" si="2"/>
        <v>551.73110775776274</v>
      </c>
      <c r="H10" s="7">
        <f t="shared" si="3"/>
        <v>491.58783396121635</v>
      </c>
      <c r="I10" s="7">
        <f t="shared" si="4"/>
        <v>502.8452309554404</v>
      </c>
      <c r="J10" s="7">
        <f t="shared" si="5"/>
        <v>551.73110775776274</v>
      </c>
      <c r="K10" s="7">
        <f t="shared" si="6"/>
        <v>491.58783396121635</v>
      </c>
      <c r="L10" s="7">
        <f t="shared" si="7"/>
        <v>502.8452309554404</v>
      </c>
      <c r="M10" s="7">
        <f t="shared" si="8"/>
        <v>551.73110775776274</v>
      </c>
      <c r="N10" s="22"/>
      <c r="O10" s="7">
        <f t="shared" si="9"/>
        <v>45.682190701199204</v>
      </c>
      <c r="P10" s="7">
        <f t="shared" si="10"/>
        <v>46.72042230804464</v>
      </c>
      <c r="Q10" s="7">
        <f t="shared" si="11"/>
        <v>51.318305138360145</v>
      </c>
      <c r="R10" s="7">
        <f t="shared" si="12"/>
        <v>45.682190701199204</v>
      </c>
      <c r="S10" s="7">
        <f t="shared" si="13"/>
        <v>46.72042230804464</v>
      </c>
      <c r="T10" s="7">
        <f t="shared" si="14"/>
        <v>51.318305138360145</v>
      </c>
      <c r="U10" s="7">
        <f t="shared" si="15"/>
        <v>45.682190701199204</v>
      </c>
      <c r="V10" s="7">
        <f t="shared" si="16"/>
        <v>46.72042230804464</v>
      </c>
      <c r="W10" s="7">
        <f t="shared" si="17"/>
        <v>51.318305138360145</v>
      </c>
      <c r="X10" s="22"/>
      <c r="Y10" s="10">
        <v>1.379709776538786</v>
      </c>
      <c r="Z10" s="22"/>
      <c r="AA10">
        <v>1.075</v>
      </c>
    </row>
    <row r="11" spans="1:27" x14ac:dyDescent="0.25">
      <c r="A11" s="16"/>
      <c r="B11" s="3" t="s">
        <v>17</v>
      </c>
      <c r="C11" s="3" t="s">
        <v>25</v>
      </c>
      <c r="D11" s="11" t="s">
        <v>19</v>
      </c>
      <c r="E11" s="7">
        <f t="shared" si="0"/>
        <v>401.92825753133906</v>
      </c>
      <c r="F11" s="7">
        <f t="shared" si="1"/>
        <v>411.13244373295282</v>
      </c>
      <c r="G11" s="7">
        <f t="shared" si="2"/>
        <v>451.10213769938099</v>
      </c>
      <c r="H11" s="7">
        <f t="shared" si="3"/>
        <v>401.92825753133906</v>
      </c>
      <c r="I11" s="7">
        <f t="shared" si="4"/>
        <v>411.13244373295282</v>
      </c>
      <c r="J11" s="7">
        <f t="shared" si="5"/>
        <v>451.10213769938099</v>
      </c>
      <c r="K11" s="7">
        <f t="shared" si="6"/>
        <v>401.92825753133906</v>
      </c>
      <c r="L11" s="7">
        <f t="shared" si="7"/>
        <v>411.13244373295282</v>
      </c>
      <c r="M11" s="7">
        <f t="shared" si="8"/>
        <v>451.10213769938099</v>
      </c>
      <c r="N11" s="22"/>
      <c r="O11" s="7">
        <f t="shared" si="9"/>
        <v>37.350320818142784</v>
      </c>
      <c r="P11" s="7">
        <f t="shared" si="10"/>
        <v>38.199191745827846</v>
      </c>
      <c r="Q11" s="7">
        <f t="shared" si="11"/>
        <v>41.958477282718839</v>
      </c>
      <c r="R11" s="7">
        <f t="shared" si="12"/>
        <v>37.350320818142784</v>
      </c>
      <c r="S11" s="7">
        <f t="shared" si="13"/>
        <v>38.199191745827846</v>
      </c>
      <c r="T11" s="7">
        <f t="shared" si="14"/>
        <v>41.958477282718839</v>
      </c>
      <c r="U11" s="7">
        <f t="shared" si="15"/>
        <v>37.350320818142784</v>
      </c>
      <c r="V11" s="7">
        <f t="shared" si="16"/>
        <v>38.199191745827846</v>
      </c>
      <c r="W11" s="7">
        <f t="shared" si="17"/>
        <v>41.958477282718839</v>
      </c>
      <c r="X11" s="22"/>
      <c r="Y11" s="10">
        <v>1.1280676779867951</v>
      </c>
      <c r="Z11" s="22"/>
      <c r="AA11">
        <v>1.075</v>
      </c>
    </row>
    <row r="12" spans="1:27" x14ac:dyDescent="0.25">
      <c r="A12" s="16"/>
      <c r="B12" s="3" t="s">
        <v>17</v>
      </c>
      <c r="C12" s="3" t="s">
        <v>26</v>
      </c>
      <c r="D12" s="11" t="s">
        <v>19</v>
      </c>
      <c r="E12" s="7">
        <f t="shared" si="0"/>
        <v>391.00175181554891</v>
      </c>
      <c r="F12" s="7">
        <f t="shared" si="1"/>
        <v>399.95572024506862</v>
      </c>
      <c r="G12" s="7">
        <f t="shared" si="2"/>
        <v>438.83882952530189</v>
      </c>
      <c r="H12" s="7">
        <f t="shared" si="3"/>
        <v>391.00175181554891</v>
      </c>
      <c r="I12" s="7">
        <f t="shared" si="4"/>
        <v>399.95572024506862</v>
      </c>
      <c r="J12" s="7">
        <f t="shared" si="5"/>
        <v>438.83882952530189</v>
      </c>
      <c r="K12" s="7">
        <f t="shared" si="6"/>
        <v>391.00175181554891</v>
      </c>
      <c r="L12" s="7">
        <f t="shared" si="7"/>
        <v>399.95572024506862</v>
      </c>
      <c r="M12" s="7">
        <f t="shared" si="8"/>
        <v>438.83882952530189</v>
      </c>
      <c r="N12" s="22"/>
      <c r="O12" s="7">
        <f t="shared" si="9"/>
        <v>36.334944351674224</v>
      </c>
      <c r="P12" s="7">
        <f t="shared" si="10"/>
        <v>37.160738541485003</v>
      </c>
      <c r="Q12" s="7">
        <f t="shared" si="11"/>
        <v>40.817827096361313</v>
      </c>
      <c r="R12" s="7">
        <f t="shared" si="12"/>
        <v>36.334944351674224</v>
      </c>
      <c r="S12" s="7">
        <f t="shared" si="13"/>
        <v>37.160738541485003</v>
      </c>
      <c r="T12" s="7">
        <f t="shared" si="14"/>
        <v>40.817827096361313</v>
      </c>
      <c r="U12" s="7">
        <f t="shared" si="15"/>
        <v>36.334944351674224</v>
      </c>
      <c r="V12" s="7">
        <f t="shared" si="16"/>
        <v>37.160738541485003</v>
      </c>
      <c r="W12" s="7">
        <f t="shared" si="17"/>
        <v>40.817827096361313</v>
      </c>
      <c r="X12" s="22"/>
      <c r="Y12" s="10">
        <v>1.0974009166920637</v>
      </c>
      <c r="Z12" s="22"/>
      <c r="AA12">
        <v>1.075</v>
      </c>
    </row>
    <row r="13" spans="1:27" x14ac:dyDescent="0.25">
      <c r="A13" s="16"/>
      <c r="B13" s="3" t="s">
        <v>17</v>
      </c>
      <c r="C13" s="3" t="s">
        <v>27</v>
      </c>
      <c r="D13" s="11" t="s">
        <v>19</v>
      </c>
      <c r="E13" s="7">
        <f t="shared" si="0"/>
        <v>366.97874196282896</v>
      </c>
      <c r="F13" s="7">
        <f t="shared" si="1"/>
        <v>375.38258172718406</v>
      </c>
      <c r="G13" s="7">
        <f t="shared" si="2"/>
        <v>411.87672647463415</v>
      </c>
      <c r="H13" s="7">
        <f t="shared" si="3"/>
        <v>366.97874196282896</v>
      </c>
      <c r="I13" s="7">
        <f t="shared" si="4"/>
        <v>375.38258172718406</v>
      </c>
      <c r="J13" s="7">
        <f t="shared" si="5"/>
        <v>411.87672647463415</v>
      </c>
      <c r="K13" s="7">
        <f t="shared" si="6"/>
        <v>366.97874196282896</v>
      </c>
      <c r="L13" s="7">
        <f t="shared" si="7"/>
        <v>375.38258172718406</v>
      </c>
      <c r="M13" s="7">
        <f t="shared" si="8"/>
        <v>411.87672647463415</v>
      </c>
      <c r="N13" s="22"/>
      <c r="O13" s="7">
        <f t="shared" si="9"/>
        <v>34.102538174194827</v>
      </c>
      <c r="P13" s="7">
        <f t="shared" si="10"/>
        <v>34.877595859971976</v>
      </c>
      <c r="Q13" s="7">
        <f t="shared" si="11"/>
        <v>38.309994182699377</v>
      </c>
      <c r="R13" s="7">
        <f t="shared" si="12"/>
        <v>34.102538174194827</v>
      </c>
      <c r="S13" s="7">
        <f t="shared" si="13"/>
        <v>34.877595859971976</v>
      </c>
      <c r="T13" s="7">
        <f t="shared" si="14"/>
        <v>38.309994182699377</v>
      </c>
      <c r="U13" s="7">
        <f t="shared" si="15"/>
        <v>34.102538174194827</v>
      </c>
      <c r="V13" s="7">
        <f t="shared" si="16"/>
        <v>34.877595859971976</v>
      </c>
      <c r="W13" s="7">
        <f t="shared" si="17"/>
        <v>38.309994182699377</v>
      </c>
      <c r="X13" s="22"/>
      <c r="Y13" s="10">
        <v>1.0299769910659868</v>
      </c>
      <c r="Z13" s="22"/>
      <c r="AA13">
        <v>1.075</v>
      </c>
    </row>
    <row r="14" spans="1:27" x14ac:dyDescent="0.25">
      <c r="A14" s="16"/>
      <c r="B14" s="3" t="s">
        <v>17</v>
      </c>
      <c r="C14" s="3" t="s">
        <v>28</v>
      </c>
      <c r="D14" s="11" t="s">
        <v>19</v>
      </c>
      <c r="E14" s="7">
        <f t="shared" si="0"/>
        <v>387.23209828873621</v>
      </c>
      <c r="F14" s="7">
        <f t="shared" si="1"/>
        <v>396.09974137952634</v>
      </c>
      <c r="G14" s="7">
        <f t="shared" si="2"/>
        <v>434.60797804256265</v>
      </c>
      <c r="H14" s="7">
        <f t="shared" si="3"/>
        <v>387.23209828873621</v>
      </c>
      <c r="I14" s="7">
        <f t="shared" si="4"/>
        <v>396.09974137952634</v>
      </c>
      <c r="J14" s="7">
        <f t="shared" si="5"/>
        <v>434.60797804256265</v>
      </c>
      <c r="K14" s="7">
        <f t="shared" si="6"/>
        <v>387.23209828873621</v>
      </c>
      <c r="L14" s="7">
        <f t="shared" si="7"/>
        <v>396.09974137952634</v>
      </c>
      <c r="M14" s="7">
        <f t="shared" si="8"/>
        <v>434.60797804256265</v>
      </c>
      <c r="N14" s="22"/>
      <c r="O14" s="7">
        <f t="shared" si="9"/>
        <v>35.984638629293606</v>
      </c>
      <c r="P14" s="7">
        <f t="shared" si="10"/>
        <v>36.802471325413919</v>
      </c>
      <c r="Q14" s="7">
        <f t="shared" si="11"/>
        <v>40.424301836803863</v>
      </c>
      <c r="R14" s="7">
        <f t="shared" si="12"/>
        <v>35.984638629293606</v>
      </c>
      <c r="S14" s="7">
        <f t="shared" si="13"/>
        <v>36.802471325413919</v>
      </c>
      <c r="T14" s="7">
        <f t="shared" si="14"/>
        <v>40.424301836803863</v>
      </c>
      <c r="U14" s="7">
        <f t="shared" si="15"/>
        <v>35.984638629293606</v>
      </c>
      <c r="V14" s="7">
        <f t="shared" si="16"/>
        <v>36.802471325413919</v>
      </c>
      <c r="W14" s="7">
        <f t="shared" si="17"/>
        <v>40.424301836803863</v>
      </c>
      <c r="X14" s="22"/>
      <c r="Y14" s="10">
        <v>1.0868208586316404</v>
      </c>
      <c r="Z14" s="22"/>
      <c r="AA14">
        <v>1.075</v>
      </c>
    </row>
    <row r="15" spans="1:27" x14ac:dyDescent="0.25">
      <c r="A15" s="16"/>
      <c r="B15" s="3" t="s">
        <v>17</v>
      </c>
      <c r="C15" s="3" t="s">
        <v>29</v>
      </c>
      <c r="D15" s="11" t="s">
        <v>19</v>
      </c>
      <c r="E15" s="7">
        <f t="shared" si="0"/>
        <v>368.80261816553303</v>
      </c>
      <c r="F15" s="7">
        <f t="shared" si="1"/>
        <v>377.24822482699932</v>
      </c>
      <c r="G15" s="7">
        <f t="shared" si="2"/>
        <v>413.92374466388077</v>
      </c>
      <c r="H15" s="7">
        <f t="shared" si="3"/>
        <v>368.80261816553303</v>
      </c>
      <c r="I15" s="7">
        <f t="shared" si="4"/>
        <v>377.24822482699932</v>
      </c>
      <c r="J15" s="7">
        <f t="shared" si="5"/>
        <v>413.92374466388077</v>
      </c>
      <c r="K15" s="7">
        <f t="shared" si="6"/>
        <v>368.80261816553303</v>
      </c>
      <c r="L15" s="7">
        <f t="shared" si="7"/>
        <v>377.24822482699932</v>
      </c>
      <c r="M15" s="7">
        <f t="shared" si="8"/>
        <v>413.92374466388077</v>
      </c>
      <c r="N15" s="22"/>
      <c r="O15" s="7">
        <f t="shared" si="9"/>
        <v>34.272027032037229</v>
      </c>
      <c r="P15" s="7">
        <f t="shared" si="10"/>
        <v>35.050936737310799</v>
      </c>
      <c r="Q15" s="7">
        <f t="shared" si="11"/>
        <v>38.500394003522338</v>
      </c>
      <c r="R15" s="7">
        <f t="shared" si="12"/>
        <v>34.272027032037229</v>
      </c>
      <c r="S15" s="7">
        <f t="shared" si="13"/>
        <v>35.050936737310799</v>
      </c>
      <c r="T15" s="7">
        <f t="shared" si="14"/>
        <v>38.500394003522338</v>
      </c>
      <c r="U15" s="7">
        <f t="shared" si="15"/>
        <v>34.272027032037229</v>
      </c>
      <c r="V15" s="7">
        <f t="shared" si="16"/>
        <v>35.050936737310799</v>
      </c>
      <c r="W15" s="7">
        <f t="shared" si="17"/>
        <v>38.500394003522338</v>
      </c>
      <c r="X15" s="22"/>
      <c r="Y15" s="10">
        <v>1.0350959538519247</v>
      </c>
      <c r="Z15" s="22"/>
      <c r="AA15">
        <v>1.075</v>
      </c>
    </row>
    <row r="16" spans="1:27" x14ac:dyDescent="0.25">
      <c r="A16" s="16"/>
      <c r="B16" s="3" t="s">
        <v>17</v>
      </c>
      <c r="C16" s="3" t="s">
        <v>30</v>
      </c>
      <c r="D16" s="11" t="s">
        <v>19</v>
      </c>
      <c r="E16" s="7">
        <f t="shared" si="0"/>
        <v>393.93371713482702</v>
      </c>
      <c r="F16" s="7">
        <f t="shared" si="1"/>
        <v>402.95482778246554</v>
      </c>
      <c r="G16" s="7">
        <f t="shared" si="2"/>
        <v>442.12950590449037</v>
      </c>
      <c r="H16" s="7">
        <f t="shared" si="3"/>
        <v>393.93371713482702</v>
      </c>
      <c r="I16" s="7">
        <f t="shared" si="4"/>
        <v>402.95482778246554</v>
      </c>
      <c r="J16" s="7">
        <f t="shared" si="5"/>
        <v>442.12950590449037</v>
      </c>
      <c r="K16" s="7">
        <f t="shared" si="6"/>
        <v>393.93371713482702</v>
      </c>
      <c r="L16" s="7">
        <f t="shared" si="7"/>
        <v>402.95482778246554</v>
      </c>
      <c r="M16" s="7">
        <f t="shared" si="8"/>
        <v>442.12950590449037</v>
      </c>
      <c r="N16" s="22"/>
      <c r="O16" s="7">
        <f t="shared" si="9"/>
        <v>36.60740552664938</v>
      </c>
      <c r="P16" s="7">
        <f t="shared" si="10"/>
        <v>37.439392015891407</v>
      </c>
      <c r="Q16" s="7">
        <f t="shared" si="11"/>
        <v>41.12390361110613</v>
      </c>
      <c r="R16" s="7">
        <f t="shared" si="12"/>
        <v>36.60740552664938</v>
      </c>
      <c r="S16" s="7">
        <f t="shared" si="13"/>
        <v>37.439392015891407</v>
      </c>
      <c r="T16" s="7">
        <f t="shared" si="14"/>
        <v>41.12390361110613</v>
      </c>
      <c r="U16" s="7">
        <f t="shared" si="15"/>
        <v>36.60740552664938</v>
      </c>
      <c r="V16" s="7">
        <f t="shared" si="16"/>
        <v>37.439392015891407</v>
      </c>
      <c r="W16" s="7">
        <f t="shared" si="17"/>
        <v>41.12390361110613</v>
      </c>
      <c r="X16" s="22"/>
      <c r="Y16" s="10">
        <v>1.1056298860359222</v>
      </c>
      <c r="Z16" s="22"/>
      <c r="AA16">
        <v>1.075</v>
      </c>
    </row>
    <row r="17" spans="1:27" x14ac:dyDescent="0.25">
      <c r="A17" s="16"/>
      <c r="B17" s="3" t="s">
        <v>17</v>
      </c>
      <c r="C17" s="3" t="s">
        <v>32</v>
      </c>
      <c r="D17" s="11" t="s">
        <v>19</v>
      </c>
      <c r="E17" s="7">
        <f t="shared" si="0"/>
        <v>413.61978616223905</v>
      </c>
      <c r="F17" s="7">
        <f t="shared" si="1"/>
        <v>423.0917092160991</v>
      </c>
      <c r="G17" s="7">
        <f t="shared" si="2"/>
        <v>464.22406545525973</v>
      </c>
      <c r="H17" s="7">
        <f t="shared" si="3"/>
        <v>413.61978616223905</v>
      </c>
      <c r="I17" s="7">
        <f t="shared" si="4"/>
        <v>423.0917092160991</v>
      </c>
      <c r="J17" s="7">
        <f t="shared" si="5"/>
        <v>464.22406545525973</v>
      </c>
      <c r="K17" s="7">
        <f t="shared" si="6"/>
        <v>413.61978616223905</v>
      </c>
      <c r="L17" s="7">
        <f t="shared" si="7"/>
        <v>423.0917092160991</v>
      </c>
      <c r="M17" s="7">
        <f t="shared" si="8"/>
        <v>464.22406545525973</v>
      </c>
      <c r="N17" s="22"/>
      <c r="O17" s="7">
        <f t="shared" si="9"/>
        <v>38.436789204070003</v>
      </c>
      <c r="P17" s="7">
        <f t="shared" si="10"/>
        <v>39.310352595071599</v>
      </c>
      <c r="Q17" s="7">
        <f t="shared" si="11"/>
        <v>43.178990469507212</v>
      </c>
      <c r="R17" s="7">
        <f t="shared" si="12"/>
        <v>38.436789204070003</v>
      </c>
      <c r="S17" s="7">
        <f t="shared" si="13"/>
        <v>39.310352595071599</v>
      </c>
      <c r="T17" s="7">
        <f t="shared" si="14"/>
        <v>43.178990469507212</v>
      </c>
      <c r="U17" s="7">
        <f t="shared" si="15"/>
        <v>38.436789204070003</v>
      </c>
      <c r="V17" s="7">
        <f t="shared" si="16"/>
        <v>39.310352595071599</v>
      </c>
      <c r="W17" s="7">
        <f t="shared" si="17"/>
        <v>43.178990469507212</v>
      </c>
      <c r="X17" s="22"/>
      <c r="Y17" s="10">
        <v>1.1608815827263668</v>
      </c>
      <c r="Z17" s="22"/>
      <c r="AA17">
        <v>1.075</v>
      </c>
    </row>
    <row r="18" spans="1:27" x14ac:dyDescent="0.25">
      <c r="A18" s="16"/>
      <c r="B18" s="3" t="s">
        <v>17</v>
      </c>
      <c r="C18" s="3" t="s">
        <v>33</v>
      </c>
      <c r="D18" s="11" t="s">
        <v>19</v>
      </c>
      <c r="E18" s="7">
        <f t="shared" si="0"/>
        <v>366.28966672874287</v>
      </c>
      <c r="F18" s="7">
        <f t="shared" si="1"/>
        <v>374.67772662034059</v>
      </c>
      <c r="G18" s="7">
        <f t="shared" si="2"/>
        <v>411.10334638675198</v>
      </c>
      <c r="H18" s="7">
        <f t="shared" si="3"/>
        <v>366.28966672874287</v>
      </c>
      <c r="I18" s="7">
        <f t="shared" si="4"/>
        <v>374.67772662034059</v>
      </c>
      <c r="J18" s="7">
        <f t="shared" si="5"/>
        <v>411.10334638675198</v>
      </c>
      <c r="K18" s="7">
        <f t="shared" si="6"/>
        <v>366.28966672874287</v>
      </c>
      <c r="L18" s="7">
        <f t="shared" si="7"/>
        <v>374.67772662034059</v>
      </c>
      <c r="M18" s="7">
        <f t="shared" si="8"/>
        <v>411.10334638675198</v>
      </c>
      <c r="N18" s="22"/>
      <c r="O18" s="7">
        <f t="shared" si="9"/>
        <v>34.038503907932899</v>
      </c>
      <c r="P18" s="7">
        <f t="shared" si="10"/>
        <v>34.812106269476836</v>
      </c>
      <c r="Q18" s="7">
        <f t="shared" si="11"/>
        <v>38.238059584885661</v>
      </c>
      <c r="R18" s="7">
        <f t="shared" si="12"/>
        <v>34.038503907932899</v>
      </c>
      <c r="S18" s="7">
        <f t="shared" si="13"/>
        <v>34.812106269476836</v>
      </c>
      <c r="T18" s="7">
        <f t="shared" si="14"/>
        <v>38.238059584885661</v>
      </c>
      <c r="U18" s="7">
        <f t="shared" si="15"/>
        <v>34.038503907932899</v>
      </c>
      <c r="V18" s="7">
        <f t="shared" si="16"/>
        <v>34.812106269476836</v>
      </c>
      <c r="W18" s="7">
        <f t="shared" si="17"/>
        <v>38.238059584885661</v>
      </c>
      <c r="X18" s="22"/>
      <c r="Y18" s="10">
        <v>1.0280430053739928</v>
      </c>
      <c r="Z18" s="22"/>
      <c r="AA18">
        <v>1.075</v>
      </c>
    </row>
    <row r="19" spans="1:27" x14ac:dyDescent="0.25">
      <c r="A19" s="16"/>
      <c r="B19" s="3" t="s">
        <v>17</v>
      </c>
      <c r="C19" s="3" t="s">
        <v>34</v>
      </c>
      <c r="D19" s="11" t="s">
        <v>19</v>
      </c>
      <c r="E19" s="7">
        <f t="shared" si="0"/>
        <v>389.32637540047955</v>
      </c>
      <c r="F19" s="7">
        <f t="shared" si="1"/>
        <v>398.24197758877796</v>
      </c>
      <c r="G19" s="7">
        <f t="shared" si="2"/>
        <v>436.9584793182006</v>
      </c>
      <c r="H19" s="7">
        <f t="shared" si="3"/>
        <v>389.32637540047955</v>
      </c>
      <c r="I19" s="7">
        <f t="shared" si="4"/>
        <v>398.24197758877796</v>
      </c>
      <c r="J19" s="7">
        <f t="shared" si="5"/>
        <v>436.9584793182006</v>
      </c>
      <c r="K19" s="7">
        <f t="shared" si="6"/>
        <v>389.32637540047955</v>
      </c>
      <c r="L19" s="7">
        <f t="shared" si="7"/>
        <v>398.24197758877796</v>
      </c>
      <c r="M19" s="7">
        <f t="shared" si="8"/>
        <v>436.9584793182006</v>
      </c>
      <c r="N19" s="22"/>
      <c r="O19" s="7">
        <f t="shared" si="9"/>
        <v>36.179255256863293</v>
      </c>
      <c r="P19" s="7">
        <f t="shared" si="10"/>
        <v>37.001511058155643</v>
      </c>
      <c r="Q19" s="7">
        <f t="shared" si="11"/>
        <v>40.64292960673604</v>
      </c>
      <c r="R19" s="7">
        <f t="shared" si="12"/>
        <v>36.179255256863293</v>
      </c>
      <c r="S19" s="7">
        <f t="shared" si="13"/>
        <v>37.001511058155643</v>
      </c>
      <c r="T19" s="7">
        <f t="shared" si="14"/>
        <v>40.64292960673604</v>
      </c>
      <c r="U19" s="7">
        <f t="shared" si="15"/>
        <v>36.179255256863293</v>
      </c>
      <c r="V19" s="7">
        <f t="shared" si="16"/>
        <v>37.001511058155643</v>
      </c>
      <c r="W19" s="7">
        <f t="shared" si="17"/>
        <v>40.64292960673604</v>
      </c>
      <c r="X19" s="22"/>
      <c r="Y19" s="10">
        <v>1.0926987392589338</v>
      </c>
      <c r="Z19" s="22"/>
      <c r="AA19">
        <v>1.075</v>
      </c>
    </row>
    <row r="20" spans="1:27" x14ac:dyDescent="0.25">
      <c r="A20" s="16"/>
      <c r="B20" s="3" t="s">
        <v>17</v>
      </c>
      <c r="C20" s="3" t="s">
        <v>35</v>
      </c>
      <c r="D20" s="11" t="s">
        <v>19</v>
      </c>
      <c r="E20" s="7">
        <f t="shared" si="0"/>
        <v>409.01244442789158</v>
      </c>
      <c r="F20" s="7">
        <f t="shared" si="1"/>
        <v>418.37885902241152</v>
      </c>
      <c r="G20" s="7">
        <f t="shared" si="2"/>
        <v>459.05303886896996</v>
      </c>
      <c r="H20" s="7">
        <f t="shared" si="3"/>
        <v>409.01244442789158</v>
      </c>
      <c r="I20" s="7">
        <f t="shared" si="4"/>
        <v>418.37885902241152</v>
      </c>
      <c r="J20" s="7">
        <f t="shared" si="5"/>
        <v>459.05303886896996</v>
      </c>
      <c r="K20" s="7">
        <f t="shared" si="6"/>
        <v>409.01244442789158</v>
      </c>
      <c r="L20" s="7">
        <f t="shared" si="7"/>
        <v>418.37885902241152</v>
      </c>
      <c r="M20" s="7">
        <f t="shared" si="8"/>
        <v>459.05303886896996</v>
      </c>
      <c r="N20" s="22"/>
      <c r="O20" s="7">
        <f t="shared" si="9"/>
        <v>38.008638934283915</v>
      </c>
      <c r="P20" s="7">
        <f t="shared" si="10"/>
        <v>38.872471637335821</v>
      </c>
      <c r="Q20" s="7">
        <f t="shared" si="11"/>
        <v>42.698016465137137</v>
      </c>
      <c r="R20" s="7">
        <f t="shared" si="12"/>
        <v>38.008638934283915</v>
      </c>
      <c r="S20" s="7">
        <f t="shared" si="13"/>
        <v>38.872471637335821</v>
      </c>
      <c r="T20" s="7">
        <f t="shared" si="14"/>
        <v>42.698016465137137</v>
      </c>
      <c r="U20" s="7">
        <f t="shared" si="15"/>
        <v>38.008638934283915</v>
      </c>
      <c r="V20" s="7">
        <f t="shared" si="16"/>
        <v>38.872471637335821</v>
      </c>
      <c r="W20" s="7">
        <f t="shared" si="17"/>
        <v>42.698016465137137</v>
      </c>
      <c r="X20" s="22"/>
      <c r="Y20" s="10">
        <v>1.1479504359493784</v>
      </c>
      <c r="Z20" s="22"/>
      <c r="AA20">
        <v>1.075</v>
      </c>
    </row>
    <row r="21" spans="1:27" x14ac:dyDescent="0.25">
      <c r="A21" s="16"/>
      <c r="B21" s="3" t="s">
        <v>17</v>
      </c>
      <c r="C21" s="3" t="s">
        <v>36</v>
      </c>
      <c r="D21" s="11" t="s">
        <v>19</v>
      </c>
      <c r="E21" s="7">
        <f t="shared" si="0"/>
        <v>482.73002536326294</v>
      </c>
      <c r="F21" s="7">
        <f t="shared" si="1"/>
        <v>493.78457789918843</v>
      </c>
      <c r="G21" s="7">
        <f t="shared" si="2"/>
        <v>541.78959128312874</v>
      </c>
      <c r="H21" s="7">
        <f t="shared" si="3"/>
        <v>482.73002536326294</v>
      </c>
      <c r="I21" s="7">
        <f t="shared" si="4"/>
        <v>493.78457789918843</v>
      </c>
      <c r="J21" s="7">
        <f t="shared" si="5"/>
        <v>541.78959128312874</v>
      </c>
      <c r="K21" s="7">
        <f t="shared" si="6"/>
        <v>482.73002536326294</v>
      </c>
      <c r="L21" s="7">
        <f t="shared" si="7"/>
        <v>493.78457789918843</v>
      </c>
      <c r="M21" s="7">
        <f t="shared" si="8"/>
        <v>541.78959128312874</v>
      </c>
      <c r="N21" s="22"/>
      <c r="O21" s="7">
        <f t="shared" si="9"/>
        <v>44.859053768973261</v>
      </c>
      <c r="P21" s="7">
        <f t="shared" si="10"/>
        <v>45.878577718268112</v>
      </c>
      <c r="Q21" s="7">
        <f t="shared" si="11"/>
        <v>50.393612350859577</v>
      </c>
      <c r="R21" s="7">
        <f t="shared" si="12"/>
        <v>44.859053768973261</v>
      </c>
      <c r="S21" s="7">
        <f t="shared" si="13"/>
        <v>45.878577718268112</v>
      </c>
      <c r="T21" s="7">
        <f t="shared" si="14"/>
        <v>50.393612350859577</v>
      </c>
      <c r="U21" s="7">
        <f t="shared" si="15"/>
        <v>44.859053768973261</v>
      </c>
      <c r="V21" s="7">
        <f t="shared" si="16"/>
        <v>45.878577718268112</v>
      </c>
      <c r="W21" s="7">
        <f t="shared" si="17"/>
        <v>50.393612350859577</v>
      </c>
      <c r="X21" s="22"/>
      <c r="Y21" s="10">
        <v>1.3548491020529527</v>
      </c>
      <c r="Z21" s="22"/>
      <c r="AA21">
        <v>1.075</v>
      </c>
    </row>
    <row r="22" spans="1:27" x14ac:dyDescent="0.25">
      <c r="A22" s="16"/>
      <c r="B22" s="3" t="s">
        <v>17</v>
      </c>
      <c r="C22" s="3" t="s">
        <v>37</v>
      </c>
      <c r="D22" s="11" t="s">
        <v>19</v>
      </c>
      <c r="E22" s="7">
        <f t="shared" si="0"/>
        <v>378.01741482004144</v>
      </c>
      <c r="F22" s="7">
        <f t="shared" si="1"/>
        <v>386.67404099215133</v>
      </c>
      <c r="G22" s="7">
        <f t="shared" si="2"/>
        <v>424.26592486998317</v>
      </c>
      <c r="H22" s="7">
        <f t="shared" si="3"/>
        <v>378.01741482004144</v>
      </c>
      <c r="I22" s="7">
        <f t="shared" si="4"/>
        <v>386.67404099215133</v>
      </c>
      <c r="J22" s="7">
        <f t="shared" si="5"/>
        <v>424.26592486998317</v>
      </c>
      <c r="K22" s="7">
        <f t="shared" si="6"/>
        <v>378.01741482004144</v>
      </c>
      <c r="L22" s="7">
        <f t="shared" si="7"/>
        <v>386.67404099215133</v>
      </c>
      <c r="M22" s="7">
        <f t="shared" si="8"/>
        <v>424.26592486998317</v>
      </c>
      <c r="N22" s="22"/>
      <c r="O22" s="7">
        <f t="shared" si="9"/>
        <v>35.128338089721446</v>
      </c>
      <c r="P22" s="7">
        <f t="shared" si="10"/>
        <v>35.92670940994239</v>
      </c>
      <c r="Q22" s="7">
        <f t="shared" si="11"/>
        <v>39.462353828063712</v>
      </c>
      <c r="R22" s="7">
        <f t="shared" si="12"/>
        <v>35.128338089721446</v>
      </c>
      <c r="S22" s="7">
        <f t="shared" si="13"/>
        <v>35.92670940994239</v>
      </c>
      <c r="T22" s="7">
        <f t="shared" si="14"/>
        <v>39.462353828063712</v>
      </c>
      <c r="U22" s="7">
        <f t="shared" si="15"/>
        <v>35.128338089721446</v>
      </c>
      <c r="V22" s="7">
        <f t="shared" si="16"/>
        <v>35.92670940994239</v>
      </c>
      <c r="W22" s="7">
        <f t="shared" si="17"/>
        <v>39.462353828063712</v>
      </c>
      <c r="X22" s="22"/>
      <c r="Y22" s="10">
        <v>1.0609585650776638</v>
      </c>
      <c r="Z22" s="22"/>
      <c r="AA22">
        <v>1.075</v>
      </c>
    </row>
    <row r="23" spans="1:27" x14ac:dyDescent="0.25">
      <c r="A23" s="16"/>
      <c r="B23" s="3" t="s">
        <v>17</v>
      </c>
      <c r="C23" s="3" t="s">
        <v>38</v>
      </c>
      <c r="D23" s="11" t="s">
        <v>19</v>
      </c>
      <c r="E23" s="7">
        <f t="shared" si="0"/>
        <v>444.19568870178739</v>
      </c>
      <c r="F23" s="7">
        <f t="shared" si="1"/>
        <v>454.36780213784385</v>
      </c>
      <c r="G23" s="7">
        <f t="shared" si="2"/>
        <v>498.54077431866369</v>
      </c>
      <c r="H23" s="7">
        <f t="shared" si="3"/>
        <v>444.19568870178739</v>
      </c>
      <c r="I23" s="7">
        <f t="shared" si="4"/>
        <v>454.36780213784385</v>
      </c>
      <c r="J23" s="7">
        <f t="shared" si="5"/>
        <v>498.54077431866369</v>
      </c>
      <c r="K23" s="7">
        <f t="shared" si="6"/>
        <v>444.19568870178739</v>
      </c>
      <c r="L23" s="7">
        <f t="shared" si="7"/>
        <v>454.36780213784385</v>
      </c>
      <c r="M23" s="7">
        <f t="shared" si="8"/>
        <v>498.54077431866369</v>
      </c>
      <c r="N23" s="22"/>
      <c r="O23" s="7">
        <f t="shared" si="9"/>
        <v>41.27814147964957</v>
      </c>
      <c r="P23" s="7">
        <f t="shared" si="10"/>
        <v>42.216281058732513</v>
      </c>
      <c r="Q23" s="7">
        <f t="shared" si="11"/>
        <v>46.370899194671267</v>
      </c>
      <c r="R23" s="7">
        <f t="shared" si="12"/>
        <v>41.27814147964957</v>
      </c>
      <c r="S23" s="7">
        <f t="shared" si="13"/>
        <v>42.216281058732513</v>
      </c>
      <c r="T23" s="7">
        <f t="shared" si="14"/>
        <v>46.370899194671267</v>
      </c>
      <c r="U23" s="7">
        <f t="shared" si="15"/>
        <v>41.27814147964957</v>
      </c>
      <c r="V23" s="7">
        <f t="shared" si="16"/>
        <v>42.216281058732513</v>
      </c>
      <c r="W23" s="7">
        <f t="shared" si="17"/>
        <v>46.370899194671267</v>
      </c>
      <c r="X23" s="22"/>
      <c r="Y23" s="10">
        <v>1.2466971150603916</v>
      </c>
      <c r="Z23" s="22"/>
      <c r="AA23">
        <v>1.075</v>
      </c>
    </row>
    <row r="24" spans="1:27" x14ac:dyDescent="0.25">
      <c r="A24" s="16"/>
      <c r="B24" s="3" t="s">
        <v>17</v>
      </c>
      <c r="C24" s="3" t="s">
        <v>39</v>
      </c>
      <c r="D24" s="11" t="s">
        <v>19</v>
      </c>
      <c r="E24" s="7">
        <f t="shared" si="0"/>
        <v>376.76093910164644</v>
      </c>
      <c r="F24" s="7">
        <f t="shared" si="1"/>
        <v>385.38879188882203</v>
      </c>
      <c r="G24" s="7">
        <f t="shared" si="2"/>
        <v>422.85572573141883</v>
      </c>
      <c r="H24" s="7">
        <f t="shared" si="3"/>
        <v>376.76093910164644</v>
      </c>
      <c r="I24" s="7">
        <f t="shared" si="4"/>
        <v>385.38879188882203</v>
      </c>
      <c r="J24" s="7">
        <f t="shared" si="5"/>
        <v>422.85572573141883</v>
      </c>
      <c r="K24" s="7">
        <f t="shared" si="6"/>
        <v>376.76093910164644</v>
      </c>
      <c r="L24" s="7">
        <f t="shared" si="7"/>
        <v>385.38879188882203</v>
      </c>
      <c r="M24" s="7">
        <f t="shared" si="8"/>
        <v>422.85572573141883</v>
      </c>
      <c r="N24" s="22"/>
      <c r="O24" s="7">
        <f t="shared" si="9"/>
        <v>35.011576527669291</v>
      </c>
      <c r="P24" s="7">
        <f t="shared" si="10"/>
        <v>35.807294176025408</v>
      </c>
      <c r="Q24" s="7">
        <f t="shared" si="11"/>
        <v>39.331186618745377</v>
      </c>
      <c r="R24" s="7">
        <f t="shared" si="12"/>
        <v>35.011576527669291</v>
      </c>
      <c r="S24" s="7">
        <f t="shared" si="13"/>
        <v>35.807294176025408</v>
      </c>
      <c r="T24" s="7">
        <f t="shared" si="14"/>
        <v>39.331186618745377</v>
      </c>
      <c r="U24" s="7">
        <f t="shared" si="15"/>
        <v>35.011576527669291</v>
      </c>
      <c r="V24" s="7">
        <f t="shared" si="16"/>
        <v>35.807294176025408</v>
      </c>
      <c r="W24" s="7">
        <f t="shared" si="17"/>
        <v>39.331186618745377</v>
      </c>
      <c r="X24" s="22"/>
      <c r="Y24" s="10">
        <v>1.057432090838698</v>
      </c>
      <c r="Z24" s="22"/>
      <c r="AA24">
        <v>1.075</v>
      </c>
    </row>
    <row r="25" spans="1:27" x14ac:dyDescent="0.25">
      <c r="A25" s="16"/>
      <c r="B25" s="3" t="s">
        <v>17</v>
      </c>
      <c r="C25" s="3" t="s">
        <v>40</v>
      </c>
      <c r="D25" s="11" t="s">
        <v>19</v>
      </c>
      <c r="E25" s="7">
        <f t="shared" si="0"/>
        <v>523.98406659192426</v>
      </c>
      <c r="F25" s="7">
        <f t="shared" si="1"/>
        <v>535.98333965924473</v>
      </c>
      <c r="G25" s="7">
        <f t="shared" si="2"/>
        <v>588.0908548501385</v>
      </c>
      <c r="H25" s="7">
        <f t="shared" si="3"/>
        <v>523.98406659192426</v>
      </c>
      <c r="I25" s="7">
        <f t="shared" si="4"/>
        <v>535.98333965924473</v>
      </c>
      <c r="J25" s="7">
        <f t="shared" si="5"/>
        <v>588.0908548501385</v>
      </c>
      <c r="K25" s="7">
        <f t="shared" si="6"/>
        <v>523.98406659192426</v>
      </c>
      <c r="L25" s="7">
        <f t="shared" si="7"/>
        <v>535.98333965924473</v>
      </c>
      <c r="M25" s="7">
        <f t="shared" si="8"/>
        <v>588.0908548501385</v>
      </c>
      <c r="N25" s="22"/>
      <c r="O25" s="7">
        <f t="shared" si="9"/>
        <v>48.692702302170133</v>
      </c>
      <c r="P25" s="7">
        <f t="shared" si="10"/>
        <v>49.799354627219451</v>
      </c>
      <c r="Q25" s="7">
        <f t="shared" si="11"/>
        <v>54.700243495295013</v>
      </c>
      <c r="R25" s="7">
        <f t="shared" si="12"/>
        <v>48.692702302170133</v>
      </c>
      <c r="S25" s="7">
        <f t="shared" si="13"/>
        <v>49.799354627219451</v>
      </c>
      <c r="T25" s="7">
        <f t="shared" si="14"/>
        <v>54.700243495295013</v>
      </c>
      <c r="U25" s="7">
        <f t="shared" si="15"/>
        <v>48.692702302170133</v>
      </c>
      <c r="V25" s="7">
        <f t="shared" si="16"/>
        <v>49.799354627219451</v>
      </c>
      <c r="W25" s="7">
        <f t="shared" si="17"/>
        <v>54.700243495295013</v>
      </c>
      <c r="X25" s="22"/>
      <c r="Y25" s="10">
        <v>1.47063431900242</v>
      </c>
      <c r="Z25" s="22"/>
      <c r="AA25">
        <v>1.075</v>
      </c>
    </row>
    <row r="26" spans="1:27" x14ac:dyDescent="0.25">
      <c r="A26" s="16"/>
      <c r="B26" s="3" t="s">
        <v>17</v>
      </c>
      <c r="C26" s="3" t="s">
        <v>41</v>
      </c>
      <c r="D26" s="11" t="s">
        <v>19</v>
      </c>
      <c r="E26" s="7">
        <f t="shared" si="0"/>
        <v>484.82430247500639</v>
      </c>
      <c r="F26" s="7">
        <f t="shared" si="1"/>
        <v>495.92681410844017</v>
      </c>
      <c r="G26" s="7">
        <f t="shared" si="2"/>
        <v>544.1400925587667</v>
      </c>
      <c r="H26" s="7">
        <f t="shared" si="3"/>
        <v>484.82430247500639</v>
      </c>
      <c r="I26" s="7">
        <f t="shared" si="4"/>
        <v>495.92681410844017</v>
      </c>
      <c r="J26" s="7">
        <f t="shared" si="5"/>
        <v>544.1400925587667</v>
      </c>
      <c r="K26" s="7">
        <f t="shared" si="6"/>
        <v>484.82430247500639</v>
      </c>
      <c r="L26" s="7">
        <f t="shared" si="7"/>
        <v>495.92681410844017</v>
      </c>
      <c r="M26" s="7">
        <f t="shared" si="8"/>
        <v>544.1400925587667</v>
      </c>
      <c r="N26" s="22"/>
      <c r="O26" s="7">
        <f t="shared" si="9"/>
        <v>45.053670396542955</v>
      </c>
      <c r="P26" s="7">
        <f t="shared" si="10"/>
        <v>46.077617451009843</v>
      </c>
      <c r="Q26" s="7">
        <f t="shared" si="11"/>
        <v>50.612240120791768</v>
      </c>
      <c r="R26" s="7">
        <f t="shared" si="12"/>
        <v>45.053670396542955</v>
      </c>
      <c r="S26" s="7">
        <f t="shared" si="13"/>
        <v>46.077617451009843</v>
      </c>
      <c r="T26" s="7">
        <f t="shared" si="14"/>
        <v>50.612240120791768</v>
      </c>
      <c r="U26" s="7">
        <f t="shared" si="15"/>
        <v>45.053670396542955</v>
      </c>
      <c r="V26" s="7">
        <f t="shared" si="16"/>
        <v>46.077617451009843</v>
      </c>
      <c r="W26" s="7">
        <f t="shared" si="17"/>
        <v>50.612240120791768</v>
      </c>
      <c r="X26" s="22"/>
      <c r="Y26" s="10">
        <v>1.3607269826802464</v>
      </c>
      <c r="Z26" s="22"/>
      <c r="AA26">
        <v>1.075</v>
      </c>
    </row>
    <row r="27" spans="1:27" x14ac:dyDescent="0.25">
      <c r="A27" s="16"/>
      <c r="B27" s="3" t="s">
        <v>17</v>
      </c>
      <c r="C27" s="3" t="s">
        <v>42</v>
      </c>
      <c r="D27" s="11" t="s">
        <v>19</v>
      </c>
      <c r="E27" s="7">
        <f t="shared" si="0"/>
        <v>503.25366941239577</v>
      </c>
      <c r="F27" s="7">
        <f t="shared" si="1"/>
        <v>514.77821488319012</v>
      </c>
      <c r="G27" s="7">
        <f t="shared" si="2"/>
        <v>564.82419890392566</v>
      </c>
      <c r="H27" s="7">
        <f t="shared" si="3"/>
        <v>503.25366941239577</v>
      </c>
      <c r="I27" s="7">
        <f t="shared" si="4"/>
        <v>514.77821488319012</v>
      </c>
      <c r="J27" s="7">
        <f t="shared" si="5"/>
        <v>564.82419890392566</v>
      </c>
      <c r="K27" s="7">
        <f t="shared" si="6"/>
        <v>503.25366941239577</v>
      </c>
      <c r="L27" s="7">
        <f t="shared" si="7"/>
        <v>514.77821488319012</v>
      </c>
      <c r="M27" s="7">
        <f t="shared" si="8"/>
        <v>564.82419890392566</v>
      </c>
      <c r="N27" s="22"/>
      <c r="O27" s="7">
        <f t="shared" si="9"/>
        <v>46.766271475687269</v>
      </c>
      <c r="P27" s="7">
        <f t="shared" si="10"/>
        <v>47.829141281952893</v>
      </c>
      <c r="Q27" s="7">
        <f t="shared" si="11"/>
        <v>52.53613613827207</v>
      </c>
      <c r="R27" s="7">
        <f t="shared" si="12"/>
        <v>46.766271475687269</v>
      </c>
      <c r="S27" s="7">
        <f t="shared" si="13"/>
        <v>47.829141281952893</v>
      </c>
      <c r="T27" s="7">
        <f t="shared" si="14"/>
        <v>52.53613613827207</v>
      </c>
      <c r="U27" s="7">
        <f t="shared" si="15"/>
        <v>46.766271475687269</v>
      </c>
      <c r="V27" s="7">
        <f t="shared" si="16"/>
        <v>47.829141281952893</v>
      </c>
      <c r="W27" s="7">
        <f t="shared" si="17"/>
        <v>52.53613613827207</v>
      </c>
      <c r="X27" s="22"/>
      <c r="Y27" s="10">
        <v>1.4124515697881992</v>
      </c>
      <c r="Z27" s="22"/>
      <c r="AA27">
        <v>1.075</v>
      </c>
    </row>
    <row r="28" spans="1:27" x14ac:dyDescent="0.25">
      <c r="A28" s="16"/>
      <c r="B28" s="3" t="s">
        <v>17</v>
      </c>
      <c r="C28" s="3" t="s">
        <v>43</v>
      </c>
      <c r="D28" s="11" t="s">
        <v>19</v>
      </c>
      <c r="E28" s="7">
        <f t="shared" si="0"/>
        <v>378.43620233090201</v>
      </c>
      <c r="F28" s="7">
        <f t="shared" si="1"/>
        <v>387.10241876733551</v>
      </c>
      <c r="G28" s="7">
        <f t="shared" si="2"/>
        <v>424.73594890499709</v>
      </c>
      <c r="H28" s="7">
        <f t="shared" si="3"/>
        <v>378.43620233090201</v>
      </c>
      <c r="I28" s="7">
        <f t="shared" si="4"/>
        <v>387.10241876733551</v>
      </c>
      <c r="J28" s="7">
        <f t="shared" si="5"/>
        <v>424.73594890499709</v>
      </c>
      <c r="K28" s="7">
        <f t="shared" si="6"/>
        <v>378.43620233090201</v>
      </c>
      <c r="L28" s="7">
        <f t="shared" si="7"/>
        <v>387.10241876733551</v>
      </c>
      <c r="M28" s="7">
        <f t="shared" si="8"/>
        <v>424.73594890499709</v>
      </c>
      <c r="N28" s="22"/>
      <c r="O28" s="7">
        <f t="shared" si="9"/>
        <v>35.167255104368152</v>
      </c>
      <c r="P28" s="7">
        <f t="shared" si="10"/>
        <v>35.966510902194699</v>
      </c>
      <c r="Q28" s="7">
        <f t="shared" si="11"/>
        <v>39.506072292569421</v>
      </c>
      <c r="R28" s="7">
        <f t="shared" si="12"/>
        <v>35.167255104368152</v>
      </c>
      <c r="S28" s="7">
        <f t="shared" si="13"/>
        <v>35.966510902194699</v>
      </c>
      <c r="T28" s="7">
        <f t="shared" si="14"/>
        <v>39.506072292569421</v>
      </c>
      <c r="U28" s="7">
        <f t="shared" si="15"/>
        <v>35.167255104368152</v>
      </c>
      <c r="V28" s="7">
        <f t="shared" si="16"/>
        <v>35.966510902194699</v>
      </c>
      <c r="W28" s="7">
        <f t="shared" si="17"/>
        <v>39.506072292569421</v>
      </c>
      <c r="X28" s="22"/>
      <c r="Y28" s="10">
        <v>1.0621339506000651</v>
      </c>
      <c r="Z28" s="22"/>
      <c r="AA28">
        <v>1.075</v>
      </c>
    </row>
    <row r="29" spans="1:27" x14ac:dyDescent="0.25">
      <c r="A29" s="16"/>
      <c r="B29" s="3" t="s">
        <v>17</v>
      </c>
      <c r="C29" s="3" t="s">
        <v>44</v>
      </c>
      <c r="D29" s="11" t="s">
        <v>19</v>
      </c>
      <c r="E29" s="7">
        <f t="shared" si="0"/>
        <v>376.36260200361363</v>
      </c>
      <c r="F29" s="7">
        <f t="shared" si="1"/>
        <v>384.98133284240015</v>
      </c>
      <c r="G29" s="7">
        <f t="shared" si="2"/>
        <v>422.40865411333641</v>
      </c>
      <c r="H29" s="7">
        <f t="shared" si="3"/>
        <v>376.36260200361363</v>
      </c>
      <c r="I29" s="7">
        <f t="shared" si="4"/>
        <v>384.98133284240015</v>
      </c>
      <c r="J29" s="7">
        <f t="shared" si="5"/>
        <v>422.40865411333641</v>
      </c>
      <c r="K29" s="7">
        <f t="shared" si="6"/>
        <v>376.36260200361363</v>
      </c>
      <c r="L29" s="7">
        <f t="shared" si="7"/>
        <v>384.98133284240015</v>
      </c>
      <c r="M29" s="7">
        <f t="shared" si="8"/>
        <v>422.40865411333641</v>
      </c>
      <c r="N29" s="22"/>
      <c r="O29" s="7">
        <f t="shared" si="9"/>
        <v>34.974559925510803</v>
      </c>
      <c r="P29" s="7">
        <f t="shared" si="10"/>
        <v>35.769436287454226</v>
      </c>
      <c r="Q29" s="7">
        <f t="shared" si="11"/>
        <v>39.28960303320369</v>
      </c>
      <c r="R29" s="7">
        <f t="shared" si="12"/>
        <v>34.974559925510803</v>
      </c>
      <c r="S29" s="7">
        <f t="shared" si="13"/>
        <v>35.769436287454226</v>
      </c>
      <c r="T29" s="7">
        <f t="shared" si="14"/>
        <v>39.28960303320369</v>
      </c>
      <c r="U29" s="7">
        <f t="shared" si="15"/>
        <v>34.974559925510803</v>
      </c>
      <c r="V29" s="7">
        <f t="shared" si="16"/>
        <v>35.769436287454226</v>
      </c>
      <c r="W29" s="7">
        <f t="shared" si="17"/>
        <v>39.28960303320369</v>
      </c>
      <c r="X29" s="22"/>
      <c r="Y29" s="10">
        <v>1.0563141022504017</v>
      </c>
      <c r="Z29" s="22"/>
      <c r="AA29">
        <v>1.075</v>
      </c>
    </row>
    <row r="30" spans="1:27" x14ac:dyDescent="0.25">
      <c r="A30" s="16"/>
      <c r="B30" s="3" t="s">
        <v>17</v>
      </c>
      <c r="C30" s="3" t="s">
        <v>45</v>
      </c>
      <c r="D30" s="11" t="s">
        <v>19</v>
      </c>
      <c r="E30" s="7">
        <f t="shared" si="0"/>
        <v>474.91441589226946</v>
      </c>
      <c r="F30" s="7">
        <f t="shared" si="1"/>
        <v>485.78999040537087</v>
      </c>
      <c r="G30" s="7">
        <f t="shared" si="2"/>
        <v>533.01778170337116</v>
      </c>
      <c r="H30" s="7">
        <f t="shared" si="3"/>
        <v>474.91441589226946</v>
      </c>
      <c r="I30" s="7">
        <f t="shared" si="4"/>
        <v>485.78999040537087</v>
      </c>
      <c r="J30" s="7">
        <f t="shared" si="5"/>
        <v>533.01778170337116</v>
      </c>
      <c r="K30" s="7">
        <f t="shared" si="6"/>
        <v>474.91441589226946</v>
      </c>
      <c r="L30" s="7">
        <f t="shared" si="7"/>
        <v>485.78999040537087</v>
      </c>
      <c r="M30" s="7">
        <f t="shared" si="8"/>
        <v>533.01778170337116</v>
      </c>
      <c r="N30" s="22"/>
      <c r="O30" s="7">
        <f t="shared" si="9"/>
        <v>44.132766140121589</v>
      </c>
      <c r="P30" s="7">
        <f t="shared" si="10"/>
        <v>45.135783552397079</v>
      </c>
      <c r="Q30" s="7">
        <f t="shared" si="11"/>
        <v>49.577717806759971</v>
      </c>
      <c r="R30" s="7">
        <f t="shared" si="12"/>
        <v>44.132766140121589</v>
      </c>
      <c r="S30" s="7">
        <f t="shared" si="13"/>
        <v>45.135783552397079</v>
      </c>
      <c r="T30" s="7">
        <f t="shared" si="14"/>
        <v>49.577717806759971</v>
      </c>
      <c r="U30" s="7">
        <f t="shared" si="15"/>
        <v>44.132766140121589</v>
      </c>
      <c r="V30" s="7">
        <f t="shared" si="16"/>
        <v>45.135783552397079</v>
      </c>
      <c r="W30" s="7">
        <f t="shared" si="17"/>
        <v>49.577717806759971</v>
      </c>
      <c r="X30" s="22"/>
      <c r="Y30" s="10">
        <v>1.3329135046850376</v>
      </c>
      <c r="Z30" s="22"/>
      <c r="AA30">
        <v>1.075</v>
      </c>
    </row>
    <row r="31" spans="1:27" x14ac:dyDescent="0.25">
      <c r="A31" s="16"/>
      <c r="B31" s="3" t="s">
        <v>17</v>
      </c>
      <c r="C31" s="3" t="s">
        <v>46</v>
      </c>
      <c r="D31" s="11" t="s">
        <v>19</v>
      </c>
      <c r="E31" s="7">
        <f t="shared" si="0"/>
        <v>387.65099898541041</v>
      </c>
      <c r="F31" s="7">
        <f t="shared" si="1"/>
        <v>396.52823493248758</v>
      </c>
      <c r="G31" s="7">
        <f t="shared" si="2"/>
        <v>435.07812911109949</v>
      </c>
      <c r="H31" s="7">
        <f t="shared" si="3"/>
        <v>387.65099898541041</v>
      </c>
      <c r="I31" s="7">
        <f t="shared" si="4"/>
        <v>396.52823493248758</v>
      </c>
      <c r="J31" s="7">
        <f t="shared" si="5"/>
        <v>435.07812911109949</v>
      </c>
      <c r="K31" s="7">
        <f t="shared" si="6"/>
        <v>387.65099898541041</v>
      </c>
      <c r="L31" s="7">
        <f t="shared" si="7"/>
        <v>396.52823493248758</v>
      </c>
      <c r="M31" s="7">
        <f t="shared" si="8"/>
        <v>435.07812911109949</v>
      </c>
      <c r="N31" s="22"/>
      <c r="O31" s="7">
        <f t="shared" si="9"/>
        <v>36.023566162052383</v>
      </c>
      <c r="P31" s="7">
        <f t="shared" si="10"/>
        <v>36.842283574826297</v>
      </c>
      <c r="Q31" s="7">
        <f t="shared" si="11"/>
        <v>40.468032117110788</v>
      </c>
      <c r="R31" s="7">
        <f t="shared" si="12"/>
        <v>36.023566162052383</v>
      </c>
      <c r="S31" s="7">
        <f t="shared" si="13"/>
        <v>36.842283574826297</v>
      </c>
      <c r="T31" s="7">
        <f t="shared" si="14"/>
        <v>40.468032117110788</v>
      </c>
      <c r="U31" s="7">
        <f t="shared" si="15"/>
        <v>36.023566162052383</v>
      </c>
      <c r="V31" s="7">
        <f t="shared" si="16"/>
        <v>36.842283574826297</v>
      </c>
      <c r="W31" s="7">
        <f t="shared" si="17"/>
        <v>40.468032117110788</v>
      </c>
      <c r="X31" s="22"/>
      <c r="Y31" s="10">
        <v>1.0879965618258043</v>
      </c>
      <c r="Z31" s="22"/>
      <c r="AA31">
        <v>1.075</v>
      </c>
    </row>
    <row r="32" spans="1:27" x14ac:dyDescent="0.25">
      <c r="A32" s="16"/>
      <c r="B32" s="3" t="s">
        <v>17</v>
      </c>
      <c r="C32" s="3" t="s">
        <v>47</v>
      </c>
      <c r="D32" s="11" t="s">
        <v>19</v>
      </c>
      <c r="E32" s="7">
        <f t="shared" si="0"/>
        <v>407.7011946986504</v>
      </c>
      <c r="F32" s="7">
        <f t="shared" si="1"/>
        <v>417.0375815794215</v>
      </c>
      <c r="G32" s="7">
        <f t="shared" si="2"/>
        <v>457.58136439763149</v>
      </c>
      <c r="H32" s="7">
        <f t="shared" si="3"/>
        <v>407.7011946986504</v>
      </c>
      <c r="I32" s="7">
        <f t="shared" si="4"/>
        <v>417.0375815794215</v>
      </c>
      <c r="J32" s="7">
        <f t="shared" si="5"/>
        <v>457.58136439763149</v>
      </c>
      <c r="K32" s="7">
        <f t="shared" si="6"/>
        <v>407.7011946986504</v>
      </c>
      <c r="L32" s="7">
        <f t="shared" si="7"/>
        <v>417.0375815794215</v>
      </c>
      <c r="M32" s="7">
        <f t="shared" si="8"/>
        <v>457.58136439763149</v>
      </c>
      <c r="N32" s="22"/>
      <c r="O32" s="7">
        <f t="shared" si="9"/>
        <v>37.886787342259332</v>
      </c>
      <c r="P32" s="7">
        <f t="shared" si="10"/>
        <v>38.747850690947047</v>
      </c>
      <c r="Q32" s="7">
        <f t="shared" si="11"/>
        <v>42.561131235135484</v>
      </c>
      <c r="R32" s="7">
        <f t="shared" si="12"/>
        <v>37.886787342259332</v>
      </c>
      <c r="S32" s="7">
        <f t="shared" si="13"/>
        <v>38.747850690947047</v>
      </c>
      <c r="T32" s="7">
        <f t="shared" si="14"/>
        <v>42.561131235135484</v>
      </c>
      <c r="U32" s="7">
        <f t="shared" si="15"/>
        <v>37.886787342259332</v>
      </c>
      <c r="V32" s="7">
        <f t="shared" si="16"/>
        <v>38.747850690947047</v>
      </c>
      <c r="W32" s="7">
        <f t="shared" si="17"/>
        <v>42.561131235135484</v>
      </c>
      <c r="X32" s="22"/>
      <c r="Y32" s="10">
        <v>1.1442702308142354</v>
      </c>
      <c r="Z32" s="22"/>
      <c r="AA32">
        <v>1.075</v>
      </c>
    </row>
    <row r="33" spans="1:27" x14ac:dyDescent="0.25">
      <c r="A33" s="16"/>
      <c r="B33" s="3" t="s">
        <v>17</v>
      </c>
      <c r="C33" s="3" t="s">
        <v>48</v>
      </c>
      <c r="D33" s="11" t="s">
        <v>19</v>
      </c>
      <c r="E33" s="7">
        <f t="shared" si="0"/>
        <v>468.90788697440712</v>
      </c>
      <c r="F33" s="7">
        <f t="shared" si="1"/>
        <v>479.64591154034889</v>
      </c>
      <c r="G33" s="7">
        <f t="shared" si="2"/>
        <v>526.27638449073652</v>
      </c>
      <c r="H33" s="7">
        <f t="shared" si="3"/>
        <v>468.90788697440712</v>
      </c>
      <c r="I33" s="7">
        <f t="shared" si="4"/>
        <v>479.64591154034889</v>
      </c>
      <c r="J33" s="7">
        <f t="shared" si="5"/>
        <v>526.27638449073652</v>
      </c>
      <c r="K33" s="7">
        <f t="shared" si="6"/>
        <v>468.90788697440712</v>
      </c>
      <c r="L33" s="7">
        <f t="shared" si="7"/>
        <v>479.64591154034889</v>
      </c>
      <c r="M33" s="7">
        <f t="shared" si="8"/>
        <v>526.27638449073652</v>
      </c>
      <c r="N33" s="22"/>
      <c r="O33" s="7">
        <f t="shared" si="9"/>
        <v>43.574592441502951</v>
      </c>
      <c r="P33" s="7">
        <f t="shared" si="10"/>
        <v>44.564924087900749</v>
      </c>
      <c r="Q33" s="7">
        <f t="shared" si="11"/>
        <v>48.95067852194812</v>
      </c>
      <c r="R33" s="7">
        <f t="shared" si="12"/>
        <v>43.574592441502951</v>
      </c>
      <c r="S33" s="7">
        <f t="shared" si="13"/>
        <v>44.564924087900749</v>
      </c>
      <c r="T33" s="7">
        <f t="shared" si="14"/>
        <v>48.95067852194812</v>
      </c>
      <c r="U33" s="7">
        <f t="shared" si="15"/>
        <v>43.574592441502951</v>
      </c>
      <c r="V33" s="7">
        <f t="shared" si="16"/>
        <v>44.564924087900749</v>
      </c>
      <c r="W33" s="7">
        <f t="shared" si="17"/>
        <v>48.95067852194812</v>
      </c>
      <c r="X33" s="22"/>
      <c r="Y33" s="10">
        <v>1.3160553440502252</v>
      </c>
      <c r="Z33" s="22"/>
      <c r="AA33">
        <v>1.075</v>
      </c>
    </row>
    <row r="34" spans="1:27" x14ac:dyDescent="0.25">
      <c r="A34" s="16"/>
      <c r="B34" s="3" t="s">
        <v>17</v>
      </c>
      <c r="C34" s="3" t="s">
        <v>49</v>
      </c>
      <c r="D34" s="11" t="s">
        <v>19</v>
      </c>
      <c r="E34" s="7">
        <f t="shared" si="0"/>
        <v>471.61568778956109</v>
      </c>
      <c r="F34" s="7">
        <f t="shared" si="1"/>
        <v>482.41572119024528</v>
      </c>
      <c r="G34" s="7">
        <f t="shared" si="2"/>
        <v>529.31547097766975</v>
      </c>
      <c r="H34" s="7">
        <f t="shared" si="3"/>
        <v>471.61568778956109</v>
      </c>
      <c r="I34" s="7">
        <f t="shared" si="4"/>
        <v>482.41572119024528</v>
      </c>
      <c r="J34" s="7">
        <f t="shared" si="5"/>
        <v>529.31547097766975</v>
      </c>
      <c r="K34" s="7">
        <f t="shared" si="6"/>
        <v>471.61568778956109</v>
      </c>
      <c r="L34" s="7">
        <f t="shared" si="7"/>
        <v>482.41572119024528</v>
      </c>
      <c r="M34" s="7">
        <f t="shared" si="8"/>
        <v>529.31547097766975</v>
      </c>
      <c r="N34" s="22"/>
      <c r="O34" s="7">
        <f t="shared" si="9"/>
        <v>43.826222495530061</v>
      </c>
      <c r="P34" s="7">
        <f t="shared" si="10"/>
        <v>44.822273006792102</v>
      </c>
      <c r="Q34" s="7">
        <f t="shared" si="11"/>
        <v>49.23335384238117</v>
      </c>
      <c r="R34" s="7">
        <f t="shared" si="12"/>
        <v>43.826222495530061</v>
      </c>
      <c r="S34" s="7">
        <f t="shared" si="13"/>
        <v>44.822273006792102</v>
      </c>
      <c r="T34" s="7">
        <f t="shared" si="14"/>
        <v>49.23335384238117</v>
      </c>
      <c r="U34" s="7">
        <f t="shared" si="15"/>
        <v>43.826222495530061</v>
      </c>
      <c r="V34" s="7">
        <f t="shared" si="16"/>
        <v>44.822273006792102</v>
      </c>
      <c r="W34" s="7">
        <f t="shared" si="17"/>
        <v>49.23335384238117</v>
      </c>
      <c r="X34" s="22"/>
      <c r="Y34" s="10">
        <v>1.3236551644678363</v>
      </c>
      <c r="Z34" s="22"/>
      <c r="AA34">
        <v>1.075</v>
      </c>
    </row>
    <row r="35" spans="1:27" x14ac:dyDescent="0.25">
      <c r="A35" s="16"/>
      <c r="B35" s="3" t="s">
        <v>17</v>
      </c>
      <c r="C35" s="3" t="s">
        <v>50</v>
      </c>
      <c r="D35" s="11" t="s">
        <v>19</v>
      </c>
      <c r="E35" s="7">
        <f t="shared" si="0"/>
        <v>384.6096475001537</v>
      </c>
      <c r="F35" s="7">
        <f t="shared" si="1"/>
        <v>393.4172362779903</v>
      </c>
      <c r="G35" s="7">
        <f t="shared" si="2"/>
        <v>431.66468372430063</v>
      </c>
      <c r="H35" s="7">
        <f t="shared" si="3"/>
        <v>384.6096475001537</v>
      </c>
      <c r="I35" s="7">
        <f t="shared" si="4"/>
        <v>393.4172362779903</v>
      </c>
      <c r="J35" s="7">
        <f t="shared" si="5"/>
        <v>431.66468372430063</v>
      </c>
      <c r="K35" s="7">
        <f t="shared" si="6"/>
        <v>384.6096475001537</v>
      </c>
      <c r="L35" s="7">
        <f t="shared" si="7"/>
        <v>393.4172362779903</v>
      </c>
      <c r="M35" s="7">
        <f t="shared" si="8"/>
        <v>431.66468372430063</v>
      </c>
      <c r="N35" s="22"/>
      <c r="O35" s="7">
        <f t="shared" si="9"/>
        <v>35.740939968032627</v>
      </c>
      <c r="P35" s="7">
        <f t="shared" si="10"/>
        <v>36.553234058215189</v>
      </c>
      <c r="Q35" s="7">
        <f t="shared" si="11"/>
        <v>40.150536457595095</v>
      </c>
      <c r="R35" s="7">
        <f t="shared" si="12"/>
        <v>35.740939968032627</v>
      </c>
      <c r="S35" s="7">
        <f t="shared" si="13"/>
        <v>36.553234058215189</v>
      </c>
      <c r="T35" s="7">
        <f t="shared" si="14"/>
        <v>40.150536457595095</v>
      </c>
      <c r="U35" s="7">
        <f t="shared" si="15"/>
        <v>35.740939968032627</v>
      </c>
      <c r="V35" s="7">
        <f t="shared" si="16"/>
        <v>36.553234058215189</v>
      </c>
      <c r="W35" s="7">
        <f t="shared" si="17"/>
        <v>40.150536457595095</v>
      </c>
      <c r="X35" s="22"/>
      <c r="Y35" s="10">
        <v>1.0794605849602124</v>
      </c>
      <c r="Z35" s="22"/>
      <c r="AA35">
        <v>1.075</v>
      </c>
    </row>
    <row r="36" spans="1:27" x14ac:dyDescent="0.25">
      <c r="A36" s="16"/>
      <c r="B36" s="3" t="s">
        <v>17</v>
      </c>
      <c r="C36" s="3" t="s">
        <v>51</v>
      </c>
      <c r="D36" s="11" t="s">
        <v>19</v>
      </c>
      <c r="E36" s="7">
        <f t="shared" si="0"/>
        <v>467.65141125601207</v>
      </c>
      <c r="F36" s="7">
        <f t="shared" si="1"/>
        <v>478.36066243701958</v>
      </c>
      <c r="G36" s="7">
        <f t="shared" si="2"/>
        <v>524.86618535217212</v>
      </c>
      <c r="H36" s="7">
        <f t="shared" si="3"/>
        <v>467.65141125601207</v>
      </c>
      <c r="I36" s="7">
        <f t="shared" si="4"/>
        <v>478.36066243701958</v>
      </c>
      <c r="J36" s="7">
        <f t="shared" si="5"/>
        <v>524.86618535217212</v>
      </c>
      <c r="K36" s="7">
        <f t="shared" si="6"/>
        <v>467.65141125601207</v>
      </c>
      <c r="L36" s="7">
        <f t="shared" si="7"/>
        <v>478.36066243701958</v>
      </c>
      <c r="M36" s="7">
        <f t="shared" si="8"/>
        <v>524.86618535217212</v>
      </c>
      <c r="N36" s="22"/>
      <c r="O36" s="7">
        <f t="shared" si="9"/>
        <v>43.457830879450796</v>
      </c>
      <c r="P36" s="7">
        <f t="shared" si="10"/>
        <v>44.445508853983767</v>
      </c>
      <c r="Q36" s="7">
        <f t="shared" si="11"/>
        <v>48.819511312629785</v>
      </c>
      <c r="R36" s="7">
        <f t="shared" si="12"/>
        <v>43.457830879450796</v>
      </c>
      <c r="S36" s="7">
        <f t="shared" si="13"/>
        <v>44.445508853983767</v>
      </c>
      <c r="T36" s="7">
        <f t="shared" si="14"/>
        <v>48.819511312629785</v>
      </c>
      <c r="U36" s="7">
        <f t="shared" si="15"/>
        <v>43.457830879450796</v>
      </c>
      <c r="V36" s="7">
        <f t="shared" si="16"/>
        <v>44.445508853983767</v>
      </c>
      <c r="W36" s="7">
        <f t="shared" si="17"/>
        <v>48.819511312629785</v>
      </c>
      <c r="X36" s="22"/>
      <c r="Y36" s="10">
        <v>1.3125288698112594</v>
      </c>
      <c r="Z36" s="22"/>
      <c r="AA36">
        <v>1.075</v>
      </c>
    </row>
    <row r="37" spans="1:27" x14ac:dyDescent="0.25">
      <c r="A37" s="16"/>
      <c r="B37" s="3" t="s">
        <v>17</v>
      </c>
      <c r="C37" s="3" t="s">
        <v>52</v>
      </c>
      <c r="D37" s="11" t="s">
        <v>19</v>
      </c>
      <c r="E37" s="7">
        <f t="shared" ref="E37:E68" si="18">(331.44*$Y37)*$AA37</f>
        <v>522.33481685824188</v>
      </c>
      <c r="F37" s="7">
        <f t="shared" ref="F37:F68" si="19">(339.03*$Y37)*$AA37</f>
        <v>534.29632198723675</v>
      </c>
      <c r="G37" s="7">
        <f t="shared" ref="G37:G68" si="20">(371.99*$Y37)*$AA37</f>
        <v>586.2398277911459</v>
      </c>
      <c r="H37" s="7">
        <f t="shared" ref="H37:H68" si="21">(331.44*$Y37)*$AA37</f>
        <v>522.33481685824188</v>
      </c>
      <c r="I37" s="7">
        <f t="shared" ref="I37:I68" si="22">(339.03*$Y37)*$AA37</f>
        <v>534.29632198723675</v>
      </c>
      <c r="J37" s="7">
        <f t="shared" ref="J37:J68" si="23">(371.99*$Y37)*$AA37</f>
        <v>586.2398277911459</v>
      </c>
      <c r="K37" s="7">
        <f t="shared" ref="K37:K68" si="24">(331.44*$Y37)*$AA37</f>
        <v>522.33481685824188</v>
      </c>
      <c r="L37" s="7">
        <f t="shared" ref="L37:L68" si="25">(339.03*$Y37)*$AA37</f>
        <v>534.29632198723675</v>
      </c>
      <c r="M37" s="7">
        <f t="shared" ref="M37:M68" si="26">(371.99*$Y37)*$AA37</f>
        <v>586.2398277911459</v>
      </c>
      <c r="N37" s="22"/>
      <c r="O37" s="7">
        <f t="shared" si="9"/>
        <v>48.53944110316754</v>
      </c>
      <c r="P37" s="7">
        <f t="shared" si="10"/>
        <v>49.642610219148622</v>
      </c>
      <c r="Q37" s="7">
        <f t="shared" si="11"/>
        <v>54.528073447064841</v>
      </c>
      <c r="R37" s="7">
        <f t="shared" si="12"/>
        <v>48.53944110316754</v>
      </c>
      <c r="S37" s="7">
        <f t="shared" si="13"/>
        <v>49.642610219148622</v>
      </c>
      <c r="T37" s="7">
        <f t="shared" si="14"/>
        <v>54.528073447064841</v>
      </c>
      <c r="U37" s="7">
        <f t="shared" si="15"/>
        <v>48.53944110316754</v>
      </c>
      <c r="V37" s="7">
        <f t="shared" si="16"/>
        <v>49.642610219148622</v>
      </c>
      <c r="W37" s="7">
        <f t="shared" si="17"/>
        <v>54.528073447064841</v>
      </c>
      <c r="X37" s="22"/>
      <c r="Y37" s="10">
        <v>1.4660054697422997</v>
      </c>
      <c r="Z37" s="22"/>
      <c r="AA37">
        <v>1.075</v>
      </c>
    </row>
    <row r="38" spans="1:27" x14ac:dyDescent="0.25">
      <c r="A38" s="16"/>
      <c r="B38" s="3" t="s">
        <v>17</v>
      </c>
      <c r="C38" s="3" t="s">
        <v>53</v>
      </c>
      <c r="D38" s="11" t="s">
        <v>19</v>
      </c>
      <c r="E38" s="7">
        <f t="shared" si="18"/>
        <v>519.17008491299509</v>
      </c>
      <c r="F38" s="7">
        <f t="shared" si="19"/>
        <v>531.0591174512814</v>
      </c>
      <c r="G38" s="7">
        <f t="shared" si="20"/>
        <v>582.68790697195584</v>
      </c>
      <c r="H38" s="7">
        <f t="shared" si="21"/>
        <v>519.17008491299509</v>
      </c>
      <c r="I38" s="7">
        <f t="shared" si="22"/>
        <v>531.0591174512814</v>
      </c>
      <c r="J38" s="7">
        <f t="shared" si="23"/>
        <v>582.68790697195584</v>
      </c>
      <c r="K38" s="7">
        <f t="shared" si="24"/>
        <v>519.17008491299509</v>
      </c>
      <c r="L38" s="7">
        <f t="shared" si="25"/>
        <v>531.0591174512814</v>
      </c>
      <c r="M38" s="7">
        <f t="shared" si="26"/>
        <v>582.68790697195584</v>
      </c>
      <c r="N38" s="22"/>
      <c r="O38" s="7">
        <f t="shared" si="9"/>
        <v>48.245349430727273</v>
      </c>
      <c r="P38" s="7">
        <f t="shared" si="10"/>
        <v>49.341834645061986</v>
      </c>
      <c r="Q38" s="7">
        <f t="shared" si="11"/>
        <v>54.19769773711571</v>
      </c>
      <c r="R38" s="7">
        <f t="shared" si="12"/>
        <v>48.245349430727273</v>
      </c>
      <c r="S38" s="7">
        <f t="shared" si="13"/>
        <v>49.341834645061986</v>
      </c>
      <c r="T38" s="7">
        <f t="shared" si="14"/>
        <v>54.19769773711571</v>
      </c>
      <c r="U38" s="7">
        <f t="shared" si="15"/>
        <v>48.245349430727273</v>
      </c>
      <c r="V38" s="7">
        <f t="shared" si="16"/>
        <v>49.341834645061986</v>
      </c>
      <c r="W38" s="7">
        <f t="shared" si="17"/>
        <v>54.19769773711571</v>
      </c>
      <c r="X38" s="22"/>
      <c r="Y38" s="10">
        <v>1.4571232084182204</v>
      </c>
      <c r="Z38" s="22"/>
      <c r="AA38">
        <v>1.075</v>
      </c>
    </row>
    <row r="39" spans="1:27" x14ac:dyDescent="0.25">
      <c r="A39" s="16"/>
      <c r="B39" s="3" t="s">
        <v>17</v>
      </c>
      <c r="C39" s="3" t="s">
        <v>54</v>
      </c>
      <c r="D39" s="11" t="s">
        <v>19</v>
      </c>
      <c r="E39" s="7">
        <f t="shared" si="18"/>
        <v>439.03990171135905</v>
      </c>
      <c r="F39" s="7">
        <f t="shared" si="19"/>
        <v>449.09394725199752</v>
      </c>
      <c r="G39" s="7">
        <f t="shared" si="20"/>
        <v>492.75420298578467</v>
      </c>
      <c r="H39" s="7">
        <f t="shared" si="21"/>
        <v>439.03990171135905</v>
      </c>
      <c r="I39" s="7">
        <f t="shared" si="22"/>
        <v>449.09394725199752</v>
      </c>
      <c r="J39" s="7">
        <f t="shared" si="23"/>
        <v>492.75420298578467</v>
      </c>
      <c r="K39" s="7">
        <f t="shared" si="24"/>
        <v>439.03990171135905</v>
      </c>
      <c r="L39" s="7">
        <f t="shared" si="25"/>
        <v>449.09394725199752</v>
      </c>
      <c r="M39" s="7">
        <f t="shared" si="26"/>
        <v>492.75420298578467</v>
      </c>
      <c r="N39" s="22"/>
      <c r="O39" s="7">
        <f t="shared" si="9"/>
        <v>40.799025382301046</v>
      </c>
      <c r="P39" s="7">
        <f t="shared" si="10"/>
        <v>41.726275959171531</v>
      </c>
      <c r="Q39" s="7">
        <f t="shared" si="11"/>
        <v>45.8326713710265</v>
      </c>
      <c r="R39" s="7">
        <f t="shared" si="12"/>
        <v>40.799025382301046</v>
      </c>
      <c r="S39" s="7">
        <f t="shared" si="13"/>
        <v>41.726275959171531</v>
      </c>
      <c r="T39" s="7">
        <f t="shared" si="14"/>
        <v>45.8326713710265</v>
      </c>
      <c r="U39" s="7">
        <f t="shared" si="15"/>
        <v>40.799025382301046</v>
      </c>
      <c r="V39" s="7">
        <f t="shared" si="16"/>
        <v>41.726275959171531</v>
      </c>
      <c r="W39" s="7">
        <f t="shared" si="17"/>
        <v>45.8326713710265</v>
      </c>
      <c r="X39" s="22"/>
      <c r="Y39" s="10">
        <v>1.2322266802265494</v>
      </c>
      <c r="Z39" s="22"/>
      <c r="AA39">
        <v>1.075</v>
      </c>
    </row>
    <row r="40" spans="1:27" x14ac:dyDescent="0.25">
      <c r="A40" s="16"/>
      <c r="B40" s="3" t="s">
        <v>17</v>
      </c>
      <c r="C40" s="3" t="s">
        <v>55</v>
      </c>
      <c r="D40" s="11" t="s">
        <v>19</v>
      </c>
      <c r="E40" s="7">
        <f t="shared" si="18"/>
        <v>404.40246659594203</v>
      </c>
      <c r="F40" s="7">
        <f t="shared" si="19"/>
        <v>413.66331236429585</v>
      </c>
      <c r="G40" s="7">
        <f t="shared" si="20"/>
        <v>453.87905367193002</v>
      </c>
      <c r="H40" s="7">
        <f t="shared" si="21"/>
        <v>404.40246659594203</v>
      </c>
      <c r="I40" s="7">
        <f t="shared" si="22"/>
        <v>413.66331236429585</v>
      </c>
      <c r="J40" s="7">
        <f t="shared" si="23"/>
        <v>453.87905367193002</v>
      </c>
      <c r="K40" s="7">
        <f t="shared" si="24"/>
        <v>404.40246659594203</v>
      </c>
      <c r="L40" s="7">
        <f t="shared" si="25"/>
        <v>413.66331236429585</v>
      </c>
      <c r="M40" s="7">
        <f t="shared" si="26"/>
        <v>453.87905367193002</v>
      </c>
      <c r="N40" s="22"/>
      <c r="O40" s="7">
        <f t="shared" si="9"/>
        <v>37.580243697667797</v>
      </c>
      <c r="P40" s="7">
        <f t="shared" si="10"/>
        <v>38.43434014534207</v>
      </c>
      <c r="Q40" s="7">
        <f t="shared" si="11"/>
        <v>42.216767270756684</v>
      </c>
      <c r="R40" s="7">
        <f t="shared" si="12"/>
        <v>37.580243697667797</v>
      </c>
      <c r="S40" s="7">
        <f t="shared" si="13"/>
        <v>38.43434014534207</v>
      </c>
      <c r="T40" s="7">
        <f t="shared" si="14"/>
        <v>42.216767270756684</v>
      </c>
      <c r="U40" s="7">
        <f t="shared" si="15"/>
        <v>37.580243697667797</v>
      </c>
      <c r="V40" s="7">
        <f t="shared" si="16"/>
        <v>38.43434014534207</v>
      </c>
      <c r="W40" s="7">
        <f t="shared" si="17"/>
        <v>42.216767270756684</v>
      </c>
      <c r="X40" s="22"/>
      <c r="Y40" s="10">
        <v>1.1350118905970341</v>
      </c>
      <c r="Z40" s="22"/>
      <c r="AA40">
        <v>1.075</v>
      </c>
    </row>
    <row r="41" spans="1:27" x14ac:dyDescent="0.25">
      <c r="A41" s="16"/>
      <c r="B41" s="3" t="s">
        <v>17</v>
      </c>
      <c r="C41" s="3" t="s">
        <v>56</v>
      </c>
      <c r="D41" s="11" t="s">
        <v>19</v>
      </c>
      <c r="E41" s="7">
        <f t="shared" si="18"/>
        <v>455.94627769029989</v>
      </c>
      <c r="F41" s="7">
        <f t="shared" si="19"/>
        <v>466.38748046506868</v>
      </c>
      <c r="G41" s="7">
        <f t="shared" si="20"/>
        <v>511.72898816683158</v>
      </c>
      <c r="H41" s="7">
        <f t="shared" si="21"/>
        <v>455.94627769029989</v>
      </c>
      <c r="I41" s="7">
        <f t="shared" si="22"/>
        <v>466.38748046506868</v>
      </c>
      <c r="J41" s="7">
        <f t="shared" si="23"/>
        <v>511.72898816683158</v>
      </c>
      <c r="K41" s="7">
        <f t="shared" si="24"/>
        <v>455.94627769029989</v>
      </c>
      <c r="L41" s="7">
        <f t="shared" si="25"/>
        <v>466.38748046506868</v>
      </c>
      <c r="M41" s="7">
        <f t="shared" si="26"/>
        <v>511.72898816683158</v>
      </c>
      <c r="N41" s="22"/>
      <c r="O41" s="7">
        <f t="shared" si="9"/>
        <v>42.370098216453165</v>
      </c>
      <c r="P41" s="7">
        <f t="shared" si="10"/>
        <v>43.333054994099825</v>
      </c>
      <c r="Q41" s="7">
        <f t="shared" si="11"/>
        <v>47.597577866535048</v>
      </c>
      <c r="R41" s="7">
        <f t="shared" si="12"/>
        <v>42.370098216453165</v>
      </c>
      <c r="S41" s="7">
        <f t="shared" si="13"/>
        <v>43.333054994099825</v>
      </c>
      <c r="T41" s="7">
        <f t="shared" si="14"/>
        <v>47.597577866535048</v>
      </c>
      <c r="U41" s="7">
        <f t="shared" si="15"/>
        <v>42.370098216453165</v>
      </c>
      <c r="V41" s="7">
        <f t="shared" si="16"/>
        <v>43.333054994099825</v>
      </c>
      <c r="W41" s="7">
        <f t="shared" si="17"/>
        <v>47.597577866535048</v>
      </c>
      <c r="X41" s="22"/>
      <c r="Y41" s="10">
        <v>1.2796767809257978</v>
      </c>
      <c r="Z41" s="22"/>
      <c r="AA41">
        <v>1.075</v>
      </c>
    </row>
    <row r="42" spans="1:27" x14ac:dyDescent="0.25">
      <c r="A42" s="16"/>
      <c r="B42" s="3" t="s">
        <v>17</v>
      </c>
      <c r="C42" s="3" t="s">
        <v>57</v>
      </c>
      <c r="D42" s="11" t="s">
        <v>19</v>
      </c>
      <c r="E42" s="7">
        <f t="shared" si="18"/>
        <v>371.0021116778766</v>
      </c>
      <c r="F42" s="7">
        <f t="shared" si="19"/>
        <v>379.49808690004375</v>
      </c>
      <c r="G42" s="7">
        <f t="shared" si="20"/>
        <v>416.39233503214257</v>
      </c>
      <c r="H42" s="7">
        <f t="shared" si="21"/>
        <v>371.0021116778766</v>
      </c>
      <c r="I42" s="7">
        <f t="shared" si="22"/>
        <v>379.49808690004375</v>
      </c>
      <c r="J42" s="7">
        <f t="shared" si="23"/>
        <v>416.39233503214257</v>
      </c>
      <c r="K42" s="7">
        <f t="shared" si="24"/>
        <v>371.0021116778766</v>
      </c>
      <c r="L42" s="7">
        <f t="shared" si="25"/>
        <v>379.49808690004375</v>
      </c>
      <c r="M42" s="7">
        <f t="shared" si="26"/>
        <v>416.39233503214257</v>
      </c>
      <c r="N42" s="22"/>
      <c r="O42" s="7">
        <f t="shared" si="9"/>
        <v>34.47642119140297</v>
      </c>
      <c r="P42" s="7">
        <f t="shared" si="10"/>
        <v>35.259976218480311</v>
      </c>
      <c r="Q42" s="7">
        <f t="shared" si="11"/>
        <v>38.730005624108529</v>
      </c>
      <c r="R42" s="7">
        <f t="shared" si="12"/>
        <v>34.47642119140297</v>
      </c>
      <c r="S42" s="7">
        <f t="shared" si="13"/>
        <v>35.259976218480311</v>
      </c>
      <c r="T42" s="7">
        <f t="shared" si="14"/>
        <v>38.730005624108529</v>
      </c>
      <c r="U42" s="7">
        <f t="shared" si="15"/>
        <v>34.47642119140297</v>
      </c>
      <c r="V42" s="7">
        <f t="shared" si="16"/>
        <v>35.259976218480311</v>
      </c>
      <c r="W42" s="7">
        <f t="shared" si="17"/>
        <v>38.730005624108529</v>
      </c>
      <c r="X42" s="22"/>
      <c r="Y42" s="10">
        <v>1.0412691389732096</v>
      </c>
      <c r="Z42" s="22"/>
      <c r="AA42">
        <v>1.075</v>
      </c>
    </row>
    <row r="43" spans="1:27" x14ac:dyDescent="0.25">
      <c r="A43" s="16"/>
      <c r="B43" s="3" t="s">
        <v>17</v>
      </c>
      <c r="C43" s="3" t="s">
        <v>58</v>
      </c>
      <c r="D43" s="11" t="s">
        <v>19</v>
      </c>
      <c r="E43" s="7">
        <f t="shared" si="18"/>
        <v>409.76295578982081</v>
      </c>
      <c r="F43" s="7">
        <f t="shared" si="19"/>
        <v>419.14655714887442</v>
      </c>
      <c r="G43" s="7">
        <f t="shared" si="20"/>
        <v>459.89537148278862</v>
      </c>
      <c r="H43" s="7">
        <f t="shared" si="21"/>
        <v>409.76295578982081</v>
      </c>
      <c r="I43" s="7">
        <f t="shared" si="22"/>
        <v>419.14655714887442</v>
      </c>
      <c r="J43" s="7">
        <f t="shared" si="23"/>
        <v>459.89537148278862</v>
      </c>
      <c r="K43" s="7">
        <f t="shared" si="24"/>
        <v>409.76295578982081</v>
      </c>
      <c r="L43" s="7">
        <f t="shared" si="25"/>
        <v>419.14655714887442</v>
      </c>
      <c r="M43" s="7">
        <f t="shared" si="26"/>
        <v>459.89537148278862</v>
      </c>
      <c r="N43" s="22"/>
      <c r="O43" s="7">
        <f t="shared" si="9"/>
        <v>38.0783823265945</v>
      </c>
      <c r="P43" s="7">
        <f t="shared" si="10"/>
        <v>38.943800106744376</v>
      </c>
      <c r="Q43" s="7">
        <f t="shared" si="11"/>
        <v>42.776364561693825</v>
      </c>
      <c r="R43" s="7">
        <f t="shared" si="12"/>
        <v>38.0783823265945</v>
      </c>
      <c r="S43" s="7">
        <f t="shared" si="13"/>
        <v>38.943800106744376</v>
      </c>
      <c r="T43" s="7">
        <f t="shared" si="14"/>
        <v>42.776364561693825</v>
      </c>
      <c r="U43" s="7">
        <f t="shared" si="15"/>
        <v>38.0783823265945</v>
      </c>
      <c r="V43" s="7">
        <f t="shared" si="16"/>
        <v>38.943800106744376</v>
      </c>
      <c r="W43" s="7">
        <f t="shared" si="17"/>
        <v>42.776364561693825</v>
      </c>
      <c r="X43" s="22"/>
      <c r="Y43" s="10">
        <v>1.1500568506975084</v>
      </c>
      <c r="Z43" s="22"/>
      <c r="AA43">
        <v>1.075</v>
      </c>
    </row>
    <row r="44" spans="1:27" x14ac:dyDescent="0.25">
      <c r="A44" s="16"/>
      <c r="B44" s="3" t="s">
        <v>17</v>
      </c>
      <c r="C44" s="3" t="s">
        <v>59</v>
      </c>
      <c r="D44" s="11" t="s">
        <v>19</v>
      </c>
      <c r="E44" s="7">
        <f t="shared" si="18"/>
        <v>357.80686084146043</v>
      </c>
      <c r="F44" s="7">
        <f t="shared" si="19"/>
        <v>366.00066386398839</v>
      </c>
      <c r="G44" s="7">
        <f t="shared" si="20"/>
        <v>401.58271229910349</v>
      </c>
      <c r="H44" s="7">
        <f t="shared" si="21"/>
        <v>357.80686084146043</v>
      </c>
      <c r="I44" s="7">
        <f t="shared" si="22"/>
        <v>366.00066386398839</v>
      </c>
      <c r="J44" s="7">
        <f t="shared" si="23"/>
        <v>401.58271229910349</v>
      </c>
      <c r="K44" s="7">
        <f t="shared" si="24"/>
        <v>357.80686084146043</v>
      </c>
      <c r="L44" s="7">
        <f t="shared" si="25"/>
        <v>366.00066386398839</v>
      </c>
      <c r="M44" s="7">
        <f t="shared" si="26"/>
        <v>401.58271229910349</v>
      </c>
      <c r="N44" s="22"/>
      <c r="O44" s="7">
        <f t="shared" si="9"/>
        <v>33.250215163881791</v>
      </c>
      <c r="P44" s="7">
        <f t="shared" si="10"/>
        <v>34.005901872151831</v>
      </c>
      <c r="Q44" s="7">
        <f t="shared" si="11"/>
        <v>37.352514437347729</v>
      </c>
      <c r="R44" s="7">
        <f t="shared" si="12"/>
        <v>33.250215163881791</v>
      </c>
      <c r="S44" s="7">
        <f t="shared" si="13"/>
        <v>34.005901872151831</v>
      </c>
      <c r="T44" s="7">
        <f t="shared" si="14"/>
        <v>37.352514437347729</v>
      </c>
      <c r="U44" s="7">
        <f t="shared" si="15"/>
        <v>33.250215163881791</v>
      </c>
      <c r="V44" s="7">
        <f t="shared" si="16"/>
        <v>34.005901872151831</v>
      </c>
      <c r="W44" s="7">
        <f t="shared" si="17"/>
        <v>37.352514437347729</v>
      </c>
      <c r="X44" s="22"/>
      <c r="Y44" s="10">
        <v>1.0042348282658349</v>
      </c>
      <c r="Z44" s="22"/>
      <c r="AA44">
        <v>1.075</v>
      </c>
    </row>
    <row r="45" spans="1:27" x14ac:dyDescent="0.25">
      <c r="A45" s="16"/>
      <c r="B45" s="30" t="s">
        <v>60</v>
      </c>
      <c r="C45" s="3" t="s">
        <v>61</v>
      </c>
      <c r="D45" s="11" t="s">
        <v>19</v>
      </c>
      <c r="E45" s="7">
        <f t="shared" si="18"/>
        <v>132.19315323320973</v>
      </c>
      <c r="F45" s="7">
        <f t="shared" si="19"/>
        <v>135.22038601452778</v>
      </c>
      <c r="G45" s="7">
        <f t="shared" si="20"/>
        <v>148.36631387648347</v>
      </c>
      <c r="H45" s="7">
        <f t="shared" si="21"/>
        <v>132.19315323320973</v>
      </c>
      <c r="I45" s="7">
        <f t="shared" si="22"/>
        <v>135.22038601452778</v>
      </c>
      <c r="J45" s="7">
        <f t="shared" si="23"/>
        <v>148.36631387648347</v>
      </c>
      <c r="K45" s="7">
        <f t="shared" si="24"/>
        <v>132.19315323320973</v>
      </c>
      <c r="L45" s="7">
        <f t="shared" si="25"/>
        <v>135.22038601452778</v>
      </c>
      <c r="M45" s="7">
        <f t="shared" si="26"/>
        <v>148.36631387648347</v>
      </c>
      <c r="N45" s="22"/>
      <c r="O45" s="7">
        <f t="shared" si="9"/>
        <v>12.284422880711018</v>
      </c>
      <c r="P45" s="7">
        <f t="shared" si="10"/>
        <v>12.563614309818085</v>
      </c>
      <c r="Q45" s="7">
        <f t="shared" si="11"/>
        <v>13.800033495863675</v>
      </c>
      <c r="R45" s="7">
        <f t="shared" si="12"/>
        <v>12.284422880711018</v>
      </c>
      <c r="S45" s="7">
        <f t="shared" si="13"/>
        <v>12.563614309818085</v>
      </c>
      <c r="T45" s="7">
        <f t="shared" si="14"/>
        <v>13.800033495863675</v>
      </c>
      <c r="U45" s="7">
        <f t="shared" si="15"/>
        <v>12.284422880711018</v>
      </c>
      <c r="V45" s="7">
        <f t="shared" si="16"/>
        <v>12.563614309818085</v>
      </c>
      <c r="W45" s="7">
        <f t="shared" si="17"/>
        <v>13.800033495863675</v>
      </c>
      <c r="X45" s="22"/>
      <c r="Y45" s="10">
        <v>0.36258627156762147</v>
      </c>
      <c r="Z45" s="22"/>
      <c r="AA45">
        <v>1.1000000000000001</v>
      </c>
    </row>
    <row r="46" spans="1:27" x14ac:dyDescent="0.25">
      <c r="A46" s="16"/>
      <c r="B46" s="30" t="s">
        <v>62</v>
      </c>
      <c r="C46" s="3" t="s">
        <v>63</v>
      </c>
      <c r="D46" s="11" t="s">
        <v>19</v>
      </c>
      <c r="E46" s="7">
        <f t="shared" si="18"/>
        <v>390.77289586999876</v>
      </c>
      <c r="F46" s="7">
        <f t="shared" si="19"/>
        <v>399.72162348179359</v>
      </c>
      <c r="G46" s="7">
        <f t="shared" si="20"/>
        <v>438.58197421759849</v>
      </c>
      <c r="H46" s="7">
        <f t="shared" si="21"/>
        <v>390.77289586999876</v>
      </c>
      <c r="I46" s="7">
        <f t="shared" si="22"/>
        <v>399.72162348179359</v>
      </c>
      <c r="J46" s="7">
        <f t="shared" si="23"/>
        <v>438.58197421759849</v>
      </c>
      <c r="K46" s="7">
        <f t="shared" si="24"/>
        <v>390.77289586999876</v>
      </c>
      <c r="L46" s="7">
        <f t="shared" si="25"/>
        <v>399.72162348179359</v>
      </c>
      <c r="M46" s="7">
        <f t="shared" si="26"/>
        <v>438.58197421759849</v>
      </c>
      <c r="N46" s="22"/>
      <c r="O46" s="7">
        <f t="shared" si="9"/>
        <v>36.313677265254533</v>
      </c>
      <c r="P46" s="7">
        <f t="shared" si="10"/>
        <v>37.138988112192138</v>
      </c>
      <c r="Q46" s="7">
        <f t="shared" si="11"/>
        <v>40.793936148630095</v>
      </c>
      <c r="R46" s="7">
        <f t="shared" si="12"/>
        <v>36.313677265254533</v>
      </c>
      <c r="S46" s="7">
        <f t="shared" si="13"/>
        <v>37.138988112192138</v>
      </c>
      <c r="T46" s="7">
        <f t="shared" si="14"/>
        <v>40.793936148630095</v>
      </c>
      <c r="U46" s="7">
        <f t="shared" si="15"/>
        <v>36.313677265254533</v>
      </c>
      <c r="V46" s="7">
        <f t="shared" si="16"/>
        <v>37.138988112192138</v>
      </c>
      <c r="W46" s="7">
        <f t="shared" si="17"/>
        <v>40.793936148630095</v>
      </c>
      <c r="X46" s="22"/>
      <c r="Y46" s="10">
        <v>1.0718322687501336</v>
      </c>
      <c r="Z46" s="22"/>
      <c r="AA46">
        <v>1.1000000000000001</v>
      </c>
    </row>
    <row r="47" spans="1:27" x14ac:dyDescent="0.25">
      <c r="A47" s="16"/>
      <c r="B47" s="30" t="s">
        <v>64</v>
      </c>
      <c r="C47" s="3" t="s">
        <v>65</v>
      </c>
      <c r="D47" s="11" t="s">
        <v>19</v>
      </c>
      <c r="E47" s="7">
        <f t="shared" si="18"/>
        <v>189.13137399392252</v>
      </c>
      <c r="F47" s="7">
        <f t="shared" si="19"/>
        <v>193.46249615363126</v>
      </c>
      <c r="G47" s="7">
        <f t="shared" si="20"/>
        <v>212.27063665218213</v>
      </c>
      <c r="H47" s="7">
        <f t="shared" si="21"/>
        <v>189.13137399392252</v>
      </c>
      <c r="I47" s="7">
        <f t="shared" si="22"/>
        <v>193.46249615363126</v>
      </c>
      <c r="J47" s="7">
        <f t="shared" si="23"/>
        <v>212.27063665218213</v>
      </c>
      <c r="K47" s="7">
        <f t="shared" si="24"/>
        <v>189.13137399392252</v>
      </c>
      <c r="L47" s="7">
        <f t="shared" si="25"/>
        <v>193.46249615363126</v>
      </c>
      <c r="M47" s="7">
        <f t="shared" si="26"/>
        <v>212.27063665218213</v>
      </c>
      <c r="N47" s="22"/>
      <c r="O47" s="7">
        <f t="shared" si="9"/>
        <v>17.575568184325409</v>
      </c>
      <c r="P47" s="7">
        <f t="shared" si="10"/>
        <v>17.975012915787349</v>
      </c>
      <c r="Q47" s="7">
        <f t="shared" si="11"/>
        <v>19.74398244083309</v>
      </c>
      <c r="R47" s="7">
        <f t="shared" si="12"/>
        <v>17.575568184325409</v>
      </c>
      <c r="S47" s="7">
        <f t="shared" si="13"/>
        <v>17.975012915787349</v>
      </c>
      <c r="T47" s="7">
        <f t="shared" si="14"/>
        <v>19.74398244083309</v>
      </c>
      <c r="U47" s="7">
        <f t="shared" si="15"/>
        <v>17.575568184325409</v>
      </c>
      <c r="V47" s="7">
        <f t="shared" si="16"/>
        <v>17.975012915787349</v>
      </c>
      <c r="W47" s="7">
        <f t="shared" si="17"/>
        <v>19.74398244083309</v>
      </c>
      <c r="X47" s="22"/>
      <c r="Y47" s="10">
        <v>0.5187593915090144</v>
      </c>
      <c r="Z47" s="22"/>
      <c r="AA47">
        <v>1.1000000000000001</v>
      </c>
    </row>
    <row r="48" spans="1:27" x14ac:dyDescent="0.25">
      <c r="A48" s="16"/>
      <c r="B48" s="30" t="s">
        <v>66</v>
      </c>
      <c r="C48" s="3" t="s">
        <v>67</v>
      </c>
      <c r="D48" s="11" t="s">
        <v>19</v>
      </c>
      <c r="E48" s="7">
        <f t="shared" si="18"/>
        <v>189.13137399392252</v>
      </c>
      <c r="F48" s="7">
        <f t="shared" si="19"/>
        <v>193.46249615363126</v>
      </c>
      <c r="G48" s="7">
        <f t="shared" si="20"/>
        <v>212.27063665218213</v>
      </c>
      <c r="H48" s="7">
        <f t="shared" si="21"/>
        <v>189.13137399392252</v>
      </c>
      <c r="I48" s="7">
        <f t="shared" si="22"/>
        <v>193.46249615363126</v>
      </c>
      <c r="J48" s="7">
        <f t="shared" si="23"/>
        <v>212.27063665218213</v>
      </c>
      <c r="K48" s="7">
        <f t="shared" si="24"/>
        <v>189.13137399392252</v>
      </c>
      <c r="L48" s="7">
        <f t="shared" si="25"/>
        <v>193.46249615363126</v>
      </c>
      <c r="M48" s="7">
        <f t="shared" si="26"/>
        <v>212.27063665218213</v>
      </c>
      <c r="N48" s="22"/>
      <c r="O48" s="7">
        <f t="shared" si="9"/>
        <v>17.575568184325409</v>
      </c>
      <c r="P48" s="7">
        <f t="shared" si="10"/>
        <v>17.975012915787349</v>
      </c>
      <c r="Q48" s="7">
        <f t="shared" si="11"/>
        <v>19.74398244083309</v>
      </c>
      <c r="R48" s="7">
        <f t="shared" si="12"/>
        <v>17.575568184325409</v>
      </c>
      <c r="S48" s="7">
        <f t="shared" si="13"/>
        <v>17.975012915787349</v>
      </c>
      <c r="T48" s="7">
        <f t="shared" si="14"/>
        <v>19.74398244083309</v>
      </c>
      <c r="U48" s="7">
        <f t="shared" si="15"/>
        <v>17.575568184325409</v>
      </c>
      <c r="V48" s="7">
        <f t="shared" si="16"/>
        <v>17.975012915787349</v>
      </c>
      <c r="W48" s="7">
        <f t="shared" si="17"/>
        <v>19.74398244083309</v>
      </c>
      <c r="X48" s="22"/>
      <c r="Y48" s="10">
        <v>0.5187593915090144</v>
      </c>
      <c r="Z48" s="22"/>
      <c r="AA48">
        <v>1.1000000000000001</v>
      </c>
    </row>
    <row r="49" spans="1:27" x14ac:dyDescent="0.25">
      <c r="A49" s="16"/>
      <c r="B49" s="30" t="s">
        <v>68</v>
      </c>
      <c r="C49" s="3" t="s">
        <v>69</v>
      </c>
      <c r="D49" s="11" t="s">
        <v>19</v>
      </c>
      <c r="E49" s="7">
        <f t="shared" si="18"/>
        <v>468.14026333357833</v>
      </c>
      <c r="F49" s="7">
        <f t="shared" si="19"/>
        <v>478.86070926256048</v>
      </c>
      <c r="G49" s="7">
        <f t="shared" si="20"/>
        <v>525.4148459976401</v>
      </c>
      <c r="H49" s="7">
        <f t="shared" si="21"/>
        <v>468.14026333357833</v>
      </c>
      <c r="I49" s="7">
        <f t="shared" si="22"/>
        <v>478.86070926256048</v>
      </c>
      <c r="J49" s="7">
        <f t="shared" si="23"/>
        <v>525.4148459976401</v>
      </c>
      <c r="K49" s="7">
        <f t="shared" si="24"/>
        <v>468.14026333357833</v>
      </c>
      <c r="L49" s="7">
        <f t="shared" si="25"/>
        <v>478.86070926256048</v>
      </c>
      <c r="M49" s="7">
        <f t="shared" si="26"/>
        <v>525.4148459976401</v>
      </c>
      <c r="N49" s="22"/>
      <c r="O49" s="7">
        <f t="shared" si="9"/>
        <v>43.503258842246602</v>
      </c>
      <c r="P49" s="7">
        <f t="shared" si="10"/>
        <v>44.491969270479473</v>
      </c>
      <c r="Q49" s="7">
        <f t="shared" si="11"/>
        <v>48.870544024082221</v>
      </c>
      <c r="R49" s="7">
        <f t="shared" si="12"/>
        <v>43.503258842246602</v>
      </c>
      <c r="S49" s="7">
        <f t="shared" si="13"/>
        <v>44.491969270479473</v>
      </c>
      <c r="T49" s="7">
        <f t="shared" si="14"/>
        <v>48.870544024082221</v>
      </c>
      <c r="U49" s="7">
        <f t="shared" si="15"/>
        <v>43.503258842246602</v>
      </c>
      <c r="V49" s="7">
        <f t="shared" si="16"/>
        <v>44.491969270479473</v>
      </c>
      <c r="W49" s="7">
        <f t="shared" si="17"/>
        <v>48.870544024082221</v>
      </c>
      <c r="X49" s="22"/>
      <c r="Y49" s="10">
        <v>1.2840395171855548</v>
      </c>
      <c r="Z49" s="22"/>
      <c r="AA49">
        <v>1.1000000000000001</v>
      </c>
    </row>
    <row r="50" spans="1:27" x14ac:dyDescent="0.25">
      <c r="A50" s="16"/>
      <c r="B50" s="3" t="s">
        <v>70</v>
      </c>
      <c r="C50" s="3" t="s">
        <v>71</v>
      </c>
      <c r="D50" s="11" t="s">
        <v>19</v>
      </c>
      <c r="E50" s="7">
        <f t="shared" si="18"/>
        <v>389.03501320228145</v>
      </c>
      <c r="F50" s="7">
        <f t="shared" si="19"/>
        <v>397.9439431751432</v>
      </c>
      <c r="G50" s="7">
        <f t="shared" si="20"/>
        <v>436.63147043542324</v>
      </c>
      <c r="H50" s="7">
        <f t="shared" si="21"/>
        <v>389.03501320228145</v>
      </c>
      <c r="I50" s="7">
        <f t="shared" si="22"/>
        <v>397.9439431751432</v>
      </c>
      <c r="J50" s="7">
        <f t="shared" si="23"/>
        <v>436.63147043542324</v>
      </c>
      <c r="K50" s="7">
        <f t="shared" si="24"/>
        <v>389.03501320228145</v>
      </c>
      <c r="L50" s="7">
        <f t="shared" si="25"/>
        <v>397.9439431751432</v>
      </c>
      <c r="M50" s="7">
        <f t="shared" si="26"/>
        <v>436.63147043542324</v>
      </c>
      <c r="N50" s="22"/>
      <c r="O50" s="7">
        <f t="shared" si="9"/>
        <v>36.152179600018918</v>
      </c>
      <c r="P50" s="7">
        <f t="shared" si="10"/>
        <v>36.973820045473893</v>
      </c>
      <c r="Q50" s="7">
        <f t="shared" si="11"/>
        <v>40.612513446774493</v>
      </c>
      <c r="R50" s="7">
        <f t="shared" si="12"/>
        <v>36.152179600018918</v>
      </c>
      <c r="S50" s="7">
        <f t="shared" si="13"/>
        <v>36.973820045473893</v>
      </c>
      <c r="T50" s="7">
        <f t="shared" si="14"/>
        <v>40.612513446774493</v>
      </c>
      <c r="U50" s="7">
        <f t="shared" si="15"/>
        <v>36.152179600018918</v>
      </c>
      <c r="V50" s="7">
        <f t="shared" si="16"/>
        <v>36.973820045473893</v>
      </c>
      <c r="W50" s="7">
        <f t="shared" si="17"/>
        <v>40.612513446774493</v>
      </c>
      <c r="X50" s="22"/>
      <c r="Y50" s="10">
        <v>1.0670655135778899</v>
      </c>
      <c r="Z50" s="22"/>
      <c r="AA50">
        <v>1.1000000000000001</v>
      </c>
    </row>
    <row r="51" spans="1:27" ht="31" customHeight="1" x14ac:dyDescent="0.25">
      <c r="A51" s="16"/>
      <c r="B51" s="30" t="s">
        <v>72</v>
      </c>
      <c r="C51" s="3" t="s">
        <v>73</v>
      </c>
      <c r="D51" s="11" t="s">
        <v>19</v>
      </c>
      <c r="E51" s="7">
        <f t="shared" si="18"/>
        <v>92.166947619477355</v>
      </c>
      <c r="F51" s="7">
        <f t="shared" si="19"/>
        <v>94.277577393891534</v>
      </c>
      <c r="G51" s="7">
        <f t="shared" si="20"/>
        <v>103.44310537342923</v>
      </c>
      <c r="H51" s="7">
        <f t="shared" si="21"/>
        <v>92.166947619477355</v>
      </c>
      <c r="I51" s="7">
        <f t="shared" si="22"/>
        <v>94.277577393891534</v>
      </c>
      <c r="J51" s="7">
        <f t="shared" si="23"/>
        <v>103.44310537342923</v>
      </c>
      <c r="K51" s="7">
        <f t="shared" si="24"/>
        <v>92.166947619477355</v>
      </c>
      <c r="L51" s="7">
        <f t="shared" si="25"/>
        <v>94.277577393891534</v>
      </c>
      <c r="M51" s="7">
        <f t="shared" si="26"/>
        <v>103.44310537342923</v>
      </c>
      <c r="N51" s="22"/>
      <c r="O51" s="7">
        <f t="shared" si="9"/>
        <v>8.5648744468980897</v>
      </c>
      <c r="P51" s="7">
        <f t="shared" si="10"/>
        <v>8.7595306843275917</v>
      </c>
      <c r="Q51" s="7">
        <f t="shared" si="11"/>
        <v>9.6215797358011006</v>
      </c>
      <c r="R51" s="7">
        <f t="shared" si="12"/>
        <v>8.5648744468980897</v>
      </c>
      <c r="S51" s="7">
        <f t="shared" si="13"/>
        <v>8.7595306843275917</v>
      </c>
      <c r="T51" s="7">
        <f t="shared" si="14"/>
        <v>9.6215797358011006</v>
      </c>
      <c r="U51" s="7">
        <f t="shared" si="15"/>
        <v>8.5648744468980897</v>
      </c>
      <c r="V51" s="7">
        <f t="shared" si="16"/>
        <v>8.7595306843275917</v>
      </c>
      <c r="W51" s="7">
        <f t="shared" si="17"/>
        <v>9.6215797358011006</v>
      </c>
      <c r="X51" s="22"/>
      <c r="Y51" s="10">
        <v>0.25280030835000261</v>
      </c>
      <c r="Z51" s="22"/>
      <c r="AA51">
        <v>1.1000000000000001</v>
      </c>
    </row>
    <row r="52" spans="1:27" x14ac:dyDescent="0.25">
      <c r="A52" s="16"/>
      <c r="B52" s="30" t="s">
        <v>74</v>
      </c>
      <c r="C52" s="3" t="s">
        <v>75</v>
      </c>
      <c r="D52" s="11" t="s">
        <v>19</v>
      </c>
      <c r="E52" s="7">
        <f t="shared" si="18"/>
        <v>235.22337175211794</v>
      </c>
      <c r="F52" s="7">
        <f t="shared" si="19"/>
        <v>240.61000399807068</v>
      </c>
      <c r="G52" s="7">
        <f t="shared" si="20"/>
        <v>264.0017561491382</v>
      </c>
      <c r="H52" s="7">
        <f t="shared" si="21"/>
        <v>235.22337175211794</v>
      </c>
      <c r="I52" s="7">
        <f t="shared" si="22"/>
        <v>240.61000399807068</v>
      </c>
      <c r="J52" s="7">
        <f t="shared" si="23"/>
        <v>264.0017561491382</v>
      </c>
      <c r="K52" s="7">
        <f t="shared" si="24"/>
        <v>235.22337175211794</v>
      </c>
      <c r="L52" s="7">
        <f t="shared" si="25"/>
        <v>240.61000399807068</v>
      </c>
      <c r="M52" s="7">
        <f t="shared" si="26"/>
        <v>264.0017561491382</v>
      </c>
      <c r="N52" s="22"/>
      <c r="O52" s="7">
        <f t="shared" si="9"/>
        <v>21.85879751980821</v>
      </c>
      <c r="P52" s="7">
        <f t="shared" si="10"/>
        <v>22.355588372531123</v>
      </c>
      <c r="Q52" s="7">
        <f t="shared" si="11"/>
        <v>24.555662148875459</v>
      </c>
      <c r="R52" s="7">
        <f t="shared" si="12"/>
        <v>21.85879751980821</v>
      </c>
      <c r="S52" s="7">
        <f t="shared" si="13"/>
        <v>22.355588372531123</v>
      </c>
      <c r="T52" s="7">
        <f t="shared" si="14"/>
        <v>24.555662148875459</v>
      </c>
      <c r="U52" s="7">
        <f t="shared" si="15"/>
        <v>21.85879751980821</v>
      </c>
      <c r="V52" s="7">
        <f t="shared" si="16"/>
        <v>22.355588372531123</v>
      </c>
      <c r="W52" s="7">
        <f t="shared" si="17"/>
        <v>24.555662148875459</v>
      </c>
      <c r="X52" s="22"/>
      <c r="Y52" s="10">
        <v>0.64518292561417379</v>
      </c>
      <c r="Z52" s="22"/>
      <c r="AA52">
        <v>1.1000000000000001</v>
      </c>
    </row>
    <row r="53" spans="1:27" x14ac:dyDescent="0.25">
      <c r="A53" s="16"/>
      <c r="B53" s="30" t="s">
        <v>76</v>
      </c>
      <c r="C53" s="3" t="s">
        <v>77</v>
      </c>
      <c r="D53" s="11" t="s">
        <v>19</v>
      </c>
      <c r="E53" s="7">
        <f t="shared" si="18"/>
        <v>219.89981947049475</v>
      </c>
      <c r="F53" s="7">
        <f t="shared" si="19"/>
        <v>224.93554125960003</v>
      </c>
      <c r="G53" s="7">
        <f t="shared" si="20"/>
        <v>246.80344510267122</v>
      </c>
      <c r="H53" s="7">
        <f t="shared" si="21"/>
        <v>219.89981947049475</v>
      </c>
      <c r="I53" s="7">
        <f t="shared" si="22"/>
        <v>224.93554125960003</v>
      </c>
      <c r="J53" s="7">
        <f t="shared" si="23"/>
        <v>246.80344510267122</v>
      </c>
      <c r="K53" s="7">
        <f t="shared" si="24"/>
        <v>219.89981947049475</v>
      </c>
      <c r="L53" s="7">
        <f t="shared" si="25"/>
        <v>224.93554125960003</v>
      </c>
      <c r="M53" s="7">
        <f t="shared" si="26"/>
        <v>246.80344510267122</v>
      </c>
      <c r="N53" s="22"/>
      <c r="O53" s="7">
        <f t="shared" si="9"/>
        <v>20.434813057238831</v>
      </c>
      <c r="P53" s="7">
        <f t="shared" si="10"/>
        <v>20.899240626721536</v>
      </c>
      <c r="Q53" s="7">
        <f t="shared" si="11"/>
        <v>22.955991291573493</v>
      </c>
      <c r="R53" s="7">
        <f t="shared" si="12"/>
        <v>20.434813057238831</v>
      </c>
      <c r="S53" s="7">
        <f t="shared" si="13"/>
        <v>20.899240626721536</v>
      </c>
      <c r="T53" s="7">
        <f t="shared" si="14"/>
        <v>22.955991291573493</v>
      </c>
      <c r="U53" s="7">
        <f t="shared" si="15"/>
        <v>20.434813057238831</v>
      </c>
      <c r="V53" s="7">
        <f t="shared" si="16"/>
        <v>20.899240626721536</v>
      </c>
      <c r="W53" s="7">
        <f t="shared" si="17"/>
        <v>22.955991291573493</v>
      </c>
      <c r="X53" s="22"/>
      <c r="Y53" s="10">
        <v>0.60315268763987107</v>
      </c>
      <c r="Z53" s="22"/>
      <c r="AA53">
        <v>1.1000000000000001</v>
      </c>
    </row>
    <row r="54" spans="1:27" x14ac:dyDescent="0.25">
      <c r="A54" s="16"/>
      <c r="B54" s="30" t="s">
        <v>78</v>
      </c>
      <c r="C54" s="3" t="s">
        <v>79</v>
      </c>
      <c r="D54" s="11" t="s">
        <v>19</v>
      </c>
      <c r="E54" s="7">
        <f t="shared" si="18"/>
        <v>61.850020706747948</v>
      </c>
      <c r="F54" s="7">
        <f t="shared" si="19"/>
        <v>63.266390659572643</v>
      </c>
      <c r="G54" s="7">
        <f t="shared" si="20"/>
        <v>69.417056488966836</v>
      </c>
      <c r="H54" s="7">
        <f t="shared" si="21"/>
        <v>61.850020706747948</v>
      </c>
      <c r="I54" s="7">
        <f t="shared" si="22"/>
        <v>63.266390659572643</v>
      </c>
      <c r="J54" s="7">
        <f t="shared" si="23"/>
        <v>69.417056488966836</v>
      </c>
      <c r="K54" s="7">
        <f t="shared" si="24"/>
        <v>61.850020706747948</v>
      </c>
      <c r="L54" s="7">
        <f t="shared" si="25"/>
        <v>63.266390659572643</v>
      </c>
      <c r="M54" s="7">
        <f t="shared" si="26"/>
        <v>69.417056488966836</v>
      </c>
      <c r="N54" s="22"/>
      <c r="O54" s="7">
        <f t="shared" si="9"/>
        <v>5.7475882143610821</v>
      </c>
      <c r="P54" s="7">
        <f t="shared" si="10"/>
        <v>5.8782152192329242</v>
      </c>
      <c r="Q54" s="7">
        <f t="shared" si="11"/>
        <v>6.4567062408082281</v>
      </c>
      <c r="R54" s="7">
        <f t="shared" si="12"/>
        <v>5.7475882143610821</v>
      </c>
      <c r="S54" s="7">
        <f t="shared" si="13"/>
        <v>5.8782152192329242</v>
      </c>
      <c r="T54" s="7">
        <f t="shared" si="14"/>
        <v>6.4567062408082281</v>
      </c>
      <c r="U54" s="7">
        <f t="shared" si="15"/>
        <v>5.7475882143610821</v>
      </c>
      <c r="V54" s="7">
        <f t="shared" si="16"/>
        <v>5.8782152192329242</v>
      </c>
      <c r="W54" s="7">
        <f t="shared" si="17"/>
        <v>6.4567062408082281</v>
      </c>
      <c r="X54" s="22"/>
      <c r="Y54" s="10">
        <v>0.16964546087252305</v>
      </c>
      <c r="Z54" s="22"/>
      <c r="AA54">
        <v>1.1000000000000001</v>
      </c>
    </row>
    <row r="55" spans="1:27" x14ac:dyDescent="0.25">
      <c r="A55" s="16"/>
      <c r="B55" s="30" t="s">
        <v>80</v>
      </c>
      <c r="C55" s="3" t="s">
        <v>81</v>
      </c>
      <c r="D55" s="11" t="s">
        <v>19</v>
      </c>
      <c r="E55" s="7">
        <f t="shared" si="18"/>
        <v>427.9022125302584</v>
      </c>
      <c r="F55" s="7">
        <f t="shared" si="19"/>
        <v>437.70120418215515</v>
      </c>
      <c r="G55" s="7">
        <f t="shared" si="20"/>
        <v>480.25387412240781</v>
      </c>
      <c r="H55" s="7">
        <f t="shared" si="21"/>
        <v>427.9022125302584</v>
      </c>
      <c r="I55" s="7">
        <f t="shared" si="22"/>
        <v>437.70120418215515</v>
      </c>
      <c r="J55" s="7">
        <f t="shared" si="23"/>
        <v>480.25387412240781</v>
      </c>
      <c r="K55" s="7">
        <f t="shared" si="24"/>
        <v>427.9022125302584</v>
      </c>
      <c r="L55" s="7">
        <f t="shared" si="25"/>
        <v>437.70120418215515</v>
      </c>
      <c r="M55" s="7">
        <f t="shared" si="26"/>
        <v>480.25387412240781</v>
      </c>
      <c r="N55" s="22"/>
      <c r="O55" s="7">
        <f t="shared" si="9"/>
        <v>39.764024094653514</v>
      </c>
      <c r="P55" s="7">
        <f t="shared" si="10"/>
        <v>40.667751914986546</v>
      </c>
      <c r="Q55" s="7">
        <f t="shared" si="11"/>
        <v>44.669975119318558</v>
      </c>
      <c r="R55" s="7">
        <f t="shared" si="12"/>
        <v>39.764024094653514</v>
      </c>
      <c r="S55" s="7">
        <f t="shared" si="13"/>
        <v>40.667751914986546</v>
      </c>
      <c r="T55" s="7">
        <f t="shared" si="14"/>
        <v>44.669975119318558</v>
      </c>
      <c r="U55" s="7">
        <f t="shared" si="15"/>
        <v>39.764024094653514</v>
      </c>
      <c r="V55" s="7">
        <f t="shared" si="16"/>
        <v>40.667751914986546</v>
      </c>
      <c r="W55" s="7">
        <f t="shared" si="17"/>
        <v>44.669975119318558</v>
      </c>
      <c r="X55" s="22"/>
      <c r="Y55" s="10">
        <v>1.1736724939390055</v>
      </c>
      <c r="Z55" s="22"/>
      <c r="AA55">
        <v>1.1000000000000001</v>
      </c>
    </row>
    <row r="56" spans="1:27" x14ac:dyDescent="0.25">
      <c r="A56" s="16"/>
      <c r="B56" s="3" t="s">
        <v>82</v>
      </c>
      <c r="C56" s="3" t="s">
        <v>83</v>
      </c>
      <c r="D56" s="11" t="s">
        <v>19</v>
      </c>
      <c r="E56" s="7">
        <f t="shared" si="18"/>
        <v>415.77984861170717</v>
      </c>
      <c r="F56" s="7">
        <f t="shared" si="19"/>
        <v>425.30123725207301</v>
      </c>
      <c r="G56" s="7">
        <f t="shared" si="20"/>
        <v>466.64840057044705</v>
      </c>
      <c r="H56" s="7">
        <f t="shared" si="21"/>
        <v>415.77984861170717</v>
      </c>
      <c r="I56" s="7">
        <f t="shared" si="22"/>
        <v>425.30123725207301</v>
      </c>
      <c r="J56" s="7">
        <f t="shared" si="23"/>
        <v>466.64840057044705</v>
      </c>
      <c r="K56" s="7">
        <f t="shared" si="24"/>
        <v>415.77984861170717</v>
      </c>
      <c r="L56" s="7">
        <f t="shared" si="25"/>
        <v>425.30123725207301</v>
      </c>
      <c r="M56" s="7">
        <f t="shared" si="26"/>
        <v>466.64840057044705</v>
      </c>
      <c r="N56" s="22"/>
      <c r="O56" s="7">
        <f t="shared" si="9"/>
        <v>38.637519120325194</v>
      </c>
      <c r="P56" s="7">
        <f t="shared" si="10"/>
        <v>39.515644554878037</v>
      </c>
      <c r="Q56" s="7">
        <f t="shared" si="11"/>
        <v>43.40448576504064</v>
      </c>
      <c r="R56" s="7">
        <f t="shared" si="12"/>
        <v>38.637519120325194</v>
      </c>
      <c r="S56" s="7">
        <f t="shared" si="13"/>
        <v>39.515644554878037</v>
      </c>
      <c r="T56" s="7">
        <f t="shared" si="14"/>
        <v>43.40448576504064</v>
      </c>
      <c r="U56" s="7">
        <f t="shared" si="15"/>
        <v>38.637519120325194</v>
      </c>
      <c r="V56" s="7">
        <f t="shared" si="16"/>
        <v>39.515644554878037</v>
      </c>
      <c r="W56" s="7">
        <f t="shared" si="17"/>
        <v>43.40448576504064</v>
      </c>
      <c r="X56" s="22"/>
      <c r="Y56" s="10">
        <v>1.1404226422764223</v>
      </c>
      <c r="Z56" s="22"/>
      <c r="AA56">
        <v>1.1000000000000001</v>
      </c>
    </row>
    <row r="57" spans="1:27" x14ac:dyDescent="0.25">
      <c r="A57" s="16"/>
      <c r="B57" s="3" t="s">
        <v>82</v>
      </c>
      <c r="C57" s="3" t="s">
        <v>84</v>
      </c>
      <c r="D57" s="11" t="s">
        <v>19</v>
      </c>
      <c r="E57" s="7">
        <f t="shared" si="18"/>
        <v>415.77984861170717</v>
      </c>
      <c r="F57" s="7">
        <f t="shared" si="19"/>
        <v>425.30123725207301</v>
      </c>
      <c r="G57" s="7">
        <f t="shared" si="20"/>
        <v>466.64840057044705</v>
      </c>
      <c r="H57" s="7">
        <f t="shared" si="21"/>
        <v>415.77984861170717</v>
      </c>
      <c r="I57" s="7">
        <f t="shared" si="22"/>
        <v>425.30123725207301</v>
      </c>
      <c r="J57" s="7">
        <f t="shared" si="23"/>
        <v>466.64840057044705</v>
      </c>
      <c r="K57" s="7">
        <f t="shared" si="24"/>
        <v>415.77984861170717</v>
      </c>
      <c r="L57" s="7">
        <f t="shared" si="25"/>
        <v>425.30123725207301</v>
      </c>
      <c r="M57" s="7">
        <f t="shared" si="26"/>
        <v>466.64840057044705</v>
      </c>
      <c r="N57" s="22"/>
      <c r="O57" s="7">
        <f t="shared" si="9"/>
        <v>38.637519120325194</v>
      </c>
      <c r="P57" s="7">
        <f t="shared" si="10"/>
        <v>39.515644554878037</v>
      </c>
      <c r="Q57" s="7">
        <f t="shared" si="11"/>
        <v>43.40448576504064</v>
      </c>
      <c r="R57" s="7">
        <f t="shared" si="12"/>
        <v>38.637519120325194</v>
      </c>
      <c r="S57" s="7">
        <f t="shared" si="13"/>
        <v>39.515644554878037</v>
      </c>
      <c r="T57" s="7">
        <f t="shared" si="14"/>
        <v>43.40448576504064</v>
      </c>
      <c r="U57" s="7">
        <f t="shared" si="15"/>
        <v>38.637519120325194</v>
      </c>
      <c r="V57" s="7">
        <f t="shared" si="16"/>
        <v>39.515644554878037</v>
      </c>
      <c r="W57" s="7">
        <f t="shared" si="17"/>
        <v>43.40448576504064</v>
      </c>
      <c r="X57" s="22"/>
      <c r="Y57" s="10">
        <v>1.1404226422764223</v>
      </c>
      <c r="Z57" s="22"/>
      <c r="AA57">
        <v>1.1000000000000001</v>
      </c>
    </row>
    <row r="58" spans="1:27" x14ac:dyDescent="0.25">
      <c r="A58" s="16"/>
      <c r="B58" s="3" t="s">
        <v>85</v>
      </c>
      <c r="C58" s="3" t="s">
        <v>86</v>
      </c>
      <c r="D58" s="11" t="s">
        <v>19</v>
      </c>
      <c r="E58" s="7">
        <f t="shared" si="18"/>
        <v>234.72419121951214</v>
      </c>
      <c r="F58" s="7">
        <f t="shared" si="19"/>
        <v>240.09939219512191</v>
      </c>
      <c r="G58" s="7">
        <f t="shared" si="20"/>
        <v>263.4415034146341</v>
      </c>
      <c r="H58" s="7">
        <f t="shared" si="21"/>
        <v>234.72419121951214</v>
      </c>
      <c r="I58" s="7">
        <f t="shared" si="22"/>
        <v>240.09939219512191</v>
      </c>
      <c r="J58" s="7">
        <f t="shared" si="23"/>
        <v>263.4415034146341</v>
      </c>
      <c r="K58" s="7">
        <f t="shared" si="24"/>
        <v>234.72419121951214</v>
      </c>
      <c r="L58" s="7">
        <f t="shared" si="25"/>
        <v>240.09939219512191</v>
      </c>
      <c r="M58" s="7">
        <f t="shared" si="26"/>
        <v>263.4415034146341</v>
      </c>
      <c r="N58" s="22"/>
      <c r="O58" s="7">
        <f t="shared" si="9"/>
        <v>21.812409756097555</v>
      </c>
      <c r="P58" s="7">
        <f t="shared" si="10"/>
        <v>22.308146341463413</v>
      </c>
      <c r="Q58" s="7">
        <f t="shared" si="11"/>
        <v>24.503551219512193</v>
      </c>
      <c r="R58" s="7">
        <f t="shared" si="12"/>
        <v>21.812409756097555</v>
      </c>
      <c r="S58" s="7">
        <f t="shared" si="13"/>
        <v>22.308146341463413</v>
      </c>
      <c r="T58" s="7">
        <f t="shared" si="14"/>
        <v>24.503551219512193</v>
      </c>
      <c r="U58" s="7">
        <f t="shared" si="15"/>
        <v>21.812409756097555</v>
      </c>
      <c r="V58" s="7">
        <f t="shared" si="16"/>
        <v>22.308146341463413</v>
      </c>
      <c r="W58" s="7">
        <f t="shared" si="17"/>
        <v>24.503551219512193</v>
      </c>
      <c r="X58" s="22"/>
      <c r="Y58" s="10">
        <v>0.68292682926829262</v>
      </c>
      <c r="Z58" s="22"/>
      <c r="AA58">
        <v>1.0369999999999999</v>
      </c>
    </row>
    <row r="59" spans="1:27" x14ac:dyDescent="0.25">
      <c r="A59" s="16"/>
      <c r="B59" s="3" t="s">
        <v>85</v>
      </c>
      <c r="C59" s="3" t="s">
        <v>87</v>
      </c>
      <c r="D59" s="11" t="s">
        <v>19</v>
      </c>
      <c r="E59" s="7">
        <f t="shared" si="18"/>
        <v>234.72419121951214</v>
      </c>
      <c r="F59" s="7">
        <f t="shared" si="19"/>
        <v>240.09939219512191</v>
      </c>
      <c r="G59" s="7">
        <f t="shared" si="20"/>
        <v>263.4415034146341</v>
      </c>
      <c r="H59" s="7">
        <f t="shared" si="21"/>
        <v>234.72419121951214</v>
      </c>
      <c r="I59" s="7">
        <f t="shared" si="22"/>
        <v>240.09939219512191</v>
      </c>
      <c r="J59" s="7">
        <f t="shared" si="23"/>
        <v>263.4415034146341</v>
      </c>
      <c r="K59" s="7">
        <f t="shared" si="24"/>
        <v>234.72419121951214</v>
      </c>
      <c r="L59" s="7">
        <f t="shared" si="25"/>
        <v>240.09939219512191</v>
      </c>
      <c r="M59" s="7">
        <f t="shared" si="26"/>
        <v>263.4415034146341</v>
      </c>
      <c r="N59" s="22"/>
      <c r="O59" s="7">
        <f t="shared" si="9"/>
        <v>21.812409756097555</v>
      </c>
      <c r="P59" s="7">
        <f t="shared" si="10"/>
        <v>22.308146341463413</v>
      </c>
      <c r="Q59" s="7">
        <f t="shared" si="11"/>
        <v>24.503551219512193</v>
      </c>
      <c r="R59" s="7">
        <f t="shared" si="12"/>
        <v>21.812409756097555</v>
      </c>
      <c r="S59" s="7">
        <f t="shared" si="13"/>
        <v>22.308146341463413</v>
      </c>
      <c r="T59" s="7">
        <f t="shared" si="14"/>
        <v>24.503551219512193</v>
      </c>
      <c r="U59" s="7">
        <f t="shared" si="15"/>
        <v>21.812409756097555</v>
      </c>
      <c r="V59" s="7">
        <f t="shared" si="16"/>
        <v>22.308146341463413</v>
      </c>
      <c r="W59" s="7">
        <f t="shared" si="17"/>
        <v>24.503551219512193</v>
      </c>
      <c r="X59" s="22"/>
      <c r="Y59" s="10">
        <v>0.68292682926829262</v>
      </c>
      <c r="Z59" s="22"/>
      <c r="AA59">
        <v>1.0369999999999999</v>
      </c>
    </row>
    <row r="60" spans="1:27" x14ac:dyDescent="0.25">
      <c r="A60" s="16"/>
      <c r="B60" s="3" t="s">
        <v>85</v>
      </c>
      <c r="C60" s="3" t="s">
        <v>88</v>
      </c>
      <c r="D60" s="11" t="s">
        <v>19</v>
      </c>
      <c r="E60" s="7">
        <f t="shared" si="18"/>
        <v>234.72419121951214</v>
      </c>
      <c r="F60" s="7">
        <f t="shared" si="19"/>
        <v>240.09939219512191</v>
      </c>
      <c r="G60" s="7">
        <f t="shared" si="20"/>
        <v>263.4415034146341</v>
      </c>
      <c r="H60" s="7">
        <f t="shared" si="21"/>
        <v>234.72419121951214</v>
      </c>
      <c r="I60" s="7">
        <f t="shared" si="22"/>
        <v>240.09939219512191</v>
      </c>
      <c r="J60" s="7">
        <f t="shared" si="23"/>
        <v>263.4415034146341</v>
      </c>
      <c r="K60" s="7">
        <f t="shared" si="24"/>
        <v>234.72419121951214</v>
      </c>
      <c r="L60" s="7">
        <f t="shared" si="25"/>
        <v>240.09939219512191</v>
      </c>
      <c r="M60" s="7">
        <f t="shared" si="26"/>
        <v>263.4415034146341</v>
      </c>
      <c r="N60" s="22"/>
      <c r="O60" s="7">
        <f t="shared" si="9"/>
        <v>21.812409756097555</v>
      </c>
      <c r="P60" s="7">
        <f t="shared" si="10"/>
        <v>22.308146341463413</v>
      </c>
      <c r="Q60" s="7">
        <f t="shared" si="11"/>
        <v>24.503551219512193</v>
      </c>
      <c r="R60" s="7">
        <f t="shared" si="12"/>
        <v>21.812409756097555</v>
      </c>
      <c r="S60" s="7">
        <f t="shared" si="13"/>
        <v>22.308146341463413</v>
      </c>
      <c r="T60" s="7">
        <f t="shared" si="14"/>
        <v>24.503551219512193</v>
      </c>
      <c r="U60" s="7">
        <f t="shared" si="15"/>
        <v>21.812409756097555</v>
      </c>
      <c r="V60" s="7">
        <f t="shared" si="16"/>
        <v>22.308146341463413</v>
      </c>
      <c r="W60" s="7">
        <f t="shared" si="17"/>
        <v>24.503551219512193</v>
      </c>
      <c r="X60" s="22"/>
      <c r="Y60" s="10">
        <v>0.68292682926829262</v>
      </c>
      <c r="Z60" s="22"/>
      <c r="AA60">
        <v>1.0369999999999999</v>
      </c>
    </row>
    <row r="61" spans="1:27" x14ac:dyDescent="0.25">
      <c r="A61" s="16"/>
      <c r="B61" s="3" t="s">
        <v>89</v>
      </c>
      <c r="C61" s="3" t="s">
        <v>90</v>
      </c>
      <c r="D61" s="11" t="s">
        <v>19</v>
      </c>
      <c r="E61" s="7">
        <f t="shared" si="18"/>
        <v>281.65338335318052</v>
      </c>
      <c r="F61" s="7">
        <f t="shared" si="19"/>
        <v>288.10326622685488</v>
      </c>
      <c r="G61" s="7">
        <f t="shared" si="20"/>
        <v>316.11224376523535</v>
      </c>
      <c r="H61" s="7">
        <f t="shared" si="21"/>
        <v>281.65338335318052</v>
      </c>
      <c r="I61" s="7">
        <f t="shared" si="22"/>
        <v>288.10326622685488</v>
      </c>
      <c r="J61" s="7">
        <f t="shared" si="23"/>
        <v>316.11224376523535</v>
      </c>
      <c r="K61" s="7">
        <f t="shared" si="24"/>
        <v>281.65338335318052</v>
      </c>
      <c r="L61" s="7">
        <f t="shared" si="25"/>
        <v>288.10326622685488</v>
      </c>
      <c r="M61" s="7">
        <f t="shared" si="26"/>
        <v>316.11224376523535</v>
      </c>
      <c r="N61" s="22"/>
      <c r="O61" s="7">
        <f t="shared" si="9"/>
        <v>26.173437748243902</v>
      </c>
      <c r="P61" s="7">
        <f t="shared" si="10"/>
        <v>26.768288606158535</v>
      </c>
      <c r="Q61" s="7">
        <f t="shared" si="11"/>
        <v>29.402628119780488</v>
      </c>
      <c r="R61" s="7">
        <f t="shared" si="12"/>
        <v>26.173437748243902</v>
      </c>
      <c r="S61" s="7">
        <f t="shared" si="13"/>
        <v>26.768288606158535</v>
      </c>
      <c r="T61" s="7">
        <f t="shared" si="14"/>
        <v>29.402628119780488</v>
      </c>
      <c r="U61" s="7">
        <f t="shared" si="15"/>
        <v>26.173437748243902</v>
      </c>
      <c r="V61" s="7">
        <f t="shared" si="16"/>
        <v>26.768288606158535</v>
      </c>
      <c r="W61" s="7">
        <f t="shared" si="17"/>
        <v>29.402628119780488</v>
      </c>
      <c r="X61" s="22"/>
      <c r="Y61" s="10">
        <v>0.81319324390243908</v>
      </c>
      <c r="Z61" s="22"/>
      <c r="AA61">
        <v>1.0449999999999999</v>
      </c>
    </row>
    <row r="62" spans="1:27" x14ac:dyDescent="0.25">
      <c r="A62" s="16"/>
      <c r="B62" s="3" t="s">
        <v>91</v>
      </c>
      <c r="C62" s="3" t="s">
        <v>92</v>
      </c>
      <c r="D62" s="11" t="s">
        <v>19</v>
      </c>
      <c r="E62" s="7">
        <f t="shared" si="18"/>
        <v>259.76609999999994</v>
      </c>
      <c r="F62" s="7">
        <f t="shared" si="19"/>
        <v>265.71476249999995</v>
      </c>
      <c r="G62" s="7">
        <f t="shared" si="20"/>
        <v>291.54716250000001</v>
      </c>
      <c r="H62" s="7">
        <f t="shared" si="21"/>
        <v>259.76609999999994</v>
      </c>
      <c r="I62" s="7">
        <f t="shared" si="22"/>
        <v>265.71476249999995</v>
      </c>
      <c r="J62" s="7">
        <f t="shared" si="23"/>
        <v>291.54716250000001</v>
      </c>
      <c r="K62" s="7">
        <f t="shared" si="24"/>
        <v>259.76609999999994</v>
      </c>
      <c r="L62" s="7">
        <f t="shared" si="25"/>
        <v>265.71476249999995</v>
      </c>
      <c r="M62" s="7">
        <f t="shared" si="26"/>
        <v>291.54716250000001</v>
      </c>
      <c r="N62" s="22"/>
      <c r="O62" s="7">
        <f t="shared" si="9"/>
        <v>24.139499999999998</v>
      </c>
      <c r="P62" s="7">
        <f t="shared" si="10"/>
        <v>24.688124999999999</v>
      </c>
      <c r="Q62" s="7">
        <f t="shared" si="11"/>
        <v>27.117750000000001</v>
      </c>
      <c r="R62" s="7">
        <f t="shared" si="12"/>
        <v>24.139499999999998</v>
      </c>
      <c r="S62" s="7">
        <f t="shared" si="13"/>
        <v>24.688124999999999</v>
      </c>
      <c r="T62" s="7">
        <f t="shared" si="14"/>
        <v>27.117750000000001</v>
      </c>
      <c r="U62" s="7">
        <f t="shared" si="15"/>
        <v>24.139499999999998</v>
      </c>
      <c r="V62" s="7">
        <f t="shared" si="16"/>
        <v>24.688124999999999</v>
      </c>
      <c r="W62" s="7">
        <f t="shared" si="17"/>
        <v>27.117750000000001</v>
      </c>
      <c r="X62" s="22"/>
      <c r="Y62" s="10">
        <v>0.75</v>
      </c>
      <c r="Z62" s="22"/>
      <c r="AA62">
        <v>1.0449999999999999</v>
      </c>
    </row>
    <row r="63" spans="1:27" x14ac:dyDescent="0.25">
      <c r="A63" s="16"/>
      <c r="B63" s="3" t="s">
        <v>93</v>
      </c>
      <c r="C63" s="3" t="s">
        <v>53</v>
      </c>
      <c r="D63" s="11" t="s">
        <v>19</v>
      </c>
      <c r="E63" s="7">
        <f t="shared" si="18"/>
        <v>299.29031999999995</v>
      </c>
      <c r="F63" s="7">
        <f t="shared" si="19"/>
        <v>306.14409000000001</v>
      </c>
      <c r="G63" s="7">
        <f t="shared" si="20"/>
        <v>335.90697</v>
      </c>
      <c r="H63" s="7">
        <f t="shared" si="21"/>
        <v>299.29031999999995</v>
      </c>
      <c r="I63" s="7">
        <f t="shared" si="22"/>
        <v>306.14409000000001</v>
      </c>
      <c r="J63" s="7">
        <f t="shared" si="23"/>
        <v>335.90697</v>
      </c>
      <c r="K63" s="7">
        <f t="shared" si="24"/>
        <v>299.29031999999995</v>
      </c>
      <c r="L63" s="7">
        <f t="shared" si="25"/>
        <v>306.14409000000001</v>
      </c>
      <c r="M63" s="7">
        <f t="shared" si="26"/>
        <v>335.90697</v>
      </c>
      <c r="N63" s="22"/>
      <c r="O63" s="7">
        <f t="shared" si="9"/>
        <v>27.8124</v>
      </c>
      <c r="P63" s="7">
        <f t="shared" si="10"/>
        <v>28.444500000000001</v>
      </c>
      <c r="Q63" s="7">
        <f t="shared" si="11"/>
        <v>31.2438</v>
      </c>
      <c r="R63" s="7">
        <f t="shared" si="12"/>
        <v>27.8124</v>
      </c>
      <c r="S63" s="7">
        <f t="shared" si="13"/>
        <v>28.444500000000001</v>
      </c>
      <c r="T63" s="7">
        <f t="shared" si="14"/>
        <v>31.2438</v>
      </c>
      <c r="U63" s="7">
        <f t="shared" si="15"/>
        <v>27.8124</v>
      </c>
      <c r="V63" s="7">
        <f t="shared" si="16"/>
        <v>28.444500000000001</v>
      </c>
      <c r="W63" s="7">
        <f t="shared" si="17"/>
        <v>31.2438</v>
      </c>
      <c r="X63" s="22"/>
      <c r="Y63" s="10">
        <v>0.86</v>
      </c>
      <c r="Z63" s="22"/>
      <c r="AA63">
        <v>1.05</v>
      </c>
    </row>
    <row r="64" spans="1:27" x14ac:dyDescent="0.25">
      <c r="A64" s="16"/>
      <c r="B64" s="3" t="s">
        <v>94</v>
      </c>
      <c r="C64" s="3" t="s">
        <v>95</v>
      </c>
      <c r="D64" s="11" t="s">
        <v>19</v>
      </c>
      <c r="E64" s="7">
        <f t="shared" si="18"/>
        <v>246.72161794097559</v>
      </c>
      <c r="F64" s="7">
        <f t="shared" si="19"/>
        <v>252.37156085725607</v>
      </c>
      <c r="G64" s="7">
        <f t="shared" si="20"/>
        <v>276.90675433823168</v>
      </c>
      <c r="H64" s="7">
        <f t="shared" si="21"/>
        <v>246.72161794097559</v>
      </c>
      <c r="I64" s="7">
        <f t="shared" si="22"/>
        <v>252.37156085725607</v>
      </c>
      <c r="J64" s="7">
        <f t="shared" si="23"/>
        <v>276.90675433823168</v>
      </c>
      <c r="K64" s="7">
        <f t="shared" si="24"/>
        <v>246.72161794097559</v>
      </c>
      <c r="L64" s="7">
        <f t="shared" si="25"/>
        <v>252.37156085725607</v>
      </c>
      <c r="M64" s="7">
        <f t="shared" si="26"/>
        <v>276.90675433823168</v>
      </c>
      <c r="N64" s="22"/>
      <c r="O64" s="7">
        <f t="shared" si="9"/>
        <v>22.927304587804876</v>
      </c>
      <c r="P64" s="7">
        <f t="shared" si="10"/>
        <v>23.448379692073171</v>
      </c>
      <c r="Q64" s="7">
        <f t="shared" si="11"/>
        <v>25.75599801097561</v>
      </c>
      <c r="R64" s="7">
        <f t="shared" si="12"/>
        <v>22.927304587804876</v>
      </c>
      <c r="S64" s="7">
        <f t="shared" si="13"/>
        <v>23.448379692073171</v>
      </c>
      <c r="T64" s="7">
        <f t="shared" si="14"/>
        <v>25.75599801097561</v>
      </c>
      <c r="U64" s="7">
        <f t="shared" si="15"/>
        <v>22.927304587804876</v>
      </c>
      <c r="V64" s="7">
        <f t="shared" si="16"/>
        <v>23.448379692073171</v>
      </c>
      <c r="W64" s="7">
        <f t="shared" si="17"/>
        <v>25.75599801097561</v>
      </c>
      <c r="X64" s="22"/>
      <c r="Y64" s="10">
        <v>0.71233780487804876</v>
      </c>
      <c r="Z64" s="22"/>
      <c r="AA64">
        <v>1.0449999999999999</v>
      </c>
    </row>
    <row r="65" spans="1:27" x14ac:dyDescent="0.25">
      <c r="A65" s="16"/>
      <c r="B65" s="3" t="s">
        <v>94</v>
      </c>
      <c r="C65" s="3" t="s">
        <v>96</v>
      </c>
      <c r="D65" s="11" t="s">
        <v>19</v>
      </c>
      <c r="E65" s="7">
        <f t="shared" si="18"/>
        <v>246.72161794097559</v>
      </c>
      <c r="F65" s="7">
        <f t="shared" si="19"/>
        <v>252.37156085725607</v>
      </c>
      <c r="G65" s="7">
        <f t="shared" si="20"/>
        <v>276.90675433823168</v>
      </c>
      <c r="H65" s="7">
        <f t="shared" si="21"/>
        <v>246.72161794097559</v>
      </c>
      <c r="I65" s="7">
        <f t="shared" si="22"/>
        <v>252.37156085725607</v>
      </c>
      <c r="J65" s="7">
        <f t="shared" si="23"/>
        <v>276.90675433823168</v>
      </c>
      <c r="K65" s="7">
        <f t="shared" si="24"/>
        <v>246.72161794097559</v>
      </c>
      <c r="L65" s="7">
        <f t="shared" si="25"/>
        <v>252.37156085725607</v>
      </c>
      <c r="M65" s="7">
        <f t="shared" si="26"/>
        <v>276.90675433823168</v>
      </c>
      <c r="N65" s="22"/>
      <c r="O65" s="7">
        <f t="shared" si="9"/>
        <v>22.927304587804876</v>
      </c>
      <c r="P65" s="7">
        <f t="shared" si="10"/>
        <v>23.448379692073171</v>
      </c>
      <c r="Q65" s="7">
        <f t="shared" si="11"/>
        <v>25.75599801097561</v>
      </c>
      <c r="R65" s="7">
        <f t="shared" si="12"/>
        <v>22.927304587804876</v>
      </c>
      <c r="S65" s="7">
        <f t="shared" si="13"/>
        <v>23.448379692073171</v>
      </c>
      <c r="T65" s="7">
        <f t="shared" si="14"/>
        <v>25.75599801097561</v>
      </c>
      <c r="U65" s="7">
        <f t="shared" si="15"/>
        <v>22.927304587804876</v>
      </c>
      <c r="V65" s="7">
        <f t="shared" si="16"/>
        <v>23.448379692073171</v>
      </c>
      <c r="W65" s="7">
        <f t="shared" si="17"/>
        <v>25.75599801097561</v>
      </c>
      <c r="X65" s="22"/>
      <c r="Y65" s="10">
        <v>0.71233780487804876</v>
      </c>
      <c r="Z65" s="22"/>
      <c r="AA65">
        <v>1.0449999999999999</v>
      </c>
    </row>
    <row r="66" spans="1:27" x14ac:dyDescent="0.25">
      <c r="A66" s="16"/>
      <c r="B66" s="3" t="s">
        <v>94</v>
      </c>
      <c r="C66" s="3" t="s">
        <v>97</v>
      </c>
      <c r="D66" s="11" t="s">
        <v>19</v>
      </c>
      <c r="E66" s="7">
        <f t="shared" si="18"/>
        <v>246.72161794097559</v>
      </c>
      <c r="F66" s="7">
        <f t="shared" si="19"/>
        <v>252.37156085725607</v>
      </c>
      <c r="G66" s="7">
        <f t="shared" si="20"/>
        <v>276.90675433823168</v>
      </c>
      <c r="H66" s="7">
        <f t="shared" si="21"/>
        <v>246.72161794097559</v>
      </c>
      <c r="I66" s="7">
        <f t="shared" si="22"/>
        <v>252.37156085725607</v>
      </c>
      <c r="J66" s="7">
        <f t="shared" si="23"/>
        <v>276.90675433823168</v>
      </c>
      <c r="K66" s="7">
        <f t="shared" si="24"/>
        <v>246.72161794097559</v>
      </c>
      <c r="L66" s="7">
        <f t="shared" si="25"/>
        <v>252.37156085725607</v>
      </c>
      <c r="M66" s="7">
        <f t="shared" si="26"/>
        <v>276.90675433823168</v>
      </c>
      <c r="N66" s="22"/>
      <c r="O66" s="7">
        <f t="shared" si="9"/>
        <v>22.927304587804876</v>
      </c>
      <c r="P66" s="7">
        <f t="shared" si="10"/>
        <v>23.448379692073171</v>
      </c>
      <c r="Q66" s="7">
        <f t="shared" si="11"/>
        <v>25.75599801097561</v>
      </c>
      <c r="R66" s="7">
        <f t="shared" si="12"/>
        <v>22.927304587804876</v>
      </c>
      <c r="S66" s="7">
        <f t="shared" si="13"/>
        <v>23.448379692073171</v>
      </c>
      <c r="T66" s="7">
        <f t="shared" si="14"/>
        <v>25.75599801097561</v>
      </c>
      <c r="U66" s="7">
        <f t="shared" si="15"/>
        <v>22.927304587804876</v>
      </c>
      <c r="V66" s="7">
        <f t="shared" si="16"/>
        <v>23.448379692073171</v>
      </c>
      <c r="W66" s="7">
        <f t="shared" si="17"/>
        <v>25.75599801097561</v>
      </c>
      <c r="X66" s="22"/>
      <c r="Y66" s="10">
        <v>0.71233780487804876</v>
      </c>
      <c r="Z66" s="22"/>
      <c r="AA66">
        <v>1.0449999999999999</v>
      </c>
    </row>
    <row r="67" spans="1:27" x14ac:dyDescent="0.25">
      <c r="A67" s="16"/>
      <c r="B67" s="3" t="s">
        <v>94</v>
      </c>
      <c r="C67" s="3" t="s">
        <v>98</v>
      </c>
      <c r="D67" s="11" t="s">
        <v>19</v>
      </c>
      <c r="E67" s="7">
        <f t="shared" si="18"/>
        <v>246.72161794097559</v>
      </c>
      <c r="F67" s="7">
        <f t="shared" si="19"/>
        <v>252.37156085725607</v>
      </c>
      <c r="G67" s="7">
        <f t="shared" si="20"/>
        <v>276.90675433823168</v>
      </c>
      <c r="H67" s="7">
        <f t="shared" si="21"/>
        <v>246.72161794097559</v>
      </c>
      <c r="I67" s="7">
        <f t="shared" si="22"/>
        <v>252.37156085725607</v>
      </c>
      <c r="J67" s="7">
        <f t="shared" si="23"/>
        <v>276.90675433823168</v>
      </c>
      <c r="K67" s="7">
        <f t="shared" si="24"/>
        <v>246.72161794097559</v>
      </c>
      <c r="L67" s="7">
        <f t="shared" si="25"/>
        <v>252.37156085725607</v>
      </c>
      <c r="M67" s="7">
        <f t="shared" si="26"/>
        <v>276.90675433823168</v>
      </c>
      <c r="N67" s="22"/>
      <c r="O67" s="7">
        <f t="shared" si="9"/>
        <v>22.927304587804876</v>
      </c>
      <c r="P67" s="7">
        <f t="shared" si="10"/>
        <v>23.448379692073171</v>
      </c>
      <c r="Q67" s="7">
        <f t="shared" si="11"/>
        <v>25.75599801097561</v>
      </c>
      <c r="R67" s="7">
        <f t="shared" si="12"/>
        <v>22.927304587804876</v>
      </c>
      <c r="S67" s="7">
        <f t="shared" si="13"/>
        <v>23.448379692073171</v>
      </c>
      <c r="T67" s="7">
        <f t="shared" si="14"/>
        <v>25.75599801097561</v>
      </c>
      <c r="U67" s="7">
        <f t="shared" si="15"/>
        <v>22.927304587804876</v>
      </c>
      <c r="V67" s="7">
        <f t="shared" si="16"/>
        <v>23.448379692073171</v>
      </c>
      <c r="W67" s="7">
        <f t="shared" si="17"/>
        <v>25.75599801097561</v>
      </c>
      <c r="X67" s="22"/>
      <c r="Y67" s="10">
        <v>0.71233780487804876</v>
      </c>
      <c r="Z67" s="22"/>
      <c r="AA67">
        <v>1.0449999999999999</v>
      </c>
    </row>
    <row r="68" spans="1:27" x14ac:dyDescent="0.25">
      <c r="A68" s="16"/>
      <c r="B68" s="30" t="s">
        <v>99</v>
      </c>
      <c r="C68" s="3" t="s">
        <v>100</v>
      </c>
      <c r="D68" s="11" t="s">
        <v>19</v>
      </c>
      <c r="E68" s="7">
        <f t="shared" si="18"/>
        <v>390.0563765853658</v>
      </c>
      <c r="F68" s="7">
        <f t="shared" si="19"/>
        <v>398.98869585365844</v>
      </c>
      <c r="G68" s="7">
        <f t="shared" si="20"/>
        <v>437.77779243902438</v>
      </c>
      <c r="H68" s="7">
        <f t="shared" si="21"/>
        <v>390.0563765853658</v>
      </c>
      <c r="I68" s="7">
        <f t="shared" si="22"/>
        <v>398.98869585365844</v>
      </c>
      <c r="J68" s="7">
        <f t="shared" si="23"/>
        <v>437.77779243902438</v>
      </c>
      <c r="K68" s="7">
        <f t="shared" si="24"/>
        <v>390.0563765853658</v>
      </c>
      <c r="L68" s="7">
        <f t="shared" si="25"/>
        <v>398.98869585365844</v>
      </c>
      <c r="M68" s="7">
        <f t="shared" si="26"/>
        <v>437.77779243902438</v>
      </c>
      <c r="N68" s="22"/>
      <c r="O68" s="7">
        <f t="shared" si="9"/>
        <v>36.247092682926827</v>
      </c>
      <c r="P68" s="7">
        <f t="shared" si="10"/>
        <v>37.070890243902433</v>
      </c>
      <c r="Q68" s="7">
        <f t="shared" si="11"/>
        <v>40.719136585365852</v>
      </c>
      <c r="R68" s="7">
        <f t="shared" si="12"/>
        <v>36.247092682926827</v>
      </c>
      <c r="S68" s="7">
        <f t="shared" si="13"/>
        <v>37.070890243902433</v>
      </c>
      <c r="T68" s="7">
        <f t="shared" si="14"/>
        <v>40.719136585365852</v>
      </c>
      <c r="U68" s="7">
        <f t="shared" si="15"/>
        <v>36.247092682926827</v>
      </c>
      <c r="V68" s="7">
        <f t="shared" si="16"/>
        <v>37.070890243902433</v>
      </c>
      <c r="W68" s="7">
        <f t="shared" si="17"/>
        <v>40.719136585365852</v>
      </c>
      <c r="X68" s="22"/>
      <c r="Y68" s="10">
        <v>1.1208130081300811</v>
      </c>
      <c r="Z68" s="22"/>
      <c r="AA68">
        <v>1.05</v>
      </c>
    </row>
    <row r="69" spans="1:27" hidden="1" x14ac:dyDescent="0.25">
      <c r="A69" s="16"/>
      <c r="B69" s="3" t="s">
        <v>101</v>
      </c>
      <c r="C69" s="3" t="s">
        <v>102</v>
      </c>
      <c r="D69" s="11" t="s">
        <v>6</v>
      </c>
      <c r="E69" s="7">
        <f t="shared" ref="E69:E100" si="27">(331.44*$Y69)*$AA69</f>
        <v>197.95443474710518</v>
      </c>
      <c r="F69" s="7">
        <f t="shared" ref="F69:F100" si="28">(339.03*$Y69)*$AA69</f>
        <v>202.48760563695106</v>
      </c>
      <c r="G69" s="7">
        <f t="shared" ref="G69:G100" si="29">(371.99*$Y69)*$AA69</f>
        <v>222.17315405978655</v>
      </c>
      <c r="H69" s="7">
        <f t="shared" ref="H69:H100" si="30">(331.44*$Y69)*$AA69</f>
        <v>197.95443474710518</v>
      </c>
      <c r="I69" s="7">
        <f t="shared" ref="I69:I100" si="31">(339.03*$Y69)*$AA69</f>
        <v>202.48760563695106</v>
      </c>
      <c r="J69" s="7">
        <f t="shared" ref="J69:J100" si="32">(371.99*$Y69)*$AA69</f>
        <v>222.17315405978655</v>
      </c>
      <c r="K69" s="7">
        <f t="shared" ref="K69:K100" si="33">(331.44*$Y69)*$AA69</f>
        <v>197.95443474710518</v>
      </c>
      <c r="L69" s="7">
        <f t="shared" ref="L69:L100" si="34">(339.03*$Y69)*$AA69</f>
        <v>202.48760563695106</v>
      </c>
      <c r="M69" s="7">
        <f t="shared" ref="M69:M100" si="35">(371.99*$Y69)*$AA69</f>
        <v>222.17315405978655</v>
      </c>
      <c r="N69" s="22"/>
      <c r="O69" s="7">
        <f t="shared" si="9"/>
        <v>18.395476074737026</v>
      </c>
      <c r="P69" s="7">
        <f t="shared" si="10"/>
        <v>18.813555076435595</v>
      </c>
      <c r="Q69" s="7">
        <f t="shared" si="11"/>
        <v>20.665047798243538</v>
      </c>
      <c r="R69" s="7">
        <f t="shared" si="12"/>
        <v>18.395476074737026</v>
      </c>
      <c r="S69" s="7">
        <f t="shared" si="13"/>
        <v>18.813555076435595</v>
      </c>
      <c r="T69" s="7">
        <f t="shared" si="14"/>
        <v>20.665047798243538</v>
      </c>
      <c r="U69" s="7">
        <f t="shared" si="15"/>
        <v>18.395476074737026</v>
      </c>
      <c r="V69" s="7">
        <f t="shared" si="16"/>
        <v>18.813555076435595</v>
      </c>
      <c r="W69" s="7">
        <f t="shared" si="17"/>
        <v>20.665047798243538</v>
      </c>
      <c r="X69" s="22"/>
      <c r="Y69" s="24">
        <v>0.55818291281517851</v>
      </c>
      <c r="Z69" s="22"/>
      <c r="AA69" s="24">
        <v>1.07</v>
      </c>
    </row>
    <row r="70" spans="1:27" hidden="1" x14ac:dyDescent="0.25">
      <c r="A70" s="16"/>
      <c r="B70" s="3" t="s">
        <v>103</v>
      </c>
      <c r="C70" s="3" t="s">
        <v>104</v>
      </c>
      <c r="D70" s="11" t="s">
        <v>6</v>
      </c>
      <c r="E70" s="7">
        <f t="shared" si="27"/>
        <v>207.8762664341792</v>
      </c>
      <c r="F70" s="7">
        <f t="shared" si="28"/>
        <v>212.6366479881118</v>
      </c>
      <c r="G70" s="7">
        <f t="shared" si="29"/>
        <v>233.3088714423435</v>
      </c>
      <c r="H70" s="7">
        <f t="shared" si="30"/>
        <v>207.8762664341792</v>
      </c>
      <c r="I70" s="7">
        <f t="shared" si="31"/>
        <v>212.6366479881118</v>
      </c>
      <c r="J70" s="7">
        <f t="shared" si="32"/>
        <v>233.3088714423435</v>
      </c>
      <c r="K70" s="7">
        <f t="shared" si="33"/>
        <v>207.8762664341792</v>
      </c>
      <c r="L70" s="7">
        <f t="shared" si="34"/>
        <v>212.6366479881118</v>
      </c>
      <c r="M70" s="7">
        <f t="shared" si="35"/>
        <v>233.3088714423435</v>
      </c>
      <c r="N70" s="22"/>
      <c r="O70" s="7">
        <f t="shared" ref="O70:O133" si="36">(30.8*$Y70)*$AA70</f>
        <v>19.317490363784458</v>
      </c>
      <c r="P70" s="7">
        <f t="shared" ref="P70:P133" si="37">(31.5*$Y70)*$AA70</f>
        <v>19.756524235688648</v>
      </c>
      <c r="Q70" s="7">
        <f t="shared" ref="Q70:Q133" si="38">(34.6*$Y70)*$AA70</f>
        <v>21.700817096978643</v>
      </c>
      <c r="R70" s="7">
        <f t="shared" ref="R70:R133" si="39">(30.8*$Y70)*$AA70</f>
        <v>19.317490363784458</v>
      </c>
      <c r="S70" s="7">
        <f t="shared" ref="S70:S133" si="40">(31.5*$Y70)*$AA70</f>
        <v>19.756524235688648</v>
      </c>
      <c r="T70" s="7">
        <f t="shared" ref="T70:T133" si="41">(34.6*$Y70)*$AA70</f>
        <v>21.700817096978643</v>
      </c>
      <c r="U70" s="7">
        <f t="shared" ref="U70:U133" si="42">(30.8*$Y70)*$AA70</f>
        <v>19.317490363784458</v>
      </c>
      <c r="V70" s="7">
        <f t="shared" ref="V70:V133" si="43">(31.5*$Y70)*$AA70</f>
        <v>19.756524235688648</v>
      </c>
      <c r="W70" s="7">
        <f t="shared" ref="W70:W133" si="44">(34.6*$Y70)*$AA70</f>
        <v>21.700817096978643</v>
      </c>
      <c r="X70" s="22"/>
      <c r="Y70" s="24">
        <v>0.58343371681620226</v>
      </c>
      <c r="Z70" s="22"/>
      <c r="AA70" s="24">
        <v>1.075</v>
      </c>
    </row>
    <row r="71" spans="1:27" hidden="1" x14ac:dyDescent="0.25">
      <c r="A71" s="16"/>
      <c r="B71" s="3" t="s">
        <v>105</v>
      </c>
      <c r="C71" s="3" t="s">
        <v>106</v>
      </c>
      <c r="D71" s="11" t="s">
        <v>6</v>
      </c>
      <c r="E71" s="7">
        <f t="shared" si="27"/>
        <v>191.40714165729227</v>
      </c>
      <c r="F71" s="7">
        <f t="shared" si="28"/>
        <v>195.79037906128349</v>
      </c>
      <c r="G71" s="7">
        <f t="shared" si="29"/>
        <v>214.82483292630991</v>
      </c>
      <c r="H71" s="7">
        <f t="shared" si="30"/>
        <v>191.40714165729227</v>
      </c>
      <c r="I71" s="7">
        <f t="shared" si="31"/>
        <v>195.79037906128349</v>
      </c>
      <c r="J71" s="7">
        <f t="shared" si="32"/>
        <v>214.82483292630991</v>
      </c>
      <c r="K71" s="7">
        <f t="shared" si="33"/>
        <v>191.40714165729227</v>
      </c>
      <c r="L71" s="7">
        <f t="shared" si="34"/>
        <v>195.79037906128349</v>
      </c>
      <c r="M71" s="7">
        <f t="shared" si="35"/>
        <v>214.82483292630991</v>
      </c>
      <c r="N71" s="22"/>
      <c r="O71" s="7">
        <f t="shared" si="36"/>
        <v>17.787050335036813</v>
      </c>
      <c r="P71" s="7">
        <f t="shared" si="37"/>
        <v>18.191301479014921</v>
      </c>
      <c r="Q71" s="7">
        <f t="shared" si="38"/>
        <v>19.981556545203695</v>
      </c>
      <c r="R71" s="7">
        <f t="shared" si="39"/>
        <v>17.787050335036813</v>
      </c>
      <c r="S71" s="7">
        <f t="shared" si="40"/>
        <v>18.191301479014921</v>
      </c>
      <c r="T71" s="7">
        <f t="shared" si="41"/>
        <v>19.981556545203695</v>
      </c>
      <c r="U71" s="7">
        <f t="shared" si="42"/>
        <v>17.787050335036813</v>
      </c>
      <c r="V71" s="7">
        <f t="shared" si="43"/>
        <v>18.191301479014921</v>
      </c>
      <c r="W71" s="7">
        <f t="shared" si="44"/>
        <v>19.981556545203695</v>
      </c>
      <c r="X71" s="22"/>
      <c r="Y71" s="24">
        <v>0.55000155643280191</v>
      </c>
      <c r="Z71" s="22"/>
      <c r="AA71" s="24">
        <v>1.05</v>
      </c>
    </row>
    <row r="72" spans="1:27" hidden="1" x14ac:dyDescent="0.25">
      <c r="A72" s="16"/>
      <c r="B72" s="3" t="s">
        <v>107</v>
      </c>
      <c r="C72" s="3" t="s">
        <v>108</v>
      </c>
      <c r="D72" s="11" t="s">
        <v>6</v>
      </c>
      <c r="E72" s="7">
        <f t="shared" si="27"/>
        <v>215.05357871626691</v>
      </c>
      <c r="F72" s="7">
        <f t="shared" si="28"/>
        <v>219.97832124117778</v>
      </c>
      <c r="G72" s="7">
        <f t="shared" si="29"/>
        <v>241.36429141523087</v>
      </c>
      <c r="H72" s="7">
        <f t="shared" si="30"/>
        <v>215.05357871626691</v>
      </c>
      <c r="I72" s="7">
        <f t="shared" si="31"/>
        <v>219.97832124117778</v>
      </c>
      <c r="J72" s="7">
        <f t="shared" si="32"/>
        <v>241.36429141523087</v>
      </c>
      <c r="K72" s="7">
        <f t="shared" si="33"/>
        <v>215.05357871626691</v>
      </c>
      <c r="L72" s="7">
        <f t="shared" si="34"/>
        <v>219.97832124117778</v>
      </c>
      <c r="M72" s="7">
        <f t="shared" si="35"/>
        <v>241.36429141523087</v>
      </c>
      <c r="N72" s="22"/>
      <c r="O72" s="7">
        <f t="shared" si="36"/>
        <v>19.984462419928253</v>
      </c>
      <c r="P72" s="7">
        <f t="shared" si="37"/>
        <v>20.438654747653896</v>
      </c>
      <c r="Q72" s="7">
        <f t="shared" si="38"/>
        <v>22.450077913296024</v>
      </c>
      <c r="R72" s="7">
        <f t="shared" si="39"/>
        <v>19.984462419928253</v>
      </c>
      <c r="S72" s="7">
        <f t="shared" si="40"/>
        <v>20.438654747653896</v>
      </c>
      <c r="T72" s="7">
        <f t="shared" si="41"/>
        <v>22.450077913296024</v>
      </c>
      <c r="U72" s="7">
        <f t="shared" si="42"/>
        <v>19.984462419928253</v>
      </c>
      <c r="V72" s="7">
        <f t="shared" si="43"/>
        <v>20.438654747653896</v>
      </c>
      <c r="W72" s="7">
        <f t="shared" si="44"/>
        <v>22.450077913296024</v>
      </c>
      <c r="X72" s="22"/>
      <c r="Y72" s="24">
        <v>0.61794874520495524</v>
      </c>
      <c r="Z72" s="22"/>
      <c r="AA72" s="24">
        <v>1.05</v>
      </c>
    </row>
    <row r="73" spans="1:27" hidden="1" x14ac:dyDescent="0.25">
      <c r="A73" s="16"/>
      <c r="B73" s="3" t="s">
        <v>109</v>
      </c>
      <c r="C73" s="3" t="s">
        <v>110</v>
      </c>
      <c r="D73" s="11" t="s">
        <v>6</v>
      </c>
      <c r="E73" s="7">
        <f t="shared" si="27"/>
        <v>235.29383107472259</v>
      </c>
      <c r="F73" s="7">
        <f t="shared" si="28"/>
        <v>240.68207684426503</v>
      </c>
      <c r="G73" s="7">
        <f t="shared" si="29"/>
        <v>264.08083581186963</v>
      </c>
      <c r="H73" s="7">
        <f t="shared" si="30"/>
        <v>235.29383107472259</v>
      </c>
      <c r="I73" s="7">
        <f t="shared" si="31"/>
        <v>240.68207684426503</v>
      </c>
      <c r="J73" s="7">
        <f t="shared" si="32"/>
        <v>264.08083581186963</v>
      </c>
      <c r="K73" s="7">
        <f t="shared" si="33"/>
        <v>235.29383107472259</v>
      </c>
      <c r="L73" s="7">
        <f t="shared" si="34"/>
        <v>240.68207684426503</v>
      </c>
      <c r="M73" s="7">
        <f t="shared" si="35"/>
        <v>264.08083581186963</v>
      </c>
      <c r="N73" s="22"/>
      <c r="O73" s="7">
        <f t="shared" si="36"/>
        <v>21.865345151766402</v>
      </c>
      <c r="P73" s="7">
        <f t="shared" si="37"/>
        <v>22.362284814306548</v>
      </c>
      <c r="Q73" s="7">
        <f t="shared" si="38"/>
        <v>24.563017605555764</v>
      </c>
      <c r="R73" s="7">
        <f t="shared" si="39"/>
        <v>21.865345151766402</v>
      </c>
      <c r="S73" s="7">
        <f t="shared" si="40"/>
        <v>22.362284814306548</v>
      </c>
      <c r="T73" s="7">
        <f t="shared" si="41"/>
        <v>24.563017605555764</v>
      </c>
      <c r="U73" s="7">
        <f t="shared" si="42"/>
        <v>21.865345151766402</v>
      </c>
      <c r="V73" s="7">
        <f t="shared" si="43"/>
        <v>22.362284814306548</v>
      </c>
      <c r="W73" s="7">
        <f t="shared" si="44"/>
        <v>24.563017605555764</v>
      </c>
      <c r="X73" s="22"/>
      <c r="Y73" s="24">
        <v>0.67610838440836118</v>
      </c>
      <c r="Z73" s="22"/>
      <c r="AA73" s="24">
        <v>1.05</v>
      </c>
    </row>
    <row r="74" spans="1:27" hidden="1" x14ac:dyDescent="0.25">
      <c r="A74" s="16"/>
      <c r="B74" s="3" t="s">
        <v>111</v>
      </c>
      <c r="C74" s="3" t="s">
        <v>112</v>
      </c>
      <c r="D74" s="11" t="s">
        <v>6</v>
      </c>
      <c r="E74" s="7">
        <f t="shared" si="27"/>
        <v>114.8919859837106</v>
      </c>
      <c r="F74" s="7">
        <f t="shared" si="28"/>
        <v>117.52302078221518</v>
      </c>
      <c r="G74" s="7">
        <f t="shared" si="29"/>
        <v>128.94843671880432</v>
      </c>
      <c r="H74" s="7">
        <f t="shared" si="30"/>
        <v>114.8919859837106</v>
      </c>
      <c r="I74" s="7">
        <f t="shared" si="31"/>
        <v>117.52302078221518</v>
      </c>
      <c r="J74" s="7">
        <f t="shared" si="32"/>
        <v>128.94843671880432</v>
      </c>
      <c r="K74" s="7">
        <f t="shared" si="33"/>
        <v>114.8919859837106</v>
      </c>
      <c r="L74" s="7">
        <f t="shared" si="34"/>
        <v>117.52302078221518</v>
      </c>
      <c r="M74" s="7">
        <f t="shared" si="35"/>
        <v>128.94843671880432</v>
      </c>
      <c r="N74" s="22"/>
      <c r="O74" s="7">
        <f t="shared" si="36"/>
        <v>10.676662950453435</v>
      </c>
      <c r="P74" s="7">
        <f t="shared" si="37"/>
        <v>10.919314381145558</v>
      </c>
      <c r="Q74" s="7">
        <f t="shared" si="38"/>
        <v>11.993913574210678</v>
      </c>
      <c r="R74" s="7">
        <f t="shared" si="39"/>
        <v>10.676662950453435</v>
      </c>
      <c r="S74" s="7">
        <f t="shared" si="40"/>
        <v>10.919314381145558</v>
      </c>
      <c r="T74" s="7">
        <f t="shared" si="41"/>
        <v>11.993913574210678</v>
      </c>
      <c r="U74" s="7">
        <f t="shared" si="42"/>
        <v>10.676662950453435</v>
      </c>
      <c r="V74" s="7">
        <f t="shared" si="43"/>
        <v>10.919314381145558</v>
      </c>
      <c r="W74" s="7">
        <f t="shared" si="44"/>
        <v>11.993913574210678</v>
      </c>
      <c r="X74" s="22"/>
      <c r="Y74" s="24">
        <v>0.32246037301278874</v>
      </c>
      <c r="Z74" s="22"/>
      <c r="AA74" s="24">
        <v>1.075</v>
      </c>
    </row>
    <row r="75" spans="1:27" hidden="1" x14ac:dyDescent="0.25">
      <c r="A75" s="16"/>
      <c r="B75" s="3" t="s">
        <v>113</v>
      </c>
      <c r="C75" s="3" t="s">
        <v>114</v>
      </c>
      <c r="D75" s="11" t="s">
        <v>6</v>
      </c>
      <c r="E75" s="7">
        <f t="shared" si="27"/>
        <v>299.41198273170727</v>
      </c>
      <c r="F75" s="7">
        <f t="shared" si="28"/>
        <v>306.26853881707314</v>
      </c>
      <c r="G75" s="7">
        <f t="shared" si="29"/>
        <v>336.04351754878047</v>
      </c>
      <c r="H75" s="7">
        <f t="shared" si="30"/>
        <v>299.41198273170727</v>
      </c>
      <c r="I75" s="7">
        <f t="shared" si="31"/>
        <v>306.26853881707314</v>
      </c>
      <c r="J75" s="7">
        <f t="shared" si="32"/>
        <v>336.04351754878047</v>
      </c>
      <c r="K75" s="7">
        <f t="shared" si="33"/>
        <v>299.41198273170727</v>
      </c>
      <c r="L75" s="7">
        <f t="shared" si="34"/>
        <v>306.26853881707314</v>
      </c>
      <c r="M75" s="7">
        <f t="shared" si="35"/>
        <v>336.04351754878047</v>
      </c>
      <c r="N75" s="22"/>
      <c r="O75" s="7">
        <f t="shared" si="36"/>
        <v>27.823705853658534</v>
      </c>
      <c r="P75" s="7">
        <f t="shared" si="37"/>
        <v>28.456062804878048</v>
      </c>
      <c r="Q75" s="7">
        <f t="shared" si="38"/>
        <v>31.256500731707316</v>
      </c>
      <c r="R75" s="7">
        <f t="shared" si="39"/>
        <v>27.823705853658534</v>
      </c>
      <c r="S75" s="7">
        <f t="shared" si="40"/>
        <v>28.456062804878048</v>
      </c>
      <c r="T75" s="7">
        <f t="shared" si="41"/>
        <v>31.256500731707316</v>
      </c>
      <c r="U75" s="7">
        <f t="shared" si="42"/>
        <v>27.823705853658534</v>
      </c>
      <c r="V75" s="7">
        <f t="shared" si="43"/>
        <v>28.456062804878048</v>
      </c>
      <c r="W75" s="7">
        <f t="shared" si="44"/>
        <v>31.256500731707316</v>
      </c>
      <c r="X75" s="22"/>
      <c r="Y75" s="24">
        <v>0.86034959349593487</v>
      </c>
      <c r="Z75" s="22"/>
      <c r="AA75" s="24">
        <v>1.05</v>
      </c>
    </row>
    <row r="76" spans="1:27" hidden="1" x14ac:dyDescent="0.25">
      <c r="A76" s="16"/>
      <c r="B76" s="3" t="s">
        <v>115</v>
      </c>
      <c r="C76" s="3" t="s">
        <v>116</v>
      </c>
      <c r="D76" s="11" t="s">
        <v>6</v>
      </c>
      <c r="E76" s="7">
        <f t="shared" si="27"/>
        <v>182.4795240177676</v>
      </c>
      <c r="F76" s="7">
        <f t="shared" si="28"/>
        <v>186.65831833135331</v>
      </c>
      <c r="G76" s="7">
        <f t="shared" si="29"/>
        <v>204.80496662855833</v>
      </c>
      <c r="H76" s="7">
        <f t="shared" si="30"/>
        <v>182.4795240177676</v>
      </c>
      <c r="I76" s="7">
        <f t="shared" si="31"/>
        <v>186.65831833135331</v>
      </c>
      <c r="J76" s="7">
        <f t="shared" si="32"/>
        <v>204.80496662855833</v>
      </c>
      <c r="K76" s="7">
        <f t="shared" si="33"/>
        <v>182.4795240177676</v>
      </c>
      <c r="L76" s="7">
        <f t="shared" si="34"/>
        <v>186.65831833135331</v>
      </c>
      <c r="M76" s="7">
        <f t="shared" si="35"/>
        <v>204.80496662855833</v>
      </c>
      <c r="N76" s="22"/>
      <c r="O76" s="7">
        <f t="shared" si="36"/>
        <v>16.957426200058055</v>
      </c>
      <c r="P76" s="7">
        <f t="shared" si="37"/>
        <v>17.342822250059374</v>
      </c>
      <c r="Q76" s="7">
        <f t="shared" si="38"/>
        <v>19.049576185779504</v>
      </c>
      <c r="R76" s="7">
        <f t="shared" si="39"/>
        <v>16.957426200058055</v>
      </c>
      <c r="S76" s="7">
        <f t="shared" si="40"/>
        <v>17.342822250059374</v>
      </c>
      <c r="T76" s="7">
        <f t="shared" si="41"/>
        <v>19.049576185779504</v>
      </c>
      <c r="U76" s="7">
        <f t="shared" si="42"/>
        <v>16.957426200058055</v>
      </c>
      <c r="V76" s="7">
        <f t="shared" si="43"/>
        <v>17.342822250059374</v>
      </c>
      <c r="W76" s="7">
        <f t="shared" si="44"/>
        <v>19.049576185779504</v>
      </c>
      <c r="X76" s="22"/>
      <c r="Y76" s="24">
        <v>0.529390178573241</v>
      </c>
      <c r="Z76" s="22"/>
      <c r="AA76" s="24">
        <v>1.04</v>
      </c>
    </row>
    <row r="77" spans="1:27" hidden="1" x14ac:dyDescent="0.25">
      <c r="A77" s="16"/>
      <c r="B77" s="3" t="s">
        <v>117</v>
      </c>
      <c r="C77" s="3" t="s">
        <v>118</v>
      </c>
      <c r="D77" s="11" t="s">
        <v>6</v>
      </c>
      <c r="E77" s="7">
        <f t="shared" si="27"/>
        <v>275.04123995121955</v>
      </c>
      <c r="F77" s="7">
        <f t="shared" si="28"/>
        <v>281.33970426219514</v>
      </c>
      <c r="G77" s="7">
        <f t="shared" si="29"/>
        <v>308.69113821341466</v>
      </c>
      <c r="H77" s="7">
        <f t="shared" si="30"/>
        <v>275.04123995121955</v>
      </c>
      <c r="I77" s="7">
        <f t="shared" si="31"/>
        <v>281.33970426219514</v>
      </c>
      <c r="J77" s="7">
        <f t="shared" si="32"/>
        <v>308.69113821341466</v>
      </c>
      <c r="K77" s="7">
        <f t="shared" si="33"/>
        <v>275.04123995121955</v>
      </c>
      <c r="L77" s="7">
        <f t="shared" si="34"/>
        <v>281.33970426219514</v>
      </c>
      <c r="M77" s="7">
        <f t="shared" si="35"/>
        <v>308.69113821341466</v>
      </c>
      <c r="N77" s="22"/>
      <c r="O77" s="7">
        <f t="shared" si="36"/>
        <v>25.558985609756103</v>
      </c>
      <c r="P77" s="7">
        <f t="shared" si="37"/>
        <v>26.139871646341465</v>
      </c>
      <c r="Q77" s="7">
        <f t="shared" si="38"/>
        <v>28.712366951219515</v>
      </c>
      <c r="R77" s="7">
        <f t="shared" si="39"/>
        <v>25.558985609756103</v>
      </c>
      <c r="S77" s="7">
        <f t="shared" si="40"/>
        <v>26.139871646341465</v>
      </c>
      <c r="T77" s="7">
        <f t="shared" si="41"/>
        <v>28.712366951219515</v>
      </c>
      <c r="U77" s="7">
        <f t="shared" si="42"/>
        <v>25.558985609756103</v>
      </c>
      <c r="V77" s="7">
        <f t="shared" si="43"/>
        <v>26.139871646341465</v>
      </c>
      <c r="W77" s="7">
        <f t="shared" si="44"/>
        <v>28.712366951219515</v>
      </c>
      <c r="X77" s="22"/>
      <c r="Y77" s="24">
        <v>0.79032113821138217</v>
      </c>
      <c r="Z77" s="22"/>
      <c r="AA77" s="24">
        <v>1.05</v>
      </c>
    </row>
    <row r="78" spans="1:27" hidden="1" x14ac:dyDescent="0.25">
      <c r="A78" s="16"/>
      <c r="B78" s="3" t="s">
        <v>119</v>
      </c>
      <c r="C78" s="3" t="s">
        <v>120</v>
      </c>
      <c r="D78" s="11" t="s">
        <v>6</v>
      </c>
      <c r="E78" s="7">
        <f t="shared" si="27"/>
        <v>292.44891336585368</v>
      </c>
      <c r="F78" s="7">
        <f t="shared" si="28"/>
        <v>299.14601465853656</v>
      </c>
      <c r="G78" s="7">
        <f t="shared" si="29"/>
        <v>328.2285520243903</v>
      </c>
      <c r="H78" s="7">
        <f t="shared" si="30"/>
        <v>292.44891336585368</v>
      </c>
      <c r="I78" s="7">
        <f t="shared" si="31"/>
        <v>299.14601465853656</v>
      </c>
      <c r="J78" s="7">
        <f t="shared" si="32"/>
        <v>328.2285520243903</v>
      </c>
      <c r="K78" s="7">
        <f t="shared" si="33"/>
        <v>292.44891336585368</v>
      </c>
      <c r="L78" s="7">
        <f t="shared" si="34"/>
        <v>299.14601465853656</v>
      </c>
      <c r="M78" s="7">
        <f t="shared" si="35"/>
        <v>328.2285520243903</v>
      </c>
      <c r="N78" s="22"/>
      <c r="O78" s="7">
        <f t="shared" si="36"/>
        <v>27.176642926829274</v>
      </c>
      <c r="P78" s="7">
        <f t="shared" si="37"/>
        <v>27.79429390243903</v>
      </c>
      <c r="Q78" s="7">
        <f t="shared" si="38"/>
        <v>30.529605365853662</v>
      </c>
      <c r="R78" s="7">
        <f t="shared" si="39"/>
        <v>27.176642926829274</v>
      </c>
      <c r="S78" s="7">
        <f t="shared" si="40"/>
        <v>27.79429390243903</v>
      </c>
      <c r="T78" s="7">
        <f t="shared" si="41"/>
        <v>30.529605365853662</v>
      </c>
      <c r="U78" s="7">
        <f t="shared" si="42"/>
        <v>27.176642926829274</v>
      </c>
      <c r="V78" s="7">
        <f t="shared" si="43"/>
        <v>27.79429390243903</v>
      </c>
      <c r="W78" s="7">
        <f t="shared" si="44"/>
        <v>30.529605365853662</v>
      </c>
      <c r="X78" s="22"/>
      <c r="Y78" s="24">
        <v>0.84034146341463423</v>
      </c>
      <c r="Z78" s="22"/>
      <c r="AA78" s="24">
        <v>1.05</v>
      </c>
    </row>
    <row r="79" spans="1:27" hidden="1" x14ac:dyDescent="0.25">
      <c r="A79" s="21" t="s">
        <v>121</v>
      </c>
      <c r="B79" s="18" t="s">
        <v>122</v>
      </c>
      <c r="C79" s="18" t="s">
        <v>123</v>
      </c>
      <c r="D79" s="19" t="s">
        <v>6</v>
      </c>
      <c r="E79" s="7">
        <f t="shared" si="27"/>
        <v>0</v>
      </c>
      <c r="F79" s="7">
        <f t="shared" si="28"/>
        <v>0</v>
      </c>
      <c r="G79" s="7">
        <f t="shared" si="29"/>
        <v>0</v>
      </c>
      <c r="H79" s="7">
        <f t="shared" si="30"/>
        <v>0</v>
      </c>
      <c r="I79" s="7">
        <f t="shared" si="31"/>
        <v>0</v>
      </c>
      <c r="J79" s="7">
        <f t="shared" si="32"/>
        <v>0</v>
      </c>
      <c r="K79" s="7">
        <f t="shared" si="33"/>
        <v>0</v>
      </c>
      <c r="L79" s="7">
        <f t="shared" si="34"/>
        <v>0</v>
      </c>
      <c r="M79" s="7">
        <f t="shared" si="35"/>
        <v>0</v>
      </c>
      <c r="N79" s="22"/>
      <c r="O79" s="7">
        <f t="shared" si="36"/>
        <v>0</v>
      </c>
      <c r="P79" s="7">
        <f t="shared" si="37"/>
        <v>0</v>
      </c>
      <c r="Q79" s="7">
        <f t="shared" si="38"/>
        <v>0</v>
      </c>
      <c r="R79" s="7">
        <f t="shared" si="39"/>
        <v>0</v>
      </c>
      <c r="S79" s="7">
        <f t="shared" si="40"/>
        <v>0</v>
      </c>
      <c r="T79" s="7">
        <f t="shared" si="41"/>
        <v>0</v>
      </c>
      <c r="U79" s="7">
        <f t="shared" si="42"/>
        <v>0</v>
      </c>
      <c r="V79" s="7">
        <f t="shared" si="43"/>
        <v>0</v>
      </c>
      <c r="W79" s="7">
        <f t="shared" si="44"/>
        <v>0</v>
      </c>
      <c r="X79" s="22"/>
      <c r="Z79" s="22"/>
      <c r="AA79" s="24">
        <v>1.075</v>
      </c>
    </row>
    <row r="80" spans="1:27" hidden="1" x14ac:dyDescent="0.25">
      <c r="A80" s="16"/>
      <c r="B80" s="3" t="s">
        <v>122</v>
      </c>
      <c r="C80" s="3" t="s">
        <v>124</v>
      </c>
      <c r="D80" s="11" t="s">
        <v>6</v>
      </c>
      <c r="E80" s="7">
        <f t="shared" si="27"/>
        <v>277.37226213003811</v>
      </c>
      <c r="F80" s="7">
        <f t="shared" si="28"/>
        <v>283.72410701770104</v>
      </c>
      <c r="G80" s="7">
        <f t="shared" si="29"/>
        <v>311.30734911221612</v>
      </c>
      <c r="H80" s="7">
        <f t="shared" si="30"/>
        <v>277.37226213003811</v>
      </c>
      <c r="I80" s="7">
        <f t="shared" si="31"/>
        <v>283.72410701770104</v>
      </c>
      <c r="J80" s="7">
        <f t="shared" si="32"/>
        <v>311.30734911221612</v>
      </c>
      <c r="K80" s="7">
        <f t="shared" si="33"/>
        <v>277.37226213003811</v>
      </c>
      <c r="L80" s="7">
        <f t="shared" si="34"/>
        <v>283.72410701770104</v>
      </c>
      <c r="M80" s="7">
        <f t="shared" si="35"/>
        <v>311.30734911221612</v>
      </c>
      <c r="N80" s="22"/>
      <c r="O80" s="7">
        <f t="shared" si="36"/>
        <v>25.775602442690005</v>
      </c>
      <c r="P80" s="7">
        <f t="shared" si="37"/>
        <v>26.361411589114777</v>
      </c>
      <c r="Q80" s="7">
        <f t="shared" si="38"/>
        <v>28.955709237567348</v>
      </c>
      <c r="R80" s="7">
        <f t="shared" si="39"/>
        <v>25.775602442690005</v>
      </c>
      <c r="S80" s="7">
        <f t="shared" si="40"/>
        <v>26.361411589114777</v>
      </c>
      <c r="T80" s="7">
        <f t="shared" si="41"/>
        <v>28.955709237567348</v>
      </c>
      <c r="U80" s="7">
        <f t="shared" si="42"/>
        <v>25.775602442690005</v>
      </c>
      <c r="V80" s="7">
        <f t="shared" si="43"/>
        <v>26.361411589114777</v>
      </c>
      <c r="W80" s="7">
        <f t="shared" si="44"/>
        <v>28.955709237567348</v>
      </c>
      <c r="X80" s="22"/>
      <c r="Y80" s="24">
        <v>0.77848391551464835</v>
      </c>
      <c r="Z80" s="22"/>
      <c r="AA80" s="24">
        <v>1.075</v>
      </c>
    </row>
    <row r="81" spans="1:27" hidden="1" x14ac:dyDescent="0.25">
      <c r="A81" s="21" t="s">
        <v>121</v>
      </c>
      <c r="B81" s="18" t="s">
        <v>122</v>
      </c>
      <c r="C81" s="18" t="s">
        <v>125</v>
      </c>
      <c r="D81" s="19" t="s">
        <v>6</v>
      </c>
      <c r="E81" s="7">
        <f t="shared" si="27"/>
        <v>0</v>
      </c>
      <c r="F81" s="7">
        <f t="shared" si="28"/>
        <v>0</v>
      </c>
      <c r="G81" s="7">
        <f t="shared" si="29"/>
        <v>0</v>
      </c>
      <c r="H81" s="7">
        <f t="shared" si="30"/>
        <v>0</v>
      </c>
      <c r="I81" s="7">
        <f t="shared" si="31"/>
        <v>0</v>
      </c>
      <c r="J81" s="7">
        <f t="shared" si="32"/>
        <v>0</v>
      </c>
      <c r="K81" s="7">
        <f t="shared" si="33"/>
        <v>0</v>
      </c>
      <c r="L81" s="7">
        <f t="shared" si="34"/>
        <v>0</v>
      </c>
      <c r="M81" s="7">
        <f t="shared" si="35"/>
        <v>0</v>
      </c>
      <c r="N81" s="22"/>
      <c r="O81" s="7">
        <f t="shared" si="36"/>
        <v>0</v>
      </c>
      <c r="P81" s="7">
        <f t="shared" si="37"/>
        <v>0</v>
      </c>
      <c r="Q81" s="7">
        <f t="shared" si="38"/>
        <v>0</v>
      </c>
      <c r="R81" s="7">
        <f t="shared" si="39"/>
        <v>0</v>
      </c>
      <c r="S81" s="7">
        <f t="shared" si="40"/>
        <v>0</v>
      </c>
      <c r="T81" s="7">
        <f t="shared" si="41"/>
        <v>0</v>
      </c>
      <c r="U81" s="7">
        <f t="shared" si="42"/>
        <v>0</v>
      </c>
      <c r="V81" s="7">
        <f t="shared" si="43"/>
        <v>0</v>
      </c>
      <c r="W81" s="7">
        <f t="shared" si="44"/>
        <v>0</v>
      </c>
      <c r="X81" s="22"/>
      <c r="Z81" s="22"/>
      <c r="AA81" s="24">
        <v>1.075</v>
      </c>
    </row>
    <row r="82" spans="1:27" hidden="1" x14ac:dyDescent="0.25">
      <c r="A82" s="21" t="s">
        <v>121</v>
      </c>
      <c r="B82" s="18" t="s">
        <v>122</v>
      </c>
      <c r="C82" s="18" t="s">
        <v>126</v>
      </c>
      <c r="D82" s="19" t="s">
        <v>6</v>
      </c>
      <c r="E82" s="7">
        <f t="shared" si="27"/>
        <v>0</v>
      </c>
      <c r="F82" s="7">
        <f t="shared" si="28"/>
        <v>0</v>
      </c>
      <c r="G82" s="7">
        <f t="shared" si="29"/>
        <v>0</v>
      </c>
      <c r="H82" s="7">
        <f t="shared" si="30"/>
        <v>0</v>
      </c>
      <c r="I82" s="7">
        <f t="shared" si="31"/>
        <v>0</v>
      </c>
      <c r="J82" s="7">
        <f t="shared" si="32"/>
        <v>0</v>
      </c>
      <c r="K82" s="7">
        <f t="shared" si="33"/>
        <v>0</v>
      </c>
      <c r="L82" s="7">
        <f t="shared" si="34"/>
        <v>0</v>
      </c>
      <c r="M82" s="7">
        <f t="shared" si="35"/>
        <v>0</v>
      </c>
      <c r="N82" s="22"/>
      <c r="O82" s="7">
        <f t="shared" si="36"/>
        <v>0</v>
      </c>
      <c r="P82" s="7">
        <f t="shared" si="37"/>
        <v>0</v>
      </c>
      <c r="Q82" s="7">
        <f t="shared" si="38"/>
        <v>0</v>
      </c>
      <c r="R82" s="7">
        <f t="shared" si="39"/>
        <v>0</v>
      </c>
      <c r="S82" s="7">
        <f t="shared" si="40"/>
        <v>0</v>
      </c>
      <c r="T82" s="7">
        <f t="shared" si="41"/>
        <v>0</v>
      </c>
      <c r="U82" s="7">
        <f t="shared" si="42"/>
        <v>0</v>
      </c>
      <c r="V82" s="7">
        <f t="shared" si="43"/>
        <v>0</v>
      </c>
      <c r="W82" s="7">
        <f t="shared" si="44"/>
        <v>0</v>
      </c>
      <c r="X82" s="22"/>
      <c r="Z82" s="22"/>
      <c r="AA82" s="24">
        <v>1.075</v>
      </c>
    </row>
    <row r="83" spans="1:27" hidden="1" x14ac:dyDescent="0.25">
      <c r="A83" s="21" t="s">
        <v>121</v>
      </c>
      <c r="B83" s="18" t="s">
        <v>122</v>
      </c>
      <c r="C83" s="18" t="s">
        <v>127</v>
      </c>
      <c r="D83" s="19" t="s">
        <v>6</v>
      </c>
      <c r="E83" s="7">
        <f t="shared" si="27"/>
        <v>0</v>
      </c>
      <c r="F83" s="7">
        <f t="shared" si="28"/>
        <v>0</v>
      </c>
      <c r="G83" s="7">
        <f t="shared" si="29"/>
        <v>0</v>
      </c>
      <c r="H83" s="7">
        <f t="shared" si="30"/>
        <v>0</v>
      </c>
      <c r="I83" s="7">
        <f t="shared" si="31"/>
        <v>0</v>
      </c>
      <c r="J83" s="7">
        <f t="shared" si="32"/>
        <v>0</v>
      </c>
      <c r="K83" s="7">
        <f t="shared" si="33"/>
        <v>0</v>
      </c>
      <c r="L83" s="7">
        <f t="shared" si="34"/>
        <v>0</v>
      </c>
      <c r="M83" s="7">
        <f t="shared" si="35"/>
        <v>0</v>
      </c>
      <c r="N83" s="22"/>
      <c r="O83" s="7">
        <f t="shared" si="36"/>
        <v>0</v>
      </c>
      <c r="P83" s="7">
        <f t="shared" si="37"/>
        <v>0</v>
      </c>
      <c r="Q83" s="7">
        <f t="shared" si="38"/>
        <v>0</v>
      </c>
      <c r="R83" s="7">
        <f t="shared" si="39"/>
        <v>0</v>
      </c>
      <c r="S83" s="7">
        <f t="shared" si="40"/>
        <v>0</v>
      </c>
      <c r="T83" s="7">
        <f t="shared" si="41"/>
        <v>0</v>
      </c>
      <c r="U83" s="7">
        <f t="shared" si="42"/>
        <v>0</v>
      </c>
      <c r="V83" s="7">
        <f t="shared" si="43"/>
        <v>0</v>
      </c>
      <c r="W83" s="7">
        <f t="shared" si="44"/>
        <v>0</v>
      </c>
      <c r="X83" s="22"/>
      <c r="Z83" s="22"/>
      <c r="AA83" s="24">
        <v>1.075</v>
      </c>
    </row>
    <row r="84" spans="1:27" hidden="1" x14ac:dyDescent="0.25">
      <c r="A84" s="21" t="s">
        <v>121</v>
      </c>
      <c r="B84" s="18" t="s">
        <v>122</v>
      </c>
      <c r="C84" s="18" t="s">
        <v>128</v>
      </c>
      <c r="D84" s="19" t="s">
        <v>6</v>
      </c>
      <c r="E84" s="7">
        <f t="shared" si="27"/>
        <v>0</v>
      </c>
      <c r="F84" s="7">
        <f t="shared" si="28"/>
        <v>0</v>
      </c>
      <c r="G84" s="7">
        <f t="shared" si="29"/>
        <v>0</v>
      </c>
      <c r="H84" s="7">
        <f t="shared" si="30"/>
        <v>0</v>
      </c>
      <c r="I84" s="7">
        <f t="shared" si="31"/>
        <v>0</v>
      </c>
      <c r="J84" s="7">
        <f t="shared" si="32"/>
        <v>0</v>
      </c>
      <c r="K84" s="7">
        <f t="shared" si="33"/>
        <v>0</v>
      </c>
      <c r="L84" s="7">
        <f t="shared" si="34"/>
        <v>0</v>
      </c>
      <c r="M84" s="7">
        <f t="shared" si="35"/>
        <v>0</v>
      </c>
      <c r="N84" s="22"/>
      <c r="O84" s="7">
        <f t="shared" si="36"/>
        <v>0</v>
      </c>
      <c r="P84" s="7">
        <f t="shared" si="37"/>
        <v>0</v>
      </c>
      <c r="Q84" s="7">
        <f t="shared" si="38"/>
        <v>0</v>
      </c>
      <c r="R84" s="7">
        <f t="shared" si="39"/>
        <v>0</v>
      </c>
      <c r="S84" s="7">
        <f t="shared" si="40"/>
        <v>0</v>
      </c>
      <c r="T84" s="7">
        <f t="shared" si="41"/>
        <v>0</v>
      </c>
      <c r="U84" s="7">
        <f t="shared" si="42"/>
        <v>0</v>
      </c>
      <c r="V84" s="7">
        <f t="shared" si="43"/>
        <v>0</v>
      </c>
      <c r="W84" s="7">
        <f t="shared" si="44"/>
        <v>0</v>
      </c>
      <c r="X84" s="22"/>
      <c r="Z84" s="22"/>
      <c r="AA84" s="24">
        <v>1.075</v>
      </c>
    </row>
    <row r="85" spans="1:27" hidden="1" x14ac:dyDescent="0.25">
      <c r="A85" s="21"/>
      <c r="B85" s="3" t="s">
        <v>129</v>
      </c>
      <c r="C85" s="3" t="s">
        <v>130</v>
      </c>
      <c r="D85" s="11" t="s">
        <v>6</v>
      </c>
      <c r="E85" s="7">
        <f t="shared" si="27"/>
        <v>210.18559399982186</v>
      </c>
      <c r="F85" s="7">
        <f t="shared" si="28"/>
        <v>214.99885932222904</v>
      </c>
      <c r="G85" s="7">
        <f t="shared" si="29"/>
        <v>235.90073350227414</v>
      </c>
      <c r="H85" s="7">
        <f t="shared" si="30"/>
        <v>210.18559399982186</v>
      </c>
      <c r="I85" s="7">
        <f t="shared" si="31"/>
        <v>214.99885932222904</v>
      </c>
      <c r="J85" s="7">
        <f t="shared" si="32"/>
        <v>235.90073350227414</v>
      </c>
      <c r="K85" s="7">
        <f t="shared" si="33"/>
        <v>210.18559399982186</v>
      </c>
      <c r="L85" s="7">
        <f t="shared" si="34"/>
        <v>214.99885932222904</v>
      </c>
      <c r="M85" s="7">
        <f t="shared" si="35"/>
        <v>235.90073350227414</v>
      </c>
      <c r="N85" s="22"/>
      <c r="O85" s="7">
        <f t="shared" si="36"/>
        <v>19.532091163391605</v>
      </c>
      <c r="P85" s="7">
        <f t="shared" si="37"/>
        <v>19.97600232619596</v>
      </c>
      <c r="Q85" s="7">
        <f t="shared" si="38"/>
        <v>21.941894618615244</v>
      </c>
      <c r="R85" s="7">
        <f t="shared" si="39"/>
        <v>19.532091163391605</v>
      </c>
      <c r="S85" s="7">
        <f t="shared" si="40"/>
        <v>19.97600232619596</v>
      </c>
      <c r="T85" s="7">
        <f t="shared" si="41"/>
        <v>21.941894618615244</v>
      </c>
      <c r="U85" s="7">
        <f t="shared" si="42"/>
        <v>19.532091163391605</v>
      </c>
      <c r="V85" s="7">
        <f t="shared" si="43"/>
        <v>19.97600232619596</v>
      </c>
      <c r="W85" s="7">
        <f t="shared" si="44"/>
        <v>21.941894618615244</v>
      </c>
      <c r="X85" s="22"/>
      <c r="Y85" s="24">
        <v>0.60976808077521238</v>
      </c>
      <c r="Z85" s="22"/>
      <c r="AA85" s="24">
        <v>1.04</v>
      </c>
    </row>
    <row r="86" spans="1:27" hidden="1" x14ac:dyDescent="0.25">
      <c r="A86" s="21"/>
      <c r="B86" s="3" t="s">
        <v>131</v>
      </c>
      <c r="C86" s="3" t="s">
        <v>132</v>
      </c>
      <c r="D86" s="11" t="s">
        <v>6</v>
      </c>
      <c r="E86" s="7">
        <f t="shared" si="27"/>
        <v>215.9884638799675</v>
      </c>
      <c r="F86" s="7">
        <f t="shared" si="28"/>
        <v>220.93461534282338</v>
      </c>
      <c r="G86" s="7">
        <f t="shared" si="29"/>
        <v>242.41355502869033</v>
      </c>
      <c r="H86" s="7">
        <f t="shared" si="30"/>
        <v>215.9884638799675</v>
      </c>
      <c r="I86" s="7">
        <f t="shared" si="31"/>
        <v>220.93461534282338</v>
      </c>
      <c r="J86" s="7">
        <f t="shared" si="32"/>
        <v>242.41355502869033</v>
      </c>
      <c r="K86" s="7">
        <f t="shared" si="33"/>
        <v>215.9884638799675</v>
      </c>
      <c r="L86" s="7">
        <f t="shared" si="34"/>
        <v>220.93461534282338</v>
      </c>
      <c r="M86" s="7">
        <f t="shared" si="35"/>
        <v>242.41355502869033</v>
      </c>
      <c r="N86" s="22"/>
      <c r="O86" s="7">
        <f t="shared" si="36"/>
        <v>20.071339269560102</v>
      </c>
      <c r="P86" s="7">
        <f t="shared" si="37"/>
        <v>20.527506071141012</v>
      </c>
      <c r="Q86" s="7">
        <f t="shared" si="38"/>
        <v>22.547673335285047</v>
      </c>
      <c r="R86" s="7">
        <f t="shared" si="39"/>
        <v>20.071339269560102</v>
      </c>
      <c r="S86" s="7">
        <f t="shared" si="40"/>
        <v>20.527506071141012</v>
      </c>
      <c r="T86" s="7">
        <f t="shared" si="41"/>
        <v>22.547673335285047</v>
      </c>
      <c r="U86" s="7">
        <f t="shared" si="42"/>
        <v>20.071339269560102</v>
      </c>
      <c r="V86" s="7">
        <f t="shared" si="43"/>
        <v>20.527506071141012</v>
      </c>
      <c r="W86" s="7">
        <f t="shared" si="44"/>
        <v>22.547673335285047</v>
      </c>
      <c r="X86" s="22"/>
      <c r="Y86" s="24">
        <v>0.62063510419171608</v>
      </c>
      <c r="Z86" s="22"/>
      <c r="AA86" s="24">
        <v>1.05</v>
      </c>
    </row>
    <row r="87" spans="1:27" hidden="1" x14ac:dyDescent="0.25">
      <c r="A87" s="21"/>
      <c r="B87" s="3" t="s">
        <v>133</v>
      </c>
      <c r="C87" s="3" t="s">
        <v>134</v>
      </c>
      <c r="D87" s="11" t="s">
        <v>6</v>
      </c>
      <c r="E87" s="7">
        <f t="shared" si="27"/>
        <v>261.13149998754506</v>
      </c>
      <c r="F87" s="7">
        <f t="shared" si="28"/>
        <v>267.11143024613017</v>
      </c>
      <c r="G87" s="7">
        <f t="shared" si="29"/>
        <v>293.07961223861599</v>
      </c>
      <c r="H87" s="7">
        <f t="shared" si="30"/>
        <v>261.13149998754506</v>
      </c>
      <c r="I87" s="7">
        <f t="shared" si="31"/>
        <v>267.11143024613017</v>
      </c>
      <c r="J87" s="7">
        <f t="shared" si="32"/>
        <v>293.07961223861599</v>
      </c>
      <c r="K87" s="7">
        <f t="shared" si="33"/>
        <v>261.13149998754506</v>
      </c>
      <c r="L87" s="7">
        <f t="shared" si="34"/>
        <v>267.11143024613017</v>
      </c>
      <c r="M87" s="7">
        <f t="shared" si="35"/>
        <v>293.07961223861599</v>
      </c>
      <c r="N87" s="22"/>
      <c r="O87" s="7">
        <f t="shared" si="36"/>
        <v>24.266383658026754</v>
      </c>
      <c r="P87" s="7">
        <f t="shared" si="37"/>
        <v>24.817892377527361</v>
      </c>
      <c r="Q87" s="7">
        <f t="shared" si="38"/>
        <v>27.260288135315768</v>
      </c>
      <c r="R87" s="7">
        <f t="shared" si="39"/>
        <v>24.266383658026754</v>
      </c>
      <c r="S87" s="7">
        <f t="shared" si="40"/>
        <v>24.817892377527361</v>
      </c>
      <c r="T87" s="7">
        <f t="shared" si="41"/>
        <v>27.260288135315768</v>
      </c>
      <c r="U87" s="7">
        <f t="shared" si="42"/>
        <v>24.266383658026754</v>
      </c>
      <c r="V87" s="7">
        <f t="shared" si="43"/>
        <v>24.817892377527361</v>
      </c>
      <c r="W87" s="7">
        <f t="shared" si="44"/>
        <v>27.260288135315768</v>
      </c>
      <c r="X87" s="22"/>
      <c r="Y87" s="24">
        <v>0.73632672830521761</v>
      </c>
      <c r="Z87" s="22"/>
      <c r="AA87" s="24">
        <v>1.07</v>
      </c>
    </row>
    <row r="88" spans="1:27" hidden="1" x14ac:dyDescent="0.25">
      <c r="A88" s="21"/>
      <c r="B88" s="3" t="s">
        <v>135</v>
      </c>
      <c r="C88" s="3" t="s">
        <v>136</v>
      </c>
      <c r="D88" s="11" t="s">
        <v>6</v>
      </c>
      <c r="E88" s="7">
        <f t="shared" si="27"/>
        <v>269.26161206158048</v>
      </c>
      <c r="F88" s="7">
        <f t="shared" si="28"/>
        <v>275.427722475373</v>
      </c>
      <c r="G88" s="7">
        <f t="shared" si="29"/>
        <v>302.20440221695429</v>
      </c>
      <c r="H88" s="7">
        <f t="shared" si="30"/>
        <v>269.26161206158048</v>
      </c>
      <c r="I88" s="7">
        <f t="shared" si="31"/>
        <v>275.427722475373</v>
      </c>
      <c r="J88" s="7">
        <f t="shared" si="32"/>
        <v>302.20440221695429</v>
      </c>
      <c r="K88" s="7">
        <f t="shared" si="33"/>
        <v>269.26161206158048</v>
      </c>
      <c r="L88" s="7">
        <f t="shared" si="34"/>
        <v>275.427722475373</v>
      </c>
      <c r="M88" s="7">
        <f t="shared" si="35"/>
        <v>302.20440221695429</v>
      </c>
      <c r="N88" s="22"/>
      <c r="O88" s="7">
        <f t="shared" si="36"/>
        <v>25.021897331332003</v>
      </c>
      <c r="P88" s="7">
        <f t="shared" si="37"/>
        <v>25.590576816135002</v>
      </c>
      <c r="Q88" s="7">
        <f t="shared" si="38"/>
        <v>28.10901453454829</v>
      </c>
      <c r="R88" s="7">
        <f t="shared" si="39"/>
        <v>25.021897331332003</v>
      </c>
      <c r="S88" s="7">
        <f t="shared" si="40"/>
        <v>25.590576816135002</v>
      </c>
      <c r="T88" s="7">
        <f t="shared" si="41"/>
        <v>28.10901453454829</v>
      </c>
      <c r="U88" s="7">
        <f t="shared" si="42"/>
        <v>25.021897331332003</v>
      </c>
      <c r="V88" s="7">
        <f t="shared" si="43"/>
        <v>25.590576816135002</v>
      </c>
      <c r="W88" s="7">
        <f t="shared" si="44"/>
        <v>28.10901453454829</v>
      </c>
      <c r="X88" s="22"/>
      <c r="Y88" s="24">
        <v>0.74806562063009741</v>
      </c>
      <c r="Z88" s="22"/>
      <c r="AA88" s="24">
        <v>1.0860000000000001</v>
      </c>
    </row>
    <row r="89" spans="1:27" hidden="1" x14ac:dyDescent="0.25">
      <c r="A89" s="21"/>
      <c r="B89" s="3" t="s">
        <v>137</v>
      </c>
      <c r="C89" s="3" t="s">
        <v>138</v>
      </c>
      <c r="D89" s="11" t="s">
        <v>6</v>
      </c>
      <c r="E89" s="7">
        <f t="shared" si="27"/>
        <v>174.31192564544222</v>
      </c>
      <c r="F89" s="7">
        <f t="shared" si="28"/>
        <v>178.3036813648753</v>
      </c>
      <c r="G89" s="7">
        <f t="shared" si="29"/>
        <v>195.63810409379693</v>
      </c>
      <c r="H89" s="7">
        <f t="shared" si="30"/>
        <v>174.31192564544222</v>
      </c>
      <c r="I89" s="7">
        <f t="shared" si="31"/>
        <v>178.3036813648753</v>
      </c>
      <c r="J89" s="7">
        <f t="shared" si="32"/>
        <v>195.63810409379693</v>
      </c>
      <c r="K89" s="7">
        <f t="shared" si="33"/>
        <v>174.31192564544222</v>
      </c>
      <c r="L89" s="7">
        <f t="shared" si="34"/>
        <v>178.3036813648753</v>
      </c>
      <c r="M89" s="7">
        <f t="shared" si="35"/>
        <v>195.63810409379693</v>
      </c>
      <c r="N89" s="22"/>
      <c r="O89" s="7">
        <f t="shared" si="36"/>
        <v>16.198429006395184</v>
      </c>
      <c r="P89" s="7">
        <f t="shared" si="37"/>
        <v>16.566575120176896</v>
      </c>
      <c r="Q89" s="7">
        <f t="shared" si="38"/>
        <v>18.196936481210177</v>
      </c>
      <c r="R89" s="7">
        <f t="shared" si="39"/>
        <v>16.198429006395184</v>
      </c>
      <c r="S89" s="7">
        <f t="shared" si="40"/>
        <v>16.566575120176896</v>
      </c>
      <c r="T89" s="7">
        <f t="shared" si="41"/>
        <v>18.196936481210177</v>
      </c>
      <c r="U89" s="7">
        <f t="shared" si="42"/>
        <v>16.198429006395184</v>
      </c>
      <c r="V89" s="7">
        <f t="shared" si="43"/>
        <v>16.566575120176896</v>
      </c>
      <c r="W89" s="7">
        <f t="shared" si="44"/>
        <v>18.196936481210177</v>
      </c>
      <c r="X89" s="22"/>
      <c r="Y89" s="24">
        <v>0.48923071598898177</v>
      </c>
      <c r="Z89" s="22"/>
      <c r="AA89" s="24">
        <v>1.075</v>
      </c>
    </row>
    <row r="90" spans="1:27" hidden="1" x14ac:dyDescent="0.25">
      <c r="A90" s="16"/>
      <c r="B90" s="3" t="s">
        <v>139</v>
      </c>
      <c r="C90" s="3" t="s">
        <v>140</v>
      </c>
      <c r="D90" s="11" t="s">
        <v>6</v>
      </c>
      <c r="E90" s="7">
        <f t="shared" si="27"/>
        <v>164.3181558297303</v>
      </c>
      <c r="F90" s="7">
        <f t="shared" si="28"/>
        <v>168.08105349672175</v>
      </c>
      <c r="G90" s="7">
        <f t="shared" si="29"/>
        <v>184.42164731807074</v>
      </c>
      <c r="H90" s="7">
        <f t="shared" si="30"/>
        <v>164.3181558297303</v>
      </c>
      <c r="I90" s="7">
        <f t="shared" si="31"/>
        <v>168.08105349672175</v>
      </c>
      <c r="J90" s="7">
        <f t="shared" si="32"/>
        <v>184.42164731807074</v>
      </c>
      <c r="K90" s="7">
        <f t="shared" si="33"/>
        <v>164.3181558297303</v>
      </c>
      <c r="L90" s="7">
        <f t="shared" si="34"/>
        <v>168.08105349672175</v>
      </c>
      <c r="M90" s="7">
        <f t="shared" si="35"/>
        <v>184.42164731807074</v>
      </c>
      <c r="N90" s="22"/>
      <c r="O90" s="7">
        <f t="shared" si="36"/>
        <v>15.269729663153791</v>
      </c>
      <c r="P90" s="7">
        <f t="shared" si="37"/>
        <v>15.616768973680015</v>
      </c>
      <c r="Q90" s="7">
        <f t="shared" si="38"/>
        <v>17.153657348867572</v>
      </c>
      <c r="R90" s="7">
        <f t="shared" si="39"/>
        <v>15.269729663153791</v>
      </c>
      <c r="S90" s="7">
        <f t="shared" si="40"/>
        <v>15.616768973680015</v>
      </c>
      <c r="T90" s="7">
        <f t="shared" si="41"/>
        <v>17.153657348867572</v>
      </c>
      <c r="U90" s="7">
        <f t="shared" si="42"/>
        <v>15.269729663153791</v>
      </c>
      <c r="V90" s="7">
        <f t="shared" si="43"/>
        <v>15.616768973680015</v>
      </c>
      <c r="W90" s="7">
        <f t="shared" si="44"/>
        <v>17.153657348867572</v>
      </c>
      <c r="X90" s="22"/>
      <c r="Y90" s="24">
        <v>0.47670234962393204</v>
      </c>
      <c r="Z90" s="22"/>
      <c r="AA90" s="24">
        <v>1.04</v>
      </c>
    </row>
    <row r="91" spans="1:27" hidden="1" x14ac:dyDescent="0.25">
      <c r="A91" s="16"/>
      <c r="B91" s="3" t="s">
        <v>141</v>
      </c>
      <c r="C91" s="3" t="s">
        <v>141</v>
      </c>
      <c r="D91" s="11" t="s">
        <v>6</v>
      </c>
      <c r="E91" s="7">
        <f t="shared" si="27"/>
        <v>224.40918553111982</v>
      </c>
      <c r="F91" s="7">
        <f t="shared" si="28"/>
        <v>229.54817212954245</v>
      </c>
      <c r="G91" s="7">
        <f t="shared" si="29"/>
        <v>251.86450918935935</v>
      </c>
      <c r="H91" s="7">
        <f t="shared" si="30"/>
        <v>224.40918553111982</v>
      </c>
      <c r="I91" s="7">
        <f t="shared" si="31"/>
        <v>229.54817212954245</v>
      </c>
      <c r="J91" s="7">
        <f t="shared" si="32"/>
        <v>251.86450918935935</v>
      </c>
      <c r="K91" s="7">
        <f t="shared" si="33"/>
        <v>224.40918553111982</v>
      </c>
      <c r="L91" s="7">
        <f t="shared" si="34"/>
        <v>229.54817212954245</v>
      </c>
      <c r="M91" s="7">
        <f t="shared" si="35"/>
        <v>251.86450918935935</v>
      </c>
      <c r="N91" s="22"/>
      <c r="O91" s="7">
        <f t="shared" si="36"/>
        <v>20.853858660265782</v>
      </c>
      <c r="P91" s="7">
        <f t="shared" si="37"/>
        <v>21.327809993453641</v>
      </c>
      <c r="Q91" s="7">
        <f t="shared" si="38"/>
        <v>23.426737326142728</v>
      </c>
      <c r="R91" s="7">
        <f t="shared" si="39"/>
        <v>20.853858660265782</v>
      </c>
      <c r="S91" s="7">
        <f t="shared" si="40"/>
        <v>21.327809993453641</v>
      </c>
      <c r="T91" s="7">
        <f t="shared" si="41"/>
        <v>23.426737326142728</v>
      </c>
      <c r="U91" s="7">
        <f t="shared" si="42"/>
        <v>20.853858660265782</v>
      </c>
      <c r="V91" s="7">
        <f t="shared" si="43"/>
        <v>21.327809993453641</v>
      </c>
      <c r="W91" s="7">
        <f t="shared" si="44"/>
        <v>23.426737326142728</v>
      </c>
      <c r="X91" s="22"/>
      <c r="Y91" s="24">
        <v>0.6448317458338213</v>
      </c>
      <c r="Z91" s="22"/>
      <c r="AA91" s="24">
        <v>1.05</v>
      </c>
    </row>
    <row r="92" spans="1:27" hidden="1" x14ac:dyDescent="0.25">
      <c r="A92" s="16"/>
      <c r="B92" s="3" t="s">
        <v>142</v>
      </c>
      <c r="C92" s="3" t="s">
        <v>143</v>
      </c>
      <c r="D92" s="11" t="s">
        <v>6</v>
      </c>
      <c r="E92" s="7">
        <f t="shared" si="27"/>
        <v>271.8550382485854</v>
      </c>
      <c r="F92" s="7">
        <f t="shared" si="28"/>
        <v>278.08053830985369</v>
      </c>
      <c r="G92" s="7">
        <f t="shared" si="29"/>
        <v>305.11512092110576</v>
      </c>
      <c r="H92" s="7">
        <f t="shared" si="30"/>
        <v>271.8550382485854</v>
      </c>
      <c r="I92" s="7">
        <f t="shared" si="31"/>
        <v>278.08053830985369</v>
      </c>
      <c r="J92" s="7">
        <f t="shared" si="32"/>
        <v>305.11512092110576</v>
      </c>
      <c r="K92" s="7">
        <f t="shared" si="33"/>
        <v>271.8550382485854</v>
      </c>
      <c r="L92" s="7">
        <f t="shared" si="34"/>
        <v>278.08053830985369</v>
      </c>
      <c r="M92" s="7">
        <f t="shared" si="35"/>
        <v>305.11512092110576</v>
      </c>
      <c r="N92" s="22"/>
      <c r="O92" s="7">
        <f t="shared" si="36"/>
        <v>25.262898799349596</v>
      </c>
      <c r="P92" s="7">
        <f t="shared" si="37"/>
        <v>25.837055590243903</v>
      </c>
      <c r="Q92" s="7">
        <f t="shared" si="38"/>
        <v>28.3797499499187</v>
      </c>
      <c r="R92" s="7">
        <f t="shared" si="39"/>
        <v>25.262898799349596</v>
      </c>
      <c r="S92" s="7">
        <f t="shared" si="40"/>
        <v>25.837055590243903</v>
      </c>
      <c r="T92" s="7">
        <f t="shared" si="41"/>
        <v>28.3797499499187</v>
      </c>
      <c r="U92" s="7">
        <f t="shared" si="42"/>
        <v>25.262898799349596</v>
      </c>
      <c r="V92" s="7">
        <f t="shared" si="43"/>
        <v>25.837055590243903</v>
      </c>
      <c r="W92" s="7">
        <f t="shared" si="44"/>
        <v>28.3797499499187</v>
      </c>
      <c r="X92" s="22"/>
      <c r="Y92" s="24">
        <v>0.78867691056910572</v>
      </c>
      <c r="Z92" s="22"/>
      <c r="AA92" s="24">
        <v>1.04</v>
      </c>
    </row>
    <row r="93" spans="1:27" hidden="1" x14ac:dyDescent="0.25">
      <c r="A93" s="16"/>
      <c r="B93" s="3" t="s">
        <v>144</v>
      </c>
      <c r="C93" s="3" t="s">
        <v>145</v>
      </c>
      <c r="D93" s="11" t="s">
        <v>6</v>
      </c>
      <c r="E93" s="7">
        <f t="shared" si="27"/>
        <v>167.99827778779343</v>
      </c>
      <c r="F93" s="7">
        <f t="shared" si="28"/>
        <v>171.84545051410694</v>
      </c>
      <c r="G93" s="7">
        <f t="shared" si="29"/>
        <v>188.55201349952114</v>
      </c>
      <c r="H93" s="7">
        <f t="shared" si="30"/>
        <v>167.99827778779343</v>
      </c>
      <c r="I93" s="7">
        <f t="shared" si="31"/>
        <v>171.84545051410694</v>
      </c>
      <c r="J93" s="7">
        <f t="shared" si="32"/>
        <v>188.55201349952114</v>
      </c>
      <c r="K93" s="7">
        <f t="shared" si="33"/>
        <v>167.99827778779343</v>
      </c>
      <c r="L93" s="7">
        <f t="shared" si="34"/>
        <v>171.84545051410694</v>
      </c>
      <c r="M93" s="7">
        <f t="shared" si="35"/>
        <v>188.55201349952114</v>
      </c>
      <c r="N93" s="22"/>
      <c r="O93" s="7">
        <f t="shared" si="36"/>
        <v>15.611715411127317</v>
      </c>
      <c r="P93" s="7">
        <f t="shared" si="37"/>
        <v>15.966527125016574</v>
      </c>
      <c r="Q93" s="7">
        <f t="shared" si="38"/>
        <v>17.537836143668997</v>
      </c>
      <c r="R93" s="7">
        <f t="shared" si="39"/>
        <v>15.611715411127317</v>
      </c>
      <c r="S93" s="7">
        <f t="shared" si="40"/>
        <v>15.966527125016574</v>
      </c>
      <c r="T93" s="7">
        <f t="shared" si="41"/>
        <v>17.537836143668997</v>
      </c>
      <c r="U93" s="7">
        <f t="shared" si="42"/>
        <v>15.611715411127317</v>
      </c>
      <c r="V93" s="7">
        <f t="shared" si="43"/>
        <v>15.966527125016574</v>
      </c>
      <c r="W93" s="7">
        <f t="shared" si="44"/>
        <v>17.537836143668997</v>
      </c>
      <c r="X93" s="22"/>
      <c r="Y93" s="24">
        <v>0.48044917249730157</v>
      </c>
      <c r="Z93" s="22"/>
      <c r="AA93" s="24">
        <v>1.0549999999999999</v>
      </c>
    </row>
    <row r="94" spans="1:27" hidden="1" x14ac:dyDescent="0.25">
      <c r="A94" s="16"/>
      <c r="B94" s="3" t="s">
        <v>146</v>
      </c>
      <c r="C94" s="3" t="s">
        <v>147</v>
      </c>
      <c r="D94" s="11" t="s">
        <v>6</v>
      </c>
      <c r="E94" s="7">
        <f t="shared" si="27"/>
        <v>212.1322231003499</v>
      </c>
      <c r="F94" s="7">
        <f t="shared" si="28"/>
        <v>216.99006637011715</v>
      </c>
      <c r="G94" s="7">
        <f t="shared" si="29"/>
        <v>238.08552278270324</v>
      </c>
      <c r="H94" s="7">
        <f t="shared" si="30"/>
        <v>212.1322231003499</v>
      </c>
      <c r="I94" s="7">
        <f t="shared" si="31"/>
        <v>216.99006637011715</v>
      </c>
      <c r="J94" s="7">
        <f t="shared" si="32"/>
        <v>238.08552278270324</v>
      </c>
      <c r="K94" s="7">
        <f t="shared" si="33"/>
        <v>212.1322231003499</v>
      </c>
      <c r="L94" s="7">
        <f t="shared" si="34"/>
        <v>216.99006637011715</v>
      </c>
      <c r="M94" s="7">
        <f t="shared" si="35"/>
        <v>238.08552278270324</v>
      </c>
      <c r="N94" s="22"/>
      <c r="O94" s="7">
        <f t="shared" si="36"/>
        <v>19.712987181664182</v>
      </c>
      <c r="P94" s="7">
        <f t="shared" si="37"/>
        <v>20.161009617611096</v>
      </c>
      <c r="Q94" s="7">
        <f t="shared" si="38"/>
        <v>22.145108976804568</v>
      </c>
      <c r="R94" s="7">
        <f t="shared" si="39"/>
        <v>19.712987181664182</v>
      </c>
      <c r="S94" s="7">
        <f t="shared" si="40"/>
        <v>20.161009617611096</v>
      </c>
      <c r="T94" s="7">
        <f t="shared" si="41"/>
        <v>22.145108976804568</v>
      </c>
      <c r="U94" s="7">
        <f t="shared" si="42"/>
        <v>19.712987181664182</v>
      </c>
      <c r="V94" s="7">
        <f t="shared" si="43"/>
        <v>20.161009617611096</v>
      </c>
      <c r="W94" s="7">
        <f t="shared" si="44"/>
        <v>22.145108976804568</v>
      </c>
      <c r="X94" s="22"/>
      <c r="Y94" s="24">
        <v>0.61541543399301268</v>
      </c>
      <c r="Z94" s="22"/>
      <c r="AA94" s="24">
        <v>1.04</v>
      </c>
    </row>
    <row r="95" spans="1:27" hidden="1" x14ac:dyDescent="0.25">
      <c r="A95" s="16"/>
      <c r="B95" s="3" t="s">
        <v>148</v>
      </c>
      <c r="C95" s="3" t="s">
        <v>149</v>
      </c>
      <c r="D95" s="11" t="s">
        <v>6</v>
      </c>
      <c r="E95" s="7">
        <f t="shared" si="27"/>
        <v>277.66264741463419</v>
      </c>
      <c r="F95" s="7">
        <f t="shared" si="28"/>
        <v>284.02114214634145</v>
      </c>
      <c r="G95" s="7">
        <f t="shared" si="29"/>
        <v>311.63326156097565</v>
      </c>
      <c r="H95" s="7">
        <f t="shared" si="30"/>
        <v>277.66264741463419</v>
      </c>
      <c r="I95" s="7">
        <f t="shared" si="31"/>
        <v>284.02114214634145</v>
      </c>
      <c r="J95" s="7">
        <f t="shared" si="32"/>
        <v>311.63326156097565</v>
      </c>
      <c r="K95" s="7">
        <f t="shared" si="33"/>
        <v>277.66264741463419</v>
      </c>
      <c r="L95" s="7">
        <f t="shared" si="34"/>
        <v>284.02114214634145</v>
      </c>
      <c r="M95" s="7">
        <f t="shared" si="35"/>
        <v>311.63326156097565</v>
      </c>
      <c r="N95" s="22"/>
      <c r="O95" s="7">
        <f t="shared" si="36"/>
        <v>25.802587317073176</v>
      </c>
      <c r="P95" s="7">
        <f t="shared" si="37"/>
        <v>26.389009756097561</v>
      </c>
      <c r="Q95" s="7">
        <f t="shared" si="38"/>
        <v>28.98602341463415</v>
      </c>
      <c r="R95" s="7">
        <f t="shared" si="39"/>
        <v>25.802587317073176</v>
      </c>
      <c r="S95" s="7">
        <f t="shared" si="40"/>
        <v>26.389009756097561</v>
      </c>
      <c r="T95" s="7">
        <f t="shared" si="41"/>
        <v>28.98602341463415</v>
      </c>
      <c r="U95" s="7">
        <f t="shared" si="42"/>
        <v>25.802587317073176</v>
      </c>
      <c r="V95" s="7">
        <f t="shared" si="43"/>
        <v>26.389009756097561</v>
      </c>
      <c r="W95" s="7">
        <f t="shared" si="44"/>
        <v>28.98602341463415</v>
      </c>
      <c r="X95" s="22"/>
      <c r="Y95" s="24">
        <v>0.79785365853658541</v>
      </c>
      <c r="Z95" s="22"/>
      <c r="AA95" s="24">
        <v>1.05</v>
      </c>
    </row>
    <row r="96" spans="1:27" hidden="1" x14ac:dyDescent="0.25">
      <c r="A96" s="16"/>
      <c r="B96" s="3" t="s">
        <v>150</v>
      </c>
      <c r="C96" s="3" t="s">
        <v>151</v>
      </c>
      <c r="D96" s="11" t="s">
        <v>6</v>
      </c>
      <c r="E96" s="7">
        <f t="shared" si="27"/>
        <v>228.20368023802047</v>
      </c>
      <c r="F96" s="7">
        <f t="shared" si="28"/>
        <v>233.42956103999541</v>
      </c>
      <c r="G96" s="7">
        <f t="shared" si="29"/>
        <v>256.12324104435567</v>
      </c>
      <c r="H96" s="7">
        <f t="shared" si="30"/>
        <v>228.20368023802047</v>
      </c>
      <c r="I96" s="7">
        <f t="shared" si="31"/>
        <v>233.42956103999541</v>
      </c>
      <c r="J96" s="7">
        <f t="shared" si="32"/>
        <v>256.12324104435567</v>
      </c>
      <c r="K96" s="7">
        <f t="shared" si="33"/>
        <v>228.20368023802047</v>
      </c>
      <c r="L96" s="7">
        <f t="shared" si="34"/>
        <v>233.42956103999541</v>
      </c>
      <c r="M96" s="7">
        <f t="shared" si="35"/>
        <v>256.12324104435567</v>
      </c>
      <c r="N96" s="22"/>
      <c r="O96" s="7">
        <f t="shared" si="36"/>
        <v>21.206472819608468</v>
      </c>
      <c r="P96" s="7">
        <f t="shared" si="37"/>
        <v>21.688438110963208</v>
      </c>
      <c r="Q96" s="7">
        <f t="shared" si="38"/>
        <v>23.8228558298199</v>
      </c>
      <c r="R96" s="7">
        <f t="shared" si="39"/>
        <v>21.206472819608468</v>
      </c>
      <c r="S96" s="7">
        <f t="shared" si="40"/>
        <v>21.688438110963208</v>
      </c>
      <c r="T96" s="7">
        <f t="shared" si="41"/>
        <v>23.8228558298199</v>
      </c>
      <c r="U96" s="7">
        <f t="shared" si="42"/>
        <v>21.206472819608468</v>
      </c>
      <c r="V96" s="7">
        <f t="shared" si="43"/>
        <v>21.688438110963208</v>
      </c>
      <c r="W96" s="7">
        <f t="shared" si="44"/>
        <v>23.8228558298199</v>
      </c>
      <c r="X96" s="22"/>
      <c r="Y96" s="10">
        <v>0.64048543701626304</v>
      </c>
      <c r="Z96" s="22"/>
      <c r="AA96" s="10">
        <v>1.075</v>
      </c>
    </row>
    <row r="97" spans="1:27" hidden="1" x14ac:dyDescent="0.25">
      <c r="A97" s="16"/>
      <c r="B97" s="3" t="s">
        <v>152</v>
      </c>
      <c r="C97" s="3" t="s">
        <v>153</v>
      </c>
      <c r="D97" s="11" t="s">
        <v>6</v>
      </c>
      <c r="E97" s="7">
        <f t="shared" si="27"/>
        <v>176.74262113991662</v>
      </c>
      <c r="F97" s="7">
        <f t="shared" si="28"/>
        <v>180.79003996218299</v>
      </c>
      <c r="G97" s="7">
        <f t="shared" si="29"/>
        <v>198.36618283199851</v>
      </c>
      <c r="H97" s="7">
        <f t="shared" si="30"/>
        <v>176.74262113991662</v>
      </c>
      <c r="I97" s="7">
        <f t="shared" si="31"/>
        <v>180.79003996218299</v>
      </c>
      <c r="J97" s="7">
        <f t="shared" si="32"/>
        <v>198.36618283199851</v>
      </c>
      <c r="K97" s="7">
        <f t="shared" si="33"/>
        <v>176.74262113991662</v>
      </c>
      <c r="L97" s="7">
        <f t="shared" si="34"/>
        <v>180.79003996218299</v>
      </c>
      <c r="M97" s="7">
        <f t="shared" si="35"/>
        <v>198.36618283199851</v>
      </c>
      <c r="N97" s="22"/>
      <c r="O97" s="7">
        <f t="shared" si="36"/>
        <v>16.424308264269346</v>
      </c>
      <c r="P97" s="7">
        <f t="shared" si="37"/>
        <v>16.797587997548195</v>
      </c>
      <c r="Q97" s="7">
        <f t="shared" si="38"/>
        <v>18.45068395921167</v>
      </c>
      <c r="R97" s="7">
        <f t="shared" si="39"/>
        <v>16.424308264269346</v>
      </c>
      <c r="S97" s="7">
        <f t="shared" si="40"/>
        <v>16.797587997548195</v>
      </c>
      <c r="T97" s="7">
        <f t="shared" si="41"/>
        <v>18.45068395921167</v>
      </c>
      <c r="U97" s="7">
        <f t="shared" si="42"/>
        <v>16.424308264269346</v>
      </c>
      <c r="V97" s="7">
        <f t="shared" si="43"/>
        <v>16.797587997548195</v>
      </c>
      <c r="W97" s="7">
        <f t="shared" si="44"/>
        <v>18.45068395921167</v>
      </c>
      <c r="X97" s="22"/>
      <c r="Y97" s="10">
        <v>0.50545664628144726</v>
      </c>
      <c r="Z97" s="22"/>
      <c r="AA97" s="10">
        <v>1.0549999999999999</v>
      </c>
    </row>
    <row r="98" spans="1:27" hidden="1" x14ac:dyDescent="0.25">
      <c r="A98" s="16"/>
      <c r="B98" s="3" t="s">
        <v>154</v>
      </c>
      <c r="C98" s="3" t="s">
        <v>155</v>
      </c>
      <c r="D98" s="11" t="s">
        <v>6</v>
      </c>
      <c r="E98" s="7">
        <f t="shared" si="27"/>
        <v>181.80413199759201</v>
      </c>
      <c r="F98" s="7">
        <f t="shared" si="28"/>
        <v>185.96745978500968</v>
      </c>
      <c r="G98" s="7">
        <f t="shared" si="29"/>
        <v>204.04694382628605</v>
      </c>
      <c r="H98" s="7">
        <f t="shared" si="30"/>
        <v>181.80413199759201</v>
      </c>
      <c r="I98" s="7">
        <f t="shared" si="31"/>
        <v>185.96745978500968</v>
      </c>
      <c r="J98" s="7">
        <f t="shared" si="32"/>
        <v>204.04694382628605</v>
      </c>
      <c r="K98" s="7">
        <f t="shared" si="33"/>
        <v>181.80413199759201</v>
      </c>
      <c r="L98" s="7">
        <f t="shared" si="34"/>
        <v>185.96745978500968</v>
      </c>
      <c r="M98" s="7">
        <f t="shared" si="35"/>
        <v>204.04694382628605</v>
      </c>
      <c r="N98" s="22"/>
      <c r="O98" s="7">
        <f t="shared" si="36"/>
        <v>16.894663485173286</v>
      </c>
      <c r="P98" s="7">
        <f t="shared" si="37"/>
        <v>17.278633109836314</v>
      </c>
      <c r="Q98" s="7">
        <f t="shared" si="38"/>
        <v>18.979070019058302</v>
      </c>
      <c r="R98" s="7">
        <f t="shared" si="39"/>
        <v>16.894663485173286</v>
      </c>
      <c r="S98" s="7">
        <f t="shared" si="40"/>
        <v>17.278633109836314</v>
      </c>
      <c r="T98" s="7">
        <f t="shared" si="41"/>
        <v>18.979070019058302</v>
      </c>
      <c r="U98" s="7">
        <f t="shared" si="42"/>
        <v>16.894663485173286</v>
      </c>
      <c r="V98" s="7">
        <f t="shared" si="43"/>
        <v>17.278633109836314</v>
      </c>
      <c r="W98" s="7">
        <f t="shared" si="44"/>
        <v>18.979070019058302</v>
      </c>
      <c r="X98" s="22"/>
      <c r="Y98" s="10">
        <v>0.52743080310855661</v>
      </c>
      <c r="Z98" s="22"/>
      <c r="AA98" s="10">
        <v>1.04</v>
      </c>
    </row>
    <row r="99" spans="1:27" hidden="1" x14ac:dyDescent="0.25">
      <c r="A99" s="16"/>
      <c r="B99" s="3" t="s">
        <v>156</v>
      </c>
      <c r="C99" s="3" t="s">
        <v>157</v>
      </c>
      <c r="D99" s="11" t="s">
        <v>6</v>
      </c>
      <c r="E99" s="7">
        <f t="shared" si="27"/>
        <v>211.57046408422676</v>
      </c>
      <c r="F99" s="7">
        <f t="shared" si="28"/>
        <v>216.41544303184705</v>
      </c>
      <c r="G99" s="7">
        <f t="shared" si="29"/>
        <v>237.45503540517592</v>
      </c>
      <c r="H99" s="7">
        <f t="shared" si="30"/>
        <v>211.57046408422676</v>
      </c>
      <c r="I99" s="7">
        <f t="shared" si="31"/>
        <v>216.41544303184705</v>
      </c>
      <c r="J99" s="7">
        <f t="shared" si="32"/>
        <v>237.45503540517592</v>
      </c>
      <c r="K99" s="7">
        <f t="shared" si="33"/>
        <v>211.57046408422676</v>
      </c>
      <c r="L99" s="7">
        <f t="shared" si="34"/>
        <v>216.41544303184705</v>
      </c>
      <c r="M99" s="7">
        <f t="shared" si="35"/>
        <v>237.45503540517592</v>
      </c>
      <c r="N99" s="22"/>
      <c r="O99" s="7">
        <f t="shared" si="36"/>
        <v>19.660784135270887</v>
      </c>
      <c r="P99" s="7">
        <f t="shared" si="37"/>
        <v>20.107620138345226</v>
      </c>
      <c r="Q99" s="7">
        <f t="shared" si="38"/>
        <v>22.086465294817298</v>
      </c>
      <c r="R99" s="7">
        <f t="shared" si="39"/>
        <v>19.660784135270887</v>
      </c>
      <c r="S99" s="7">
        <f t="shared" si="40"/>
        <v>20.107620138345226</v>
      </c>
      <c r="T99" s="7">
        <f t="shared" si="41"/>
        <v>22.086465294817298</v>
      </c>
      <c r="U99" s="7">
        <f t="shared" si="42"/>
        <v>19.660784135270887</v>
      </c>
      <c r="V99" s="7">
        <f t="shared" si="43"/>
        <v>20.107620138345226</v>
      </c>
      <c r="W99" s="7">
        <f t="shared" si="44"/>
        <v>22.086465294817298</v>
      </c>
      <c r="X99" s="22"/>
      <c r="Y99" s="10">
        <v>0.61378571850870656</v>
      </c>
      <c r="Z99" s="22"/>
      <c r="AA99" s="10">
        <v>1.04</v>
      </c>
    </row>
    <row r="100" spans="1:27" hidden="1" x14ac:dyDescent="0.25">
      <c r="A100" s="16"/>
      <c r="B100" s="3" t="s">
        <v>158</v>
      </c>
      <c r="C100" s="3" t="s">
        <v>159</v>
      </c>
      <c r="D100" s="11" t="s">
        <v>6</v>
      </c>
      <c r="E100" s="7">
        <f t="shared" si="27"/>
        <v>205.83098465266522</v>
      </c>
      <c r="F100" s="7">
        <f t="shared" si="28"/>
        <v>210.54452910569967</v>
      </c>
      <c r="G100" s="7">
        <f t="shared" si="29"/>
        <v>231.0133598266502</v>
      </c>
      <c r="H100" s="7">
        <f t="shared" si="30"/>
        <v>205.83098465266522</v>
      </c>
      <c r="I100" s="7">
        <f t="shared" si="31"/>
        <v>210.54452910569967</v>
      </c>
      <c r="J100" s="7">
        <f t="shared" si="32"/>
        <v>231.0133598266502</v>
      </c>
      <c r="K100" s="7">
        <f t="shared" si="33"/>
        <v>205.83098465266522</v>
      </c>
      <c r="L100" s="7">
        <f t="shared" si="34"/>
        <v>210.54452910569967</v>
      </c>
      <c r="M100" s="7">
        <f t="shared" si="35"/>
        <v>231.0133598266502</v>
      </c>
      <c r="N100" s="22"/>
      <c r="O100" s="7">
        <f t="shared" si="36"/>
        <v>19.127426765936789</v>
      </c>
      <c r="P100" s="7">
        <f t="shared" si="37"/>
        <v>19.562141010617172</v>
      </c>
      <c r="Q100" s="7">
        <f t="shared" si="38"/>
        <v>21.487304094201718</v>
      </c>
      <c r="R100" s="7">
        <f t="shared" si="39"/>
        <v>19.127426765936789</v>
      </c>
      <c r="S100" s="7">
        <f t="shared" si="40"/>
        <v>19.562141010617172</v>
      </c>
      <c r="T100" s="7">
        <f t="shared" si="41"/>
        <v>21.487304094201718</v>
      </c>
      <c r="U100" s="7">
        <f t="shared" si="42"/>
        <v>19.127426765936789</v>
      </c>
      <c r="V100" s="7">
        <f t="shared" si="43"/>
        <v>19.562141010617172</v>
      </c>
      <c r="W100" s="7">
        <f t="shared" si="44"/>
        <v>21.487304094201718</v>
      </c>
      <c r="X100" s="22"/>
      <c r="Y100" s="10">
        <v>0.59144795194609734</v>
      </c>
      <c r="Z100" s="22"/>
      <c r="AA100" s="10">
        <v>1.05</v>
      </c>
    </row>
    <row r="101" spans="1:27" hidden="1" x14ac:dyDescent="0.25">
      <c r="A101" s="16"/>
      <c r="B101" s="3" t="s">
        <v>160</v>
      </c>
      <c r="C101" s="3" t="s">
        <v>161</v>
      </c>
      <c r="D101" s="11" t="s">
        <v>6</v>
      </c>
      <c r="E101" s="7">
        <f t="shared" ref="E101:E132" si="45">(331.44*$Y101)*$AA101</f>
        <v>354.30261798224149</v>
      </c>
      <c r="F101" s="7">
        <f t="shared" ref="F101:F132" si="46">(339.03*$Y101)*$AA101</f>
        <v>362.41617358954664</v>
      </c>
      <c r="G101" s="7">
        <f t="shared" ref="G101:G132" si="47">(371.99*$Y101)*$AA101</f>
        <v>397.64974313062407</v>
      </c>
      <c r="H101" s="7">
        <f t="shared" ref="H101:H132" si="48">(331.44*$Y101)*$AA101</f>
        <v>354.30261798224149</v>
      </c>
      <c r="I101" s="7">
        <f t="shared" ref="I101:I132" si="49">(339.03*$Y101)*$AA101</f>
        <v>362.41617358954664</v>
      </c>
      <c r="J101" s="7">
        <f t="shared" ref="J101:J132" si="50">(371.99*$Y101)*$AA101</f>
        <v>397.64974313062407</v>
      </c>
      <c r="K101" s="7">
        <f t="shared" ref="K101:K132" si="51">(331.44*$Y101)*$AA101</f>
        <v>354.30261798224149</v>
      </c>
      <c r="L101" s="7">
        <f t="shared" ref="L101:L132" si="52">(339.03*$Y101)*$AA101</f>
        <v>362.41617358954664</v>
      </c>
      <c r="M101" s="7">
        <f t="shared" ref="M101:M132" si="53">(371.99*$Y101)*$AA101</f>
        <v>397.64974313062407</v>
      </c>
      <c r="N101" s="22"/>
      <c r="O101" s="7">
        <f t="shared" si="36"/>
        <v>32.924573478919378</v>
      </c>
      <c r="P101" s="7">
        <f t="shared" si="37"/>
        <v>33.672859239803913</v>
      </c>
      <c r="Q101" s="7">
        <f t="shared" si="38"/>
        <v>36.98669618086398</v>
      </c>
      <c r="R101" s="7">
        <f t="shared" si="39"/>
        <v>32.924573478919378</v>
      </c>
      <c r="S101" s="7">
        <f t="shared" si="40"/>
        <v>33.672859239803913</v>
      </c>
      <c r="T101" s="7">
        <f t="shared" si="41"/>
        <v>36.98669618086398</v>
      </c>
      <c r="U101" s="7">
        <f t="shared" si="42"/>
        <v>32.924573478919378</v>
      </c>
      <c r="V101" s="7">
        <f t="shared" si="43"/>
        <v>33.672859239803913</v>
      </c>
      <c r="W101" s="7">
        <f t="shared" si="44"/>
        <v>36.98669618086398</v>
      </c>
      <c r="X101" s="22"/>
      <c r="Y101" s="10">
        <v>0.92153418828144262</v>
      </c>
      <c r="Z101" s="22"/>
      <c r="AA101" s="10">
        <v>1.1599999999999999</v>
      </c>
    </row>
    <row r="102" spans="1:27" hidden="1" x14ac:dyDescent="0.25">
      <c r="A102" s="16"/>
      <c r="B102" s="3" t="s">
        <v>162</v>
      </c>
      <c r="C102" s="3" t="s">
        <v>163</v>
      </c>
      <c r="D102" s="11" t="s">
        <v>6</v>
      </c>
      <c r="E102" s="7">
        <f t="shared" si="45"/>
        <v>252.96199338199852</v>
      </c>
      <c r="F102" s="7">
        <f t="shared" si="46"/>
        <v>258.75484134775212</v>
      </c>
      <c r="G102" s="7">
        <f t="shared" si="47"/>
        <v>283.91060800799431</v>
      </c>
      <c r="H102" s="7">
        <f t="shared" si="48"/>
        <v>252.96199338199852</v>
      </c>
      <c r="I102" s="7">
        <f t="shared" si="49"/>
        <v>258.75484134775212</v>
      </c>
      <c r="J102" s="7">
        <f t="shared" si="50"/>
        <v>283.91060800799431</v>
      </c>
      <c r="K102" s="7">
        <f t="shared" si="51"/>
        <v>252.96199338199852</v>
      </c>
      <c r="L102" s="7">
        <f t="shared" si="52"/>
        <v>258.75484134775212</v>
      </c>
      <c r="M102" s="7">
        <f t="shared" si="53"/>
        <v>283.91060800799431</v>
      </c>
      <c r="N102" s="22"/>
      <c r="O102" s="7">
        <f t="shared" si="36"/>
        <v>23.507209136391367</v>
      </c>
      <c r="P102" s="7">
        <f t="shared" si="37"/>
        <v>24.041463889491173</v>
      </c>
      <c r="Q102" s="7">
        <f t="shared" si="38"/>
        <v>26.407449224647447</v>
      </c>
      <c r="R102" s="7">
        <f t="shared" si="39"/>
        <v>23.507209136391367</v>
      </c>
      <c r="S102" s="7">
        <f t="shared" si="40"/>
        <v>24.041463889491173</v>
      </c>
      <c r="T102" s="7">
        <f t="shared" si="41"/>
        <v>26.407449224647447</v>
      </c>
      <c r="U102" s="7">
        <f t="shared" si="42"/>
        <v>23.507209136391367</v>
      </c>
      <c r="V102" s="7">
        <f t="shared" si="43"/>
        <v>24.041463889491173</v>
      </c>
      <c r="W102" s="7">
        <f t="shared" si="44"/>
        <v>26.407449224647447</v>
      </c>
      <c r="X102" s="22"/>
      <c r="Y102" s="10">
        <v>0.72687721510177383</v>
      </c>
      <c r="Z102" s="22"/>
      <c r="AA102" s="10">
        <v>1.05</v>
      </c>
    </row>
    <row r="103" spans="1:27" hidden="1" x14ac:dyDescent="0.25">
      <c r="A103" s="16"/>
      <c r="B103" s="3" t="s">
        <v>164</v>
      </c>
      <c r="C103" s="3" t="s">
        <v>165</v>
      </c>
      <c r="D103" s="11" t="s">
        <v>6</v>
      </c>
      <c r="E103" s="7">
        <f t="shared" si="45"/>
        <v>169.04980721305591</v>
      </c>
      <c r="F103" s="7">
        <f t="shared" si="46"/>
        <v>172.92106003935055</v>
      </c>
      <c r="G103" s="7">
        <f t="shared" si="47"/>
        <v>189.73219220729143</v>
      </c>
      <c r="H103" s="7">
        <f t="shared" si="48"/>
        <v>169.04980721305591</v>
      </c>
      <c r="I103" s="7">
        <f t="shared" si="49"/>
        <v>172.92106003935055</v>
      </c>
      <c r="J103" s="7">
        <f t="shared" si="50"/>
        <v>189.73219220729143</v>
      </c>
      <c r="K103" s="7">
        <f t="shared" si="51"/>
        <v>169.04980721305591</v>
      </c>
      <c r="L103" s="7">
        <f t="shared" si="52"/>
        <v>172.92106003935055</v>
      </c>
      <c r="M103" s="7">
        <f t="shared" si="53"/>
        <v>189.73219220729143</v>
      </c>
      <c r="N103" s="22"/>
      <c r="O103" s="7">
        <f t="shared" si="36"/>
        <v>15.709431758876786</v>
      </c>
      <c r="P103" s="7">
        <f t="shared" si="37"/>
        <v>16.066464298851258</v>
      </c>
      <c r="Q103" s="7">
        <f t="shared" si="38"/>
        <v>17.647608404452495</v>
      </c>
      <c r="R103" s="7">
        <f t="shared" si="39"/>
        <v>15.709431758876786</v>
      </c>
      <c r="S103" s="7">
        <f t="shared" si="40"/>
        <v>16.066464298851258</v>
      </c>
      <c r="T103" s="7">
        <f t="shared" si="41"/>
        <v>17.647608404452495</v>
      </c>
      <c r="U103" s="7">
        <f t="shared" si="42"/>
        <v>15.709431758876786</v>
      </c>
      <c r="V103" s="7">
        <f t="shared" si="43"/>
        <v>16.066464298851258</v>
      </c>
      <c r="W103" s="7">
        <f t="shared" si="44"/>
        <v>17.647608404452495</v>
      </c>
      <c r="X103" s="22"/>
      <c r="Y103" s="10">
        <v>0.49042931315174781</v>
      </c>
      <c r="Z103" s="22"/>
      <c r="AA103" s="10">
        <v>1.04</v>
      </c>
    </row>
    <row r="104" spans="1:27" hidden="1" x14ac:dyDescent="0.25">
      <c r="A104" s="16"/>
      <c r="B104" s="3" t="s">
        <v>166</v>
      </c>
      <c r="C104" s="3" t="s">
        <v>167</v>
      </c>
      <c r="D104" s="11" t="s">
        <v>6</v>
      </c>
      <c r="E104" s="7">
        <f t="shared" si="45"/>
        <v>168.50598229981094</v>
      </c>
      <c r="F104" s="7">
        <f t="shared" si="46"/>
        <v>172.3647814962132</v>
      </c>
      <c r="G104" s="7">
        <f t="shared" si="47"/>
        <v>189.12183307900881</v>
      </c>
      <c r="H104" s="7">
        <f t="shared" si="48"/>
        <v>168.50598229981094</v>
      </c>
      <c r="I104" s="7">
        <f t="shared" si="49"/>
        <v>172.3647814962132</v>
      </c>
      <c r="J104" s="7">
        <f t="shared" si="50"/>
        <v>189.12183307900881</v>
      </c>
      <c r="K104" s="7">
        <f t="shared" si="51"/>
        <v>168.50598229981094</v>
      </c>
      <c r="L104" s="7">
        <f t="shared" si="52"/>
        <v>172.3647814962132</v>
      </c>
      <c r="M104" s="7">
        <f t="shared" si="53"/>
        <v>189.12183307900881</v>
      </c>
      <c r="N104" s="22"/>
      <c r="O104" s="7">
        <f t="shared" si="36"/>
        <v>15.658895289748303</v>
      </c>
      <c r="P104" s="7">
        <f t="shared" si="37"/>
        <v>16.014779273606219</v>
      </c>
      <c r="Q104" s="7">
        <f t="shared" si="38"/>
        <v>17.590836916405564</v>
      </c>
      <c r="R104" s="7">
        <f t="shared" si="39"/>
        <v>15.658895289748303</v>
      </c>
      <c r="S104" s="7">
        <f t="shared" si="40"/>
        <v>16.014779273606219</v>
      </c>
      <c r="T104" s="7">
        <f t="shared" si="41"/>
        <v>17.590836916405564</v>
      </c>
      <c r="U104" s="7">
        <f t="shared" si="42"/>
        <v>15.658895289748303</v>
      </c>
      <c r="V104" s="7">
        <f t="shared" si="43"/>
        <v>16.014779273606219</v>
      </c>
      <c r="W104" s="7">
        <f t="shared" si="44"/>
        <v>17.590836916405564</v>
      </c>
      <c r="X104" s="22"/>
      <c r="Y104" s="10">
        <v>0.43828076829792612</v>
      </c>
      <c r="Z104" s="22"/>
      <c r="AA104" s="10">
        <v>1.1599999999999999</v>
      </c>
    </row>
    <row r="105" spans="1:27" hidden="1" x14ac:dyDescent="0.25">
      <c r="A105" s="16"/>
      <c r="B105" s="3" t="s">
        <v>168</v>
      </c>
      <c r="C105" s="3" t="s">
        <v>169</v>
      </c>
      <c r="D105" s="11" t="s">
        <v>6</v>
      </c>
      <c r="E105" s="7">
        <f t="shared" si="45"/>
        <v>283.98167227317072</v>
      </c>
      <c r="F105" s="7">
        <f t="shared" si="46"/>
        <v>290.48487313170727</v>
      </c>
      <c r="G105" s="7">
        <f t="shared" si="47"/>
        <v>318.72538700487803</v>
      </c>
      <c r="H105" s="7">
        <f t="shared" si="48"/>
        <v>283.98167227317072</v>
      </c>
      <c r="I105" s="7">
        <f t="shared" si="49"/>
        <v>290.48487313170727</v>
      </c>
      <c r="J105" s="7">
        <f t="shared" si="50"/>
        <v>318.72538700487803</v>
      </c>
      <c r="K105" s="7">
        <f t="shared" si="51"/>
        <v>283.98167227317072</v>
      </c>
      <c r="L105" s="7">
        <f t="shared" si="52"/>
        <v>290.48487313170727</v>
      </c>
      <c r="M105" s="7">
        <f t="shared" si="53"/>
        <v>318.72538700487803</v>
      </c>
      <c r="N105" s="22"/>
      <c r="O105" s="7">
        <f t="shared" si="36"/>
        <v>26.389800585365855</v>
      </c>
      <c r="P105" s="7">
        <f t="shared" si="37"/>
        <v>26.989568780487804</v>
      </c>
      <c r="Q105" s="7">
        <f t="shared" si="38"/>
        <v>29.645685073170732</v>
      </c>
      <c r="R105" s="7">
        <f t="shared" si="39"/>
        <v>26.389800585365855</v>
      </c>
      <c r="S105" s="7">
        <f t="shared" si="40"/>
        <v>26.989568780487804</v>
      </c>
      <c r="T105" s="7">
        <f t="shared" si="41"/>
        <v>29.645685073170732</v>
      </c>
      <c r="U105" s="7">
        <f t="shared" si="42"/>
        <v>26.389800585365855</v>
      </c>
      <c r="V105" s="7">
        <f t="shared" si="43"/>
        <v>26.989568780487804</v>
      </c>
      <c r="W105" s="7">
        <f t="shared" si="44"/>
        <v>29.645685073170732</v>
      </c>
      <c r="X105" s="22"/>
      <c r="Y105" s="10">
        <v>0.79703414634146341</v>
      </c>
      <c r="Z105" s="22"/>
      <c r="AA105" s="10">
        <v>1.075</v>
      </c>
    </row>
    <row r="106" spans="1:27" ht="14.5" hidden="1" customHeight="1" x14ac:dyDescent="0.25">
      <c r="A106" s="16"/>
      <c r="B106" s="3" t="s">
        <v>170</v>
      </c>
      <c r="C106" s="3" t="s">
        <v>171</v>
      </c>
      <c r="D106" s="11" t="s">
        <v>6</v>
      </c>
      <c r="E106" s="7">
        <f t="shared" si="45"/>
        <v>283.18848114189836</v>
      </c>
      <c r="F106" s="7">
        <f t="shared" si="46"/>
        <v>289.67351786609282</v>
      </c>
      <c r="G106" s="7">
        <f t="shared" si="47"/>
        <v>317.83515296878704</v>
      </c>
      <c r="H106" s="7">
        <f t="shared" si="48"/>
        <v>283.18848114189836</v>
      </c>
      <c r="I106" s="7">
        <f t="shared" si="49"/>
        <v>289.67351786609282</v>
      </c>
      <c r="J106" s="7">
        <f t="shared" si="50"/>
        <v>317.83515296878704</v>
      </c>
      <c r="K106" s="7">
        <f t="shared" si="51"/>
        <v>283.18848114189836</v>
      </c>
      <c r="L106" s="7">
        <f t="shared" si="52"/>
        <v>289.67351786609282</v>
      </c>
      <c r="M106" s="7">
        <f t="shared" si="53"/>
        <v>317.83515296878704</v>
      </c>
      <c r="N106" s="22"/>
      <c r="O106" s="7">
        <f t="shared" si="36"/>
        <v>26.31609105470212</v>
      </c>
      <c r="P106" s="7">
        <f t="shared" si="37"/>
        <v>26.914184033218074</v>
      </c>
      <c r="Q106" s="7">
        <f t="shared" si="38"/>
        <v>29.562881509503029</v>
      </c>
      <c r="R106" s="7">
        <f t="shared" si="39"/>
        <v>26.31609105470212</v>
      </c>
      <c r="S106" s="7">
        <f t="shared" si="40"/>
        <v>26.914184033218074</v>
      </c>
      <c r="T106" s="7">
        <f t="shared" si="41"/>
        <v>29.562881509503029</v>
      </c>
      <c r="U106" s="7">
        <f t="shared" si="42"/>
        <v>26.31609105470212</v>
      </c>
      <c r="V106" s="7">
        <f t="shared" si="43"/>
        <v>26.914184033218074</v>
      </c>
      <c r="W106" s="7">
        <f t="shared" si="44"/>
        <v>29.562881509503029</v>
      </c>
      <c r="X106" s="22"/>
      <c r="Y106" s="10">
        <v>0.82953256382240947</v>
      </c>
      <c r="Z106" s="22"/>
      <c r="AA106" s="10">
        <v>1.03</v>
      </c>
    </row>
    <row r="107" spans="1:27" hidden="1" x14ac:dyDescent="0.25">
      <c r="A107" s="16"/>
      <c r="B107" s="3" t="s">
        <v>170</v>
      </c>
      <c r="C107" s="18" t="s">
        <v>172</v>
      </c>
      <c r="D107" s="11" t="s">
        <v>6</v>
      </c>
      <c r="E107" s="7">
        <f t="shared" si="45"/>
        <v>437.16200364878057</v>
      </c>
      <c r="F107" s="7">
        <f t="shared" si="46"/>
        <v>447.17304518780492</v>
      </c>
      <c r="G107" s="7">
        <f t="shared" si="47"/>
        <v>490.64655363658545</v>
      </c>
      <c r="H107" s="7">
        <f t="shared" si="48"/>
        <v>437.16200364878057</v>
      </c>
      <c r="I107" s="7">
        <f t="shared" si="49"/>
        <v>447.17304518780492</v>
      </c>
      <c r="J107" s="7">
        <f t="shared" si="50"/>
        <v>490.64655363658545</v>
      </c>
      <c r="K107" s="7">
        <f t="shared" si="51"/>
        <v>437.16200364878057</v>
      </c>
      <c r="L107" s="7">
        <f t="shared" si="52"/>
        <v>447.17304518780492</v>
      </c>
      <c r="M107" s="7">
        <f t="shared" si="53"/>
        <v>490.64655363658545</v>
      </c>
      <c r="N107" s="22"/>
      <c r="O107" s="7">
        <f t="shared" si="36"/>
        <v>40.624516390243905</v>
      </c>
      <c r="P107" s="7">
        <f t="shared" si="37"/>
        <v>41.547800853658543</v>
      </c>
      <c r="Q107" s="7">
        <f t="shared" si="38"/>
        <v>45.636632048780498</v>
      </c>
      <c r="R107" s="7">
        <f t="shared" si="39"/>
        <v>40.624516390243905</v>
      </c>
      <c r="S107" s="7">
        <f t="shared" si="40"/>
        <v>41.547800853658543</v>
      </c>
      <c r="T107" s="7">
        <f t="shared" si="41"/>
        <v>45.636632048780498</v>
      </c>
      <c r="U107" s="7">
        <f t="shared" si="42"/>
        <v>40.624516390243905</v>
      </c>
      <c r="V107" s="7">
        <f t="shared" si="43"/>
        <v>41.547800853658543</v>
      </c>
      <c r="W107" s="7">
        <f t="shared" si="44"/>
        <v>45.636632048780498</v>
      </c>
      <c r="X107" s="22"/>
      <c r="Y107" s="10">
        <v>1.2805609756097562</v>
      </c>
      <c r="Z107" s="22"/>
      <c r="AA107" s="10">
        <v>1.03</v>
      </c>
    </row>
    <row r="108" spans="1:27" hidden="1" x14ac:dyDescent="0.25">
      <c r="A108" s="16"/>
      <c r="B108" s="3" t="s">
        <v>173</v>
      </c>
      <c r="C108" s="3" t="s">
        <v>174</v>
      </c>
      <c r="D108" s="11" t="s">
        <v>6</v>
      </c>
      <c r="E108" s="7">
        <f t="shared" si="45"/>
        <v>346.69634487804876</v>
      </c>
      <c r="F108" s="7">
        <f t="shared" si="46"/>
        <v>354.63571628048777</v>
      </c>
      <c r="G108" s="7">
        <f t="shared" si="47"/>
        <v>389.11288115853665</v>
      </c>
      <c r="H108" s="7">
        <f t="shared" si="48"/>
        <v>346.69634487804876</v>
      </c>
      <c r="I108" s="7">
        <f t="shared" si="49"/>
        <v>354.63571628048777</v>
      </c>
      <c r="J108" s="7">
        <f t="shared" si="50"/>
        <v>389.11288115853665</v>
      </c>
      <c r="K108" s="7">
        <f t="shared" si="51"/>
        <v>346.69634487804876</v>
      </c>
      <c r="L108" s="7">
        <f t="shared" si="52"/>
        <v>354.63571628048777</v>
      </c>
      <c r="M108" s="7">
        <f t="shared" si="53"/>
        <v>389.11288115853665</v>
      </c>
      <c r="N108" s="22"/>
      <c r="O108" s="7">
        <f t="shared" si="36"/>
        <v>32.217739024390248</v>
      </c>
      <c r="P108" s="7">
        <f t="shared" si="37"/>
        <v>32.949960365853656</v>
      </c>
      <c r="Q108" s="7">
        <f t="shared" si="38"/>
        <v>36.192654878048785</v>
      </c>
      <c r="R108" s="7">
        <f t="shared" si="39"/>
        <v>32.217739024390248</v>
      </c>
      <c r="S108" s="7">
        <f t="shared" si="40"/>
        <v>32.949960365853656</v>
      </c>
      <c r="T108" s="7">
        <f t="shared" si="41"/>
        <v>36.192654878048785</v>
      </c>
      <c r="U108" s="7">
        <f t="shared" si="42"/>
        <v>32.217739024390248</v>
      </c>
      <c r="V108" s="7">
        <f t="shared" si="43"/>
        <v>32.949960365853656</v>
      </c>
      <c r="W108" s="7">
        <f t="shared" si="44"/>
        <v>36.192654878048785</v>
      </c>
      <c r="X108" s="22"/>
      <c r="Y108" s="10">
        <v>0.69735365853658537</v>
      </c>
      <c r="Z108" s="22"/>
      <c r="AA108" s="10">
        <v>1.5</v>
      </c>
    </row>
    <row r="109" spans="1:27" hidden="1" x14ac:dyDescent="0.25">
      <c r="A109" s="16"/>
      <c r="B109" s="3" t="s">
        <v>175</v>
      </c>
      <c r="C109" s="3" t="s">
        <v>176</v>
      </c>
      <c r="D109" s="11" t="s">
        <v>6</v>
      </c>
      <c r="E109" s="7">
        <f t="shared" si="45"/>
        <v>322.3397489268292</v>
      </c>
      <c r="F109" s="7">
        <f t="shared" si="46"/>
        <v>329.72135251829258</v>
      </c>
      <c r="G109" s="7">
        <f t="shared" si="47"/>
        <v>361.77637944512185</v>
      </c>
      <c r="H109" s="7">
        <f t="shared" si="48"/>
        <v>322.3397489268292</v>
      </c>
      <c r="I109" s="7">
        <f t="shared" si="49"/>
        <v>329.72135251829258</v>
      </c>
      <c r="J109" s="7">
        <f t="shared" si="50"/>
        <v>361.77637944512185</v>
      </c>
      <c r="K109" s="7">
        <f t="shared" si="51"/>
        <v>322.3397489268292</v>
      </c>
      <c r="L109" s="7">
        <f t="shared" si="52"/>
        <v>329.72135251829258</v>
      </c>
      <c r="M109" s="7">
        <f t="shared" si="53"/>
        <v>361.77637944512185</v>
      </c>
      <c r="N109" s="22"/>
      <c r="O109" s="7">
        <f t="shared" si="36"/>
        <v>29.954333414634139</v>
      </c>
      <c r="P109" s="7">
        <f t="shared" si="37"/>
        <v>30.635113719512187</v>
      </c>
      <c r="Q109" s="7">
        <f t="shared" si="38"/>
        <v>33.649997926829258</v>
      </c>
      <c r="R109" s="7">
        <f t="shared" si="39"/>
        <v>29.954333414634139</v>
      </c>
      <c r="S109" s="7">
        <f t="shared" si="40"/>
        <v>30.635113719512187</v>
      </c>
      <c r="T109" s="7">
        <f t="shared" si="41"/>
        <v>33.649997926829258</v>
      </c>
      <c r="U109" s="7">
        <f t="shared" si="42"/>
        <v>29.954333414634139</v>
      </c>
      <c r="V109" s="7">
        <f t="shared" si="43"/>
        <v>30.635113719512187</v>
      </c>
      <c r="W109" s="7">
        <f t="shared" si="44"/>
        <v>33.649997926829258</v>
      </c>
      <c r="X109" s="22"/>
      <c r="Y109" s="10">
        <v>0.95817073170731692</v>
      </c>
      <c r="Z109" s="22"/>
      <c r="AA109" s="10">
        <v>1.0149999999999999</v>
      </c>
    </row>
    <row r="110" spans="1:27" hidden="1" x14ac:dyDescent="0.25">
      <c r="A110" s="16"/>
      <c r="B110" s="3" t="s">
        <v>175</v>
      </c>
      <c r="C110" s="3" t="s">
        <v>177</v>
      </c>
      <c r="D110" s="11" t="s">
        <v>6</v>
      </c>
      <c r="E110" s="7">
        <f t="shared" si="45"/>
        <v>322.3397489268292</v>
      </c>
      <c r="F110" s="7">
        <f t="shared" si="46"/>
        <v>329.72135251829258</v>
      </c>
      <c r="G110" s="7">
        <f t="shared" si="47"/>
        <v>361.77637944512185</v>
      </c>
      <c r="H110" s="7">
        <f t="shared" si="48"/>
        <v>322.3397489268292</v>
      </c>
      <c r="I110" s="7">
        <f t="shared" si="49"/>
        <v>329.72135251829258</v>
      </c>
      <c r="J110" s="7">
        <f t="shared" si="50"/>
        <v>361.77637944512185</v>
      </c>
      <c r="K110" s="7">
        <f t="shared" si="51"/>
        <v>322.3397489268292</v>
      </c>
      <c r="L110" s="7">
        <f t="shared" si="52"/>
        <v>329.72135251829258</v>
      </c>
      <c r="M110" s="7">
        <f t="shared" si="53"/>
        <v>361.77637944512185</v>
      </c>
      <c r="N110" s="22"/>
      <c r="O110" s="7">
        <f t="shared" si="36"/>
        <v>29.954333414634139</v>
      </c>
      <c r="P110" s="7">
        <f t="shared" si="37"/>
        <v>30.635113719512187</v>
      </c>
      <c r="Q110" s="7">
        <f t="shared" si="38"/>
        <v>33.649997926829258</v>
      </c>
      <c r="R110" s="7">
        <f t="shared" si="39"/>
        <v>29.954333414634139</v>
      </c>
      <c r="S110" s="7">
        <f t="shared" si="40"/>
        <v>30.635113719512187</v>
      </c>
      <c r="T110" s="7">
        <f t="shared" si="41"/>
        <v>33.649997926829258</v>
      </c>
      <c r="U110" s="7">
        <f t="shared" si="42"/>
        <v>29.954333414634139</v>
      </c>
      <c r="V110" s="7">
        <f t="shared" si="43"/>
        <v>30.635113719512187</v>
      </c>
      <c r="W110" s="7">
        <f t="shared" si="44"/>
        <v>33.649997926829258</v>
      </c>
      <c r="X110" s="22"/>
      <c r="Y110" s="10">
        <v>0.95817073170731692</v>
      </c>
      <c r="Z110" s="22"/>
      <c r="AA110" s="10">
        <v>1.0149999999999999</v>
      </c>
    </row>
    <row r="111" spans="1:27" hidden="1" x14ac:dyDescent="0.25">
      <c r="A111" s="16"/>
      <c r="B111" s="3" t="s">
        <v>178</v>
      </c>
      <c r="C111" s="3" t="s">
        <v>179</v>
      </c>
      <c r="D111" s="11" t="s">
        <v>6</v>
      </c>
      <c r="E111" s="7">
        <f t="shared" si="45"/>
        <v>208.2646754104471</v>
      </c>
      <c r="F111" s="7">
        <f t="shared" si="46"/>
        <v>213.0339515580614</v>
      </c>
      <c r="G111" s="7">
        <f t="shared" si="47"/>
        <v>233.74480028340642</v>
      </c>
      <c r="H111" s="7">
        <f t="shared" si="48"/>
        <v>208.2646754104471</v>
      </c>
      <c r="I111" s="7">
        <f t="shared" si="49"/>
        <v>213.0339515580614</v>
      </c>
      <c r="J111" s="7">
        <f t="shared" si="50"/>
        <v>233.74480028340642</v>
      </c>
      <c r="K111" s="7">
        <f t="shared" si="51"/>
        <v>208.2646754104471</v>
      </c>
      <c r="L111" s="7">
        <f t="shared" si="52"/>
        <v>213.0339515580614</v>
      </c>
      <c r="M111" s="7">
        <f t="shared" si="53"/>
        <v>233.74480028340642</v>
      </c>
      <c r="N111" s="22"/>
      <c r="O111" s="7">
        <f t="shared" si="36"/>
        <v>19.353584367130615</v>
      </c>
      <c r="P111" s="7">
        <f t="shared" si="37"/>
        <v>19.793438557292671</v>
      </c>
      <c r="Q111" s="7">
        <f t="shared" si="38"/>
        <v>21.741364256581797</v>
      </c>
      <c r="R111" s="7">
        <f t="shared" si="39"/>
        <v>19.353584367130615</v>
      </c>
      <c r="S111" s="7">
        <f t="shared" si="40"/>
        <v>19.793438557292671</v>
      </c>
      <c r="T111" s="7">
        <f t="shared" si="41"/>
        <v>21.741364256581797</v>
      </c>
      <c r="U111" s="7">
        <f t="shared" si="42"/>
        <v>19.353584367130615</v>
      </c>
      <c r="V111" s="7">
        <f t="shared" si="43"/>
        <v>19.793438557292671</v>
      </c>
      <c r="W111" s="7">
        <f t="shared" si="44"/>
        <v>21.741364256581797</v>
      </c>
      <c r="X111" s="22"/>
      <c r="Y111" s="10">
        <v>0.60419531615667499</v>
      </c>
      <c r="Z111" s="22"/>
      <c r="AA111" s="10">
        <v>1.04</v>
      </c>
    </row>
    <row r="112" spans="1:27" hidden="1" x14ac:dyDescent="0.25">
      <c r="A112" s="16"/>
      <c r="B112" s="3" t="s">
        <v>180</v>
      </c>
      <c r="C112" s="3" t="s">
        <v>181</v>
      </c>
      <c r="D112" s="11" t="s">
        <v>8</v>
      </c>
      <c r="E112" s="48">
        <f t="shared" si="45"/>
        <v>204.82992000000002</v>
      </c>
      <c r="F112" s="48">
        <f t="shared" si="46"/>
        <v>209.52053999999998</v>
      </c>
      <c r="G112" s="48">
        <f t="shared" si="47"/>
        <v>229.88981999999999</v>
      </c>
      <c r="H112" s="48">
        <f t="shared" si="48"/>
        <v>204.82992000000002</v>
      </c>
      <c r="I112" s="48">
        <f t="shared" si="49"/>
        <v>209.52053999999998</v>
      </c>
      <c r="J112" s="48">
        <f t="shared" si="50"/>
        <v>229.88981999999999</v>
      </c>
      <c r="K112" s="48">
        <f t="shared" si="51"/>
        <v>204.82992000000002</v>
      </c>
      <c r="L112" s="48">
        <f t="shared" si="52"/>
        <v>209.52053999999998</v>
      </c>
      <c r="M112" s="48">
        <f t="shared" si="53"/>
        <v>229.88981999999999</v>
      </c>
      <c r="N112" s="22"/>
      <c r="O112" s="48">
        <f t="shared" si="36"/>
        <v>19.034400000000002</v>
      </c>
      <c r="P112" s="48">
        <f t="shared" si="37"/>
        <v>19.466999999999999</v>
      </c>
      <c r="Q112" s="48">
        <f t="shared" si="38"/>
        <v>21.382800000000003</v>
      </c>
      <c r="R112" s="48">
        <f t="shared" si="39"/>
        <v>19.034400000000002</v>
      </c>
      <c r="S112" s="48">
        <f t="shared" si="40"/>
        <v>19.466999999999999</v>
      </c>
      <c r="T112" s="48">
        <f t="shared" si="41"/>
        <v>21.382800000000003</v>
      </c>
      <c r="U112" s="48">
        <f t="shared" si="42"/>
        <v>19.034400000000002</v>
      </c>
      <c r="V112" s="48">
        <f t="shared" si="43"/>
        <v>19.466999999999999</v>
      </c>
      <c r="W112" s="48">
        <f t="shared" si="44"/>
        <v>21.382800000000003</v>
      </c>
      <c r="X112" s="22"/>
      <c r="Y112" s="10">
        <v>0.6</v>
      </c>
      <c r="Z112" s="22"/>
      <c r="AA112" s="10">
        <v>1.03</v>
      </c>
    </row>
    <row r="113" spans="1:27" hidden="1" x14ac:dyDescent="0.25">
      <c r="A113" s="16"/>
      <c r="B113" s="3" t="s">
        <v>182</v>
      </c>
      <c r="C113" s="3" t="s">
        <v>183</v>
      </c>
      <c r="D113" s="11" t="s">
        <v>8</v>
      </c>
      <c r="E113" s="7">
        <f t="shared" si="45"/>
        <v>276.5005056</v>
      </c>
      <c r="F113" s="7">
        <f t="shared" si="46"/>
        <v>282.83238719999997</v>
      </c>
      <c r="G113" s="7">
        <f t="shared" si="47"/>
        <v>310.32893760000007</v>
      </c>
      <c r="H113" s="7">
        <f t="shared" si="48"/>
        <v>276.5005056</v>
      </c>
      <c r="I113" s="7">
        <f t="shared" si="49"/>
        <v>282.83238719999997</v>
      </c>
      <c r="J113" s="7">
        <f t="shared" si="50"/>
        <v>310.32893760000007</v>
      </c>
      <c r="K113" s="7">
        <f t="shared" si="51"/>
        <v>276.5005056</v>
      </c>
      <c r="L113" s="7">
        <f t="shared" si="52"/>
        <v>282.83238719999997</v>
      </c>
      <c r="M113" s="7">
        <f t="shared" si="53"/>
        <v>310.32893760000007</v>
      </c>
      <c r="N113" s="22"/>
      <c r="O113" s="7">
        <f t="shared" si="36"/>
        <v>25.694592000000004</v>
      </c>
      <c r="P113" s="7">
        <f t="shared" si="37"/>
        <v>26.278560000000002</v>
      </c>
      <c r="Q113" s="7">
        <f t="shared" si="38"/>
        <v>28.864704000000003</v>
      </c>
      <c r="R113" s="7">
        <f t="shared" si="39"/>
        <v>25.694592000000004</v>
      </c>
      <c r="S113" s="7">
        <f t="shared" si="40"/>
        <v>26.278560000000002</v>
      </c>
      <c r="T113" s="7">
        <f t="shared" si="41"/>
        <v>28.864704000000003</v>
      </c>
      <c r="U113" s="7">
        <f t="shared" si="42"/>
        <v>25.694592000000004</v>
      </c>
      <c r="V113" s="7">
        <f t="shared" si="43"/>
        <v>26.278560000000002</v>
      </c>
      <c r="W113" s="7">
        <f t="shared" si="44"/>
        <v>28.864704000000003</v>
      </c>
      <c r="X113" s="22"/>
      <c r="Y113" s="10">
        <v>0.79</v>
      </c>
      <c r="Z113" s="22"/>
      <c r="AA113" s="10">
        <v>1.056</v>
      </c>
    </row>
    <row r="114" spans="1:27" hidden="1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32">
        <f>E113*1.02</f>
        <v>282.03051571200001</v>
      </c>
      <c r="F114" s="32">
        <f t="shared" ref="F114:O114" si="54">F113*1.02</f>
        <v>288.48903494399997</v>
      </c>
      <c r="G114" s="32">
        <f t="shared" si="54"/>
        <v>316.53551635200006</v>
      </c>
      <c r="H114" s="32">
        <f t="shared" si="54"/>
        <v>282.03051571200001</v>
      </c>
      <c r="I114" s="32">
        <f t="shared" si="54"/>
        <v>288.48903494399997</v>
      </c>
      <c r="J114" s="32">
        <f t="shared" si="54"/>
        <v>316.53551635200006</v>
      </c>
      <c r="K114" s="32">
        <f t="shared" si="54"/>
        <v>282.03051571200001</v>
      </c>
      <c r="L114" s="32">
        <f t="shared" si="54"/>
        <v>288.48903494399997</v>
      </c>
      <c r="M114" s="32">
        <f t="shared" si="54"/>
        <v>316.53551635200006</v>
      </c>
      <c r="N114" s="33"/>
      <c r="O114" s="32">
        <f t="shared" si="54"/>
        <v>26.208483840000003</v>
      </c>
      <c r="P114" s="32">
        <f t="shared" ref="P114" si="55">P113*1.02</f>
        <v>26.804131200000004</v>
      </c>
      <c r="Q114" s="32">
        <f t="shared" ref="Q114" si="56">Q113*1.02</f>
        <v>29.441998080000005</v>
      </c>
      <c r="R114" s="32">
        <f t="shared" ref="R114" si="57">R113*1.02</f>
        <v>26.208483840000003</v>
      </c>
      <c r="S114" s="32">
        <f t="shared" ref="S114" si="58">S113*1.02</f>
        <v>26.804131200000004</v>
      </c>
      <c r="T114" s="32">
        <f t="shared" ref="T114" si="59">T113*1.02</f>
        <v>29.441998080000005</v>
      </c>
      <c r="U114" s="32">
        <f t="shared" ref="U114" si="60">U113*1.02</f>
        <v>26.208483840000003</v>
      </c>
      <c r="V114" s="32">
        <f t="shared" ref="V114" si="61">V113*1.02</f>
        <v>26.804131200000004</v>
      </c>
      <c r="W114" s="32">
        <f t="shared" ref="W114" si="62">W113*1.02</f>
        <v>29.441998080000005</v>
      </c>
      <c r="X114" s="33"/>
      <c r="Y114" s="34"/>
      <c r="Z114" s="22"/>
      <c r="AA114" s="10">
        <v>1.056</v>
      </c>
    </row>
    <row r="115" spans="1:27" hidden="1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32">
        <f>E113*1.04</f>
        <v>287.56052582400002</v>
      </c>
      <c r="F115" s="32">
        <f t="shared" ref="F115:M115" si="63">F113*1.04</f>
        <v>294.14568268799997</v>
      </c>
      <c r="G115" s="32">
        <f t="shared" si="63"/>
        <v>322.7420951040001</v>
      </c>
      <c r="H115" s="32">
        <f t="shared" si="63"/>
        <v>287.56052582400002</v>
      </c>
      <c r="I115" s="32">
        <f t="shared" si="63"/>
        <v>294.14568268799997</v>
      </c>
      <c r="J115" s="32">
        <f t="shared" si="63"/>
        <v>322.7420951040001</v>
      </c>
      <c r="K115" s="32">
        <f t="shared" si="63"/>
        <v>287.56052582400002</v>
      </c>
      <c r="L115" s="32">
        <f t="shared" si="63"/>
        <v>294.14568268799997</v>
      </c>
      <c r="M115" s="32">
        <f t="shared" si="63"/>
        <v>322.7420951040001</v>
      </c>
      <c r="N115" s="33"/>
      <c r="O115" s="32">
        <f>O113*1.04</f>
        <v>26.722375680000006</v>
      </c>
      <c r="P115" s="32">
        <f t="shared" ref="P115:W115" si="64">P113*1.04</f>
        <v>27.329702400000002</v>
      </c>
      <c r="Q115" s="32">
        <f t="shared" si="64"/>
        <v>30.019292160000003</v>
      </c>
      <c r="R115" s="32">
        <f t="shared" si="64"/>
        <v>26.722375680000006</v>
      </c>
      <c r="S115" s="32">
        <f t="shared" si="64"/>
        <v>27.329702400000002</v>
      </c>
      <c r="T115" s="32">
        <f t="shared" si="64"/>
        <v>30.019292160000003</v>
      </c>
      <c r="U115" s="32">
        <f t="shared" si="64"/>
        <v>26.722375680000006</v>
      </c>
      <c r="V115" s="32">
        <f t="shared" si="64"/>
        <v>27.329702400000002</v>
      </c>
      <c r="W115" s="32">
        <f t="shared" si="64"/>
        <v>30.019292160000003</v>
      </c>
      <c r="X115" s="33"/>
      <c r="Y115" s="34"/>
      <c r="Z115" s="22"/>
      <c r="AA115" s="10">
        <v>1.056</v>
      </c>
    </row>
    <row r="116" spans="1:27" hidden="1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32">
        <f>E113*1.03</f>
        <v>284.79552076800002</v>
      </c>
      <c r="F116" s="32">
        <f t="shared" ref="F116:M116" si="65">F113*1.03</f>
        <v>291.31735881599997</v>
      </c>
      <c r="G116" s="32">
        <f t="shared" si="65"/>
        <v>319.63880572800008</v>
      </c>
      <c r="H116" s="32">
        <f t="shared" si="65"/>
        <v>284.79552076800002</v>
      </c>
      <c r="I116" s="32">
        <f t="shared" si="65"/>
        <v>291.31735881599997</v>
      </c>
      <c r="J116" s="32">
        <f t="shared" si="65"/>
        <v>319.63880572800008</v>
      </c>
      <c r="K116" s="32">
        <f t="shared" si="65"/>
        <v>284.79552076800002</v>
      </c>
      <c r="L116" s="32">
        <f t="shared" si="65"/>
        <v>291.31735881599997</v>
      </c>
      <c r="M116" s="32">
        <f t="shared" si="65"/>
        <v>319.63880572800008</v>
      </c>
      <c r="N116" s="33"/>
      <c r="O116" s="32">
        <f>O113*1.03</f>
        <v>26.465429760000003</v>
      </c>
      <c r="P116" s="32">
        <f t="shared" ref="P116:W116" si="66">P113*1.03</f>
        <v>27.066916800000005</v>
      </c>
      <c r="Q116" s="32">
        <f t="shared" si="66"/>
        <v>29.730645120000005</v>
      </c>
      <c r="R116" s="32">
        <f t="shared" si="66"/>
        <v>26.465429760000003</v>
      </c>
      <c r="S116" s="32">
        <f t="shared" si="66"/>
        <v>27.066916800000005</v>
      </c>
      <c r="T116" s="32">
        <f t="shared" si="66"/>
        <v>29.730645120000005</v>
      </c>
      <c r="U116" s="32">
        <f t="shared" si="66"/>
        <v>26.465429760000003</v>
      </c>
      <c r="V116" s="32">
        <f t="shared" si="66"/>
        <v>27.066916800000005</v>
      </c>
      <c r="W116" s="32">
        <f t="shared" si="66"/>
        <v>29.730645120000005</v>
      </c>
      <c r="X116" s="33"/>
      <c r="Y116" s="34"/>
      <c r="Z116" s="22"/>
      <c r="AA116" s="10">
        <v>1.056</v>
      </c>
    </row>
    <row r="117" spans="1:27" hidden="1" x14ac:dyDescent="0.25">
      <c r="A117" s="16"/>
      <c r="B117" s="3" t="s">
        <v>180</v>
      </c>
      <c r="C117" s="3" t="s">
        <v>187</v>
      </c>
      <c r="D117" s="11" t="s">
        <v>8</v>
      </c>
      <c r="E117" s="48">
        <f t="shared" si="45"/>
        <v>196.079904</v>
      </c>
      <c r="F117" s="48">
        <f t="shared" si="46"/>
        <v>200.57014799999996</v>
      </c>
      <c r="G117" s="48">
        <f t="shared" si="47"/>
        <v>220.06928400000001</v>
      </c>
      <c r="H117" s="48">
        <f t="shared" si="48"/>
        <v>196.079904</v>
      </c>
      <c r="I117" s="48">
        <f t="shared" si="49"/>
        <v>200.57014799999996</v>
      </c>
      <c r="J117" s="48">
        <f t="shared" si="50"/>
        <v>220.06928400000001</v>
      </c>
      <c r="K117" s="48">
        <f t="shared" si="51"/>
        <v>196.079904</v>
      </c>
      <c r="L117" s="48">
        <f t="shared" si="52"/>
        <v>200.57014799999996</v>
      </c>
      <c r="M117" s="48">
        <f t="shared" si="53"/>
        <v>220.06928400000001</v>
      </c>
      <c r="N117" s="33"/>
      <c r="O117" s="48">
        <f t="shared" si="36"/>
        <v>18.22128</v>
      </c>
      <c r="P117" s="48">
        <f t="shared" si="37"/>
        <v>18.635400000000001</v>
      </c>
      <c r="Q117" s="48">
        <f t="shared" si="38"/>
        <v>20.469359999999998</v>
      </c>
      <c r="R117" s="48">
        <f t="shared" si="39"/>
        <v>18.22128</v>
      </c>
      <c r="S117" s="48">
        <f t="shared" si="40"/>
        <v>18.635400000000001</v>
      </c>
      <c r="T117" s="48">
        <f t="shared" si="41"/>
        <v>20.469359999999998</v>
      </c>
      <c r="U117" s="48">
        <f t="shared" si="42"/>
        <v>18.22128</v>
      </c>
      <c r="V117" s="48">
        <f t="shared" si="43"/>
        <v>18.635400000000001</v>
      </c>
      <c r="W117" s="48">
        <f t="shared" si="44"/>
        <v>20.469359999999998</v>
      </c>
      <c r="X117" s="22"/>
      <c r="Y117" s="10">
        <v>0.57999999999999996</v>
      </c>
      <c r="Z117" s="22"/>
      <c r="AA117" s="10">
        <v>1.02</v>
      </c>
    </row>
    <row r="118" spans="1:27" hidden="1" x14ac:dyDescent="0.25">
      <c r="A118" s="16"/>
      <c r="B118" s="3" t="s">
        <v>180</v>
      </c>
      <c r="C118" s="3" t="s">
        <v>188</v>
      </c>
      <c r="D118" s="11" t="s">
        <v>8</v>
      </c>
      <c r="E118" s="48">
        <f t="shared" si="45"/>
        <v>192.69921599999998</v>
      </c>
      <c r="F118" s="48">
        <f t="shared" si="46"/>
        <v>197.11204199999997</v>
      </c>
      <c r="G118" s="48">
        <f t="shared" si="47"/>
        <v>216.27498599999998</v>
      </c>
      <c r="H118" s="48">
        <f t="shared" si="48"/>
        <v>192.69921599999998</v>
      </c>
      <c r="I118" s="48">
        <f t="shared" si="49"/>
        <v>197.11204199999997</v>
      </c>
      <c r="J118" s="48">
        <f t="shared" si="50"/>
        <v>216.27498599999998</v>
      </c>
      <c r="K118" s="48">
        <f t="shared" si="51"/>
        <v>192.69921599999998</v>
      </c>
      <c r="L118" s="48">
        <f t="shared" si="52"/>
        <v>197.11204199999997</v>
      </c>
      <c r="M118" s="48">
        <f t="shared" si="53"/>
        <v>216.27498599999998</v>
      </c>
      <c r="N118" s="33"/>
      <c r="O118" s="48">
        <f t="shared" si="36"/>
        <v>17.907119999999999</v>
      </c>
      <c r="P118" s="48">
        <f t="shared" si="37"/>
        <v>18.3141</v>
      </c>
      <c r="Q118" s="48">
        <f t="shared" si="38"/>
        <v>20.116439999999997</v>
      </c>
      <c r="R118" s="48">
        <f t="shared" si="39"/>
        <v>17.907119999999999</v>
      </c>
      <c r="S118" s="48">
        <f t="shared" si="40"/>
        <v>18.3141</v>
      </c>
      <c r="T118" s="48">
        <f t="shared" si="41"/>
        <v>20.116439999999997</v>
      </c>
      <c r="U118" s="48">
        <f t="shared" si="42"/>
        <v>17.907119999999999</v>
      </c>
      <c r="V118" s="48">
        <f t="shared" si="43"/>
        <v>18.3141</v>
      </c>
      <c r="W118" s="48">
        <f t="shared" si="44"/>
        <v>20.116439999999997</v>
      </c>
      <c r="X118" s="22"/>
      <c r="Y118" s="10">
        <v>0.56999999999999995</v>
      </c>
      <c r="Z118" s="22"/>
      <c r="AA118" s="10">
        <v>1.02</v>
      </c>
    </row>
    <row r="119" spans="1:27" hidden="1" x14ac:dyDescent="0.25">
      <c r="A119" s="16"/>
      <c r="B119" s="3" t="s">
        <v>180</v>
      </c>
      <c r="C119" s="3" t="s">
        <v>189</v>
      </c>
      <c r="D119" s="11" t="s">
        <v>8</v>
      </c>
      <c r="E119" s="48">
        <f t="shared" si="45"/>
        <v>189.31852800000001</v>
      </c>
      <c r="F119" s="48">
        <f t="shared" si="46"/>
        <v>193.65393599999999</v>
      </c>
      <c r="G119" s="48">
        <f t="shared" si="47"/>
        <v>212.48068800000004</v>
      </c>
      <c r="H119" s="48">
        <f t="shared" si="48"/>
        <v>189.31852800000001</v>
      </c>
      <c r="I119" s="48">
        <f t="shared" si="49"/>
        <v>193.65393599999999</v>
      </c>
      <c r="J119" s="48">
        <f t="shared" si="50"/>
        <v>212.48068800000004</v>
      </c>
      <c r="K119" s="48">
        <f t="shared" si="51"/>
        <v>189.31852800000001</v>
      </c>
      <c r="L119" s="48">
        <f t="shared" si="52"/>
        <v>193.65393599999999</v>
      </c>
      <c r="M119" s="48">
        <f t="shared" si="53"/>
        <v>212.48068800000004</v>
      </c>
      <c r="N119" s="33"/>
      <c r="O119" s="48">
        <f t="shared" si="36"/>
        <v>17.592960000000001</v>
      </c>
      <c r="P119" s="48">
        <f t="shared" si="37"/>
        <v>17.992800000000003</v>
      </c>
      <c r="Q119" s="48">
        <f t="shared" si="38"/>
        <v>19.763520000000003</v>
      </c>
      <c r="R119" s="48">
        <f t="shared" si="39"/>
        <v>17.592960000000001</v>
      </c>
      <c r="S119" s="48">
        <f t="shared" si="40"/>
        <v>17.992800000000003</v>
      </c>
      <c r="T119" s="48">
        <f t="shared" si="41"/>
        <v>19.763520000000003</v>
      </c>
      <c r="U119" s="48">
        <f t="shared" si="42"/>
        <v>17.592960000000001</v>
      </c>
      <c r="V119" s="48">
        <f t="shared" si="43"/>
        <v>17.992800000000003</v>
      </c>
      <c r="W119" s="48">
        <f t="shared" si="44"/>
        <v>19.763520000000003</v>
      </c>
      <c r="X119" s="22"/>
      <c r="Y119" s="10">
        <v>0.56000000000000005</v>
      </c>
      <c r="Z119" s="22"/>
      <c r="AA119" s="28">
        <v>1.02</v>
      </c>
    </row>
    <row r="120" spans="1:27" hidden="1" x14ac:dyDescent="0.25">
      <c r="A120" s="16"/>
      <c r="B120" s="3" t="s">
        <v>190</v>
      </c>
      <c r="C120" s="3" t="s">
        <v>191</v>
      </c>
      <c r="D120" s="11" t="s">
        <v>8</v>
      </c>
      <c r="E120" s="7">
        <f t="shared" si="45"/>
        <v>99.39980684643551</v>
      </c>
      <c r="F120" s="7">
        <f t="shared" si="46"/>
        <v>101.67606962088773</v>
      </c>
      <c r="G120" s="7">
        <f t="shared" si="47"/>
        <v>111.5608681776658</v>
      </c>
      <c r="H120" s="7">
        <f t="shared" si="48"/>
        <v>99.39980684643551</v>
      </c>
      <c r="I120" s="7">
        <f t="shared" si="49"/>
        <v>101.67606962088773</v>
      </c>
      <c r="J120" s="7">
        <f t="shared" si="50"/>
        <v>111.5608681776658</v>
      </c>
      <c r="K120" s="7">
        <f t="shared" si="51"/>
        <v>99.39980684643551</v>
      </c>
      <c r="L120" s="7">
        <f t="shared" si="52"/>
        <v>101.67606962088773</v>
      </c>
      <c r="M120" s="7">
        <f t="shared" si="53"/>
        <v>111.5608681776658</v>
      </c>
      <c r="N120" s="33"/>
      <c r="O120" s="7">
        <f t="shared" si="36"/>
        <v>9.237008360095988</v>
      </c>
      <c r="P120" s="7">
        <f t="shared" si="37"/>
        <v>9.4469403682799875</v>
      </c>
      <c r="Q120" s="7">
        <f t="shared" si="38"/>
        <v>10.376639261666272</v>
      </c>
      <c r="R120" s="7">
        <f t="shared" si="39"/>
        <v>9.237008360095988</v>
      </c>
      <c r="S120" s="7">
        <f t="shared" si="40"/>
        <v>9.4469403682799875</v>
      </c>
      <c r="T120" s="7">
        <f t="shared" si="41"/>
        <v>10.376639261666272</v>
      </c>
      <c r="U120" s="7">
        <f t="shared" si="42"/>
        <v>9.237008360095988</v>
      </c>
      <c r="V120" s="7">
        <f t="shared" si="43"/>
        <v>9.4469403682799875</v>
      </c>
      <c r="W120" s="7">
        <f t="shared" si="44"/>
        <v>10.376639261666272</v>
      </c>
      <c r="X120" s="22"/>
      <c r="Y120" s="10">
        <v>0.28976122592684572</v>
      </c>
      <c r="Z120" s="22"/>
      <c r="AA120" s="28">
        <v>1.0349999999999999</v>
      </c>
    </row>
    <row r="121" spans="1:27" hidden="1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32">
        <f>E120/1.01</f>
        <v>98.415650343005453</v>
      </c>
      <c r="F121" s="32">
        <f t="shared" ref="F121:O121" si="67">F120/1.01</f>
        <v>100.66937586226508</v>
      </c>
      <c r="G121" s="32">
        <f t="shared" si="67"/>
        <v>110.45630512640177</v>
      </c>
      <c r="H121" s="32">
        <f t="shared" si="67"/>
        <v>98.415650343005453</v>
      </c>
      <c r="I121" s="32">
        <f t="shared" si="67"/>
        <v>100.66937586226508</v>
      </c>
      <c r="J121" s="32">
        <f t="shared" si="67"/>
        <v>110.45630512640177</v>
      </c>
      <c r="K121" s="32">
        <f t="shared" si="67"/>
        <v>98.415650343005453</v>
      </c>
      <c r="L121" s="32">
        <f t="shared" si="67"/>
        <v>100.66937586226508</v>
      </c>
      <c r="M121" s="32">
        <f t="shared" si="67"/>
        <v>110.45630512640177</v>
      </c>
      <c r="N121" s="33"/>
      <c r="O121" s="32">
        <f t="shared" si="67"/>
        <v>9.1455528317782058</v>
      </c>
      <c r="P121" s="32">
        <f t="shared" ref="P121" si="68">P120/1.01</f>
        <v>9.3534063052277094</v>
      </c>
      <c r="Q121" s="32">
        <f t="shared" ref="Q121" si="69">Q120/1.01</f>
        <v>10.273900259075516</v>
      </c>
      <c r="R121" s="32">
        <f t="shared" ref="R121" si="70">R120/1.01</f>
        <v>9.1455528317782058</v>
      </c>
      <c r="S121" s="32">
        <f t="shared" ref="S121" si="71">S120/1.01</f>
        <v>9.3534063052277094</v>
      </c>
      <c r="T121" s="32">
        <f t="shared" ref="T121" si="72">T120/1.01</f>
        <v>10.273900259075516</v>
      </c>
      <c r="U121" s="32">
        <f t="shared" ref="U121" si="73">U120/1.01</f>
        <v>9.1455528317782058</v>
      </c>
      <c r="V121" s="32">
        <f t="shared" ref="V121" si="74">V120/1.01</f>
        <v>9.3534063052277094</v>
      </c>
      <c r="W121" s="32">
        <f t="shared" ref="W121" si="75">W120/1.01</f>
        <v>10.273900259075516</v>
      </c>
      <c r="X121" s="33"/>
      <c r="Y121" s="31"/>
      <c r="Z121" s="22"/>
      <c r="AA121" s="28">
        <v>1.0349999999999999</v>
      </c>
    </row>
    <row r="122" spans="1:27" hidden="1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32">
        <f>E120/1.01</f>
        <v>98.415650343005453</v>
      </c>
      <c r="F122" s="32">
        <f t="shared" ref="F122:M122" si="76">F120/1.01</f>
        <v>100.66937586226508</v>
      </c>
      <c r="G122" s="32">
        <f t="shared" si="76"/>
        <v>110.45630512640177</v>
      </c>
      <c r="H122" s="32">
        <f t="shared" si="76"/>
        <v>98.415650343005453</v>
      </c>
      <c r="I122" s="32">
        <f t="shared" si="76"/>
        <v>100.66937586226508</v>
      </c>
      <c r="J122" s="32">
        <f t="shared" si="76"/>
        <v>110.45630512640177</v>
      </c>
      <c r="K122" s="32">
        <f t="shared" si="76"/>
        <v>98.415650343005453</v>
      </c>
      <c r="L122" s="32">
        <f t="shared" si="76"/>
        <v>100.66937586226508</v>
      </c>
      <c r="M122" s="32">
        <f t="shared" si="76"/>
        <v>110.45630512640177</v>
      </c>
      <c r="N122" s="33"/>
      <c r="O122" s="32">
        <f t="shared" ref="O122:W122" si="77">O120/1.01</f>
        <v>9.1455528317782058</v>
      </c>
      <c r="P122" s="32">
        <f t="shared" si="77"/>
        <v>9.3534063052277094</v>
      </c>
      <c r="Q122" s="32">
        <f t="shared" si="77"/>
        <v>10.273900259075516</v>
      </c>
      <c r="R122" s="32">
        <f t="shared" si="77"/>
        <v>9.1455528317782058</v>
      </c>
      <c r="S122" s="32">
        <f t="shared" si="77"/>
        <v>9.3534063052277094</v>
      </c>
      <c r="T122" s="32">
        <f t="shared" si="77"/>
        <v>10.273900259075516</v>
      </c>
      <c r="U122" s="32">
        <f t="shared" si="77"/>
        <v>9.1455528317782058</v>
      </c>
      <c r="V122" s="32">
        <f t="shared" si="77"/>
        <v>9.3534063052277094</v>
      </c>
      <c r="W122" s="32">
        <f t="shared" si="77"/>
        <v>10.273900259075516</v>
      </c>
      <c r="X122" s="33"/>
      <c r="Y122" s="31"/>
      <c r="Z122" s="22"/>
      <c r="AA122" s="28">
        <v>1.0349999999999999</v>
      </c>
    </row>
    <row r="123" spans="1:27" hidden="1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32">
        <f>E120/1.02</f>
        <v>97.450791025917169</v>
      </c>
      <c r="F123" s="32">
        <f t="shared" ref="F123:M123" si="78">F120/1.02</f>
        <v>99.682421196948752</v>
      </c>
      <c r="G123" s="32">
        <f t="shared" si="78"/>
        <v>109.37340017418215</v>
      </c>
      <c r="H123" s="32">
        <f t="shared" si="78"/>
        <v>97.450791025917169</v>
      </c>
      <c r="I123" s="32">
        <f t="shared" si="78"/>
        <v>99.682421196948752</v>
      </c>
      <c r="J123" s="32">
        <f t="shared" si="78"/>
        <v>109.37340017418215</v>
      </c>
      <c r="K123" s="32">
        <f t="shared" si="78"/>
        <v>97.450791025917169</v>
      </c>
      <c r="L123" s="32">
        <f t="shared" si="78"/>
        <v>99.682421196948752</v>
      </c>
      <c r="M123" s="32">
        <f t="shared" si="78"/>
        <v>109.37340017418215</v>
      </c>
      <c r="N123" s="33"/>
      <c r="O123" s="32">
        <f t="shared" ref="O123:W123" si="79">O120/1.02</f>
        <v>9.0558905491137143</v>
      </c>
      <c r="P123" s="32">
        <f t="shared" si="79"/>
        <v>9.2617062434117514</v>
      </c>
      <c r="Q123" s="32">
        <f t="shared" si="79"/>
        <v>10.173175746731639</v>
      </c>
      <c r="R123" s="32">
        <f t="shared" si="79"/>
        <v>9.0558905491137143</v>
      </c>
      <c r="S123" s="32">
        <f t="shared" si="79"/>
        <v>9.2617062434117514</v>
      </c>
      <c r="T123" s="32">
        <f t="shared" si="79"/>
        <v>10.173175746731639</v>
      </c>
      <c r="U123" s="32">
        <f t="shared" si="79"/>
        <v>9.0558905491137143</v>
      </c>
      <c r="V123" s="32">
        <f t="shared" si="79"/>
        <v>9.2617062434117514</v>
      </c>
      <c r="W123" s="32">
        <f t="shared" si="79"/>
        <v>10.173175746731639</v>
      </c>
      <c r="X123" s="33"/>
      <c r="Y123" s="31"/>
      <c r="Z123" s="22"/>
      <c r="AA123" s="28">
        <v>1.0349999999999999</v>
      </c>
    </row>
    <row r="124" spans="1:27" hidden="1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32">
        <f>E120*1.08</f>
        <v>107.35179139415035</v>
      </c>
      <c r="F124" s="32">
        <f t="shared" ref="F124:M124" si="80">F120*1.08</f>
        <v>109.81015519055876</v>
      </c>
      <c r="G124" s="32">
        <f t="shared" si="80"/>
        <v>120.48573763187906</v>
      </c>
      <c r="H124" s="32">
        <f t="shared" si="80"/>
        <v>107.35179139415035</v>
      </c>
      <c r="I124" s="32">
        <f t="shared" si="80"/>
        <v>109.81015519055876</v>
      </c>
      <c r="J124" s="32">
        <f t="shared" si="80"/>
        <v>120.48573763187906</v>
      </c>
      <c r="K124" s="32">
        <f t="shared" si="80"/>
        <v>107.35179139415035</v>
      </c>
      <c r="L124" s="32">
        <f t="shared" si="80"/>
        <v>109.81015519055876</v>
      </c>
      <c r="M124" s="32">
        <f t="shared" si="80"/>
        <v>120.48573763187906</v>
      </c>
      <c r="N124" s="33"/>
      <c r="O124" s="32">
        <f t="shared" ref="O124:W124" si="81">O120*1.08</f>
        <v>9.975969028903668</v>
      </c>
      <c r="P124" s="32">
        <f t="shared" si="81"/>
        <v>10.202695597742387</v>
      </c>
      <c r="Q124" s="32">
        <f t="shared" si="81"/>
        <v>11.206770402599574</v>
      </c>
      <c r="R124" s="32">
        <f t="shared" si="81"/>
        <v>9.975969028903668</v>
      </c>
      <c r="S124" s="32">
        <f t="shared" si="81"/>
        <v>10.202695597742387</v>
      </c>
      <c r="T124" s="32">
        <f t="shared" si="81"/>
        <v>11.206770402599574</v>
      </c>
      <c r="U124" s="32">
        <f t="shared" si="81"/>
        <v>9.975969028903668</v>
      </c>
      <c r="V124" s="32">
        <f t="shared" si="81"/>
        <v>10.202695597742387</v>
      </c>
      <c r="W124" s="32">
        <f t="shared" si="81"/>
        <v>11.206770402599574</v>
      </c>
      <c r="X124" s="33"/>
      <c r="Y124" s="31"/>
      <c r="Z124" s="22"/>
      <c r="AA124" s="28">
        <v>1.0349999999999999</v>
      </c>
    </row>
    <row r="125" spans="1:27" hidden="1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32">
        <f>E120*1.05</f>
        <v>104.36979718875729</v>
      </c>
      <c r="F125" s="32">
        <f t="shared" ref="F125:M125" si="82">F120*1.05</f>
        <v>106.75987310193211</v>
      </c>
      <c r="G125" s="32">
        <f t="shared" si="82"/>
        <v>117.13891158654909</v>
      </c>
      <c r="H125" s="32">
        <f t="shared" si="82"/>
        <v>104.36979718875729</v>
      </c>
      <c r="I125" s="32">
        <f t="shared" si="82"/>
        <v>106.75987310193211</v>
      </c>
      <c r="J125" s="32">
        <f t="shared" si="82"/>
        <v>117.13891158654909</v>
      </c>
      <c r="K125" s="32">
        <f t="shared" si="82"/>
        <v>104.36979718875729</v>
      </c>
      <c r="L125" s="32">
        <f t="shared" si="82"/>
        <v>106.75987310193211</v>
      </c>
      <c r="M125" s="32">
        <f t="shared" si="82"/>
        <v>117.13891158654909</v>
      </c>
      <c r="N125" s="33"/>
      <c r="O125" s="32">
        <f t="shared" ref="O125:W125" si="83">O120*1.05</f>
        <v>9.6988587781007887</v>
      </c>
      <c r="P125" s="32">
        <f t="shared" si="83"/>
        <v>9.9192873866939877</v>
      </c>
      <c r="Q125" s="32">
        <f t="shared" si="83"/>
        <v>10.895471224749587</v>
      </c>
      <c r="R125" s="32">
        <f t="shared" si="83"/>
        <v>9.6988587781007887</v>
      </c>
      <c r="S125" s="32">
        <f t="shared" si="83"/>
        <v>9.9192873866939877</v>
      </c>
      <c r="T125" s="32">
        <f t="shared" si="83"/>
        <v>10.895471224749587</v>
      </c>
      <c r="U125" s="32">
        <f t="shared" si="83"/>
        <v>9.6988587781007887</v>
      </c>
      <c r="V125" s="32">
        <f t="shared" si="83"/>
        <v>9.9192873866939877</v>
      </c>
      <c r="W125" s="32">
        <f t="shared" si="83"/>
        <v>10.895471224749587</v>
      </c>
      <c r="X125" s="33"/>
      <c r="Y125" s="31"/>
      <c r="Z125" s="22"/>
      <c r="AA125" s="28">
        <v>1.0349999999999999</v>
      </c>
    </row>
    <row r="126" spans="1:27" hidden="1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32">
        <f>E120/1.01</f>
        <v>98.415650343005453</v>
      </c>
      <c r="F126" s="32">
        <f t="shared" ref="F126:M126" si="84">F120/1.01</f>
        <v>100.66937586226508</v>
      </c>
      <c r="G126" s="32">
        <f t="shared" si="84"/>
        <v>110.45630512640177</v>
      </c>
      <c r="H126" s="32">
        <f t="shared" si="84"/>
        <v>98.415650343005453</v>
      </c>
      <c r="I126" s="32">
        <f t="shared" si="84"/>
        <v>100.66937586226508</v>
      </c>
      <c r="J126" s="32">
        <f t="shared" si="84"/>
        <v>110.45630512640177</v>
      </c>
      <c r="K126" s="32">
        <f t="shared" si="84"/>
        <v>98.415650343005453</v>
      </c>
      <c r="L126" s="32">
        <f t="shared" si="84"/>
        <v>100.66937586226508</v>
      </c>
      <c r="M126" s="32">
        <f t="shared" si="84"/>
        <v>110.45630512640177</v>
      </c>
      <c r="N126" s="33"/>
      <c r="O126" s="32">
        <f t="shared" ref="O126:W126" si="85">O120/1.01</f>
        <v>9.1455528317782058</v>
      </c>
      <c r="P126" s="32">
        <f t="shared" si="85"/>
        <v>9.3534063052277094</v>
      </c>
      <c r="Q126" s="32">
        <f t="shared" si="85"/>
        <v>10.273900259075516</v>
      </c>
      <c r="R126" s="32">
        <f t="shared" si="85"/>
        <v>9.1455528317782058</v>
      </c>
      <c r="S126" s="32">
        <f t="shared" si="85"/>
        <v>9.3534063052277094</v>
      </c>
      <c r="T126" s="32">
        <f t="shared" si="85"/>
        <v>10.273900259075516</v>
      </c>
      <c r="U126" s="32">
        <f t="shared" si="85"/>
        <v>9.1455528317782058</v>
      </c>
      <c r="V126" s="32">
        <f t="shared" si="85"/>
        <v>9.3534063052277094</v>
      </c>
      <c r="W126" s="32">
        <f t="shared" si="85"/>
        <v>10.273900259075516</v>
      </c>
      <c r="X126" s="33"/>
      <c r="Y126" s="31"/>
      <c r="Z126" s="22"/>
      <c r="AA126" s="28">
        <v>1.0349999999999999</v>
      </c>
    </row>
    <row r="127" spans="1:27" hidden="1" x14ac:dyDescent="0.25">
      <c r="A127" s="16"/>
      <c r="B127" s="3" t="s">
        <v>198</v>
      </c>
      <c r="C127" s="3" t="s">
        <v>199</v>
      </c>
      <c r="D127" s="11" t="s">
        <v>8</v>
      </c>
      <c r="E127" s="7">
        <f t="shared" si="45"/>
        <v>167.04576</v>
      </c>
      <c r="F127" s="7">
        <f t="shared" si="46"/>
        <v>170.87111999999999</v>
      </c>
      <c r="G127" s="7">
        <f t="shared" si="47"/>
        <v>187.48295999999999</v>
      </c>
      <c r="H127" s="7">
        <f t="shared" si="48"/>
        <v>167.04576</v>
      </c>
      <c r="I127" s="7">
        <f t="shared" si="49"/>
        <v>170.87111999999999</v>
      </c>
      <c r="J127" s="7">
        <f t="shared" si="50"/>
        <v>187.48295999999999</v>
      </c>
      <c r="K127" s="7">
        <f t="shared" si="51"/>
        <v>167.04576</v>
      </c>
      <c r="L127" s="7">
        <f t="shared" si="52"/>
        <v>170.87111999999999</v>
      </c>
      <c r="M127" s="7">
        <f t="shared" si="53"/>
        <v>187.48295999999999</v>
      </c>
      <c r="N127" s="22"/>
      <c r="O127" s="7">
        <f t="shared" si="36"/>
        <v>15.523199999999999</v>
      </c>
      <c r="P127" s="7">
        <f t="shared" si="37"/>
        <v>15.875999999999999</v>
      </c>
      <c r="Q127" s="7">
        <f t="shared" si="38"/>
        <v>17.438400000000001</v>
      </c>
      <c r="R127" s="7">
        <f t="shared" si="39"/>
        <v>15.523199999999999</v>
      </c>
      <c r="S127" s="7">
        <f t="shared" si="40"/>
        <v>15.875999999999999</v>
      </c>
      <c r="T127" s="7">
        <f t="shared" si="41"/>
        <v>17.438400000000001</v>
      </c>
      <c r="U127" s="7">
        <f t="shared" si="42"/>
        <v>15.523199999999999</v>
      </c>
      <c r="V127" s="7">
        <f t="shared" si="43"/>
        <v>15.875999999999999</v>
      </c>
      <c r="W127" s="7">
        <f t="shared" si="44"/>
        <v>17.438400000000001</v>
      </c>
      <c r="X127" s="22"/>
      <c r="Y127" s="10">
        <v>0.48</v>
      </c>
      <c r="Z127" s="22"/>
      <c r="AA127" s="10">
        <v>1.05</v>
      </c>
    </row>
    <row r="128" spans="1:27" hidden="1" x14ac:dyDescent="0.25">
      <c r="A128" s="16"/>
      <c r="B128" s="3" t="s">
        <v>200</v>
      </c>
      <c r="C128" s="3" t="s">
        <v>201</v>
      </c>
      <c r="D128" s="11" t="s">
        <v>8</v>
      </c>
      <c r="E128" s="7">
        <f t="shared" si="45"/>
        <v>378.09763145775258</v>
      </c>
      <c r="F128" s="7">
        <f t="shared" si="46"/>
        <v>386.7560945966747</v>
      </c>
      <c r="G128" s="7">
        <f t="shared" si="47"/>
        <v>424.35595560574887</v>
      </c>
      <c r="H128" s="7">
        <f t="shared" si="48"/>
        <v>378.09763145775258</v>
      </c>
      <c r="I128" s="7">
        <f t="shared" si="49"/>
        <v>386.7560945966747</v>
      </c>
      <c r="J128" s="7">
        <f t="shared" si="50"/>
        <v>424.35595560574887</v>
      </c>
      <c r="K128" s="7">
        <f t="shared" si="51"/>
        <v>378.09763145775258</v>
      </c>
      <c r="L128" s="7">
        <f t="shared" si="52"/>
        <v>386.7560945966747</v>
      </c>
      <c r="M128" s="7">
        <f t="shared" si="53"/>
        <v>424.35595560574887</v>
      </c>
      <c r="N128" s="22"/>
      <c r="O128" s="7">
        <f t="shared" si="36"/>
        <v>35.135792447799844</v>
      </c>
      <c r="P128" s="7">
        <f t="shared" si="37"/>
        <v>35.934333185249841</v>
      </c>
      <c r="Q128" s="7">
        <f t="shared" si="38"/>
        <v>39.470727879671259</v>
      </c>
      <c r="R128" s="7">
        <f t="shared" si="39"/>
        <v>35.135792447799844</v>
      </c>
      <c r="S128" s="7">
        <f t="shared" si="40"/>
        <v>35.934333185249841</v>
      </c>
      <c r="T128" s="7">
        <f t="shared" si="41"/>
        <v>39.470727879671259</v>
      </c>
      <c r="U128" s="7">
        <f t="shared" si="42"/>
        <v>35.135792447799844</v>
      </c>
      <c r="V128" s="7">
        <f t="shared" si="43"/>
        <v>35.934333185249841</v>
      </c>
      <c r="W128" s="7">
        <f t="shared" si="44"/>
        <v>39.470727879671259</v>
      </c>
      <c r="X128" s="22"/>
      <c r="Y128" s="10">
        <v>1.1350969970859937</v>
      </c>
      <c r="Z128" s="22"/>
      <c r="AA128" s="10">
        <v>1.0049999999999999</v>
      </c>
    </row>
    <row r="129" spans="1:27" hidden="1" x14ac:dyDescent="0.25">
      <c r="A129" s="16"/>
      <c r="B129" s="3" t="s">
        <v>202</v>
      </c>
      <c r="C129" s="3" t="s">
        <v>203</v>
      </c>
      <c r="D129" s="11" t="s">
        <v>8</v>
      </c>
      <c r="E129" s="7">
        <f t="shared" si="45"/>
        <v>167.38485765203467</v>
      </c>
      <c r="F129" s="7">
        <f t="shared" si="46"/>
        <v>171.21798301282078</v>
      </c>
      <c r="G129" s="7">
        <f t="shared" si="47"/>
        <v>187.86354452685367</v>
      </c>
      <c r="H129" s="7">
        <f t="shared" si="48"/>
        <v>167.38485765203467</v>
      </c>
      <c r="I129" s="7">
        <f t="shared" si="49"/>
        <v>171.21798301282078</v>
      </c>
      <c r="J129" s="7">
        <f t="shared" si="50"/>
        <v>187.86354452685367</v>
      </c>
      <c r="K129" s="7">
        <f t="shared" si="51"/>
        <v>167.38485765203467</v>
      </c>
      <c r="L129" s="7">
        <f t="shared" si="52"/>
        <v>171.21798301282078</v>
      </c>
      <c r="M129" s="7">
        <f t="shared" si="53"/>
        <v>187.86354452685367</v>
      </c>
      <c r="N129" s="22"/>
      <c r="O129" s="7">
        <f t="shared" si="36"/>
        <v>15.554711608987052</v>
      </c>
      <c r="P129" s="7">
        <f t="shared" si="37"/>
        <v>15.908227781918574</v>
      </c>
      <c r="Q129" s="7">
        <f t="shared" si="38"/>
        <v>17.473799404901037</v>
      </c>
      <c r="R129" s="7">
        <f t="shared" si="39"/>
        <v>15.554711608987052</v>
      </c>
      <c r="S129" s="7">
        <f t="shared" si="40"/>
        <v>15.908227781918574</v>
      </c>
      <c r="T129" s="7">
        <f t="shared" si="41"/>
        <v>17.473799404901037</v>
      </c>
      <c r="U129" s="7">
        <f t="shared" si="42"/>
        <v>15.554711608987052</v>
      </c>
      <c r="V129" s="7">
        <f t="shared" si="43"/>
        <v>15.908227781918574</v>
      </c>
      <c r="W129" s="7">
        <f t="shared" si="44"/>
        <v>17.473799404901037</v>
      </c>
      <c r="X129" s="22"/>
      <c r="Y129" s="10">
        <v>0.49512069038028556</v>
      </c>
      <c r="Z129" s="22"/>
      <c r="AA129" s="10">
        <v>1.02</v>
      </c>
    </row>
    <row r="130" spans="1:27" hidden="1" x14ac:dyDescent="0.25">
      <c r="A130" s="16"/>
      <c r="B130" s="3" t="s">
        <v>204</v>
      </c>
      <c r="C130" s="3" t="s">
        <v>205</v>
      </c>
      <c r="D130" s="11" t="s">
        <v>8</v>
      </c>
      <c r="E130" s="7">
        <f t="shared" si="45"/>
        <v>234.23624455159489</v>
      </c>
      <c r="F130" s="7">
        <f t="shared" si="46"/>
        <v>239.60027151317649</v>
      </c>
      <c r="G130" s="7">
        <f t="shared" si="47"/>
        <v>262.89385895108552</v>
      </c>
      <c r="H130" s="7">
        <f t="shared" si="48"/>
        <v>234.23624455159489</v>
      </c>
      <c r="I130" s="7">
        <f t="shared" si="49"/>
        <v>239.60027151317649</v>
      </c>
      <c r="J130" s="7">
        <f t="shared" si="50"/>
        <v>262.89385895108552</v>
      </c>
      <c r="K130" s="7">
        <f t="shared" si="51"/>
        <v>234.23624455159489</v>
      </c>
      <c r="L130" s="7">
        <f t="shared" si="52"/>
        <v>239.60027151317649</v>
      </c>
      <c r="M130" s="7">
        <f t="shared" si="53"/>
        <v>262.89385895108552</v>
      </c>
      <c r="N130" s="22"/>
      <c r="O130" s="7">
        <f t="shared" si="36"/>
        <v>21.767065931055768</v>
      </c>
      <c r="P130" s="7">
        <f t="shared" si="37"/>
        <v>22.261771974943393</v>
      </c>
      <c r="Q130" s="7">
        <f t="shared" si="38"/>
        <v>24.452613026445764</v>
      </c>
      <c r="R130" s="7">
        <f t="shared" si="39"/>
        <v>21.767065931055768</v>
      </c>
      <c r="S130" s="7">
        <f t="shared" si="40"/>
        <v>22.261771974943393</v>
      </c>
      <c r="T130" s="7">
        <f t="shared" si="41"/>
        <v>24.452613026445764</v>
      </c>
      <c r="U130" s="7">
        <f t="shared" si="42"/>
        <v>21.767065931055768</v>
      </c>
      <c r="V130" s="7">
        <f t="shared" si="43"/>
        <v>22.261771974943393</v>
      </c>
      <c r="W130" s="7">
        <f t="shared" si="44"/>
        <v>24.452613026445764</v>
      </c>
      <c r="X130" s="22"/>
      <c r="Y130" s="10">
        <v>0.66987954487153833</v>
      </c>
      <c r="Z130" s="22"/>
      <c r="AA130" s="10">
        <v>1.0549999999999999</v>
      </c>
    </row>
    <row r="131" spans="1:27" hidden="1" x14ac:dyDescent="0.25">
      <c r="A131" s="16"/>
      <c r="B131" s="30" t="s">
        <v>206</v>
      </c>
      <c r="C131" s="3" t="s">
        <v>207</v>
      </c>
      <c r="D131" s="11" t="s">
        <v>8</v>
      </c>
      <c r="E131" s="48">
        <f t="shared" si="45"/>
        <v>127.6044</v>
      </c>
      <c r="F131" s="48">
        <f t="shared" si="46"/>
        <v>130.52654999999999</v>
      </c>
      <c r="G131" s="48">
        <f t="shared" si="47"/>
        <v>143.21615</v>
      </c>
      <c r="H131" s="48">
        <f t="shared" si="48"/>
        <v>127.6044</v>
      </c>
      <c r="I131" s="48">
        <f t="shared" si="49"/>
        <v>130.52654999999999</v>
      </c>
      <c r="J131" s="48">
        <f t="shared" si="50"/>
        <v>143.21615</v>
      </c>
      <c r="K131" s="48">
        <f t="shared" si="51"/>
        <v>127.6044</v>
      </c>
      <c r="L131" s="48">
        <f t="shared" si="52"/>
        <v>130.52654999999999</v>
      </c>
      <c r="M131" s="48">
        <f t="shared" si="53"/>
        <v>143.21615</v>
      </c>
      <c r="N131" s="22"/>
      <c r="O131" s="48">
        <f t="shared" si="36"/>
        <v>11.858000000000001</v>
      </c>
      <c r="P131" s="48">
        <f t="shared" si="37"/>
        <v>12.1275</v>
      </c>
      <c r="Q131" s="48">
        <f t="shared" si="38"/>
        <v>13.321</v>
      </c>
      <c r="R131" s="48">
        <f t="shared" si="39"/>
        <v>11.858000000000001</v>
      </c>
      <c r="S131" s="48">
        <f t="shared" si="40"/>
        <v>12.1275</v>
      </c>
      <c r="T131" s="48">
        <f t="shared" si="41"/>
        <v>13.321</v>
      </c>
      <c r="U131" s="48">
        <f t="shared" si="42"/>
        <v>11.858000000000001</v>
      </c>
      <c r="V131" s="48">
        <f t="shared" si="43"/>
        <v>12.1275</v>
      </c>
      <c r="W131" s="48">
        <f t="shared" si="44"/>
        <v>13.321</v>
      </c>
      <c r="X131" s="22"/>
      <c r="Y131" s="10">
        <v>0.35</v>
      </c>
      <c r="Z131" s="22"/>
      <c r="AA131" s="10">
        <v>1.1000000000000001</v>
      </c>
    </row>
    <row r="132" spans="1:27" hidden="1" x14ac:dyDescent="0.25">
      <c r="A132" s="16"/>
      <c r="B132" s="3" t="s">
        <v>208</v>
      </c>
      <c r="C132" s="3" t="s">
        <v>209</v>
      </c>
      <c r="D132" s="11" t="s">
        <v>8</v>
      </c>
      <c r="E132" s="48">
        <f t="shared" si="45"/>
        <v>180.93309600000003</v>
      </c>
      <c r="F132" s="48">
        <f t="shared" si="46"/>
        <v>185.07647700000001</v>
      </c>
      <c r="G132" s="48">
        <f t="shared" si="47"/>
        <v>203.06934100000004</v>
      </c>
      <c r="H132" s="48">
        <f t="shared" si="48"/>
        <v>180.93309600000003</v>
      </c>
      <c r="I132" s="48">
        <f t="shared" si="49"/>
        <v>185.07647700000001</v>
      </c>
      <c r="J132" s="48">
        <f t="shared" si="50"/>
        <v>203.06934100000004</v>
      </c>
      <c r="K132" s="48">
        <f t="shared" si="51"/>
        <v>180.93309600000003</v>
      </c>
      <c r="L132" s="48">
        <f t="shared" si="52"/>
        <v>185.07647700000001</v>
      </c>
      <c r="M132" s="48">
        <f t="shared" si="53"/>
        <v>203.06934100000004</v>
      </c>
      <c r="N132" s="22"/>
      <c r="O132" s="48">
        <f t="shared" si="36"/>
        <v>16.813720000000004</v>
      </c>
      <c r="P132" s="48">
        <f t="shared" si="37"/>
        <v>17.19585</v>
      </c>
      <c r="Q132" s="48">
        <f t="shared" si="38"/>
        <v>18.88814</v>
      </c>
      <c r="R132" s="48">
        <f t="shared" si="39"/>
        <v>16.813720000000004</v>
      </c>
      <c r="S132" s="48">
        <f t="shared" si="40"/>
        <v>17.19585</v>
      </c>
      <c r="T132" s="48">
        <f t="shared" si="41"/>
        <v>18.88814</v>
      </c>
      <c r="U132" s="48">
        <f t="shared" si="42"/>
        <v>16.813720000000004</v>
      </c>
      <c r="V132" s="48">
        <f t="shared" si="43"/>
        <v>17.19585</v>
      </c>
      <c r="W132" s="48">
        <f t="shared" si="44"/>
        <v>18.88814</v>
      </c>
      <c r="X132" s="22"/>
      <c r="Y132" s="10">
        <v>0.53</v>
      </c>
      <c r="Z132" s="22"/>
      <c r="AA132" s="10">
        <v>1.03</v>
      </c>
    </row>
    <row r="133" spans="1:27" hidden="1" x14ac:dyDescent="0.25">
      <c r="A133" s="16"/>
      <c r="B133" s="3" t="s">
        <v>210</v>
      </c>
      <c r="C133" s="3" t="s">
        <v>210</v>
      </c>
      <c r="D133" s="11" t="s">
        <v>8</v>
      </c>
      <c r="E133" s="48">
        <f t="shared" ref="E133:E139" si="86">(331.44*$Y133)*$AA133</f>
        <v>319.17671999999999</v>
      </c>
      <c r="F133" s="48">
        <f t="shared" ref="F133:F139" si="87">(339.03*$Y133)*$AA133</f>
        <v>326.48589000000004</v>
      </c>
      <c r="G133" s="48">
        <f t="shared" ref="G133:G139" si="88">(371.99*$Y133)*$AA133</f>
        <v>358.22637000000003</v>
      </c>
      <c r="H133" s="48">
        <f t="shared" ref="H133:H139" si="89">(331.44*$Y133)*$AA133</f>
        <v>319.17671999999999</v>
      </c>
      <c r="I133" s="48">
        <f t="shared" ref="I133:I139" si="90">(339.03*$Y133)*$AA133</f>
        <v>326.48589000000004</v>
      </c>
      <c r="J133" s="48">
        <f t="shared" ref="J133:J139" si="91">(371.99*$Y133)*$AA133</f>
        <v>358.22637000000003</v>
      </c>
      <c r="K133" s="48">
        <f t="shared" ref="K133:K139" si="92">(331.44*$Y133)*$AA133</f>
        <v>319.17671999999999</v>
      </c>
      <c r="L133" s="48">
        <f t="shared" ref="L133:L139" si="93">(339.03*$Y133)*$AA133</f>
        <v>326.48589000000004</v>
      </c>
      <c r="M133" s="48">
        <f t="shared" ref="M133:M139" si="94">(371.99*$Y133)*$AA133</f>
        <v>358.22637000000003</v>
      </c>
      <c r="N133" s="22"/>
      <c r="O133" s="48">
        <f t="shared" si="36"/>
        <v>29.660400000000003</v>
      </c>
      <c r="P133" s="48">
        <f t="shared" si="37"/>
        <v>30.334500000000002</v>
      </c>
      <c r="Q133" s="48">
        <f t="shared" si="38"/>
        <v>33.319800000000001</v>
      </c>
      <c r="R133" s="48">
        <f t="shared" si="39"/>
        <v>29.660400000000003</v>
      </c>
      <c r="S133" s="48">
        <f t="shared" si="40"/>
        <v>30.334500000000002</v>
      </c>
      <c r="T133" s="48">
        <f t="shared" si="41"/>
        <v>33.319800000000001</v>
      </c>
      <c r="U133" s="48">
        <f t="shared" si="42"/>
        <v>29.660400000000003</v>
      </c>
      <c r="V133" s="48">
        <f t="shared" si="43"/>
        <v>30.334500000000002</v>
      </c>
      <c r="W133" s="48">
        <f t="shared" si="44"/>
        <v>33.319800000000001</v>
      </c>
      <c r="X133" s="22"/>
      <c r="Y133" s="10">
        <v>0.9</v>
      </c>
      <c r="Z133" s="22"/>
      <c r="AA133" s="10">
        <v>1.07</v>
      </c>
    </row>
    <row r="134" spans="1:27" hidden="1" x14ac:dyDescent="0.25">
      <c r="A134" s="16"/>
      <c r="B134" s="3" t="s">
        <v>211</v>
      </c>
      <c r="C134" s="3" t="s">
        <v>212</v>
      </c>
      <c r="D134" s="11" t="s">
        <v>8</v>
      </c>
      <c r="E134" s="48">
        <f t="shared" si="86"/>
        <v>191.77118400000001</v>
      </c>
      <c r="F134" s="48">
        <f t="shared" si="87"/>
        <v>196.162758</v>
      </c>
      <c r="G134" s="48">
        <f t="shared" si="88"/>
        <v>215.23341400000001</v>
      </c>
      <c r="H134" s="48">
        <f t="shared" si="89"/>
        <v>191.77118400000001</v>
      </c>
      <c r="I134" s="48">
        <f t="shared" si="90"/>
        <v>196.162758</v>
      </c>
      <c r="J134" s="48">
        <f t="shared" si="91"/>
        <v>215.23341400000001</v>
      </c>
      <c r="K134" s="48">
        <f t="shared" si="92"/>
        <v>191.77118400000001</v>
      </c>
      <c r="L134" s="48">
        <f t="shared" si="93"/>
        <v>196.162758</v>
      </c>
      <c r="M134" s="48">
        <f t="shared" si="94"/>
        <v>215.23341400000001</v>
      </c>
      <c r="N134" s="22"/>
      <c r="O134" s="48">
        <f t="shared" ref="O134:O139" si="95">(30.8*$Y134)*$AA134</f>
        <v>17.820880000000002</v>
      </c>
      <c r="P134" s="48">
        <f t="shared" ref="P134:P139" si="96">(31.5*$Y134)*$AA134</f>
        <v>18.225900000000003</v>
      </c>
      <c r="Q134" s="48">
        <f t="shared" ref="Q134:Q139" si="97">(34.6*$Y134)*$AA134</f>
        <v>20.019560000000002</v>
      </c>
      <c r="R134" s="48">
        <f t="shared" ref="R134:R139" si="98">(30.8*$Y134)*$AA134</f>
        <v>17.820880000000002</v>
      </c>
      <c r="S134" s="48">
        <f t="shared" ref="S134:S139" si="99">(31.5*$Y134)*$AA134</f>
        <v>18.225900000000003</v>
      </c>
      <c r="T134" s="48">
        <f t="shared" ref="T134:T139" si="100">(34.6*$Y134)*$AA134</f>
        <v>20.019560000000002</v>
      </c>
      <c r="U134" s="48">
        <f t="shared" ref="U134:U139" si="101">(30.8*$Y134)*$AA134</f>
        <v>17.820880000000002</v>
      </c>
      <c r="V134" s="48">
        <f t="shared" ref="V134:V139" si="102">(31.5*$Y134)*$AA134</f>
        <v>18.225900000000003</v>
      </c>
      <c r="W134" s="48">
        <f t="shared" ref="W134:W139" si="103">(34.6*$Y134)*$AA134</f>
        <v>20.019560000000002</v>
      </c>
      <c r="X134" s="22"/>
      <c r="Y134" s="10">
        <v>0.55000000000000004</v>
      </c>
      <c r="Z134" s="22"/>
      <c r="AA134" s="10">
        <v>1.052</v>
      </c>
    </row>
    <row r="135" spans="1:27" hidden="1" x14ac:dyDescent="0.25">
      <c r="A135" s="16"/>
      <c r="B135" s="3" t="s">
        <v>213</v>
      </c>
      <c r="C135" s="3" t="s">
        <v>214</v>
      </c>
      <c r="D135" s="11" t="s">
        <v>8</v>
      </c>
      <c r="E135" s="7">
        <f t="shared" si="86"/>
        <v>183.78220319467542</v>
      </c>
      <c r="F135" s="7">
        <f t="shared" si="87"/>
        <v>187.99082895574099</v>
      </c>
      <c r="G135" s="7">
        <f t="shared" si="88"/>
        <v>206.26702198403123</v>
      </c>
      <c r="H135" s="7">
        <f t="shared" si="89"/>
        <v>183.78220319467542</v>
      </c>
      <c r="I135" s="7">
        <f t="shared" si="90"/>
        <v>187.99082895574099</v>
      </c>
      <c r="J135" s="7">
        <f t="shared" si="91"/>
        <v>206.26702198403123</v>
      </c>
      <c r="K135" s="7">
        <f t="shared" si="92"/>
        <v>183.78220319467542</v>
      </c>
      <c r="L135" s="7">
        <f t="shared" si="93"/>
        <v>187.99082895574099</v>
      </c>
      <c r="M135" s="7">
        <f t="shared" si="94"/>
        <v>206.26702198403123</v>
      </c>
      <c r="N135" s="22"/>
      <c r="O135" s="7">
        <f t="shared" si="95"/>
        <v>17.078481349251756</v>
      </c>
      <c r="P135" s="7">
        <f t="shared" si="96"/>
        <v>17.466628652643845</v>
      </c>
      <c r="Q135" s="7">
        <f t="shared" si="97"/>
        <v>19.18556671052308</v>
      </c>
      <c r="R135" s="7">
        <f t="shared" si="98"/>
        <v>17.078481349251756</v>
      </c>
      <c r="S135" s="7">
        <f t="shared" si="99"/>
        <v>17.466628652643845</v>
      </c>
      <c r="T135" s="7">
        <f t="shared" si="100"/>
        <v>19.18556671052308</v>
      </c>
      <c r="U135" s="7">
        <f t="shared" si="101"/>
        <v>17.078481349251756</v>
      </c>
      <c r="V135" s="7">
        <f t="shared" si="102"/>
        <v>17.466628652643845</v>
      </c>
      <c r="W135" s="7">
        <f t="shared" si="103"/>
        <v>19.18556671052308</v>
      </c>
      <c r="X135" s="22"/>
      <c r="Y135" s="10">
        <v>0.53368252906927738</v>
      </c>
      <c r="Z135" s="22"/>
      <c r="AA135" s="10">
        <v>1.0389999999999999</v>
      </c>
    </row>
    <row r="136" spans="1:27" hidden="1" x14ac:dyDescent="0.25">
      <c r="A136" s="16"/>
      <c r="B136" s="3" t="s">
        <v>215</v>
      </c>
      <c r="C136" s="3" t="s">
        <v>216</v>
      </c>
      <c r="D136" s="11" t="s">
        <v>8</v>
      </c>
      <c r="E136" s="7">
        <f t="shared" si="86"/>
        <v>110.73536785143243</v>
      </c>
      <c r="F136" s="7">
        <f t="shared" si="87"/>
        <v>113.27121579372175</v>
      </c>
      <c r="G136" s="7">
        <f t="shared" si="88"/>
        <v>124.28327747723374</v>
      </c>
      <c r="H136" s="7">
        <f t="shared" si="89"/>
        <v>110.73536785143243</v>
      </c>
      <c r="I136" s="7">
        <f t="shared" si="90"/>
        <v>113.27121579372175</v>
      </c>
      <c r="J136" s="7">
        <f t="shared" si="91"/>
        <v>124.28327747723374</v>
      </c>
      <c r="K136" s="7">
        <f t="shared" si="92"/>
        <v>110.73536785143243</v>
      </c>
      <c r="L136" s="7">
        <f t="shared" si="93"/>
        <v>113.27121579372175</v>
      </c>
      <c r="M136" s="7">
        <f t="shared" si="94"/>
        <v>124.28327747723374</v>
      </c>
      <c r="N136" s="22"/>
      <c r="O136" s="7">
        <f t="shared" si="95"/>
        <v>10.290397446971154</v>
      </c>
      <c r="P136" s="7">
        <f t="shared" si="96"/>
        <v>10.524270116220498</v>
      </c>
      <c r="Q136" s="7">
        <f t="shared" si="97"/>
        <v>11.559991937181881</v>
      </c>
      <c r="R136" s="7">
        <f t="shared" si="98"/>
        <v>10.290397446971154</v>
      </c>
      <c r="S136" s="7">
        <f t="shared" si="99"/>
        <v>10.524270116220498</v>
      </c>
      <c r="T136" s="7">
        <f t="shared" si="100"/>
        <v>11.559991937181881</v>
      </c>
      <c r="U136" s="7">
        <f t="shared" si="101"/>
        <v>10.290397446971154</v>
      </c>
      <c r="V136" s="7">
        <f t="shared" si="102"/>
        <v>10.524270116220498</v>
      </c>
      <c r="W136" s="7">
        <f t="shared" si="103"/>
        <v>11.559991937181881</v>
      </c>
      <c r="X136" s="22"/>
      <c r="Y136" s="10">
        <v>0.33244160518741211</v>
      </c>
      <c r="Z136" s="22"/>
      <c r="AA136" s="10">
        <v>1.0049999999999999</v>
      </c>
    </row>
    <row r="137" spans="1:27" hidden="1" x14ac:dyDescent="0.25">
      <c r="A137" s="16"/>
      <c r="B137" s="3" t="s">
        <v>217</v>
      </c>
      <c r="C137" s="3" t="s">
        <v>218</v>
      </c>
      <c r="D137" s="11" t="s">
        <v>8</v>
      </c>
      <c r="E137" s="7">
        <f t="shared" si="86"/>
        <v>134.14906158745211</v>
      </c>
      <c r="F137" s="7">
        <f t="shared" si="87"/>
        <v>137.22108481171216</v>
      </c>
      <c r="G137" s="7">
        <f t="shared" si="88"/>
        <v>150.5615176801723</v>
      </c>
      <c r="H137" s="7">
        <f t="shared" si="89"/>
        <v>134.14906158745211</v>
      </c>
      <c r="I137" s="7">
        <f t="shared" si="90"/>
        <v>137.22108481171216</v>
      </c>
      <c r="J137" s="7">
        <f t="shared" si="91"/>
        <v>150.5615176801723</v>
      </c>
      <c r="K137" s="7">
        <f t="shared" si="92"/>
        <v>134.14906158745211</v>
      </c>
      <c r="L137" s="7">
        <f t="shared" si="93"/>
        <v>137.22108481171216</v>
      </c>
      <c r="M137" s="7">
        <f t="shared" si="94"/>
        <v>150.5615176801723</v>
      </c>
      <c r="N137" s="22"/>
      <c r="O137" s="7">
        <f t="shared" si="95"/>
        <v>12.466181199895983</v>
      </c>
      <c r="P137" s="7">
        <f t="shared" si="96"/>
        <v>12.749503499893619</v>
      </c>
      <c r="Q137" s="7">
        <f t="shared" si="97"/>
        <v>14.004216542740293</v>
      </c>
      <c r="R137" s="7">
        <f t="shared" si="98"/>
        <v>12.466181199895983</v>
      </c>
      <c r="S137" s="7">
        <f t="shared" si="99"/>
        <v>12.749503499893619</v>
      </c>
      <c r="T137" s="7">
        <f t="shared" si="100"/>
        <v>14.004216542740293</v>
      </c>
      <c r="U137" s="7">
        <f t="shared" si="101"/>
        <v>12.466181199895983</v>
      </c>
      <c r="V137" s="7">
        <f t="shared" si="102"/>
        <v>12.749503499893619</v>
      </c>
      <c r="W137" s="7">
        <f t="shared" si="103"/>
        <v>14.004216542740293</v>
      </c>
      <c r="X137" s="22"/>
      <c r="Y137" s="10">
        <v>0.39105907522102967</v>
      </c>
      <c r="Z137" s="22"/>
      <c r="AA137" s="10">
        <v>1.0349999999999999</v>
      </c>
    </row>
    <row r="138" spans="1:27" ht="14.5" hidden="1" customHeight="1" x14ac:dyDescent="0.25">
      <c r="A138" s="16"/>
      <c r="B138" s="3" t="s">
        <v>219</v>
      </c>
      <c r="C138" s="3" t="s">
        <v>220</v>
      </c>
      <c r="D138" s="11" t="s">
        <v>6</v>
      </c>
      <c r="E138" s="7">
        <f t="shared" si="86"/>
        <v>353.64648</v>
      </c>
      <c r="F138" s="7">
        <f t="shared" si="87"/>
        <v>361.74500999999998</v>
      </c>
      <c r="G138" s="7">
        <f t="shared" si="88"/>
        <v>396.91332999999997</v>
      </c>
      <c r="H138" s="7">
        <f t="shared" si="89"/>
        <v>353.64648</v>
      </c>
      <c r="I138" s="7">
        <f t="shared" si="90"/>
        <v>361.74500999999998</v>
      </c>
      <c r="J138" s="7">
        <f t="shared" si="91"/>
        <v>396.91332999999997</v>
      </c>
      <c r="K138" s="7">
        <f t="shared" si="92"/>
        <v>353.64648</v>
      </c>
      <c r="L138" s="7">
        <f t="shared" si="93"/>
        <v>361.74500999999998</v>
      </c>
      <c r="M138" s="7">
        <f t="shared" si="94"/>
        <v>396.91332999999997</v>
      </c>
      <c r="N138" s="22"/>
      <c r="O138" s="7">
        <f t="shared" si="95"/>
        <v>32.863599999999998</v>
      </c>
      <c r="P138" s="7">
        <f t="shared" si="96"/>
        <v>33.610500000000002</v>
      </c>
      <c r="Q138" s="7">
        <f t="shared" si="97"/>
        <v>36.918199999999999</v>
      </c>
      <c r="R138" s="7">
        <f t="shared" si="98"/>
        <v>32.863599999999998</v>
      </c>
      <c r="S138" s="7">
        <f t="shared" si="99"/>
        <v>33.610500000000002</v>
      </c>
      <c r="T138" s="7">
        <f t="shared" si="100"/>
        <v>36.918199999999999</v>
      </c>
      <c r="U138" s="7">
        <f t="shared" si="101"/>
        <v>32.863599999999998</v>
      </c>
      <c r="V138" s="7">
        <f t="shared" si="102"/>
        <v>33.610500000000002</v>
      </c>
      <c r="W138" s="7">
        <f t="shared" si="103"/>
        <v>36.918199999999999</v>
      </c>
      <c r="X138" s="22"/>
      <c r="Y138" s="10">
        <v>1</v>
      </c>
      <c r="Z138" s="22"/>
      <c r="AA138" s="10">
        <v>1.0669999999999999</v>
      </c>
    </row>
    <row r="139" spans="1:27" ht="14.5" hidden="1" customHeight="1" x14ac:dyDescent="0.25">
      <c r="A139" s="16"/>
      <c r="B139" s="3" t="s">
        <v>221</v>
      </c>
      <c r="C139" s="3" t="s">
        <v>222</v>
      </c>
      <c r="D139" s="11" t="s">
        <v>6</v>
      </c>
      <c r="E139" s="7">
        <f t="shared" si="86"/>
        <v>206.81856000000002</v>
      </c>
      <c r="F139" s="7">
        <f t="shared" si="87"/>
        <v>211.55471999999997</v>
      </c>
      <c r="G139" s="7">
        <f t="shared" si="88"/>
        <v>232.12175999999999</v>
      </c>
      <c r="H139" s="7">
        <f t="shared" si="89"/>
        <v>206.81856000000002</v>
      </c>
      <c r="I139" s="7">
        <f t="shared" si="90"/>
        <v>211.55471999999997</v>
      </c>
      <c r="J139" s="7">
        <f t="shared" si="91"/>
        <v>232.12175999999999</v>
      </c>
      <c r="K139" s="7">
        <f t="shared" si="92"/>
        <v>206.81856000000002</v>
      </c>
      <c r="L139" s="7">
        <f t="shared" si="93"/>
        <v>211.55471999999997</v>
      </c>
      <c r="M139" s="7">
        <f t="shared" si="94"/>
        <v>232.12175999999999</v>
      </c>
      <c r="N139" s="22"/>
      <c r="O139" s="7">
        <f t="shared" si="95"/>
        <v>19.219200000000001</v>
      </c>
      <c r="P139" s="7">
        <f t="shared" si="96"/>
        <v>19.655999999999999</v>
      </c>
      <c r="Q139" s="7">
        <f t="shared" si="97"/>
        <v>21.590400000000002</v>
      </c>
      <c r="R139" s="7">
        <f t="shared" si="98"/>
        <v>19.219200000000001</v>
      </c>
      <c r="S139" s="7">
        <f t="shared" si="99"/>
        <v>19.655999999999999</v>
      </c>
      <c r="T139" s="7">
        <f t="shared" si="100"/>
        <v>21.590400000000002</v>
      </c>
      <c r="U139" s="7">
        <f t="shared" si="101"/>
        <v>19.219200000000001</v>
      </c>
      <c r="V139" s="7">
        <f t="shared" si="102"/>
        <v>19.655999999999999</v>
      </c>
      <c r="W139" s="7">
        <f t="shared" si="103"/>
        <v>21.590400000000002</v>
      </c>
      <c r="X139" s="22"/>
      <c r="Y139" s="10">
        <v>0.6</v>
      </c>
      <c r="Z139" s="22"/>
      <c r="AA139" s="10">
        <v>1.04</v>
      </c>
    </row>
    <row r="140" spans="1:27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7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7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7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7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ht="21" x14ac:dyDescent="0.55000000000000004">
      <c r="A147" s="16"/>
      <c r="B147" s="17"/>
      <c r="C147" s="3"/>
      <c r="D147" s="1"/>
      <c r="F147" s="4"/>
      <c r="G147" s="4"/>
      <c r="H147" s="62">
        <v>9.2903040000000006E-2</v>
      </c>
      <c r="I147" s="63"/>
      <c r="J147" s="63"/>
      <c r="K147" s="4"/>
      <c r="L147" s="4"/>
      <c r="M147" s="4"/>
    </row>
    <row r="148" spans="1:13" x14ac:dyDescent="0.25">
      <c r="A148" s="16"/>
      <c r="B148" s="17"/>
      <c r="C148" s="3"/>
      <c r="D148" s="1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F149" s="4"/>
      <c r="G149" s="4"/>
      <c r="H149" s="4"/>
      <c r="I149" s="4">
        <f>E139*H147</f>
        <v>19.214072952422402</v>
      </c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F159" s="4"/>
      <c r="G159" s="4"/>
      <c r="H159" s="4"/>
      <c r="I159" s="4"/>
      <c r="J159" s="4"/>
      <c r="K159" s="4"/>
      <c r="L159" s="4"/>
      <c r="M159" s="4"/>
    </row>
  </sheetData>
  <autoFilter ref="B4:D139" xr:uid="{B593B8AD-AE04-4543-B232-6D3D3239B900}">
    <filterColumn colId="2">
      <filters>
        <filter val="AMERICAS"/>
      </filters>
    </filterColumn>
    <sortState xmlns:xlrd2="http://schemas.microsoft.com/office/spreadsheetml/2017/richdata2" ref="B68:D139">
      <sortCondition ref="B4:B139"/>
    </sortState>
  </autoFilter>
  <mergeCells count="9">
    <mergeCell ref="H147:J147"/>
    <mergeCell ref="E1:M1"/>
    <mergeCell ref="O1:W1"/>
    <mergeCell ref="E2:G2"/>
    <mergeCell ref="H2:J2"/>
    <mergeCell ref="K2:M2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4" manualBreakCount="4">
    <brk id="13" max="1048575" man="1"/>
    <brk id="14" max="1048575" man="1"/>
    <brk id="23" max="1048575" man="1"/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B410-A69C-4F5C-966B-754E46AD9607}">
  <sheetPr>
    <tabColor rgb="FFFFC000"/>
  </sheetPr>
  <dimension ref="A1:W157"/>
  <sheetViews>
    <sheetView tabSelected="1" view="pageBreakPreview" zoomScaleNormal="100" zoomScaleSheetLayoutView="100" workbookViewId="0">
      <selection activeCell="B9" sqref="B9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7" width="10.83203125" customWidth="1"/>
    <col min="8" max="8" width="6" customWidth="1"/>
    <col min="9" max="9" width="14.08203125" customWidth="1"/>
    <col min="10" max="10" width="17.08203125" customWidth="1"/>
    <col min="11" max="11" width="13.83203125" customWidth="1"/>
    <col min="12" max="23" width="6" customWidth="1"/>
  </cols>
  <sheetData>
    <row r="1" spans="1:23" ht="17.5" customHeight="1" x14ac:dyDescent="0.25">
      <c r="A1" s="64" t="s">
        <v>247</v>
      </c>
      <c r="B1" s="69"/>
      <c r="C1" s="69"/>
      <c r="D1" s="70"/>
      <c r="E1" s="64" t="s">
        <v>230</v>
      </c>
      <c r="F1" s="65"/>
      <c r="G1" s="65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25">
      <c r="A2" s="16"/>
      <c r="B2" s="16"/>
      <c r="C2" s="1"/>
      <c r="D2" s="1"/>
      <c r="E2" s="39" t="s">
        <v>9</v>
      </c>
      <c r="F2" s="36" t="s">
        <v>10</v>
      </c>
      <c r="G2" s="36" t="s">
        <v>11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25">
      <c r="A3" s="16"/>
      <c r="B3" s="12" t="s">
        <v>14</v>
      </c>
      <c r="C3" s="12" t="s">
        <v>15</v>
      </c>
      <c r="D3" s="37" t="s">
        <v>16</v>
      </c>
      <c r="E3" s="41"/>
      <c r="F3" s="37"/>
      <c r="G3" s="37"/>
      <c r="H3" s="22"/>
      <c r="Q3" s="22"/>
      <c r="R3" s="22"/>
      <c r="S3" s="22"/>
      <c r="T3" s="22"/>
      <c r="U3" s="22"/>
      <c r="V3" s="22"/>
      <c r="W3" s="22"/>
    </row>
    <row r="4" spans="1:23" x14ac:dyDescent="0.25">
      <c r="A4" s="16"/>
      <c r="B4" s="3" t="s">
        <v>17</v>
      </c>
      <c r="C4" s="3" t="s">
        <v>18</v>
      </c>
      <c r="D4" s="11" t="s">
        <v>19</v>
      </c>
      <c r="E4" s="38">
        <v>412.61379064966394</v>
      </c>
      <c r="F4" s="4">
        <v>422.06267633344061</v>
      </c>
      <c r="G4" s="4">
        <v>463.09499150304276</v>
      </c>
      <c r="H4" s="22"/>
      <c r="Q4" s="22"/>
      <c r="R4" s="22"/>
      <c r="S4" s="22"/>
      <c r="T4" s="22"/>
      <c r="U4" s="22"/>
      <c r="V4" s="22"/>
      <c r="W4" s="22"/>
    </row>
    <row r="5" spans="1:23" x14ac:dyDescent="0.25">
      <c r="A5" s="16"/>
      <c r="B5" s="3" t="s">
        <v>17</v>
      </c>
      <c r="C5" s="3" t="s">
        <v>20</v>
      </c>
      <c r="D5" s="11" t="s">
        <v>19</v>
      </c>
      <c r="E5" s="38">
        <v>385.42587907297639</v>
      </c>
      <c r="F5" s="4">
        <v>394.25215961293503</v>
      </c>
      <c r="G5" s="4">
        <v>432.58077708290034</v>
      </c>
      <c r="H5" s="22"/>
      <c r="Q5" s="22"/>
      <c r="R5" s="22"/>
      <c r="S5" s="22"/>
      <c r="T5" s="22"/>
      <c r="U5" s="22"/>
      <c r="V5" s="22"/>
      <c r="W5" s="22"/>
    </row>
    <row r="6" spans="1:23" x14ac:dyDescent="0.25">
      <c r="A6" s="16"/>
      <c r="B6" s="3" t="s">
        <v>17</v>
      </c>
      <c r="C6" s="3" t="s">
        <v>231</v>
      </c>
      <c r="D6" s="11" t="s">
        <v>19</v>
      </c>
      <c r="E6" s="38">
        <v>385.42587907297639</v>
      </c>
      <c r="F6" s="4">
        <v>394.25215961293503</v>
      </c>
      <c r="G6" s="4">
        <v>432.58077708290034</v>
      </c>
      <c r="H6" s="22"/>
      <c r="Q6" s="22"/>
      <c r="R6" s="22"/>
      <c r="S6" s="22"/>
      <c r="T6" s="22"/>
      <c r="U6" s="22"/>
      <c r="V6" s="22"/>
      <c r="W6" s="22"/>
    </row>
    <row r="7" spans="1:23" x14ac:dyDescent="0.25">
      <c r="A7" s="16"/>
      <c r="B7" s="3" t="s">
        <v>17</v>
      </c>
      <c r="C7" s="3" t="s">
        <v>22</v>
      </c>
      <c r="D7" s="11" t="s">
        <v>19</v>
      </c>
      <c r="E7" s="38">
        <v>504.96594440274635</v>
      </c>
      <c r="F7" s="4">
        <v>516.52970109480771</v>
      </c>
      <c r="G7" s="4">
        <v>566.74596203951728</v>
      </c>
      <c r="H7" s="22"/>
      <c r="Q7" s="22"/>
      <c r="R7" s="22"/>
      <c r="S7" s="22"/>
      <c r="T7" s="22"/>
      <c r="U7" s="22"/>
      <c r="V7" s="22"/>
      <c r="W7" s="22"/>
    </row>
    <row r="8" spans="1:23" x14ac:dyDescent="0.25">
      <c r="A8" s="16"/>
      <c r="B8" s="3" t="s">
        <v>17</v>
      </c>
      <c r="C8" s="3" t="s">
        <v>23</v>
      </c>
      <c r="D8" s="11" t="s">
        <v>19</v>
      </c>
      <c r="E8" s="38">
        <v>400.21643528424357</v>
      </c>
      <c r="F8" s="4">
        <v>409.38142063244351</v>
      </c>
      <c r="G8" s="4">
        <v>449.18088269788126</v>
      </c>
      <c r="H8" s="22"/>
      <c r="Q8" s="22"/>
      <c r="R8" s="22"/>
      <c r="S8" s="22"/>
      <c r="T8" s="22"/>
      <c r="U8" s="22"/>
      <c r="V8" s="22"/>
      <c r="W8" s="22"/>
    </row>
    <row r="9" spans="1:23" x14ac:dyDescent="0.25">
      <c r="A9" s="16"/>
      <c r="B9" s="3" t="s">
        <v>17</v>
      </c>
      <c r="C9" s="3" t="s">
        <v>24</v>
      </c>
      <c r="D9" s="11" t="s">
        <v>19</v>
      </c>
      <c r="E9" s="38">
        <v>491.58783396121635</v>
      </c>
      <c r="F9" s="4">
        <v>502.8452309554404</v>
      </c>
      <c r="G9" s="4">
        <v>551.73110775776274</v>
      </c>
      <c r="H9" s="22"/>
      <c r="Q9" s="22"/>
      <c r="R9" s="22"/>
      <c r="S9" s="22"/>
      <c r="T9" s="22"/>
      <c r="U9" s="22"/>
      <c r="V9" s="22"/>
      <c r="W9" s="22"/>
    </row>
    <row r="10" spans="1:23" x14ac:dyDescent="0.25">
      <c r="A10" s="16"/>
      <c r="B10" s="3" t="s">
        <v>17</v>
      </c>
      <c r="C10" s="3" t="s">
        <v>25</v>
      </c>
      <c r="D10" s="11" t="s">
        <v>19</v>
      </c>
      <c r="E10" s="38">
        <v>401.92825753133906</v>
      </c>
      <c r="F10" s="4">
        <v>411.13244373295282</v>
      </c>
      <c r="G10" s="4">
        <v>451.10213769938099</v>
      </c>
      <c r="H10" s="22"/>
      <c r="Q10" s="22"/>
      <c r="R10" s="22"/>
      <c r="S10" s="22"/>
      <c r="T10" s="22"/>
      <c r="U10" s="22"/>
      <c r="V10" s="22"/>
      <c r="W10" s="22"/>
    </row>
    <row r="11" spans="1:23" x14ac:dyDescent="0.25">
      <c r="A11" s="16"/>
      <c r="B11" s="3" t="s">
        <v>17</v>
      </c>
      <c r="C11" s="3" t="s">
        <v>26</v>
      </c>
      <c r="D11" s="11" t="s">
        <v>19</v>
      </c>
      <c r="E11" s="38">
        <v>391.00175181554891</v>
      </c>
      <c r="F11" s="4">
        <v>399.95572024506862</v>
      </c>
      <c r="G11" s="4">
        <v>438.83882952530189</v>
      </c>
      <c r="H11" s="22"/>
      <c r="Q11" s="22"/>
      <c r="R11" s="22"/>
      <c r="S11" s="22"/>
      <c r="T11" s="22"/>
      <c r="U11" s="22"/>
      <c r="V11" s="22"/>
      <c r="W11" s="22"/>
    </row>
    <row r="12" spans="1:23" x14ac:dyDescent="0.25">
      <c r="A12" s="16"/>
      <c r="B12" s="3" t="s">
        <v>17</v>
      </c>
      <c r="C12" s="3" t="s">
        <v>27</v>
      </c>
      <c r="D12" s="11" t="s">
        <v>19</v>
      </c>
      <c r="E12" s="38">
        <v>366.97874196282896</v>
      </c>
      <c r="F12" s="4">
        <v>375.38258172718406</v>
      </c>
      <c r="G12" s="4">
        <v>411.87672647463415</v>
      </c>
      <c r="H12" s="22"/>
      <c r="Q12" s="22"/>
      <c r="R12" s="22"/>
      <c r="S12" s="22"/>
      <c r="T12" s="22"/>
      <c r="U12" s="22"/>
      <c r="V12" s="22"/>
      <c r="W12" s="22"/>
    </row>
    <row r="13" spans="1:23" x14ac:dyDescent="0.25">
      <c r="A13" s="16"/>
      <c r="B13" s="3" t="s">
        <v>17</v>
      </c>
      <c r="C13" s="3" t="s">
        <v>28</v>
      </c>
      <c r="D13" s="11" t="s">
        <v>19</v>
      </c>
      <c r="E13" s="38">
        <v>387.23209828873621</v>
      </c>
      <c r="F13" s="4">
        <v>396.09974137952634</v>
      </c>
      <c r="G13" s="4">
        <v>434.60797804256265</v>
      </c>
      <c r="H13" s="22"/>
      <c r="Q13" s="22"/>
      <c r="R13" s="22"/>
      <c r="S13" s="22"/>
      <c r="T13" s="22"/>
      <c r="U13" s="22"/>
      <c r="V13" s="22"/>
      <c r="W13" s="22"/>
    </row>
    <row r="14" spans="1:23" x14ac:dyDescent="0.25">
      <c r="A14" s="16"/>
      <c r="B14" s="3" t="s">
        <v>17</v>
      </c>
      <c r="C14" s="3" t="s">
        <v>29</v>
      </c>
      <c r="D14" s="11" t="s">
        <v>19</v>
      </c>
      <c r="E14" s="38">
        <v>368.80261816553303</v>
      </c>
      <c r="F14" s="4">
        <v>377.24822482699932</v>
      </c>
      <c r="G14" s="4">
        <v>413.92374466388077</v>
      </c>
      <c r="H14" s="22"/>
      <c r="Q14" s="22"/>
      <c r="R14" s="22"/>
      <c r="S14" s="22"/>
      <c r="T14" s="22"/>
      <c r="U14" s="22"/>
      <c r="V14" s="22"/>
      <c r="W14" s="22"/>
    </row>
    <row r="15" spans="1:23" x14ac:dyDescent="0.25">
      <c r="A15" s="16"/>
      <c r="B15" s="3" t="s">
        <v>17</v>
      </c>
      <c r="C15" s="3" t="s">
        <v>30</v>
      </c>
      <c r="D15" s="11" t="s">
        <v>19</v>
      </c>
      <c r="E15" s="38">
        <v>393.93371713482702</v>
      </c>
      <c r="F15" s="4">
        <v>402.95482778246554</v>
      </c>
      <c r="G15" s="4">
        <v>442.12950590449037</v>
      </c>
      <c r="H15" s="22"/>
      <c r="Q15" s="22"/>
      <c r="R15" s="22"/>
      <c r="S15" s="22"/>
      <c r="T15" s="22"/>
      <c r="U15" s="22"/>
      <c r="V15" s="22"/>
      <c r="W15" s="22"/>
    </row>
    <row r="16" spans="1:23" x14ac:dyDescent="0.25">
      <c r="A16" s="16"/>
      <c r="B16" s="3" t="s">
        <v>17</v>
      </c>
      <c r="C16" s="3" t="s">
        <v>32</v>
      </c>
      <c r="D16" s="11" t="s">
        <v>19</v>
      </c>
      <c r="E16" s="38">
        <v>413.61978616223905</v>
      </c>
      <c r="F16" s="4">
        <v>423.0917092160991</v>
      </c>
      <c r="G16" s="4">
        <v>464.22406545525973</v>
      </c>
      <c r="H16" s="22"/>
      <c r="Q16" s="22"/>
      <c r="R16" s="22"/>
      <c r="S16" s="22"/>
      <c r="T16" s="22"/>
      <c r="U16" s="22"/>
      <c r="V16" s="22"/>
      <c r="W16" s="22"/>
    </row>
    <row r="17" spans="1:23" x14ac:dyDescent="0.25">
      <c r="A17" s="16"/>
      <c r="B17" s="3" t="s">
        <v>17</v>
      </c>
      <c r="C17" s="3" t="s">
        <v>33</v>
      </c>
      <c r="D17" s="11" t="s">
        <v>19</v>
      </c>
      <c r="E17" s="38">
        <v>366.28966672874287</v>
      </c>
      <c r="F17" s="4">
        <v>374.67772662034059</v>
      </c>
      <c r="G17" s="4">
        <v>411.10334638675198</v>
      </c>
      <c r="H17" s="22"/>
      <c r="Q17" s="22"/>
      <c r="R17" s="22"/>
      <c r="S17" s="22"/>
      <c r="T17" s="22"/>
      <c r="U17" s="22"/>
      <c r="V17" s="22"/>
      <c r="W17" s="22"/>
    </row>
    <row r="18" spans="1:23" x14ac:dyDescent="0.25">
      <c r="A18" s="16"/>
      <c r="B18" s="3" t="s">
        <v>17</v>
      </c>
      <c r="C18" s="3" t="s">
        <v>34</v>
      </c>
      <c r="D18" s="11" t="s">
        <v>19</v>
      </c>
      <c r="E18" s="38">
        <v>389.32637540047955</v>
      </c>
      <c r="F18" s="4">
        <v>398.24197758877796</v>
      </c>
      <c r="G18" s="4">
        <v>436.9584793182006</v>
      </c>
      <c r="H18" s="22"/>
      <c r="Q18" s="22"/>
      <c r="R18" s="22"/>
      <c r="S18" s="22"/>
      <c r="T18" s="22"/>
      <c r="U18" s="22"/>
      <c r="V18" s="22"/>
      <c r="W18" s="22"/>
    </row>
    <row r="19" spans="1:23" x14ac:dyDescent="0.25">
      <c r="A19" s="16"/>
      <c r="B19" s="3" t="s">
        <v>17</v>
      </c>
      <c r="C19" s="3" t="s">
        <v>35</v>
      </c>
      <c r="D19" s="11" t="s">
        <v>19</v>
      </c>
      <c r="E19" s="38">
        <v>409.01244442789158</v>
      </c>
      <c r="F19" s="4">
        <v>418.37885902241152</v>
      </c>
      <c r="G19" s="4">
        <v>459.05303886896996</v>
      </c>
      <c r="H19" s="22"/>
      <c r="Q19" s="22"/>
      <c r="R19" s="22"/>
      <c r="S19" s="22"/>
      <c r="T19" s="22"/>
      <c r="U19" s="22"/>
      <c r="V19" s="22"/>
      <c r="W19" s="22"/>
    </row>
    <row r="20" spans="1:23" x14ac:dyDescent="0.25">
      <c r="A20" s="16"/>
      <c r="B20" s="3" t="s">
        <v>17</v>
      </c>
      <c r="C20" s="3" t="s">
        <v>36</v>
      </c>
      <c r="D20" s="11" t="s">
        <v>19</v>
      </c>
      <c r="E20" s="38">
        <v>482.73002536326294</v>
      </c>
      <c r="F20" s="4">
        <v>493.78457789918843</v>
      </c>
      <c r="G20" s="4">
        <v>541.78959128312874</v>
      </c>
      <c r="H20" s="22"/>
      <c r="Q20" s="22"/>
      <c r="R20" s="22"/>
      <c r="S20" s="22"/>
      <c r="T20" s="22"/>
      <c r="U20" s="22"/>
      <c r="V20" s="22"/>
      <c r="W20" s="22"/>
    </row>
    <row r="21" spans="1:23" x14ac:dyDescent="0.25">
      <c r="A21" s="16"/>
      <c r="B21" s="3" t="s">
        <v>17</v>
      </c>
      <c r="C21" s="3" t="s">
        <v>37</v>
      </c>
      <c r="D21" s="11" t="s">
        <v>19</v>
      </c>
      <c r="E21" s="38">
        <v>378.01741482004144</v>
      </c>
      <c r="F21" s="4">
        <v>386.67404099215133</v>
      </c>
      <c r="G21" s="4">
        <v>424.26592486998317</v>
      </c>
      <c r="H21" s="22"/>
      <c r="Q21" s="22"/>
      <c r="R21" s="22"/>
      <c r="S21" s="22"/>
      <c r="T21" s="22"/>
      <c r="U21" s="22"/>
      <c r="V21" s="22"/>
      <c r="W21" s="22"/>
    </row>
    <row r="22" spans="1:23" x14ac:dyDescent="0.25">
      <c r="A22" s="16"/>
      <c r="B22" s="3" t="s">
        <v>17</v>
      </c>
      <c r="C22" s="3" t="s">
        <v>38</v>
      </c>
      <c r="D22" s="11" t="s">
        <v>19</v>
      </c>
      <c r="E22" s="38">
        <v>444.19568870178739</v>
      </c>
      <c r="F22" s="4">
        <v>454.36780213784385</v>
      </c>
      <c r="G22" s="4">
        <v>498.54077431866369</v>
      </c>
      <c r="H22" s="22"/>
      <c r="Q22" s="22"/>
      <c r="R22" s="22"/>
      <c r="S22" s="22"/>
      <c r="T22" s="22"/>
      <c r="U22" s="22"/>
      <c r="V22" s="22"/>
      <c r="W22" s="22"/>
    </row>
    <row r="23" spans="1:23" x14ac:dyDescent="0.25">
      <c r="A23" s="16"/>
      <c r="B23" s="3" t="s">
        <v>17</v>
      </c>
      <c r="C23" s="3" t="s">
        <v>39</v>
      </c>
      <c r="D23" s="11" t="s">
        <v>19</v>
      </c>
      <c r="E23" s="38">
        <v>376.76093910164644</v>
      </c>
      <c r="F23" s="4">
        <v>385.38879188882203</v>
      </c>
      <c r="G23" s="4">
        <v>422.85572573141883</v>
      </c>
      <c r="H23" s="22"/>
      <c r="Q23" s="22"/>
      <c r="R23" s="22"/>
      <c r="S23" s="22"/>
      <c r="T23" s="22"/>
      <c r="U23" s="22"/>
      <c r="V23" s="22"/>
      <c r="W23" s="22"/>
    </row>
    <row r="24" spans="1:23" x14ac:dyDescent="0.25">
      <c r="A24" s="16"/>
      <c r="B24" s="3" t="s">
        <v>17</v>
      </c>
      <c r="C24" s="3" t="s">
        <v>40</v>
      </c>
      <c r="D24" s="11" t="s">
        <v>19</v>
      </c>
      <c r="E24" s="38">
        <v>523.98406659192426</v>
      </c>
      <c r="F24" s="4">
        <v>535.98333965924473</v>
      </c>
      <c r="G24" s="4">
        <v>588.0908548501385</v>
      </c>
      <c r="H24" s="22"/>
      <c r="Q24" s="22"/>
      <c r="R24" s="22"/>
      <c r="S24" s="22"/>
      <c r="T24" s="22"/>
      <c r="U24" s="22"/>
      <c r="V24" s="22"/>
      <c r="W24" s="22"/>
    </row>
    <row r="25" spans="1:23" x14ac:dyDescent="0.25">
      <c r="A25" s="16"/>
      <c r="B25" s="3" t="s">
        <v>17</v>
      </c>
      <c r="C25" s="3" t="s">
        <v>41</v>
      </c>
      <c r="D25" s="11" t="s">
        <v>19</v>
      </c>
      <c r="E25" s="38">
        <v>484.82430247500639</v>
      </c>
      <c r="F25" s="4">
        <v>495.92681410844017</v>
      </c>
      <c r="G25" s="4">
        <v>544.1400925587667</v>
      </c>
      <c r="H25" s="22"/>
      <c r="Q25" s="22"/>
      <c r="R25" s="22"/>
      <c r="S25" s="22"/>
      <c r="T25" s="22"/>
      <c r="U25" s="22"/>
      <c r="V25" s="22"/>
      <c r="W25" s="22"/>
    </row>
    <row r="26" spans="1:23" x14ac:dyDescent="0.25">
      <c r="A26" s="16"/>
      <c r="B26" s="3" t="s">
        <v>17</v>
      </c>
      <c r="C26" s="3" t="s">
        <v>42</v>
      </c>
      <c r="D26" s="11" t="s">
        <v>19</v>
      </c>
      <c r="E26" s="38">
        <v>503.25366941239577</v>
      </c>
      <c r="F26" s="4">
        <v>514.77821488319012</v>
      </c>
      <c r="G26" s="4">
        <v>564.82419890392566</v>
      </c>
      <c r="H26" s="22"/>
      <c r="Q26" s="22"/>
      <c r="R26" s="22"/>
      <c r="S26" s="22"/>
      <c r="T26" s="22"/>
      <c r="U26" s="22"/>
      <c r="V26" s="22"/>
      <c r="W26" s="22"/>
    </row>
    <row r="27" spans="1:23" x14ac:dyDescent="0.25">
      <c r="A27" s="16"/>
      <c r="B27" s="3" t="s">
        <v>17</v>
      </c>
      <c r="C27" s="3" t="s">
        <v>43</v>
      </c>
      <c r="D27" s="11" t="s">
        <v>19</v>
      </c>
      <c r="E27" s="38">
        <v>378.43620233090201</v>
      </c>
      <c r="F27" s="4">
        <v>387.10241876733551</v>
      </c>
      <c r="G27" s="4">
        <v>424.73594890499709</v>
      </c>
      <c r="H27" s="22"/>
      <c r="Q27" s="22"/>
      <c r="R27" s="22"/>
      <c r="S27" s="22"/>
      <c r="T27" s="22"/>
      <c r="U27" s="22"/>
      <c r="V27" s="22"/>
      <c r="W27" s="22"/>
    </row>
    <row r="28" spans="1:23" x14ac:dyDescent="0.25">
      <c r="A28" s="16"/>
      <c r="B28" s="3" t="s">
        <v>17</v>
      </c>
      <c r="C28" s="3" t="s">
        <v>44</v>
      </c>
      <c r="D28" s="11" t="s">
        <v>19</v>
      </c>
      <c r="E28" s="38">
        <v>376.36260200361363</v>
      </c>
      <c r="F28" s="4">
        <v>384.98133284240015</v>
      </c>
      <c r="G28" s="4">
        <v>422.40865411333641</v>
      </c>
      <c r="H28" s="22"/>
      <c r="Q28" s="22"/>
      <c r="R28" s="22"/>
      <c r="S28" s="22"/>
      <c r="T28" s="22"/>
      <c r="U28" s="22"/>
      <c r="V28" s="22"/>
      <c r="W28" s="22"/>
    </row>
    <row r="29" spans="1:23" x14ac:dyDescent="0.25">
      <c r="A29" s="16"/>
      <c r="B29" s="3" t="s">
        <v>17</v>
      </c>
      <c r="C29" s="3" t="s">
        <v>45</v>
      </c>
      <c r="D29" s="11" t="s">
        <v>19</v>
      </c>
      <c r="E29" s="38">
        <v>474.91441589226946</v>
      </c>
      <c r="F29" s="4">
        <v>485.78999040537087</v>
      </c>
      <c r="G29" s="4">
        <v>533.01778170337116</v>
      </c>
      <c r="H29" s="22"/>
      <c r="Q29" s="22"/>
      <c r="R29" s="22"/>
      <c r="S29" s="22"/>
      <c r="T29" s="22"/>
      <c r="U29" s="22"/>
      <c r="V29" s="22"/>
      <c r="W29" s="22"/>
    </row>
    <row r="30" spans="1:23" x14ac:dyDescent="0.25">
      <c r="A30" s="16"/>
      <c r="B30" s="3" t="s">
        <v>17</v>
      </c>
      <c r="C30" s="3" t="s">
        <v>46</v>
      </c>
      <c r="D30" s="11" t="s">
        <v>19</v>
      </c>
      <c r="E30" s="38">
        <v>387.65099898541041</v>
      </c>
      <c r="F30" s="4">
        <v>396.52823493248758</v>
      </c>
      <c r="G30" s="4">
        <v>435.07812911109949</v>
      </c>
      <c r="H30" s="22"/>
      <c r="Q30" s="22"/>
      <c r="R30" s="22"/>
      <c r="S30" s="22"/>
      <c r="T30" s="22"/>
      <c r="U30" s="22"/>
      <c r="V30" s="22"/>
      <c r="W30" s="22"/>
    </row>
    <row r="31" spans="1:23" x14ac:dyDescent="0.25">
      <c r="A31" s="16"/>
      <c r="B31" s="3" t="s">
        <v>17</v>
      </c>
      <c r="C31" s="3" t="s">
        <v>47</v>
      </c>
      <c r="D31" s="11" t="s">
        <v>19</v>
      </c>
      <c r="E31" s="38">
        <v>407.7011946986504</v>
      </c>
      <c r="F31" s="4">
        <v>417.0375815794215</v>
      </c>
      <c r="G31" s="4">
        <v>457.58136439763149</v>
      </c>
      <c r="H31" s="22"/>
      <c r="Q31" s="22"/>
      <c r="R31" s="22"/>
      <c r="S31" s="22"/>
      <c r="T31" s="22"/>
      <c r="U31" s="22"/>
      <c r="V31" s="22"/>
      <c r="W31" s="22"/>
    </row>
    <row r="32" spans="1:23" x14ac:dyDescent="0.25">
      <c r="A32" s="16"/>
      <c r="B32" s="3" t="s">
        <v>17</v>
      </c>
      <c r="C32" s="3" t="s">
        <v>48</v>
      </c>
      <c r="D32" s="11" t="s">
        <v>19</v>
      </c>
      <c r="E32" s="38">
        <v>468.90788697440712</v>
      </c>
      <c r="F32" s="4">
        <v>479.64591154034889</v>
      </c>
      <c r="G32" s="4">
        <v>526.27638449073652</v>
      </c>
      <c r="H32" s="22"/>
      <c r="Q32" s="22"/>
      <c r="R32" s="22"/>
      <c r="S32" s="22"/>
      <c r="T32" s="22"/>
      <c r="U32" s="22"/>
      <c r="V32" s="22"/>
      <c r="W32" s="22"/>
    </row>
    <row r="33" spans="1:23" x14ac:dyDescent="0.25">
      <c r="A33" s="16"/>
      <c r="B33" s="3" t="s">
        <v>17</v>
      </c>
      <c r="C33" s="3" t="s">
        <v>232</v>
      </c>
      <c r="D33" s="11" t="s">
        <v>19</v>
      </c>
      <c r="E33" s="38">
        <v>471.61568778956109</v>
      </c>
      <c r="F33" s="4">
        <v>482.41572119024528</v>
      </c>
      <c r="G33" s="4">
        <v>529.31547097766975</v>
      </c>
      <c r="H33" s="22"/>
      <c r="Q33" s="22"/>
      <c r="R33" s="22"/>
      <c r="S33" s="22"/>
      <c r="T33" s="22"/>
      <c r="U33" s="22"/>
      <c r="V33" s="22"/>
      <c r="W33" s="22"/>
    </row>
    <row r="34" spans="1:23" x14ac:dyDescent="0.25">
      <c r="A34" s="16"/>
      <c r="B34" s="3" t="s">
        <v>17</v>
      </c>
      <c r="C34" s="3" t="s">
        <v>50</v>
      </c>
      <c r="D34" s="11" t="s">
        <v>19</v>
      </c>
      <c r="E34" s="38">
        <v>384.6096475001537</v>
      </c>
      <c r="F34" s="4">
        <v>393.4172362779903</v>
      </c>
      <c r="G34" s="4">
        <v>431.66468372430063</v>
      </c>
      <c r="H34" s="22"/>
      <c r="Q34" s="22"/>
      <c r="R34" s="22"/>
      <c r="S34" s="22"/>
      <c r="T34" s="22"/>
      <c r="U34" s="22"/>
      <c r="V34" s="22"/>
      <c r="W34" s="22"/>
    </row>
    <row r="35" spans="1:23" x14ac:dyDescent="0.25">
      <c r="A35" s="16"/>
      <c r="B35" s="3" t="s">
        <v>17</v>
      </c>
      <c r="C35" s="3" t="s">
        <v>51</v>
      </c>
      <c r="D35" s="11" t="s">
        <v>19</v>
      </c>
      <c r="E35" s="38">
        <v>467.65141125601207</v>
      </c>
      <c r="F35" s="4">
        <v>478.36066243701958</v>
      </c>
      <c r="G35" s="4">
        <v>524.86618535217212</v>
      </c>
      <c r="H35" s="22"/>
      <c r="Q35" s="22"/>
      <c r="R35" s="22"/>
      <c r="S35" s="22"/>
      <c r="T35" s="22"/>
      <c r="U35" s="22"/>
      <c r="V35" s="22"/>
      <c r="W35" s="22"/>
    </row>
    <row r="36" spans="1:23" x14ac:dyDescent="0.25">
      <c r="A36" s="16"/>
      <c r="B36" s="3" t="s">
        <v>17</v>
      </c>
      <c r="C36" s="3" t="s">
        <v>52</v>
      </c>
      <c r="D36" s="11" t="s">
        <v>19</v>
      </c>
      <c r="E36" s="38">
        <v>522.33481685824188</v>
      </c>
      <c r="F36" s="4">
        <v>534.29632198723675</v>
      </c>
      <c r="G36" s="4">
        <v>586.2398277911459</v>
      </c>
      <c r="H36" s="22"/>
      <c r="Q36" s="22"/>
      <c r="R36" s="22"/>
      <c r="S36" s="22"/>
      <c r="T36" s="22"/>
      <c r="U36" s="22"/>
      <c r="V36" s="22"/>
      <c r="W36" s="22"/>
    </row>
    <row r="37" spans="1:23" x14ac:dyDescent="0.25">
      <c r="A37" s="16"/>
      <c r="B37" s="3" t="s">
        <v>17</v>
      </c>
      <c r="C37" s="3" t="s">
        <v>53</v>
      </c>
      <c r="D37" s="11" t="s">
        <v>19</v>
      </c>
      <c r="E37" s="38">
        <v>519.17008491299509</v>
      </c>
      <c r="F37" s="4">
        <v>531.0591174512814</v>
      </c>
      <c r="G37" s="4">
        <v>582.68790697195584</v>
      </c>
      <c r="H37" s="22"/>
      <c r="Q37" s="22"/>
      <c r="R37" s="22"/>
      <c r="S37" s="22"/>
      <c r="T37" s="22"/>
      <c r="U37" s="22"/>
      <c r="V37" s="22"/>
      <c r="W37" s="22"/>
    </row>
    <row r="38" spans="1:23" x14ac:dyDescent="0.25">
      <c r="A38" s="16"/>
      <c r="B38" s="3" t="s">
        <v>17</v>
      </c>
      <c r="C38" s="3" t="s">
        <v>54</v>
      </c>
      <c r="D38" s="11" t="s">
        <v>19</v>
      </c>
      <c r="E38" s="38">
        <v>439.03990171135905</v>
      </c>
      <c r="F38" s="4">
        <v>449.09394725199752</v>
      </c>
      <c r="G38" s="4">
        <v>492.75420298578467</v>
      </c>
      <c r="H38" s="22"/>
      <c r="Q38" s="22"/>
      <c r="R38" s="22"/>
      <c r="S38" s="22"/>
      <c r="T38" s="22"/>
      <c r="U38" s="22"/>
      <c r="V38" s="22"/>
      <c r="W38" s="22"/>
    </row>
    <row r="39" spans="1:23" x14ac:dyDescent="0.25">
      <c r="A39" s="16"/>
      <c r="B39" s="3" t="s">
        <v>17</v>
      </c>
      <c r="C39" s="3" t="s">
        <v>55</v>
      </c>
      <c r="D39" s="11" t="s">
        <v>19</v>
      </c>
      <c r="E39" s="38">
        <v>404.40246659594203</v>
      </c>
      <c r="F39" s="4">
        <v>413.66331236429585</v>
      </c>
      <c r="G39" s="4">
        <v>453.87905367193002</v>
      </c>
      <c r="H39" s="22"/>
      <c r="Q39" s="22"/>
      <c r="R39" s="22"/>
      <c r="S39" s="22"/>
      <c r="T39" s="22"/>
      <c r="U39" s="22"/>
      <c r="V39" s="22"/>
      <c r="W39" s="22"/>
    </row>
    <row r="40" spans="1:23" x14ac:dyDescent="0.25">
      <c r="A40" s="16"/>
      <c r="B40" s="3" t="s">
        <v>17</v>
      </c>
      <c r="C40" s="3" t="s">
        <v>233</v>
      </c>
      <c r="D40" s="11" t="s">
        <v>19</v>
      </c>
      <c r="E40" s="38">
        <v>455.94627769029989</v>
      </c>
      <c r="F40" s="4">
        <v>466.38748046506868</v>
      </c>
      <c r="G40" s="4">
        <v>511.72898816683158</v>
      </c>
      <c r="H40" s="22"/>
      <c r="Q40" s="22"/>
      <c r="R40" s="22"/>
      <c r="S40" s="22"/>
      <c r="T40" s="22"/>
      <c r="U40" s="22"/>
      <c r="V40" s="22"/>
      <c r="W40" s="22"/>
    </row>
    <row r="41" spans="1:23" x14ac:dyDescent="0.25">
      <c r="A41" s="16"/>
      <c r="B41" s="3" t="s">
        <v>17</v>
      </c>
      <c r="C41" s="3" t="s">
        <v>57</v>
      </c>
      <c r="D41" s="11" t="s">
        <v>19</v>
      </c>
      <c r="E41" s="38">
        <v>371.0021116778766</v>
      </c>
      <c r="F41" s="4">
        <v>379.49808690004375</v>
      </c>
      <c r="G41" s="4">
        <v>416.39233503214257</v>
      </c>
      <c r="H41" s="22"/>
      <c r="Q41" s="22"/>
      <c r="R41" s="22"/>
      <c r="S41" s="22"/>
      <c r="T41" s="22"/>
      <c r="U41" s="22"/>
      <c r="V41" s="22"/>
      <c r="W41" s="22"/>
    </row>
    <row r="42" spans="1:23" x14ac:dyDescent="0.25">
      <c r="A42" s="16"/>
      <c r="B42" s="3" t="s">
        <v>17</v>
      </c>
      <c r="C42" s="3" t="s">
        <v>58</v>
      </c>
      <c r="D42" s="11" t="s">
        <v>19</v>
      </c>
      <c r="E42" s="38">
        <v>409.76295578982081</v>
      </c>
      <c r="F42" s="4">
        <v>419.14655714887442</v>
      </c>
      <c r="G42" s="4">
        <v>459.89537148278862</v>
      </c>
      <c r="H42" s="22"/>
      <c r="Q42" s="22"/>
      <c r="R42" s="22"/>
      <c r="S42" s="22"/>
      <c r="T42" s="22"/>
      <c r="U42" s="22"/>
      <c r="V42" s="22"/>
      <c r="W42" s="22"/>
    </row>
    <row r="43" spans="1:23" x14ac:dyDescent="0.25">
      <c r="A43" s="16"/>
      <c r="B43" s="3" t="s">
        <v>17</v>
      </c>
      <c r="C43" s="3" t="s">
        <v>59</v>
      </c>
      <c r="D43" s="11" t="s">
        <v>19</v>
      </c>
      <c r="E43" s="38">
        <v>357.80686084146043</v>
      </c>
      <c r="F43" s="4">
        <v>366.00066386398839</v>
      </c>
      <c r="G43" s="4">
        <v>401.58271229910349</v>
      </c>
      <c r="H43" s="22"/>
      <c r="Q43" s="22"/>
      <c r="R43" s="22"/>
      <c r="S43" s="22"/>
      <c r="T43" s="22"/>
      <c r="U43" s="22"/>
      <c r="V43" s="22"/>
      <c r="W43" s="22"/>
    </row>
    <row r="44" spans="1:23" x14ac:dyDescent="0.25">
      <c r="A44" s="16"/>
      <c r="B44" s="3" t="s">
        <v>60</v>
      </c>
      <c r="C44" s="3" t="s">
        <v>61</v>
      </c>
      <c r="D44" s="11" t="s">
        <v>234</v>
      </c>
      <c r="E44" s="38">
        <v>132.19315323320973</v>
      </c>
      <c r="F44" s="4">
        <v>135.22038601452778</v>
      </c>
      <c r="G44" s="4">
        <v>148.36631387648347</v>
      </c>
      <c r="H44" s="22"/>
      <c r="Q44" s="22"/>
      <c r="R44" s="22"/>
      <c r="S44" s="22"/>
      <c r="T44" s="22"/>
      <c r="U44" s="22"/>
      <c r="V44" s="22"/>
      <c r="W44" s="22"/>
    </row>
    <row r="45" spans="1:23" x14ac:dyDescent="0.25">
      <c r="A45" s="16"/>
      <c r="B45" s="3" t="s">
        <v>62</v>
      </c>
      <c r="C45" s="3" t="s">
        <v>63</v>
      </c>
      <c r="D45" s="11" t="s">
        <v>234</v>
      </c>
      <c r="E45" s="38">
        <v>390.77289586999876</v>
      </c>
      <c r="F45" s="4">
        <v>399.72162348179359</v>
      </c>
      <c r="G45" s="4">
        <v>438.58197421759849</v>
      </c>
      <c r="H45" s="22"/>
      <c r="Q45" s="22"/>
      <c r="R45" s="22"/>
      <c r="S45" s="22"/>
      <c r="T45" s="22"/>
      <c r="U45" s="22"/>
      <c r="V45" s="22"/>
      <c r="W45" s="22"/>
    </row>
    <row r="46" spans="1:23" x14ac:dyDescent="0.25">
      <c r="A46" s="16"/>
      <c r="B46" s="3" t="s">
        <v>64</v>
      </c>
      <c r="C46" s="3" t="s">
        <v>65</v>
      </c>
      <c r="D46" s="11" t="s">
        <v>234</v>
      </c>
      <c r="E46" s="38">
        <v>189.13137399392252</v>
      </c>
      <c r="F46" s="4">
        <v>193.46249615363126</v>
      </c>
      <c r="G46" s="4">
        <v>212.27063665218213</v>
      </c>
      <c r="H46" s="22"/>
      <c r="Q46" s="22"/>
      <c r="R46" s="22"/>
      <c r="S46" s="22"/>
      <c r="T46" s="22"/>
      <c r="U46" s="22"/>
      <c r="V46" s="22"/>
      <c r="W46" s="22"/>
    </row>
    <row r="47" spans="1:23" x14ac:dyDescent="0.25">
      <c r="A47" s="16"/>
      <c r="B47" s="3" t="s">
        <v>66</v>
      </c>
      <c r="C47" s="3" t="s">
        <v>67</v>
      </c>
      <c r="D47" s="11" t="s">
        <v>234</v>
      </c>
      <c r="E47" s="38">
        <v>189.13137399392252</v>
      </c>
      <c r="F47" s="4">
        <v>193.46249615363126</v>
      </c>
      <c r="G47" s="4">
        <v>212.27063665218213</v>
      </c>
      <c r="H47" s="22"/>
      <c r="Q47" s="22"/>
      <c r="R47" s="22"/>
      <c r="S47" s="22"/>
      <c r="T47" s="22"/>
      <c r="U47" s="22"/>
      <c r="V47" s="22"/>
      <c r="W47" s="22"/>
    </row>
    <row r="48" spans="1:23" x14ac:dyDescent="0.25">
      <c r="A48" s="16"/>
      <c r="B48" s="3" t="s">
        <v>68</v>
      </c>
      <c r="C48" s="3" t="s">
        <v>69</v>
      </c>
      <c r="D48" s="11" t="s">
        <v>234</v>
      </c>
      <c r="E48" s="38">
        <v>468.14026333357833</v>
      </c>
      <c r="F48" s="4">
        <v>478.86070926256048</v>
      </c>
      <c r="G48" s="4">
        <v>525.4148459976401</v>
      </c>
      <c r="H48" s="22"/>
      <c r="Q48" s="22"/>
      <c r="R48" s="22"/>
      <c r="S48" s="22"/>
      <c r="T48" s="22"/>
      <c r="U48" s="22"/>
      <c r="V48" s="22"/>
      <c r="W48" s="22"/>
    </row>
    <row r="49" spans="1:23" x14ac:dyDescent="0.25">
      <c r="A49" s="16"/>
      <c r="B49" s="3" t="s">
        <v>70</v>
      </c>
      <c r="C49" s="3" t="s">
        <v>71</v>
      </c>
      <c r="D49" s="11" t="s">
        <v>234</v>
      </c>
      <c r="E49" s="38">
        <v>389.03501320228145</v>
      </c>
      <c r="F49" s="4">
        <v>397.9439431751432</v>
      </c>
      <c r="G49" s="4">
        <v>436.63147043542324</v>
      </c>
      <c r="H49" s="22"/>
      <c r="Q49" s="22"/>
      <c r="R49" s="22"/>
      <c r="S49" s="22"/>
      <c r="T49" s="22"/>
      <c r="U49" s="22"/>
      <c r="V49" s="22"/>
      <c r="W49" s="22"/>
    </row>
    <row r="50" spans="1:23" x14ac:dyDescent="0.25">
      <c r="A50" s="16"/>
      <c r="B50" s="3" t="s">
        <v>72</v>
      </c>
      <c r="C50" s="3" t="s">
        <v>73</v>
      </c>
      <c r="D50" s="11" t="s">
        <v>234</v>
      </c>
      <c r="E50" s="38">
        <v>92.166947619477355</v>
      </c>
      <c r="F50" s="4">
        <v>94.277577393891534</v>
      </c>
      <c r="G50" s="4">
        <v>103.44310537342923</v>
      </c>
      <c r="H50" s="22"/>
      <c r="Q50" s="22"/>
      <c r="R50" s="22"/>
      <c r="S50" s="22"/>
      <c r="T50" s="22"/>
      <c r="U50" s="22"/>
      <c r="V50" s="22"/>
      <c r="W50" s="22"/>
    </row>
    <row r="51" spans="1:23" x14ac:dyDescent="0.25">
      <c r="A51" s="16"/>
      <c r="B51" s="3" t="s">
        <v>74</v>
      </c>
      <c r="C51" s="3" t="s">
        <v>75</v>
      </c>
      <c r="D51" s="11" t="s">
        <v>234</v>
      </c>
      <c r="E51" s="38">
        <v>235.22337175211794</v>
      </c>
      <c r="F51" s="4">
        <v>240.61000399807068</v>
      </c>
      <c r="G51" s="4">
        <v>264.0017561491382</v>
      </c>
      <c r="H51" s="22"/>
      <c r="Q51" s="22"/>
      <c r="R51" s="22"/>
      <c r="S51" s="22"/>
      <c r="T51" s="22"/>
      <c r="U51" s="22"/>
      <c r="V51" s="22"/>
      <c r="W51" s="22"/>
    </row>
    <row r="52" spans="1:23" x14ac:dyDescent="0.25">
      <c r="A52" s="16"/>
      <c r="B52" s="3" t="s">
        <v>76</v>
      </c>
      <c r="C52" s="3" t="s">
        <v>77</v>
      </c>
      <c r="D52" s="11" t="s">
        <v>234</v>
      </c>
      <c r="E52" s="38">
        <v>219.89981947049475</v>
      </c>
      <c r="F52" s="4">
        <v>224.93554125960003</v>
      </c>
      <c r="G52" s="4">
        <v>246.80344510267122</v>
      </c>
      <c r="H52" s="22"/>
      <c r="Q52" s="22"/>
      <c r="R52" s="22"/>
      <c r="S52" s="22"/>
      <c r="T52" s="22"/>
      <c r="U52" s="22"/>
      <c r="V52" s="22"/>
      <c r="W52" s="22"/>
    </row>
    <row r="53" spans="1:23" x14ac:dyDescent="0.25">
      <c r="A53" s="16"/>
      <c r="B53" s="3" t="s">
        <v>78</v>
      </c>
      <c r="C53" s="3" t="s">
        <v>79</v>
      </c>
      <c r="D53" s="11" t="s">
        <v>234</v>
      </c>
      <c r="E53" s="38">
        <v>61.850020706747948</v>
      </c>
      <c r="F53" s="4">
        <v>63.266390659572643</v>
      </c>
      <c r="G53" s="4">
        <v>69.417056488966836</v>
      </c>
      <c r="H53" s="22"/>
      <c r="Q53" s="22"/>
      <c r="R53" s="22"/>
      <c r="S53" s="22"/>
      <c r="T53" s="22"/>
      <c r="U53" s="22"/>
      <c r="V53" s="22"/>
      <c r="W53" s="22"/>
    </row>
    <row r="54" spans="1:23" x14ac:dyDescent="0.25">
      <c r="A54" s="16"/>
      <c r="B54" s="3" t="s">
        <v>80</v>
      </c>
      <c r="C54" s="3" t="s">
        <v>81</v>
      </c>
      <c r="D54" s="11" t="s">
        <v>234</v>
      </c>
      <c r="E54" s="38">
        <v>427.9022125302584</v>
      </c>
      <c r="F54" s="4">
        <v>437.70120418215515</v>
      </c>
      <c r="G54" s="4">
        <v>480.25387412240781</v>
      </c>
      <c r="H54" s="22"/>
      <c r="Q54" s="22"/>
      <c r="R54" s="22"/>
      <c r="S54" s="22"/>
      <c r="T54" s="22"/>
      <c r="U54" s="22"/>
      <c r="V54" s="22"/>
      <c r="W54" s="22"/>
    </row>
    <row r="55" spans="1:23" x14ac:dyDescent="0.25">
      <c r="A55" s="16"/>
      <c r="B55" s="3" t="s">
        <v>82</v>
      </c>
      <c r="C55" s="3" t="s">
        <v>83</v>
      </c>
      <c r="D55" s="11" t="s">
        <v>234</v>
      </c>
      <c r="E55" s="38">
        <v>415.77984861170717</v>
      </c>
      <c r="F55" s="4">
        <v>425.30123725207301</v>
      </c>
      <c r="G55" s="4">
        <v>466.64840057044705</v>
      </c>
      <c r="H55" s="22"/>
      <c r="Q55" s="22"/>
      <c r="R55" s="22"/>
      <c r="S55" s="22"/>
      <c r="T55" s="22"/>
      <c r="U55" s="22"/>
      <c r="V55" s="22"/>
      <c r="W55" s="22"/>
    </row>
    <row r="56" spans="1:23" x14ac:dyDescent="0.25">
      <c r="A56" s="16"/>
      <c r="B56" s="3" t="s">
        <v>82</v>
      </c>
      <c r="C56" s="3" t="s">
        <v>84</v>
      </c>
      <c r="D56" s="11" t="s">
        <v>234</v>
      </c>
      <c r="E56" s="38">
        <v>415.77984861170717</v>
      </c>
      <c r="F56" s="4">
        <v>425.30123725207301</v>
      </c>
      <c r="G56" s="4">
        <v>466.64840057044705</v>
      </c>
      <c r="H56" s="22"/>
      <c r="Q56" s="22"/>
      <c r="R56" s="22"/>
      <c r="S56" s="22"/>
      <c r="T56" s="22"/>
      <c r="U56" s="22"/>
      <c r="V56" s="22"/>
      <c r="W56" s="22"/>
    </row>
    <row r="57" spans="1:23" x14ac:dyDescent="0.25">
      <c r="A57" s="16"/>
      <c r="B57" s="3" t="s">
        <v>85</v>
      </c>
      <c r="C57" s="3" t="s">
        <v>86</v>
      </c>
      <c r="D57" s="11" t="s">
        <v>234</v>
      </c>
      <c r="E57" s="38">
        <v>234.72419121951214</v>
      </c>
      <c r="F57" s="4">
        <v>240.09939219512191</v>
      </c>
      <c r="G57" s="4">
        <v>263.4415034146341</v>
      </c>
      <c r="H57" s="22"/>
      <c r="Q57" s="22"/>
      <c r="R57" s="22"/>
      <c r="S57" s="22"/>
      <c r="T57" s="22"/>
      <c r="U57" s="22"/>
      <c r="V57" s="22"/>
      <c r="W57" s="22"/>
    </row>
    <row r="58" spans="1:23" x14ac:dyDescent="0.25">
      <c r="A58" s="16"/>
      <c r="B58" s="3" t="s">
        <v>85</v>
      </c>
      <c r="C58" s="3" t="s">
        <v>87</v>
      </c>
      <c r="D58" s="11" t="s">
        <v>234</v>
      </c>
      <c r="E58" s="38">
        <v>234.72419121951214</v>
      </c>
      <c r="F58" s="4">
        <v>240.09939219512191</v>
      </c>
      <c r="G58" s="4">
        <v>263.4415034146341</v>
      </c>
      <c r="H58" s="22"/>
      <c r="Q58" s="22"/>
      <c r="R58" s="22"/>
      <c r="S58" s="22"/>
      <c r="T58" s="22"/>
      <c r="U58" s="22"/>
      <c r="V58" s="22"/>
      <c r="W58" s="22"/>
    </row>
    <row r="59" spans="1:23" s="34" customFormat="1" x14ac:dyDescent="0.25">
      <c r="A59" s="35"/>
      <c r="B59" s="3" t="s">
        <v>85</v>
      </c>
      <c r="C59" s="3" t="s">
        <v>88</v>
      </c>
      <c r="D59" s="11" t="s">
        <v>234</v>
      </c>
      <c r="E59" s="38">
        <v>234.72419121951214</v>
      </c>
      <c r="F59" s="4">
        <v>240.09939219512191</v>
      </c>
      <c r="G59" s="4">
        <v>263.4415034146341</v>
      </c>
      <c r="H59" s="33"/>
      <c r="Q59" s="33"/>
      <c r="R59" s="33"/>
      <c r="S59" s="33"/>
      <c r="T59" s="33"/>
      <c r="U59" s="33"/>
      <c r="V59" s="33"/>
      <c r="W59" s="33"/>
    </row>
    <row r="60" spans="1:23" x14ac:dyDescent="0.25">
      <c r="A60" s="16"/>
      <c r="B60" s="3" t="s">
        <v>89</v>
      </c>
      <c r="C60" s="3" t="s">
        <v>90</v>
      </c>
      <c r="D60" s="11" t="s">
        <v>234</v>
      </c>
      <c r="E60" s="38">
        <v>281.65338335318052</v>
      </c>
      <c r="F60" s="4">
        <v>288.10326622685488</v>
      </c>
      <c r="G60" s="4">
        <v>316.11224376523535</v>
      </c>
      <c r="H60" s="22"/>
      <c r="Q60" s="22"/>
      <c r="R60" s="22"/>
      <c r="S60" s="22"/>
      <c r="T60" s="22"/>
      <c r="U60" s="22"/>
      <c r="V60" s="22"/>
      <c r="W60" s="22"/>
    </row>
    <row r="61" spans="1:23" x14ac:dyDescent="0.25">
      <c r="A61" s="16"/>
      <c r="B61" s="3" t="s">
        <v>91</v>
      </c>
      <c r="C61" s="3" t="s">
        <v>92</v>
      </c>
      <c r="D61" s="11" t="s">
        <v>234</v>
      </c>
      <c r="E61" s="38">
        <v>259.76609999999994</v>
      </c>
      <c r="F61" s="4">
        <v>265.71476249999995</v>
      </c>
      <c r="G61" s="4">
        <v>291.54716250000001</v>
      </c>
      <c r="H61" s="22"/>
      <c r="Q61" s="22"/>
      <c r="R61" s="22"/>
      <c r="S61" s="22"/>
      <c r="T61" s="22"/>
      <c r="U61" s="22"/>
      <c r="V61" s="22"/>
      <c r="W61" s="22"/>
    </row>
    <row r="62" spans="1:23" x14ac:dyDescent="0.25">
      <c r="A62" s="16"/>
      <c r="B62" s="3" t="s">
        <v>93</v>
      </c>
      <c r="C62" s="3" t="s">
        <v>53</v>
      </c>
      <c r="D62" s="11" t="s">
        <v>234</v>
      </c>
      <c r="E62" s="38">
        <v>299.29031999999995</v>
      </c>
      <c r="F62" s="4">
        <v>306.14409000000001</v>
      </c>
      <c r="G62" s="4">
        <v>335.90697</v>
      </c>
      <c r="H62" s="22"/>
      <c r="Q62" s="22"/>
      <c r="R62" s="22"/>
      <c r="S62" s="22"/>
      <c r="T62" s="22"/>
      <c r="U62" s="22"/>
      <c r="V62" s="22"/>
      <c r="W62" s="22"/>
    </row>
    <row r="63" spans="1:23" x14ac:dyDescent="0.25">
      <c r="A63" s="16"/>
      <c r="B63" s="3" t="s">
        <v>94</v>
      </c>
      <c r="C63" s="3" t="s">
        <v>95</v>
      </c>
      <c r="D63" s="11" t="s">
        <v>234</v>
      </c>
      <c r="E63" s="38">
        <v>246.72161794097559</v>
      </c>
      <c r="F63" s="4">
        <v>252.37156085725607</v>
      </c>
      <c r="G63" s="4">
        <v>276.90675433823168</v>
      </c>
      <c r="H63" s="22"/>
      <c r="Q63" s="22"/>
      <c r="R63" s="22"/>
      <c r="S63" s="22"/>
      <c r="T63" s="22"/>
      <c r="U63" s="22"/>
      <c r="V63" s="22"/>
      <c r="W63" s="22"/>
    </row>
    <row r="64" spans="1:23" x14ac:dyDescent="0.25">
      <c r="A64" s="16"/>
      <c r="B64" s="3" t="s">
        <v>94</v>
      </c>
      <c r="C64" s="3" t="s">
        <v>96</v>
      </c>
      <c r="D64" s="11" t="s">
        <v>234</v>
      </c>
      <c r="E64" s="38">
        <v>246.72161794097559</v>
      </c>
      <c r="F64" s="4">
        <v>252.37156085725607</v>
      </c>
      <c r="G64" s="4">
        <v>276.90675433823168</v>
      </c>
      <c r="H64" s="22"/>
      <c r="Q64" s="22"/>
      <c r="R64" s="22"/>
      <c r="S64" s="22"/>
      <c r="T64" s="22"/>
      <c r="U64" s="22"/>
      <c r="V64" s="22"/>
      <c r="W64" s="22"/>
    </row>
    <row r="65" spans="1:23" x14ac:dyDescent="0.25">
      <c r="A65" s="16"/>
      <c r="B65" s="3" t="s">
        <v>94</v>
      </c>
      <c r="C65" s="3" t="s">
        <v>97</v>
      </c>
      <c r="D65" s="11" t="s">
        <v>234</v>
      </c>
      <c r="E65" s="38">
        <v>246.72161794097559</v>
      </c>
      <c r="F65" s="4">
        <v>252.37156085725607</v>
      </c>
      <c r="G65" s="4">
        <v>276.90675433823168</v>
      </c>
      <c r="H65" s="22"/>
      <c r="Q65" s="22"/>
      <c r="R65" s="22"/>
      <c r="S65" s="22"/>
      <c r="T65" s="22"/>
      <c r="U65" s="22"/>
      <c r="V65" s="22"/>
      <c r="W65" s="22"/>
    </row>
    <row r="66" spans="1:23" x14ac:dyDescent="0.25">
      <c r="A66" s="16"/>
      <c r="B66" s="3" t="s">
        <v>94</v>
      </c>
      <c r="C66" s="3" t="s">
        <v>98</v>
      </c>
      <c r="D66" s="11" t="s">
        <v>234</v>
      </c>
      <c r="E66" s="38">
        <v>246.72161794097559</v>
      </c>
      <c r="F66" s="4">
        <v>252.37156085725607</v>
      </c>
      <c r="G66" s="4">
        <v>276.90675433823168</v>
      </c>
      <c r="H66" s="22"/>
      <c r="Q66" s="22"/>
      <c r="R66" s="22"/>
      <c r="S66" s="22"/>
      <c r="T66" s="22"/>
      <c r="U66" s="22"/>
      <c r="V66" s="22"/>
      <c r="W66" s="22"/>
    </row>
    <row r="67" spans="1:23" x14ac:dyDescent="0.25">
      <c r="A67" s="16"/>
      <c r="B67" s="3" t="s">
        <v>99</v>
      </c>
      <c r="C67" s="3" t="s">
        <v>100</v>
      </c>
      <c r="D67" s="11" t="s">
        <v>234</v>
      </c>
      <c r="E67" s="38">
        <v>390.0563765853658</v>
      </c>
      <c r="F67" s="4">
        <v>398.98869585365844</v>
      </c>
      <c r="G67" s="4">
        <v>437.77779243902438</v>
      </c>
      <c r="H67" s="22"/>
      <c r="Q67" s="22"/>
      <c r="R67" s="22"/>
      <c r="S67" s="22"/>
      <c r="T67" s="22"/>
      <c r="U67" s="22"/>
      <c r="V67" s="22"/>
      <c r="W67" s="22"/>
    </row>
    <row r="68" spans="1:23" s="56" customFormat="1" x14ac:dyDescent="0.25">
      <c r="A68" s="54"/>
      <c r="B68" s="3" t="s">
        <v>235</v>
      </c>
      <c r="C68" s="3" t="s">
        <v>236</v>
      </c>
      <c r="D68" s="11" t="s">
        <v>19</v>
      </c>
      <c r="E68" s="38">
        <v>301.58388479999996</v>
      </c>
      <c r="F68" s="4">
        <v>308.49017759999998</v>
      </c>
      <c r="G68" s="4">
        <v>338.48114079999999</v>
      </c>
      <c r="H68" s="55"/>
      <c r="Q68" s="55"/>
      <c r="R68" s="55"/>
      <c r="S68" s="55"/>
      <c r="T68" s="55"/>
      <c r="U68" s="55"/>
      <c r="V68" s="55"/>
      <c r="W68" s="55"/>
    </row>
    <row r="69" spans="1:23" s="56" customFormat="1" x14ac:dyDescent="0.25">
      <c r="A69" s="54"/>
      <c r="B69" s="3" t="s">
        <v>235</v>
      </c>
      <c r="C69" s="3" t="s">
        <v>237</v>
      </c>
      <c r="D69" s="11" t="s">
        <v>19</v>
      </c>
      <c r="E69" s="38">
        <v>292.31974364326396</v>
      </c>
      <c r="F69" s="4">
        <v>299.01388693994619</v>
      </c>
      <c r="G69" s="4">
        <v>328.08357904253489</v>
      </c>
      <c r="H69" s="55"/>
      <c r="Q69" s="55"/>
      <c r="R69" s="55"/>
      <c r="S69" s="55"/>
      <c r="T69" s="55"/>
      <c r="U69" s="55"/>
      <c r="V69" s="55"/>
      <c r="W69" s="55"/>
    </row>
    <row r="70" spans="1:23" s="56" customFormat="1" x14ac:dyDescent="0.25">
      <c r="A70" s="54"/>
      <c r="B70" s="3" t="s">
        <v>235</v>
      </c>
      <c r="C70" s="3" t="s">
        <v>238</v>
      </c>
      <c r="D70" s="11" t="s">
        <v>19</v>
      </c>
      <c r="E70" s="38">
        <v>292.31974364326396</v>
      </c>
      <c r="F70" s="4">
        <v>299.01388693994619</v>
      </c>
      <c r="G70" s="4">
        <v>328.08357904253489</v>
      </c>
      <c r="H70" s="55"/>
      <c r="Q70" s="55"/>
      <c r="R70" s="55"/>
      <c r="S70" s="55"/>
      <c r="T70" s="55"/>
      <c r="U70" s="55"/>
      <c r="V70" s="55"/>
      <c r="W70" s="55"/>
    </row>
    <row r="71" spans="1:23" s="56" customFormat="1" x14ac:dyDescent="0.25">
      <c r="A71" s="54"/>
      <c r="B71" s="3" t="s">
        <v>235</v>
      </c>
      <c r="C71" s="3" t="s">
        <v>239</v>
      </c>
      <c r="D71" s="11" t="s">
        <v>19</v>
      </c>
      <c r="E71" s="38">
        <v>297.35973922332028</v>
      </c>
      <c r="F71" s="4">
        <v>304.16929878373844</v>
      </c>
      <c r="G71" s="4">
        <v>333.74019247430272</v>
      </c>
      <c r="H71" s="55"/>
      <c r="Q71" s="55"/>
      <c r="R71" s="55"/>
      <c r="S71" s="55"/>
      <c r="T71" s="55"/>
      <c r="U71" s="55"/>
      <c r="V71" s="55"/>
      <c r="W71" s="55"/>
    </row>
    <row r="72" spans="1:23" x14ac:dyDescent="0.25">
      <c r="A72" s="16"/>
      <c r="B72" s="3" t="s">
        <v>101</v>
      </c>
      <c r="C72" s="3" t="s">
        <v>102</v>
      </c>
      <c r="D72" s="11" t="s">
        <v>6</v>
      </c>
      <c r="E72" s="38">
        <v>197.95443474710518</v>
      </c>
      <c r="F72" s="4">
        <v>202.48760563695106</v>
      </c>
      <c r="G72" s="4">
        <v>222.17315405978655</v>
      </c>
      <c r="H72" s="22"/>
      <c r="Q72" s="22"/>
      <c r="R72" s="22"/>
      <c r="S72" s="22"/>
      <c r="T72" s="22"/>
      <c r="U72" s="22"/>
      <c r="V72" s="22"/>
      <c r="W72" s="22"/>
    </row>
    <row r="73" spans="1:23" x14ac:dyDescent="0.25">
      <c r="A73" s="16"/>
      <c r="B73" s="3" t="s">
        <v>103</v>
      </c>
      <c r="C73" s="3" t="s">
        <v>104</v>
      </c>
      <c r="D73" s="11" t="s">
        <v>6</v>
      </c>
      <c r="E73" s="38">
        <v>207.8762664341792</v>
      </c>
      <c r="F73" s="4">
        <v>212.6366479881118</v>
      </c>
      <c r="G73" s="4">
        <v>233.3088714423435</v>
      </c>
      <c r="H73" s="22"/>
      <c r="Q73" s="22"/>
      <c r="R73" s="22"/>
      <c r="S73" s="22"/>
      <c r="T73" s="22"/>
      <c r="U73" s="22"/>
      <c r="V73" s="22"/>
      <c r="W73" s="22"/>
    </row>
    <row r="74" spans="1:23" x14ac:dyDescent="0.25">
      <c r="A74" s="16"/>
      <c r="B74" s="3" t="s">
        <v>105</v>
      </c>
      <c r="C74" s="3" t="s">
        <v>106</v>
      </c>
      <c r="D74" s="11" t="s">
        <v>6</v>
      </c>
      <c r="E74" s="38">
        <v>191.40714165729227</v>
      </c>
      <c r="F74" s="4">
        <v>195.79037906128349</v>
      </c>
      <c r="G74" s="4">
        <v>214.82483292630991</v>
      </c>
      <c r="H74" s="22"/>
      <c r="Q74" s="22"/>
      <c r="R74" s="22"/>
      <c r="S74" s="22"/>
      <c r="T74" s="22"/>
      <c r="U74" s="22"/>
      <c r="V74" s="22"/>
      <c r="W74" s="22"/>
    </row>
    <row r="75" spans="1:23" x14ac:dyDescent="0.25">
      <c r="A75" s="16"/>
      <c r="B75" s="3" t="s">
        <v>107</v>
      </c>
      <c r="C75" s="3" t="s">
        <v>108</v>
      </c>
      <c r="D75" s="11" t="s">
        <v>6</v>
      </c>
      <c r="E75" s="38">
        <v>215.05357871626691</v>
      </c>
      <c r="F75" s="4">
        <v>219.97832124117778</v>
      </c>
      <c r="G75" s="4">
        <v>241.36429141523087</v>
      </c>
      <c r="H75" s="22"/>
      <c r="Q75" s="22"/>
      <c r="R75" s="22"/>
      <c r="S75" s="22"/>
      <c r="T75" s="22"/>
      <c r="U75" s="22"/>
      <c r="V75" s="22"/>
      <c r="W75" s="22"/>
    </row>
    <row r="76" spans="1:23" x14ac:dyDescent="0.25">
      <c r="A76" s="16"/>
      <c r="B76" s="3" t="s">
        <v>109</v>
      </c>
      <c r="C76" s="3" t="s">
        <v>110</v>
      </c>
      <c r="D76" s="11" t="s">
        <v>6</v>
      </c>
      <c r="E76" s="38">
        <v>235.29383107472259</v>
      </c>
      <c r="F76" s="4">
        <v>240.68207684426503</v>
      </c>
      <c r="G76" s="4">
        <v>264.08083581186963</v>
      </c>
      <c r="H76" s="22"/>
      <c r="Q76" s="22"/>
      <c r="R76" s="22"/>
      <c r="S76" s="22"/>
      <c r="T76" s="22"/>
      <c r="U76" s="22"/>
      <c r="V76" s="22"/>
      <c r="W76" s="22"/>
    </row>
    <row r="77" spans="1:23" x14ac:dyDescent="0.25">
      <c r="A77" s="16"/>
      <c r="B77" s="3" t="s">
        <v>111</v>
      </c>
      <c r="C77" s="3" t="s">
        <v>112</v>
      </c>
      <c r="D77" s="11" t="s">
        <v>6</v>
      </c>
      <c r="E77" s="38">
        <v>114.8919859837106</v>
      </c>
      <c r="F77" s="4">
        <v>117.52302078221518</v>
      </c>
      <c r="G77" s="4">
        <v>128.94843671880432</v>
      </c>
      <c r="H77" s="22"/>
      <c r="Q77" s="22"/>
      <c r="R77" s="22"/>
      <c r="S77" s="22"/>
      <c r="T77" s="22"/>
      <c r="U77" s="22"/>
      <c r="V77" s="22"/>
      <c r="W77" s="22"/>
    </row>
    <row r="78" spans="1:23" x14ac:dyDescent="0.25">
      <c r="A78" s="16"/>
      <c r="B78" s="3" t="s">
        <v>113</v>
      </c>
      <c r="C78" s="3" t="s">
        <v>114</v>
      </c>
      <c r="D78" s="11" t="s">
        <v>6</v>
      </c>
      <c r="E78" s="38">
        <v>299.41198273170727</v>
      </c>
      <c r="F78" s="4">
        <v>306.26853881707314</v>
      </c>
      <c r="G78" s="4">
        <v>336.04351754878047</v>
      </c>
      <c r="H78" s="22"/>
      <c r="Q78" s="22"/>
      <c r="R78" s="22"/>
      <c r="S78" s="22"/>
      <c r="T78" s="22"/>
      <c r="U78" s="22"/>
      <c r="V78" s="22"/>
      <c r="W78" s="22"/>
    </row>
    <row r="79" spans="1:23" x14ac:dyDescent="0.25">
      <c r="A79" s="16"/>
      <c r="B79" s="3" t="s">
        <v>115</v>
      </c>
      <c r="C79" s="3" t="s">
        <v>116</v>
      </c>
      <c r="D79" s="11" t="s">
        <v>6</v>
      </c>
      <c r="E79" s="38">
        <v>182.4795240177676</v>
      </c>
      <c r="F79" s="4">
        <v>186.65831833135331</v>
      </c>
      <c r="G79" s="4">
        <v>204.80496662855833</v>
      </c>
      <c r="H79" s="22"/>
      <c r="Q79" s="22"/>
      <c r="R79" s="22"/>
      <c r="S79" s="22"/>
      <c r="T79" s="22"/>
      <c r="U79" s="22"/>
      <c r="V79" s="22"/>
      <c r="W79" s="22"/>
    </row>
    <row r="80" spans="1:23" x14ac:dyDescent="0.25">
      <c r="A80" s="16"/>
      <c r="B80" s="3" t="s">
        <v>117</v>
      </c>
      <c r="C80" s="3" t="s">
        <v>118</v>
      </c>
      <c r="D80" s="11" t="s">
        <v>6</v>
      </c>
      <c r="E80" s="38">
        <v>275.04123995121955</v>
      </c>
      <c r="F80" s="4">
        <v>281.33970426219514</v>
      </c>
      <c r="G80" s="4">
        <v>308.69113821341466</v>
      </c>
      <c r="H80" s="22"/>
      <c r="Q80" s="22"/>
      <c r="R80" s="22"/>
      <c r="S80" s="22"/>
      <c r="T80" s="22"/>
      <c r="U80" s="22"/>
      <c r="V80" s="22"/>
      <c r="W80" s="22"/>
    </row>
    <row r="81" spans="1:23" x14ac:dyDescent="0.25">
      <c r="A81" s="21"/>
      <c r="B81" s="3" t="s">
        <v>119</v>
      </c>
      <c r="C81" s="3" t="s">
        <v>120</v>
      </c>
      <c r="D81" s="11" t="s">
        <v>6</v>
      </c>
      <c r="E81" s="38">
        <v>292.44891336585368</v>
      </c>
      <c r="F81" s="4">
        <v>299.14601465853656</v>
      </c>
      <c r="G81" s="4">
        <v>328.2285520243903</v>
      </c>
      <c r="H81" s="22"/>
      <c r="Q81" s="22"/>
      <c r="R81" s="22"/>
      <c r="S81" s="22"/>
      <c r="T81" s="22"/>
      <c r="U81" s="22"/>
      <c r="V81" s="22"/>
      <c r="W81" s="22"/>
    </row>
    <row r="82" spans="1:23" x14ac:dyDescent="0.25">
      <c r="A82" s="21"/>
      <c r="B82" s="3" t="s">
        <v>122</v>
      </c>
      <c r="C82" s="3" t="s">
        <v>124</v>
      </c>
      <c r="D82" s="11" t="s">
        <v>6</v>
      </c>
      <c r="E82" s="38">
        <v>277.37226213003811</v>
      </c>
      <c r="F82" s="4">
        <v>283.72410701770104</v>
      </c>
      <c r="G82" s="4">
        <v>311.30734911221612</v>
      </c>
      <c r="H82" s="22"/>
      <c r="Q82" s="22"/>
      <c r="R82" s="22"/>
      <c r="S82" s="22"/>
      <c r="T82" s="22"/>
      <c r="U82" s="22"/>
      <c r="V82" s="22"/>
      <c r="W82" s="22"/>
    </row>
    <row r="83" spans="1:23" x14ac:dyDescent="0.25">
      <c r="A83" s="21"/>
      <c r="B83" s="3" t="s">
        <v>129</v>
      </c>
      <c r="C83" s="3" t="s">
        <v>130</v>
      </c>
      <c r="D83" s="11" t="s">
        <v>6</v>
      </c>
      <c r="E83" s="38">
        <v>210.18559399982186</v>
      </c>
      <c r="F83" s="4">
        <v>214.99885932222904</v>
      </c>
      <c r="G83" s="4">
        <v>235.90073350227414</v>
      </c>
      <c r="H83" s="22"/>
      <c r="Q83" s="22"/>
      <c r="R83" s="22"/>
      <c r="S83" s="22"/>
      <c r="T83" s="22"/>
      <c r="U83" s="22"/>
      <c r="V83" s="22"/>
      <c r="W83" s="22"/>
    </row>
    <row r="84" spans="1:23" x14ac:dyDescent="0.25">
      <c r="A84" s="21"/>
      <c r="B84" s="3" t="s">
        <v>131</v>
      </c>
      <c r="C84" s="3" t="s">
        <v>132</v>
      </c>
      <c r="D84" s="11" t="s">
        <v>6</v>
      </c>
      <c r="E84" s="38">
        <v>215.9884638799675</v>
      </c>
      <c r="F84" s="4">
        <v>220.93461534282338</v>
      </c>
      <c r="G84" s="4">
        <v>242.41355502869033</v>
      </c>
      <c r="H84" s="22"/>
      <c r="Q84" s="22"/>
      <c r="R84" s="22"/>
      <c r="S84" s="22"/>
      <c r="T84" s="22"/>
      <c r="U84" s="22"/>
      <c r="V84" s="22"/>
      <c r="W84" s="22"/>
    </row>
    <row r="85" spans="1:23" x14ac:dyDescent="0.25">
      <c r="A85" s="21"/>
      <c r="B85" s="3" t="s">
        <v>133</v>
      </c>
      <c r="C85" s="3" t="s">
        <v>134</v>
      </c>
      <c r="D85" s="11" t="s">
        <v>6</v>
      </c>
      <c r="E85" s="38">
        <v>261.13149998754506</v>
      </c>
      <c r="F85" s="4">
        <v>267.11143024613017</v>
      </c>
      <c r="G85" s="4">
        <v>293.07961223861599</v>
      </c>
      <c r="H85" s="22"/>
      <c r="Q85" s="22"/>
      <c r="R85" s="22"/>
      <c r="S85" s="22"/>
      <c r="T85" s="22"/>
      <c r="U85" s="22"/>
      <c r="V85" s="22"/>
      <c r="W85" s="22"/>
    </row>
    <row r="86" spans="1:23" x14ac:dyDescent="0.25">
      <c r="A86" s="21"/>
      <c r="B86" s="3" t="s">
        <v>135</v>
      </c>
      <c r="C86" s="3" t="s">
        <v>136</v>
      </c>
      <c r="D86" s="11" t="s">
        <v>6</v>
      </c>
      <c r="E86" s="38">
        <v>269.26161206158048</v>
      </c>
      <c r="F86" s="4">
        <v>275.427722475373</v>
      </c>
      <c r="G86" s="4">
        <v>302.20440221695429</v>
      </c>
      <c r="H86" s="22"/>
      <c r="Q86" s="22"/>
      <c r="R86" s="22"/>
      <c r="S86" s="22"/>
      <c r="T86" s="22"/>
      <c r="U86" s="22"/>
      <c r="V86" s="22"/>
      <c r="W86" s="22"/>
    </row>
    <row r="87" spans="1:23" x14ac:dyDescent="0.25">
      <c r="A87" s="16"/>
      <c r="B87" s="3" t="s">
        <v>137</v>
      </c>
      <c r="C87" s="3" t="s">
        <v>138</v>
      </c>
      <c r="D87" s="11" t="s">
        <v>6</v>
      </c>
      <c r="E87" s="38">
        <v>174.31192564544222</v>
      </c>
      <c r="F87" s="4">
        <v>178.3036813648753</v>
      </c>
      <c r="G87" s="4">
        <v>195.63810409379693</v>
      </c>
      <c r="H87" s="22"/>
      <c r="Q87" s="22"/>
      <c r="R87" s="22"/>
      <c r="S87" s="22"/>
      <c r="T87" s="22"/>
      <c r="U87" s="22"/>
      <c r="V87" s="22"/>
      <c r="W87" s="22"/>
    </row>
    <row r="88" spans="1:23" x14ac:dyDescent="0.25">
      <c r="A88" s="16"/>
      <c r="B88" s="3" t="s">
        <v>139</v>
      </c>
      <c r="C88" s="3" t="s">
        <v>140</v>
      </c>
      <c r="D88" s="11" t="s">
        <v>6</v>
      </c>
      <c r="E88" s="38">
        <v>164.3181558297303</v>
      </c>
      <c r="F88" s="4">
        <v>168.08105349672175</v>
      </c>
      <c r="G88" s="4">
        <v>184.42164731807074</v>
      </c>
      <c r="H88" s="22"/>
      <c r="Q88" s="22"/>
      <c r="R88" s="22"/>
      <c r="S88" s="22"/>
      <c r="T88" s="22"/>
      <c r="U88" s="22"/>
      <c r="V88" s="22"/>
      <c r="W88" s="22"/>
    </row>
    <row r="89" spans="1:23" x14ac:dyDescent="0.25">
      <c r="A89" s="16"/>
      <c r="B89" s="3" t="s">
        <v>141</v>
      </c>
      <c r="C89" s="3" t="s">
        <v>141</v>
      </c>
      <c r="D89" s="11" t="s">
        <v>6</v>
      </c>
      <c r="E89" s="38">
        <v>224.40918553111982</v>
      </c>
      <c r="F89" s="4">
        <v>229.54817212954245</v>
      </c>
      <c r="G89" s="4">
        <v>251.86450918935935</v>
      </c>
      <c r="H89" s="22"/>
      <c r="Q89" s="22"/>
      <c r="R89" s="22"/>
      <c r="S89" s="22"/>
      <c r="T89" s="22"/>
      <c r="U89" s="22"/>
      <c r="V89" s="22"/>
      <c r="W89" s="22"/>
    </row>
    <row r="90" spans="1:23" x14ac:dyDescent="0.25">
      <c r="A90" s="16"/>
      <c r="B90" s="3" t="s">
        <v>142</v>
      </c>
      <c r="C90" s="3" t="s">
        <v>143</v>
      </c>
      <c r="D90" s="11" t="s">
        <v>6</v>
      </c>
      <c r="E90" s="38">
        <v>271.8550382485854</v>
      </c>
      <c r="F90" s="4">
        <v>278.08053830985369</v>
      </c>
      <c r="G90" s="4">
        <v>305.11512092110576</v>
      </c>
      <c r="H90" s="22"/>
      <c r="Q90" s="22"/>
      <c r="R90" s="22"/>
      <c r="S90" s="22"/>
      <c r="T90" s="22"/>
      <c r="U90" s="22"/>
      <c r="V90" s="22"/>
      <c r="W90" s="22"/>
    </row>
    <row r="91" spans="1:23" x14ac:dyDescent="0.25">
      <c r="A91" s="16"/>
      <c r="B91" s="3" t="s">
        <v>144</v>
      </c>
      <c r="C91" s="3" t="s">
        <v>145</v>
      </c>
      <c r="D91" s="11" t="s">
        <v>6</v>
      </c>
      <c r="E91" s="38">
        <v>167.99827778779343</v>
      </c>
      <c r="F91" s="4">
        <v>171.84545051410694</v>
      </c>
      <c r="G91" s="4">
        <v>188.55201349952114</v>
      </c>
      <c r="H91" s="22"/>
      <c r="Q91" s="22"/>
      <c r="R91" s="22"/>
      <c r="S91" s="22"/>
      <c r="T91" s="22"/>
      <c r="U91" s="22"/>
      <c r="V91" s="22"/>
      <c r="W91" s="22"/>
    </row>
    <row r="92" spans="1:23" x14ac:dyDescent="0.25">
      <c r="A92" s="16"/>
      <c r="B92" s="3" t="s">
        <v>146</v>
      </c>
      <c r="C92" s="3" t="s">
        <v>147</v>
      </c>
      <c r="D92" s="11" t="s">
        <v>6</v>
      </c>
      <c r="E92" s="38">
        <v>212.1322231003499</v>
      </c>
      <c r="F92" s="4">
        <v>216.99006637011715</v>
      </c>
      <c r="G92" s="4">
        <v>238.08552278270324</v>
      </c>
      <c r="H92" s="22"/>
      <c r="Q92" s="22"/>
      <c r="R92" s="22"/>
      <c r="S92" s="22"/>
      <c r="T92" s="22"/>
      <c r="U92" s="22"/>
      <c r="V92" s="22"/>
      <c r="W92" s="22"/>
    </row>
    <row r="93" spans="1:23" x14ac:dyDescent="0.25">
      <c r="A93" s="16"/>
      <c r="B93" s="3" t="s">
        <v>148</v>
      </c>
      <c r="C93" s="3" t="s">
        <v>149</v>
      </c>
      <c r="D93" s="11" t="s">
        <v>6</v>
      </c>
      <c r="E93" s="38">
        <v>277.66264741463419</v>
      </c>
      <c r="F93" s="4">
        <v>284.02114214634145</v>
      </c>
      <c r="G93" s="4">
        <v>311.63326156097565</v>
      </c>
      <c r="H93" s="22"/>
      <c r="Q93" s="22"/>
      <c r="R93" s="22"/>
      <c r="S93" s="22"/>
      <c r="T93" s="22"/>
      <c r="U93" s="22"/>
      <c r="V93" s="22"/>
      <c r="W93" s="22"/>
    </row>
    <row r="94" spans="1:23" x14ac:dyDescent="0.25">
      <c r="A94" s="16"/>
      <c r="B94" s="3" t="s">
        <v>150</v>
      </c>
      <c r="C94" s="3" t="s">
        <v>151</v>
      </c>
      <c r="D94" s="11" t="s">
        <v>6</v>
      </c>
      <c r="E94" s="38">
        <v>228.20368023802047</v>
      </c>
      <c r="F94" s="4">
        <v>233.42956103999541</v>
      </c>
      <c r="G94" s="4">
        <v>256.12324104435567</v>
      </c>
      <c r="H94" s="22"/>
      <c r="Q94" s="22"/>
      <c r="R94" s="22"/>
      <c r="S94" s="22"/>
      <c r="T94" s="22"/>
      <c r="U94" s="22"/>
      <c r="V94" s="22"/>
      <c r="W94" s="22"/>
    </row>
    <row r="95" spans="1:23" x14ac:dyDescent="0.25">
      <c r="A95" s="16"/>
      <c r="B95" s="3" t="s">
        <v>152</v>
      </c>
      <c r="C95" s="3" t="s">
        <v>153</v>
      </c>
      <c r="D95" s="11" t="s">
        <v>6</v>
      </c>
      <c r="E95" s="38">
        <v>176.74262113991662</v>
      </c>
      <c r="F95" s="4">
        <v>180.79003996218299</v>
      </c>
      <c r="G95" s="4">
        <v>198.36618283199851</v>
      </c>
      <c r="H95" s="22"/>
      <c r="Q95" s="22"/>
      <c r="R95" s="22"/>
      <c r="S95" s="22"/>
      <c r="T95" s="22"/>
      <c r="U95" s="22"/>
      <c r="V95" s="22"/>
      <c r="W95" s="22"/>
    </row>
    <row r="96" spans="1:23" x14ac:dyDescent="0.25">
      <c r="A96" s="16"/>
      <c r="B96" s="3" t="s">
        <v>154</v>
      </c>
      <c r="C96" s="3" t="s">
        <v>155</v>
      </c>
      <c r="D96" s="11" t="s">
        <v>6</v>
      </c>
      <c r="E96" s="38">
        <v>181.80413199759201</v>
      </c>
      <c r="F96" s="4">
        <v>185.96745978500968</v>
      </c>
      <c r="G96" s="4">
        <v>204.04694382628605</v>
      </c>
      <c r="H96" s="22"/>
      <c r="Q96" s="22"/>
      <c r="R96" s="22"/>
      <c r="S96" s="22"/>
      <c r="T96" s="22"/>
      <c r="U96" s="22"/>
      <c r="V96" s="22"/>
      <c r="W96" s="22"/>
    </row>
    <row r="97" spans="1:23" x14ac:dyDescent="0.25">
      <c r="A97" s="16"/>
      <c r="B97" s="3" t="s">
        <v>156</v>
      </c>
      <c r="C97" s="3" t="s">
        <v>157</v>
      </c>
      <c r="D97" s="11" t="s">
        <v>6</v>
      </c>
      <c r="E97" s="38">
        <v>211.57046408422676</v>
      </c>
      <c r="F97" s="4">
        <v>216.41544303184705</v>
      </c>
      <c r="G97" s="4">
        <v>237.45503540517592</v>
      </c>
      <c r="H97" s="22"/>
      <c r="Q97" s="22"/>
      <c r="R97" s="22"/>
      <c r="S97" s="22"/>
      <c r="T97" s="22"/>
      <c r="U97" s="22"/>
      <c r="V97" s="22"/>
      <c r="W97" s="22"/>
    </row>
    <row r="98" spans="1:23" x14ac:dyDescent="0.25">
      <c r="A98" s="16"/>
      <c r="B98" s="3" t="s">
        <v>158</v>
      </c>
      <c r="C98" s="3" t="s">
        <v>159</v>
      </c>
      <c r="D98" s="11" t="s">
        <v>6</v>
      </c>
      <c r="E98" s="38">
        <v>205.83098465266522</v>
      </c>
      <c r="F98" s="4">
        <v>210.54452910569967</v>
      </c>
      <c r="G98" s="4">
        <v>231.0133598266502</v>
      </c>
      <c r="H98" s="22"/>
      <c r="Q98" s="22"/>
      <c r="R98" s="22"/>
      <c r="S98" s="22"/>
      <c r="T98" s="22"/>
      <c r="U98" s="22"/>
      <c r="V98" s="22"/>
      <c r="W98" s="22"/>
    </row>
    <row r="99" spans="1:23" x14ac:dyDescent="0.25">
      <c r="A99" s="16"/>
      <c r="B99" s="3" t="s">
        <v>160</v>
      </c>
      <c r="C99" s="3" t="s">
        <v>161</v>
      </c>
      <c r="D99" s="11" t="s">
        <v>6</v>
      </c>
      <c r="E99" s="38">
        <v>354.30261798224149</v>
      </c>
      <c r="F99" s="4">
        <v>362.41617358954664</v>
      </c>
      <c r="G99" s="4">
        <v>397.64974313062407</v>
      </c>
      <c r="H99" s="22"/>
      <c r="Q99" s="22"/>
      <c r="R99" s="22"/>
      <c r="S99" s="22"/>
      <c r="T99" s="22"/>
      <c r="U99" s="22"/>
      <c r="V99" s="22"/>
      <c r="W99" s="22"/>
    </row>
    <row r="100" spans="1:23" x14ac:dyDescent="0.25">
      <c r="A100" s="16"/>
      <c r="B100" s="3" t="s">
        <v>162</v>
      </c>
      <c r="C100" s="3" t="s">
        <v>163</v>
      </c>
      <c r="D100" s="11" t="s">
        <v>6</v>
      </c>
      <c r="E100" s="38">
        <v>252.96199338199852</v>
      </c>
      <c r="F100" s="4">
        <v>258.75484134775212</v>
      </c>
      <c r="G100" s="4">
        <v>283.91060800799431</v>
      </c>
      <c r="H100" s="22"/>
      <c r="Q100" s="22"/>
      <c r="R100" s="22"/>
      <c r="S100" s="22"/>
      <c r="T100" s="22"/>
      <c r="U100" s="22"/>
      <c r="V100" s="22"/>
      <c r="W100" s="22"/>
    </row>
    <row r="101" spans="1:23" x14ac:dyDescent="0.25">
      <c r="A101" s="16"/>
      <c r="B101" s="3" t="s">
        <v>164</v>
      </c>
      <c r="C101" s="3" t="s">
        <v>165</v>
      </c>
      <c r="D101" s="11" t="s">
        <v>6</v>
      </c>
      <c r="E101" s="38">
        <v>169.04980721305591</v>
      </c>
      <c r="F101" s="4">
        <v>172.92106003935055</v>
      </c>
      <c r="G101" s="4">
        <v>189.73219220729143</v>
      </c>
      <c r="H101" s="22"/>
      <c r="Q101" s="22"/>
      <c r="R101" s="22"/>
      <c r="S101" s="22"/>
      <c r="T101" s="22"/>
      <c r="U101" s="22"/>
      <c r="V101" s="22"/>
      <c r="W101" s="22"/>
    </row>
    <row r="102" spans="1:23" x14ac:dyDescent="0.25">
      <c r="A102" s="16"/>
      <c r="B102" s="3" t="s">
        <v>166</v>
      </c>
      <c r="C102" s="3" t="s">
        <v>167</v>
      </c>
      <c r="D102" s="11" t="s">
        <v>6</v>
      </c>
      <c r="E102" s="38">
        <v>168.50598229981094</v>
      </c>
      <c r="F102" s="4">
        <v>172.3647814962132</v>
      </c>
      <c r="G102" s="4">
        <v>189.12183307900881</v>
      </c>
      <c r="H102" s="22"/>
      <c r="Q102" s="22"/>
      <c r="R102" s="22"/>
      <c r="S102" s="22"/>
      <c r="T102" s="22"/>
      <c r="U102" s="22"/>
      <c r="V102" s="22"/>
      <c r="W102" s="22"/>
    </row>
    <row r="103" spans="1:23" x14ac:dyDescent="0.25">
      <c r="A103" s="16"/>
      <c r="B103" s="3" t="s">
        <v>168</v>
      </c>
      <c r="C103" s="3" t="s">
        <v>169</v>
      </c>
      <c r="D103" s="11" t="s">
        <v>6</v>
      </c>
      <c r="E103" s="38">
        <v>283.98167227317072</v>
      </c>
      <c r="F103" s="4">
        <v>290.48487313170727</v>
      </c>
      <c r="G103" s="4">
        <v>318.72538700487803</v>
      </c>
      <c r="H103" s="22"/>
      <c r="Q103" s="22"/>
      <c r="R103" s="22"/>
      <c r="S103" s="22"/>
      <c r="T103" s="22"/>
      <c r="U103" s="22"/>
      <c r="V103" s="22"/>
      <c r="W103" s="22"/>
    </row>
    <row r="104" spans="1:23" x14ac:dyDescent="0.25">
      <c r="A104" s="16"/>
      <c r="B104" s="3" t="s">
        <v>170</v>
      </c>
      <c r="C104" s="3" t="s">
        <v>171</v>
      </c>
      <c r="D104" s="11" t="s">
        <v>6</v>
      </c>
      <c r="E104" s="38">
        <v>283.18848114189836</v>
      </c>
      <c r="F104" s="4">
        <v>289.67351786609282</v>
      </c>
      <c r="G104" s="4">
        <v>317.83515296878704</v>
      </c>
      <c r="H104" s="22"/>
      <c r="Q104" s="22"/>
      <c r="R104" s="22"/>
      <c r="S104" s="22"/>
      <c r="T104" s="22"/>
      <c r="U104" s="22"/>
      <c r="V104" s="22"/>
      <c r="W104" s="22"/>
    </row>
    <row r="105" spans="1:23" x14ac:dyDescent="0.25">
      <c r="A105" s="16"/>
      <c r="B105" s="3" t="s">
        <v>170</v>
      </c>
      <c r="C105" s="3" t="s">
        <v>172</v>
      </c>
      <c r="D105" s="11" t="s">
        <v>6</v>
      </c>
      <c r="E105" s="38">
        <v>437.16200364878057</v>
      </c>
      <c r="F105" s="4">
        <v>447.17304518780492</v>
      </c>
      <c r="G105" s="4">
        <v>490.64655363658545</v>
      </c>
      <c r="H105" s="22"/>
      <c r="Q105" s="22"/>
      <c r="R105" s="22"/>
      <c r="S105" s="22"/>
      <c r="T105" s="22"/>
      <c r="U105" s="22"/>
      <c r="V105" s="22"/>
      <c r="W105" s="22"/>
    </row>
    <row r="106" spans="1:23" ht="14.15" customHeight="1" x14ac:dyDescent="0.25">
      <c r="A106" s="16"/>
      <c r="B106" s="3" t="s">
        <v>173</v>
      </c>
      <c r="C106" s="3" t="s">
        <v>174</v>
      </c>
      <c r="D106" s="11" t="s">
        <v>6</v>
      </c>
      <c r="E106" s="38">
        <v>346.69634487804876</v>
      </c>
      <c r="F106" s="4">
        <v>354.63571628048777</v>
      </c>
      <c r="G106" s="4">
        <v>389.11288115853665</v>
      </c>
      <c r="H106" s="22"/>
      <c r="Q106" s="22"/>
      <c r="R106" s="22"/>
      <c r="S106" s="22"/>
      <c r="T106" s="22"/>
      <c r="U106" s="22"/>
      <c r="V106" s="22"/>
      <c r="W106" s="22"/>
    </row>
    <row r="107" spans="1:23" x14ac:dyDescent="0.25">
      <c r="A107" s="16"/>
      <c r="B107" s="3" t="s">
        <v>175</v>
      </c>
      <c r="C107" s="3" t="s">
        <v>176</v>
      </c>
      <c r="D107" s="11" t="s">
        <v>6</v>
      </c>
      <c r="E107" s="52">
        <v>322.3397489268292</v>
      </c>
      <c r="F107" s="53">
        <v>329.72135251829258</v>
      </c>
      <c r="G107" s="51">
        <v>361.77637944512185</v>
      </c>
      <c r="H107" s="22"/>
      <c r="Q107" s="22"/>
      <c r="R107" s="22"/>
      <c r="S107" s="22"/>
      <c r="T107" s="22"/>
      <c r="U107" s="22"/>
      <c r="V107" s="22"/>
      <c r="W107" s="22"/>
    </row>
    <row r="108" spans="1:23" x14ac:dyDescent="0.25">
      <c r="A108" s="16"/>
      <c r="B108" s="3" t="s">
        <v>175</v>
      </c>
      <c r="C108" s="3" t="s">
        <v>177</v>
      </c>
      <c r="D108" s="11" t="s">
        <v>6</v>
      </c>
      <c r="E108" s="52">
        <v>322.3397489268292</v>
      </c>
      <c r="F108" s="53">
        <v>329.72135251829258</v>
      </c>
      <c r="G108" s="53">
        <v>361.77637944512185</v>
      </c>
      <c r="H108" s="22"/>
      <c r="Q108" s="22"/>
      <c r="R108" s="22"/>
      <c r="S108" s="22"/>
      <c r="T108" s="22"/>
      <c r="U108" s="22"/>
      <c r="V108" s="22"/>
      <c r="W108" s="22"/>
    </row>
    <row r="109" spans="1:23" x14ac:dyDescent="0.25">
      <c r="A109" s="16"/>
      <c r="B109" s="3" t="s">
        <v>178</v>
      </c>
      <c r="C109" s="3" t="s">
        <v>179</v>
      </c>
      <c r="D109" s="11" t="s">
        <v>6</v>
      </c>
      <c r="E109" s="52">
        <v>208.2646754104471</v>
      </c>
      <c r="F109" s="53">
        <v>213.0339515580614</v>
      </c>
      <c r="G109" s="53">
        <v>233.74480028340642</v>
      </c>
      <c r="H109" s="22"/>
      <c r="Q109" s="22"/>
      <c r="R109" s="22"/>
      <c r="S109" s="22"/>
      <c r="T109" s="22"/>
      <c r="U109" s="22"/>
      <c r="V109" s="22"/>
      <c r="W109" s="22"/>
    </row>
    <row r="110" spans="1:23" x14ac:dyDescent="0.25">
      <c r="A110" s="16"/>
      <c r="B110" s="3" t="s">
        <v>180</v>
      </c>
      <c r="C110" s="3" t="s">
        <v>181</v>
      </c>
      <c r="D110" s="11" t="s">
        <v>8</v>
      </c>
      <c r="E110" s="50">
        <v>204.82992000000002</v>
      </c>
      <c r="F110" s="50">
        <v>209.52053999999998</v>
      </c>
      <c r="G110" s="53">
        <v>229.88981999999999</v>
      </c>
      <c r="H110" s="22"/>
      <c r="Q110" s="22"/>
      <c r="R110" s="22"/>
      <c r="S110" s="22"/>
      <c r="T110" s="22"/>
      <c r="U110" s="22"/>
      <c r="V110" s="22"/>
      <c r="W110" s="22"/>
    </row>
    <row r="111" spans="1:23" x14ac:dyDescent="0.25">
      <c r="A111" s="16"/>
      <c r="B111" s="3" t="s">
        <v>182</v>
      </c>
      <c r="C111" s="3" t="s">
        <v>183</v>
      </c>
      <c r="D111" s="11" t="s">
        <v>8</v>
      </c>
      <c r="E111" s="50">
        <v>276.5005056</v>
      </c>
      <c r="F111" s="50">
        <v>282.83238719999997</v>
      </c>
      <c r="G111" s="53">
        <v>310.32893760000007</v>
      </c>
      <c r="H111" s="22"/>
      <c r="Q111" s="22"/>
      <c r="R111" s="22"/>
      <c r="S111" s="22"/>
      <c r="T111" s="22"/>
      <c r="U111" s="22"/>
      <c r="V111" s="22"/>
      <c r="W111" s="22"/>
    </row>
    <row r="112" spans="1:23" x14ac:dyDescent="0.25">
      <c r="A112" s="21"/>
      <c r="B112" s="3" t="s">
        <v>182</v>
      </c>
      <c r="C112" s="3" t="s">
        <v>184</v>
      </c>
      <c r="D112" s="11" t="s">
        <v>8</v>
      </c>
      <c r="E112" s="50">
        <v>282.03051571200001</v>
      </c>
      <c r="F112" s="50">
        <v>288.48903494399997</v>
      </c>
      <c r="G112" s="53">
        <v>316.53551635200006</v>
      </c>
      <c r="H112" s="22"/>
      <c r="Q112" s="22"/>
      <c r="R112" s="22"/>
      <c r="S112" s="22"/>
      <c r="T112" s="22"/>
      <c r="U112" s="22"/>
      <c r="V112" s="22"/>
      <c r="W112" s="22"/>
    </row>
    <row r="113" spans="1:23" x14ac:dyDescent="0.25">
      <c r="A113" s="21"/>
      <c r="B113" s="3" t="s">
        <v>182</v>
      </c>
      <c r="C113" s="3" t="s">
        <v>185</v>
      </c>
      <c r="D113" s="11" t="s">
        <v>8</v>
      </c>
      <c r="E113" s="50">
        <v>287.56052582400002</v>
      </c>
      <c r="F113" s="50">
        <v>294.14568268799997</v>
      </c>
      <c r="G113" s="53">
        <v>322.7420951040001</v>
      </c>
      <c r="H113" s="22"/>
      <c r="Q113" s="22"/>
      <c r="R113" s="22"/>
      <c r="S113" s="22"/>
      <c r="T113" s="22"/>
      <c r="U113" s="22"/>
      <c r="V113" s="22"/>
      <c r="W113" s="22"/>
    </row>
    <row r="114" spans="1:23" x14ac:dyDescent="0.25">
      <c r="A114" s="21"/>
      <c r="B114" s="3" t="s">
        <v>182</v>
      </c>
      <c r="C114" s="3" t="s">
        <v>186</v>
      </c>
      <c r="D114" s="11" t="s">
        <v>8</v>
      </c>
      <c r="E114" s="50">
        <v>284.79552076800002</v>
      </c>
      <c r="F114" s="50">
        <v>291.31735881599997</v>
      </c>
      <c r="G114" s="53">
        <v>319.63880572800008</v>
      </c>
      <c r="H114" s="22"/>
      <c r="Q114" s="22"/>
      <c r="R114" s="22"/>
      <c r="S114" s="22"/>
      <c r="T114" s="22"/>
      <c r="U114" s="22"/>
      <c r="V114" s="22"/>
      <c r="W114" s="22"/>
    </row>
    <row r="115" spans="1:23" x14ac:dyDescent="0.25">
      <c r="A115" s="16"/>
      <c r="B115" s="3" t="s">
        <v>180</v>
      </c>
      <c r="C115" s="3" t="s">
        <v>187</v>
      </c>
      <c r="D115" s="11" t="s">
        <v>8</v>
      </c>
      <c r="E115" s="50">
        <v>196.079904</v>
      </c>
      <c r="F115" s="50">
        <v>200.57014799999996</v>
      </c>
      <c r="G115" s="53">
        <v>220.06928400000001</v>
      </c>
      <c r="H115" s="22"/>
      <c r="Q115" s="22"/>
      <c r="R115" s="22"/>
      <c r="S115" s="22"/>
      <c r="T115" s="22"/>
      <c r="U115" s="22"/>
      <c r="V115" s="22"/>
      <c r="W115" s="22"/>
    </row>
    <row r="116" spans="1:23" x14ac:dyDescent="0.25">
      <c r="A116" s="16"/>
      <c r="B116" s="3" t="s">
        <v>180</v>
      </c>
      <c r="C116" s="3" t="s">
        <v>188</v>
      </c>
      <c r="D116" s="11" t="s">
        <v>8</v>
      </c>
      <c r="E116" s="50">
        <v>192.69921599999998</v>
      </c>
      <c r="F116" s="50">
        <v>197.11204199999997</v>
      </c>
      <c r="G116" s="53">
        <v>216.27498599999998</v>
      </c>
      <c r="H116" s="22"/>
      <c r="Q116" s="22"/>
      <c r="R116" s="22"/>
      <c r="S116" s="22"/>
      <c r="T116" s="22"/>
      <c r="U116" s="22"/>
      <c r="V116" s="22"/>
      <c r="W116" s="22"/>
    </row>
    <row r="117" spans="1:23" x14ac:dyDescent="0.25">
      <c r="A117" s="16"/>
      <c r="B117" s="3" t="s">
        <v>180</v>
      </c>
      <c r="C117" s="3" t="s">
        <v>189</v>
      </c>
      <c r="D117" s="11" t="s">
        <v>8</v>
      </c>
      <c r="E117" s="50">
        <v>189.31852800000001</v>
      </c>
      <c r="F117" s="50">
        <v>193.65393599999999</v>
      </c>
      <c r="G117" s="53">
        <v>212.48068800000004</v>
      </c>
      <c r="H117" s="22"/>
      <c r="Q117" s="22"/>
      <c r="R117" s="22"/>
      <c r="S117" s="22"/>
      <c r="T117" s="22"/>
      <c r="U117" s="22"/>
      <c r="V117" s="22"/>
      <c r="W117" s="22"/>
    </row>
    <row r="118" spans="1:23" x14ac:dyDescent="0.25">
      <c r="A118" s="16"/>
      <c r="B118" s="3" t="s">
        <v>190</v>
      </c>
      <c r="C118" s="3" t="s">
        <v>191</v>
      </c>
      <c r="D118" s="11" t="s">
        <v>8</v>
      </c>
      <c r="E118" s="50">
        <v>99.39980684643551</v>
      </c>
      <c r="F118" s="50">
        <v>101.67606962088773</v>
      </c>
      <c r="G118" s="53">
        <v>111.5608681776658</v>
      </c>
      <c r="H118" s="22"/>
      <c r="Q118" s="22"/>
      <c r="R118" s="22"/>
      <c r="S118" s="22"/>
      <c r="T118" s="22"/>
      <c r="U118" s="22"/>
      <c r="V118" s="22"/>
      <c r="W118" s="22"/>
    </row>
    <row r="119" spans="1:23" x14ac:dyDescent="0.25">
      <c r="A119" s="21"/>
      <c r="B119" s="3" t="s">
        <v>190</v>
      </c>
      <c r="C119" s="3" t="s">
        <v>192</v>
      </c>
      <c r="D119" s="11" t="s">
        <v>8</v>
      </c>
      <c r="E119" s="50">
        <v>98.415650343005453</v>
      </c>
      <c r="F119" s="50">
        <v>100.66937586226508</v>
      </c>
      <c r="G119" s="53">
        <v>110.45630512640177</v>
      </c>
      <c r="H119" s="22"/>
      <c r="Q119" s="22"/>
      <c r="R119" s="22"/>
      <c r="S119" s="22"/>
      <c r="T119" s="22"/>
      <c r="U119" s="22"/>
      <c r="V119" s="22"/>
      <c r="W119" s="22"/>
    </row>
    <row r="120" spans="1:23" x14ac:dyDescent="0.25">
      <c r="A120" s="21"/>
      <c r="B120" s="3" t="s">
        <v>190</v>
      </c>
      <c r="C120" s="3" t="s">
        <v>193</v>
      </c>
      <c r="D120" s="11" t="s">
        <v>8</v>
      </c>
      <c r="E120" s="50">
        <v>98.415650343005453</v>
      </c>
      <c r="F120" s="50">
        <v>100.66937586226508</v>
      </c>
      <c r="G120" s="53">
        <v>110.45630512640177</v>
      </c>
      <c r="H120" s="22"/>
      <c r="Q120" s="22"/>
      <c r="R120" s="22"/>
      <c r="S120" s="22"/>
      <c r="T120" s="22"/>
      <c r="U120" s="22"/>
      <c r="V120" s="22"/>
      <c r="W120" s="22"/>
    </row>
    <row r="121" spans="1:23" x14ac:dyDescent="0.25">
      <c r="A121" s="21"/>
      <c r="B121" s="3" t="s">
        <v>190</v>
      </c>
      <c r="C121" s="3" t="s">
        <v>194</v>
      </c>
      <c r="D121" s="11" t="s">
        <v>8</v>
      </c>
      <c r="E121" s="50">
        <v>97.450791025917169</v>
      </c>
      <c r="F121" s="50">
        <v>99.682421196948752</v>
      </c>
      <c r="G121" s="53">
        <v>109.37340017418215</v>
      </c>
      <c r="H121" s="22"/>
      <c r="Q121" s="22"/>
      <c r="R121" s="22"/>
      <c r="S121" s="22"/>
      <c r="T121" s="22"/>
      <c r="U121" s="22"/>
      <c r="V121" s="22"/>
      <c r="W121" s="22"/>
    </row>
    <row r="122" spans="1:23" x14ac:dyDescent="0.25">
      <c r="A122" s="21"/>
      <c r="B122" s="3" t="s">
        <v>190</v>
      </c>
      <c r="C122" s="3" t="s">
        <v>195</v>
      </c>
      <c r="D122" s="11" t="s">
        <v>8</v>
      </c>
      <c r="E122" s="50">
        <v>107.35179139415035</v>
      </c>
      <c r="F122" s="50">
        <v>109.81015519055876</v>
      </c>
      <c r="G122" s="53">
        <v>120.48573763187906</v>
      </c>
      <c r="H122" s="22"/>
      <c r="Q122" s="22"/>
      <c r="R122" s="22"/>
      <c r="S122" s="22"/>
      <c r="T122" s="22"/>
      <c r="U122" s="22"/>
      <c r="V122" s="22"/>
      <c r="W122" s="22"/>
    </row>
    <row r="123" spans="1:23" x14ac:dyDescent="0.25">
      <c r="A123" s="21"/>
      <c r="B123" s="3" t="s">
        <v>190</v>
      </c>
      <c r="C123" s="3" t="s">
        <v>196</v>
      </c>
      <c r="D123" s="11" t="s">
        <v>8</v>
      </c>
      <c r="E123" s="50">
        <v>104.36979718875729</v>
      </c>
      <c r="F123" s="50">
        <v>106.75987310193211</v>
      </c>
      <c r="G123" s="53">
        <v>117.13891158654909</v>
      </c>
      <c r="H123" s="22"/>
      <c r="Q123" s="22"/>
      <c r="R123" s="22"/>
      <c r="S123" s="22"/>
      <c r="T123" s="22"/>
      <c r="U123" s="22"/>
      <c r="V123" s="22"/>
      <c r="W123" s="22"/>
    </row>
    <row r="124" spans="1:23" x14ac:dyDescent="0.25">
      <c r="A124" s="21"/>
      <c r="B124" s="3" t="s">
        <v>190</v>
      </c>
      <c r="C124" s="3" t="s">
        <v>197</v>
      </c>
      <c r="D124" s="11" t="s">
        <v>8</v>
      </c>
      <c r="E124" s="50">
        <v>98.415650343005453</v>
      </c>
      <c r="F124" s="50">
        <v>100.66937586226508</v>
      </c>
      <c r="G124" s="53">
        <v>110.45630512640177</v>
      </c>
      <c r="H124" s="22"/>
      <c r="Q124" s="22"/>
      <c r="R124" s="22"/>
      <c r="S124" s="22"/>
      <c r="T124" s="22"/>
      <c r="U124" s="22"/>
      <c r="V124" s="22"/>
      <c r="W124" s="22"/>
    </row>
    <row r="125" spans="1:23" x14ac:dyDescent="0.25">
      <c r="A125" s="16"/>
      <c r="B125" s="3" t="s">
        <v>198</v>
      </c>
      <c r="C125" s="3" t="s">
        <v>199</v>
      </c>
      <c r="D125" s="1" t="s">
        <v>8</v>
      </c>
      <c r="E125" s="50">
        <v>167.04576</v>
      </c>
      <c r="F125" s="50">
        <v>170.87111999999999</v>
      </c>
      <c r="G125" s="53">
        <v>187.48295999999999</v>
      </c>
      <c r="H125" s="22"/>
      <c r="Q125" s="22"/>
      <c r="R125" s="22"/>
      <c r="S125" s="22"/>
      <c r="T125" s="22"/>
      <c r="U125" s="22"/>
      <c r="V125" s="22"/>
      <c r="W125" s="22"/>
    </row>
    <row r="126" spans="1:23" x14ac:dyDescent="0.25">
      <c r="A126" s="16"/>
      <c r="B126" s="3" t="s">
        <v>200</v>
      </c>
      <c r="C126" s="3" t="s">
        <v>201</v>
      </c>
      <c r="D126" s="1" t="s">
        <v>8</v>
      </c>
      <c r="E126" s="50">
        <v>378.09763145775258</v>
      </c>
      <c r="F126" s="50">
        <v>386.7560945966747</v>
      </c>
      <c r="G126" s="53">
        <v>424.35595560574887</v>
      </c>
      <c r="H126" s="22"/>
      <c r="Q126" s="22"/>
      <c r="R126" s="22"/>
      <c r="S126" s="22"/>
      <c r="T126" s="22"/>
      <c r="U126" s="22"/>
      <c r="V126" s="22"/>
      <c r="W126" s="22"/>
    </row>
    <row r="127" spans="1:23" ht="14.15" customHeight="1" x14ac:dyDescent="0.25">
      <c r="A127" s="16"/>
      <c r="B127" s="3" t="s">
        <v>202</v>
      </c>
      <c r="C127" s="3" t="s">
        <v>203</v>
      </c>
      <c r="D127" s="1" t="s">
        <v>8</v>
      </c>
      <c r="E127" s="50">
        <v>167.38485765203467</v>
      </c>
      <c r="F127" s="50">
        <v>171.21798301282078</v>
      </c>
      <c r="G127" s="53">
        <v>187.86354452685367</v>
      </c>
      <c r="H127" s="22"/>
      <c r="Q127" s="22"/>
      <c r="R127" s="22"/>
      <c r="S127" s="22"/>
      <c r="T127" s="22"/>
      <c r="U127" s="22"/>
      <c r="V127" s="22"/>
      <c r="W127" s="22"/>
    </row>
    <row r="128" spans="1:23" x14ac:dyDescent="0.25">
      <c r="A128" s="16"/>
      <c r="B128" s="3" t="s">
        <v>204</v>
      </c>
      <c r="C128" s="3" t="s">
        <v>205</v>
      </c>
      <c r="D128" s="1" t="s">
        <v>8</v>
      </c>
      <c r="E128" s="50">
        <v>234.23624455159489</v>
      </c>
      <c r="F128" s="50">
        <v>239.60027151317649</v>
      </c>
      <c r="G128" s="53">
        <v>262.89385895108552</v>
      </c>
      <c r="H128" s="22"/>
      <c r="Q128" s="22"/>
      <c r="R128" s="22"/>
      <c r="S128" s="22"/>
      <c r="T128" s="22"/>
      <c r="U128" s="22"/>
      <c r="V128" s="22"/>
      <c r="W128" s="22"/>
    </row>
    <row r="129" spans="1:23" x14ac:dyDescent="0.25">
      <c r="A129" s="16"/>
      <c r="B129" s="3" t="s">
        <v>206</v>
      </c>
      <c r="C129" s="3" t="s">
        <v>207</v>
      </c>
      <c r="D129" s="1" t="s">
        <v>8</v>
      </c>
      <c r="E129" s="50">
        <v>127.6044</v>
      </c>
      <c r="F129" s="50">
        <v>130.52654999999999</v>
      </c>
      <c r="G129" s="53">
        <v>143.21615</v>
      </c>
      <c r="H129" s="22"/>
      <c r="Q129" s="22"/>
      <c r="R129" s="22"/>
      <c r="S129" s="22"/>
      <c r="T129" s="22"/>
      <c r="U129" s="22"/>
      <c r="V129" s="22"/>
      <c r="W129" s="22"/>
    </row>
    <row r="130" spans="1:23" x14ac:dyDescent="0.25">
      <c r="A130" s="16"/>
      <c r="B130" s="3" t="s">
        <v>208</v>
      </c>
      <c r="C130" s="3" t="s">
        <v>209</v>
      </c>
      <c r="D130" s="1" t="s">
        <v>8</v>
      </c>
      <c r="E130" s="50">
        <v>180.93309600000003</v>
      </c>
      <c r="F130" s="50">
        <v>185.07647700000001</v>
      </c>
      <c r="G130" s="53">
        <v>203.06934100000004</v>
      </c>
      <c r="H130" s="22"/>
      <c r="Q130" s="22"/>
      <c r="R130" s="22"/>
      <c r="S130" s="22"/>
      <c r="T130" s="22"/>
      <c r="U130" s="22"/>
      <c r="V130" s="22"/>
      <c r="W130" s="22"/>
    </row>
    <row r="131" spans="1:23" x14ac:dyDescent="0.25">
      <c r="A131" s="16"/>
      <c r="B131" s="3" t="s">
        <v>210</v>
      </c>
      <c r="C131" s="3" t="s">
        <v>210</v>
      </c>
      <c r="D131" s="1" t="s">
        <v>8</v>
      </c>
      <c r="E131" s="50">
        <v>319.17671999999999</v>
      </c>
      <c r="F131" s="50">
        <v>326.48589000000004</v>
      </c>
      <c r="G131" s="53">
        <v>358.22637000000003</v>
      </c>
      <c r="H131" s="22"/>
      <c r="Q131" s="22"/>
      <c r="R131" s="22"/>
      <c r="S131" s="22"/>
      <c r="T131" s="22"/>
      <c r="U131" s="22"/>
      <c r="V131" s="22"/>
      <c r="W131" s="22"/>
    </row>
    <row r="132" spans="1:23" x14ac:dyDescent="0.25">
      <c r="A132" s="16"/>
      <c r="B132" s="3" t="s">
        <v>211</v>
      </c>
      <c r="C132" s="3" t="s">
        <v>212</v>
      </c>
      <c r="D132" s="1" t="s">
        <v>8</v>
      </c>
      <c r="E132" s="50">
        <v>191.77118400000001</v>
      </c>
      <c r="F132" s="50">
        <v>196.162758</v>
      </c>
      <c r="G132" s="53">
        <v>215.23341400000001</v>
      </c>
      <c r="H132" s="22"/>
      <c r="Q132" s="22"/>
      <c r="R132" s="22"/>
      <c r="S132" s="22"/>
      <c r="T132" s="22"/>
      <c r="U132" s="22"/>
      <c r="V132" s="22"/>
      <c r="W132" s="22"/>
    </row>
    <row r="133" spans="1:23" x14ac:dyDescent="0.25">
      <c r="A133" s="16"/>
      <c r="B133" s="3" t="s">
        <v>213</v>
      </c>
      <c r="C133" s="3" t="s">
        <v>214</v>
      </c>
      <c r="D133" s="1" t="s">
        <v>8</v>
      </c>
      <c r="E133" s="50">
        <v>183.78220319467542</v>
      </c>
      <c r="F133" s="50">
        <v>187.99082895574099</v>
      </c>
      <c r="G133" s="53">
        <v>206.26702198403123</v>
      </c>
      <c r="H133" s="22"/>
      <c r="Q133" s="22"/>
      <c r="R133" s="22"/>
      <c r="S133" s="22"/>
      <c r="T133" s="22"/>
      <c r="U133" s="22"/>
      <c r="V133" s="22"/>
      <c r="W133" s="22"/>
    </row>
    <row r="134" spans="1:23" x14ac:dyDescent="0.25">
      <c r="A134" s="16"/>
      <c r="B134" s="3" t="s">
        <v>215</v>
      </c>
      <c r="C134" s="3" t="s">
        <v>216</v>
      </c>
      <c r="D134" s="1" t="s">
        <v>8</v>
      </c>
      <c r="E134" s="50">
        <v>110.73536785143243</v>
      </c>
      <c r="F134" s="50">
        <v>113.27121579372175</v>
      </c>
      <c r="G134" s="53">
        <v>124.28327747723374</v>
      </c>
      <c r="H134" s="22"/>
      <c r="Q134" s="22"/>
      <c r="R134" s="22"/>
      <c r="S134" s="22"/>
      <c r="T134" s="22"/>
      <c r="U134" s="22"/>
      <c r="V134" s="22"/>
      <c r="W134" s="22"/>
    </row>
    <row r="135" spans="1:23" x14ac:dyDescent="0.25">
      <c r="A135" s="16"/>
      <c r="B135" s="3" t="s">
        <v>217</v>
      </c>
      <c r="C135" s="3" t="s">
        <v>218</v>
      </c>
      <c r="D135" s="1" t="s">
        <v>8</v>
      </c>
      <c r="E135" s="7">
        <v>134.14906158745211</v>
      </c>
      <c r="F135" s="7">
        <v>137.22108481171216</v>
      </c>
      <c r="G135" s="49">
        <v>150.5615176801723</v>
      </c>
      <c r="H135" s="22"/>
      <c r="Q135" s="22"/>
      <c r="R135" s="22"/>
      <c r="S135" s="22"/>
      <c r="T135" s="22"/>
      <c r="U135" s="22"/>
      <c r="V135" s="22"/>
      <c r="W135" s="22"/>
    </row>
    <row r="136" spans="1:23" x14ac:dyDescent="0.25">
      <c r="A136" s="16"/>
      <c r="B136" s="3" t="s">
        <v>219</v>
      </c>
      <c r="C136" s="3" t="s">
        <v>220</v>
      </c>
      <c r="D136" s="11" t="s">
        <v>6</v>
      </c>
      <c r="E136" s="4">
        <v>353.64648</v>
      </c>
      <c r="F136" s="4">
        <v>361.74500999999998</v>
      </c>
      <c r="G136" s="4">
        <v>396.91332999999997</v>
      </c>
      <c r="H136" s="22"/>
      <c r="Q136" s="22"/>
      <c r="R136" s="22"/>
      <c r="S136" s="22"/>
      <c r="T136" s="22"/>
      <c r="U136" s="22"/>
      <c r="V136" s="22"/>
      <c r="W136" s="22"/>
    </row>
    <row r="137" spans="1:23" x14ac:dyDescent="0.25">
      <c r="A137" s="16"/>
      <c r="B137" s="3" t="s">
        <v>221</v>
      </c>
      <c r="C137" s="3" t="s">
        <v>222</v>
      </c>
      <c r="D137" s="11" t="s">
        <v>6</v>
      </c>
      <c r="E137" s="4">
        <v>206.81856000000002</v>
      </c>
      <c r="F137" s="4">
        <v>211.55471999999997</v>
      </c>
      <c r="G137" s="4">
        <v>232.12175999999999</v>
      </c>
      <c r="H137" s="22"/>
      <c r="Q137" s="22"/>
      <c r="R137" s="22"/>
      <c r="S137" s="22"/>
      <c r="T137" s="22"/>
      <c r="U137" s="22"/>
      <c r="V137" s="22"/>
      <c r="W137" s="22"/>
    </row>
    <row r="138" spans="1:23" x14ac:dyDescent="0.25">
      <c r="A138" s="16"/>
      <c r="B138" s="17"/>
      <c r="C138" s="3"/>
      <c r="D138" s="1"/>
      <c r="E138" s="4"/>
      <c r="F138" s="4"/>
      <c r="G138" s="4"/>
    </row>
    <row r="139" spans="1:23" x14ac:dyDescent="0.25">
      <c r="A139" s="16"/>
      <c r="B139" s="17"/>
      <c r="C139" s="3"/>
      <c r="D139" s="1"/>
      <c r="E139" s="4"/>
      <c r="F139" s="4"/>
      <c r="G139" s="4"/>
    </row>
    <row r="140" spans="1:23" x14ac:dyDescent="0.25">
      <c r="A140" s="16"/>
      <c r="B140" s="17"/>
      <c r="C140" s="3"/>
      <c r="D140" s="1"/>
      <c r="E140" s="4"/>
      <c r="F140" s="4"/>
      <c r="G140" s="4"/>
    </row>
    <row r="141" spans="1:23" x14ac:dyDescent="0.25">
      <c r="A141" s="16"/>
      <c r="B141" s="17"/>
      <c r="C141" s="3"/>
      <c r="D141" s="1"/>
      <c r="E141" s="4"/>
      <c r="F141" s="4"/>
      <c r="G141" s="4"/>
    </row>
    <row r="142" spans="1:23" x14ac:dyDescent="0.25">
      <c r="A142" s="16"/>
      <c r="B142" s="17"/>
      <c r="C142" s="3"/>
      <c r="D142" s="1"/>
      <c r="E142" s="4"/>
      <c r="F142" s="4"/>
      <c r="G142" s="4"/>
    </row>
    <row r="143" spans="1:23" x14ac:dyDescent="0.25">
      <c r="A143" s="16"/>
      <c r="B143" s="17"/>
      <c r="C143" s="3"/>
      <c r="D143" s="1"/>
      <c r="E143" s="4"/>
      <c r="F143" s="4"/>
      <c r="G143" s="4"/>
    </row>
    <row r="144" spans="1:23" x14ac:dyDescent="0.25">
      <c r="A144" s="16"/>
      <c r="B144" s="17"/>
      <c r="C144" s="3"/>
      <c r="D144" s="1"/>
      <c r="E144" s="4"/>
      <c r="F144" s="4"/>
      <c r="G144" s="4"/>
    </row>
    <row r="145" spans="1:7" x14ac:dyDescent="0.25">
      <c r="A145" s="16"/>
      <c r="B145" s="17"/>
      <c r="C145" s="3"/>
      <c r="D145" s="1"/>
      <c r="E145" s="4"/>
      <c r="F145" s="4"/>
      <c r="G145" s="4"/>
    </row>
    <row r="146" spans="1:7" x14ac:dyDescent="0.25">
      <c r="A146" s="16"/>
      <c r="B146" s="17"/>
      <c r="C146" s="3"/>
      <c r="D146" s="1"/>
      <c r="E146" s="4"/>
      <c r="F146" s="4"/>
      <c r="G146" s="4"/>
    </row>
    <row r="147" spans="1:7" x14ac:dyDescent="0.25">
      <c r="A147" s="16"/>
      <c r="B147" s="17"/>
      <c r="C147" s="3"/>
      <c r="D147" s="1"/>
      <c r="E147" s="4"/>
      <c r="F147" s="4"/>
      <c r="G147" s="4"/>
    </row>
    <row r="148" spans="1:7" x14ac:dyDescent="0.25">
      <c r="A148" s="16"/>
      <c r="B148" s="17"/>
      <c r="C148" s="3"/>
      <c r="D148" s="1"/>
      <c r="E148" s="4"/>
      <c r="F148" s="4"/>
      <c r="G148" s="4"/>
    </row>
    <row r="149" spans="1:7" x14ac:dyDescent="0.25">
      <c r="A149" s="16"/>
      <c r="B149" s="17"/>
      <c r="C149" s="3"/>
      <c r="D149" s="1"/>
      <c r="E149" s="4"/>
      <c r="F149" s="4"/>
      <c r="G149" s="4"/>
    </row>
    <row r="150" spans="1:7" x14ac:dyDescent="0.25">
      <c r="A150" s="16"/>
      <c r="B150" s="17"/>
      <c r="C150" s="3"/>
      <c r="D150" s="1"/>
      <c r="E150" s="4"/>
      <c r="F150" s="4"/>
      <c r="G150" s="4"/>
    </row>
    <row r="151" spans="1:7" x14ac:dyDescent="0.25">
      <c r="A151" s="16"/>
      <c r="B151" s="17"/>
      <c r="C151" s="3"/>
      <c r="D151" s="1"/>
      <c r="E151" s="4"/>
      <c r="F151" s="4"/>
      <c r="G151" s="4"/>
    </row>
    <row r="152" spans="1:7" x14ac:dyDescent="0.25">
      <c r="A152" s="16"/>
      <c r="B152" s="17"/>
      <c r="C152" s="3"/>
      <c r="D152" s="1"/>
      <c r="E152" s="4"/>
      <c r="F152" s="4"/>
      <c r="G152" s="4"/>
    </row>
    <row r="153" spans="1:7" x14ac:dyDescent="0.25">
      <c r="A153" s="16"/>
      <c r="B153" s="17"/>
      <c r="C153" s="3"/>
      <c r="D153" s="1"/>
      <c r="E153" s="4"/>
      <c r="F153" s="4"/>
      <c r="G153" s="4"/>
    </row>
    <row r="154" spans="1:7" x14ac:dyDescent="0.25">
      <c r="A154" s="16"/>
      <c r="B154" s="17"/>
      <c r="C154" s="3"/>
      <c r="D154" s="1"/>
      <c r="E154" s="4"/>
      <c r="F154" s="4"/>
      <c r="G154" s="4"/>
    </row>
    <row r="155" spans="1:7" x14ac:dyDescent="0.25">
      <c r="A155" s="16"/>
      <c r="B155" s="17"/>
      <c r="C155" s="3"/>
      <c r="D155" s="1"/>
      <c r="E155" s="4"/>
      <c r="F155" s="4"/>
      <c r="G155" s="4"/>
    </row>
    <row r="156" spans="1:7" x14ac:dyDescent="0.25">
      <c r="A156" s="16"/>
      <c r="B156" s="17"/>
      <c r="C156" s="3"/>
      <c r="D156" s="1"/>
      <c r="E156" s="4"/>
      <c r="F156" s="4"/>
      <c r="G156" s="4"/>
    </row>
    <row r="157" spans="1:7" x14ac:dyDescent="0.25">
      <c r="A157" s="16"/>
      <c r="B157" s="17"/>
      <c r="C157" s="3"/>
      <c r="D157" s="1"/>
      <c r="E157" s="4"/>
      <c r="F157" s="4"/>
      <c r="G157" s="4"/>
    </row>
  </sheetData>
  <autoFilter ref="B3:D137" xr:uid="{B593B8AD-AE04-4543-B232-6D3D3239B900}">
    <sortState xmlns:xlrd2="http://schemas.microsoft.com/office/spreadsheetml/2017/richdata2" ref="B67:D137">
      <sortCondition ref="B3:B137"/>
    </sortState>
  </autoFilter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B6-DBDD-442C-B80C-8756891E5B27}">
  <sheetPr>
    <tabColor theme="8" tint="0.39997558519241921"/>
  </sheetPr>
  <dimension ref="A1:X157"/>
  <sheetViews>
    <sheetView view="pageBreakPreview" zoomScaleNormal="100" zoomScaleSheetLayoutView="100" workbookViewId="0">
      <selection activeCell="C10" sqref="C10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7" width="10.83203125" customWidth="1"/>
    <col min="8" max="24" width="6" customWidth="1"/>
  </cols>
  <sheetData>
    <row r="1" spans="1:24" ht="17.5" customHeight="1" x14ac:dyDescent="0.25">
      <c r="A1" s="64" t="s">
        <v>246</v>
      </c>
      <c r="B1" s="69"/>
      <c r="C1" s="69"/>
      <c r="D1" s="70"/>
      <c r="E1" s="64" t="s">
        <v>230</v>
      </c>
      <c r="F1" s="65"/>
      <c r="G1" s="66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x14ac:dyDescent="0.25">
      <c r="A2" s="16"/>
      <c r="B2" s="16"/>
      <c r="C2" s="1"/>
      <c r="D2" s="1"/>
      <c r="E2" s="39" t="s">
        <v>9</v>
      </c>
      <c r="F2" s="36" t="s">
        <v>10</v>
      </c>
      <c r="G2" s="40" t="s">
        <v>11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x14ac:dyDescent="0.25">
      <c r="A3" s="16"/>
      <c r="B3" s="12" t="s">
        <v>14</v>
      </c>
      <c r="C3" s="12" t="s">
        <v>15</v>
      </c>
      <c r="D3" s="37" t="s">
        <v>16</v>
      </c>
      <c r="E3" s="41"/>
      <c r="F3" s="37"/>
      <c r="G3" s="4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x14ac:dyDescent="0.25">
      <c r="A4" s="16"/>
      <c r="B4" s="3" t="s">
        <v>17</v>
      </c>
      <c r="C4" s="3" t="s">
        <v>18</v>
      </c>
      <c r="D4" s="11" t="s">
        <v>19</v>
      </c>
      <c r="E4" s="52">
        <v>412.61379064966394</v>
      </c>
      <c r="F4" s="53">
        <v>422.06267633344061</v>
      </c>
      <c r="G4" s="51">
        <v>463.09499150304276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x14ac:dyDescent="0.25">
      <c r="A5" s="16"/>
      <c r="B5" s="3" t="s">
        <v>17</v>
      </c>
      <c r="C5" s="3" t="s">
        <v>20</v>
      </c>
      <c r="D5" s="11" t="s">
        <v>19</v>
      </c>
      <c r="E5" s="52">
        <v>385.42587907297639</v>
      </c>
      <c r="F5" s="53">
        <v>394.25215961293503</v>
      </c>
      <c r="G5" s="51">
        <v>432.58077708290034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x14ac:dyDescent="0.25">
      <c r="A6" s="16"/>
      <c r="B6" s="3" t="s">
        <v>17</v>
      </c>
      <c r="C6" s="3" t="s">
        <v>231</v>
      </c>
      <c r="D6" s="11" t="s">
        <v>19</v>
      </c>
      <c r="E6" s="52">
        <v>385.42587907297639</v>
      </c>
      <c r="F6" s="53">
        <v>394.25215961293503</v>
      </c>
      <c r="G6" s="51">
        <v>432.58077708290034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x14ac:dyDescent="0.25">
      <c r="A7" s="16"/>
      <c r="B7" s="3" t="s">
        <v>17</v>
      </c>
      <c r="C7" s="3" t="s">
        <v>22</v>
      </c>
      <c r="D7" s="11" t="s">
        <v>19</v>
      </c>
      <c r="E7" s="52">
        <v>504.96594440274635</v>
      </c>
      <c r="F7" s="53">
        <v>516.52970109480771</v>
      </c>
      <c r="G7" s="51">
        <v>566.74596203951728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x14ac:dyDescent="0.25">
      <c r="A8" s="16"/>
      <c r="B8" s="3" t="s">
        <v>17</v>
      </c>
      <c r="C8" s="3" t="s">
        <v>23</v>
      </c>
      <c r="D8" s="11" t="s">
        <v>19</v>
      </c>
      <c r="E8" s="52">
        <v>400.21643528424357</v>
      </c>
      <c r="F8" s="53">
        <v>409.38142063244351</v>
      </c>
      <c r="G8" s="51">
        <v>449.18088269788126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x14ac:dyDescent="0.25">
      <c r="A9" s="16"/>
      <c r="B9" s="3" t="s">
        <v>17</v>
      </c>
      <c r="C9" s="3" t="s">
        <v>24</v>
      </c>
      <c r="D9" s="11" t="s">
        <v>19</v>
      </c>
      <c r="E9" s="52">
        <v>491.58783396121635</v>
      </c>
      <c r="F9" s="53">
        <v>502.8452309554404</v>
      </c>
      <c r="G9" s="51">
        <v>551.73110775776274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x14ac:dyDescent="0.25">
      <c r="A10" s="16"/>
      <c r="B10" s="3" t="s">
        <v>17</v>
      </c>
      <c r="C10" s="3" t="s">
        <v>25</v>
      </c>
      <c r="D10" s="11" t="s">
        <v>19</v>
      </c>
      <c r="E10" s="52">
        <v>401.92825753133906</v>
      </c>
      <c r="F10" s="53">
        <v>411.13244373295282</v>
      </c>
      <c r="G10" s="51">
        <v>451.10213769938099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25">
      <c r="A11" s="16"/>
      <c r="B11" s="3" t="s">
        <v>17</v>
      </c>
      <c r="C11" s="3" t="s">
        <v>26</v>
      </c>
      <c r="D11" s="11" t="s">
        <v>19</v>
      </c>
      <c r="E11" s="52">
        <v>391.00175181554891</v>
      </c>
      <c r="F11" s="53">
        <v>399.95572024506862</v>
      </c>
      <c r="G11" s="51">
        <v>438.83882952530189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25">
      <c r="A12" s="16"/>
      <c r="B12" s="3" t="s">
        <v>17</v>
      </c>
      <c r="C12" s="3" t="s">
        <v>27</v>
      </c>
      <c r="D12" s="11" t="s">
        <v>19</v>
      </c>
      <c r="E12" s="52">
        <v>366.97874196282896</v>
      </c>
      <c r="F12" s="53">
        <v>375.38258172718406</v>
      </c>
      <c r="G12" s="51">
        <v>411.87672647463415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25">
      <c r="A13" s="16"/>
      <c r="B13" s="3" t="s">
        <v>17</v>
      </c>
      <c r="C13" s="3" t="s">
        <v>28</v>
      </c>
      <c r="D13" s="11" t="s">
        <v>19</v>
      </c>
      <c r="E13" s="52">
        <v>387.23209828873621</v>
      </c>
      <c r="F13" s="53">
        <v>396.09974137952634</v>
      </c>
      <c r="G13" s="51">
        <v>434.60797804256265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25">
      <c r="A14" s="16"/>
      <c r="B14" s="3" t="s">
        <v>17</v>
      </c>
      <c r="C14" s="3" t="s">
        <v>29</v>
      </c>
      <c r="D14" s="11" t="s">
        <v>19</v>
      </c>
      <c r="E14" s="52">
        <v>368.80261816553303</v>
      </c>
      <c r="F14" s="53">
        <v>377.24822482699932</v>
      </c>
      <c r="G14" s="51">
        <v>413.92374466388077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25">
      <c r="A15" s="16"/>
      <c r="B15" s="3" t="s">
        <v>17</v>
      </c>
      <c r="C15" s="3" t="s">
        <v>30</v>
      </c>
      <c r="D15" s="11" t="s">
        <v>19</v>
      </c>
      <c r="E15" s="52">
        <v>393.93371713482702</v>
      </c>
      <c r="F15" s="53">
        <v>402.95482778246554</v>
      </c>
      <c r="G15" s="51">
        <v>442.12950590449037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25">
      <c r="A16" s="16"/>
      <c r="B16" s="3" t="s">
        <v>17</v>
      </c>
      <c r="C16" s="3" t="s">
        <v>32</v>
      </c>
      <c r="D16" s="11" t="s">
        <v>19</v>
      </c>
      <c r="E16" s="52">
        <v>413.61978616223905</v>
      </c>
      <c r="F16" s="53">
        <v>423.0917092160991</v>
      </c>
      <c r="G16" s="51">
        <v>464.22406545525973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25">
      <c r="A17" s="16"/>
      <c r="B17" s="3" t="s">
        <v>17</v>
      </c>
      <c r="C17" s="3" t="s">
        <v>33</v>
      </c>
      <c r="D17" s="11" t="s">
        <v>19</v>
      </c>
      <c r="E17" s="52">
        <v>366.28966672874287</v>
      </c>
      <c r="F17" s="53">
        <v>374.67772662034059</v>
      </c>
      <c r="G17" s="51">
        <v>411.10334638675198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x14ac:dyDescent="0.25">
      <c r="A18" s="16"/>
      <c r="B18" s="3" t="s">
        <v>17</v>
      </c>
      <c r="C18" s="3" t="s">
        <v>34</v>
      </c>
      <c r="D18" s="11" t="s">
        <v>19</v>
      </c>
      <c r="E18" s="52">
        <v>389.32637540047955</v>
      </c>
      <c r="F18" s="53">
        <v>398.24197758877796</v>
      </c>
      <c r="G18" s="51">
        <v>436.9584793182006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x14ac:dyDescent="0.25">
      <c r="A19" s="16"/>
      <c r="B19" s="3" t="s">
        <v>17</v>
      </c>
      <c r="C19" s="3" t="s">
        <v>35</v>
      </c>
      <c r="D19" s="11" t="s">
        <v>19</v>
      </c>
      <c r="E19" s="52">
        <v>409.01244442789158</v>
      </c>
      <c r="F19" s="53">
        <v>418.37885902241152</v>
      </c>
      <c r="G19" s="51">
        <v>459.05303886896996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x14ac:dyDescent="0.25">
      <c r="A20" s="16"/>
      <c r="B20" s="3" t="s">
        <v>17</v>
      </c>
      <c r="C20" s="3" t="s">
        <v>36</v>
      </c>
      <c r="D20" s="11" t="s">
        <v>19</v>
      </c>
      <c r="E20" s="52">
        <v>482.73002536326294</v>
      </c>
      <c r="F20" s="53">
        <v>493.78457789918843</v>
      </c>
      <c r="G20" s="51">
        <v>541.78959128312874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x14ac:dyDescent="0.25">
      <c r="A21" s="16"/>
      <c r="B21" s="3" t="s">
        <v>17</v>
      </c>
      <c r="C21" s="3" t="s">
        <v>37</v>
      </c>
      <c r="D21" s="11" t="s">
        <v>19</v>
      </c>
      <c r="E21" s="52">
        <v>378.01741482004144</v>
      </c>
      <c r="F21" s="53">
        <v>386.67404099215133</v>
      </c>
      <c r="G21" s="51">
        <v>424.26592486998317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x14ac:dyDescent="0.25">
      <c r="A22" s="16"/>
      <c r="B22" s="3" t="s">
        <v>17</v>
      </c>
      <c r="C22" s="3" t="s">
        <v>38</v>
      </c>
      <c r="D22" s="11" t="s">
        <v>19</v>
      </c>
      <c r="E22" s="52">
        <v>444.19568870178739</v>
      </c>
      <c r="F22" s="53">
        <v>454.36780213784385</v>
      </c>
      <c r="G22" s="51">
        <v>498.54077431866369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x14ac:dyDescent="0.25">
      <c r="A23" s="16"/>
      <c r="B23" s="3" t="s">
        <v>17</v>
      </c>
      <c r="C23" s="3" t="s">
        <v>39</v>
      </c>
      <c r="D23" s="11" t="s">
        <v>19</v>
      </c>
      <c r="E23" s="52">
        <v>376.76093910164644</v>
      </c>
      <c r="F23" s="53">
        <v>385.38879188882203</v>
      </c>
      <c r="G23" s="51">
        <v>422.85572573141883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x14ac:dyDescent="0.25">
      <c r="A24" s="16"/>
      <c r="B24" s="3" t="s">
        <v>17</v>
      </c>
      <c r="C24" s="3" t="s">
        <v>40</v>
      </c>
      <c r="D24" s="11" t="s">
        <v>19</v>
      </c>
      <c r="E24" s="52">
        <v>523.98406659192426</v>
      </c>
      <c r="F24" s="53">
        <v>535.98333965924473</v>
      </c>
      <c r="G24" s="51">
        <v>588.0908548501385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x14ac:dyDescent="0.25">
      <c r="A25" s="16"/>
      <c r="B25" s="3" t="s">
        <v>17</v>
      </c>
      <c r="C25" s="3" t="s">
        <v>41</v>
      </c>
      <c r="D25" s="11" t="s">
        <v>19</v>
      </c>
      <c r="E25" s="52">
        <v>484.82430247500639</v>
      </c>
      <c r="F25" s="53">
        <v>495.92681410844017</v>
      </c>
      <c r="G25" s="51">
        <v>544.1400925587667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25">
      <c r="A26" s="16"/>
      <c r="B26" s="3" t="s">
        <v>17</v>
      </c>
      <c r="C26" s="3" t="s">
        <v>42</v>
      </c>
      <c r="D26" s="11" t="s">
        <v>19</v>
      </c>
      <c r="E26" s="52">
        <v>503.25366941239577</v>
      </c>
      <c r="F26" s="53">
        <v>514.77821488319012</v>
      </c>
      <c r="G26" s="51">
        <v>564.82419890392566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x14ac:dyDescent="0.25">
      <c r="A27" s="16"/>
      <c r="B27" s="3" t="s">
        <v>17</v>
      </c>
      <c r="C27" s="3" t="s">
        <v>43</v>
      </c>
      <c r="D27" s="11" t="s">
        <v>19</v>
      </c>
      <c r="E27" s="52">
        <v>378.43620233090201</v>
      </c>
      <c r="F27" s="53">
        <v>387.10241876733551</v>
      </c>
      <c r="G27" s="51">
        <v>424.73594890499709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x14ac:dyDescent="0.25">
      <c r="A28" s="16"/>
      <c r="B28" s="3" t="s">
        <v>17</v>
      </c>
      <c r="C28" s="3" t="s">
        <v>44</v>
      </c>
      <c r="D28" s="11" t="s">
        <v>19</v>
      </c>
      <c r="E28" s="52">
        <v>376.36260200361363</v>
      </c>
      <c r="F28" s="53">
        <v>384.98133284240015</v>
      </c>
      <c r="G28" s="51">
        <v>422.40865411333641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x14ac:dyDescent="0.25">
      <c r="A29" s="16"/>
      <c r="B29" s="3" t="s">
        <v>17</v>
      </c>
      <c r="C29" s="3" t="s">
        <v>45</v>
      </c>
      <c r="D29" s="11" t="s">
        <v>19</v>
      </c>
      <c r="E29" s="52">
        <v>474.91441589226946</v>
      </c>
      <c r="F29" s="53">
        <v>485.78999040537087</v>
      </c>
      <c r="G29" s="51">
        <v>533.01778170337116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25">
      <c r="A30" s="16"/>
      <c r="B30" s="3" t="s">
        <v>17</v>
      </c>
      <c r="C30" s="3" t="s">
        <v>46</v>
      </c>
      <c r="D30" s="11" t="s">
        <v>19</v>
      </c>
      <c r="E30" s="52">
        <v>387.65099898541041</v>
      </c>
      <c r="F30" s="53">
        <v>396.52823493248758</v>
      </c>
      <c r="G30" s="51">
        <v>435.07812911109949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25">
      <c r="A31" s="16"/>
      <c r="B31" s="3" t="s">
        <v>17</v>
      </c>
      <c r="C31" s="3" t="s">
        <v>47</v>
      </c>
      <c r="D31" s="11" t="s">
        <v>19</v>
      </c>
      <c r="E31" s="52">
        <v>407.7011946986504</v>
      </c>
      <c r="F31" s="53">
        <v>417.0375815794215</v>
      </c>
      <c r="G31" s="51">
        <v>457.58136439763149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25">
      <c r="A32" s="16"/>
      <c r="B32" s="3" t="s">
        <v>17</v>
      </c>
      <c r="C32" s="3" t="s">
        <v>48</v>
      </c>
      <c r="D32" s="11" t="s">
        <v>19</v>
      </c>
      <c r="E32" s="52">
        <v>468.90788697440712</v>
      </c>
      <c r="F32" s="53">
        <v>479.64591154034889</v>
      </c>
      <c r="G32" s="51">
        <v>526.27638449073652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25">
      <c r="A33" s="16"/>
      <c r="B33" s="3" t="s">
        <v>17</v>
      </c>
      <c r="C33" s="3" t="s">
        <v>232</v>
      </c>
      <c r="D33" s="11" t="s">
        <v>19</v>
      </c>
      <c r="E33" s="52">
        <v>471.61568778956109</v>
      </c>
      <c r="F33" s="53">
        <v>482.41572119024528</v>
      </c>
      <c r="G33" s="51">
        <v>529.31547097766975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25">
      <c r="A34" s="16"/>
      <c r="B34" s="3" t="s">
        <v>17</v>
      </c>
      <c r="C34" s="3" t="s">
        <v>50</v>
      </c>
      <c r="D34" s="11" t="s">
        <v>19</v>
      </c>
      <c r="E34" s="52">
        <v>384.6096475001537</v>
      </c>
      <c r="F34" s="53">
        <v>393.4172362779903</v>
      </c>
      <c r="G34" s="51">
        <v>431.66468372430063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25">
      <c r="A35" s="16"/>
      <c r="B35" s="3" t="s">
        <v>17</v>
      </c>
      <c r="C35" s="3" t="s">
        <v>51</v>
      </c>
      <c r="D35" s="11" t="s">
        <v>19</v>
      </c>
      <c r="E35" s="52">
        <v>467.65141125601207</v>
      </c>
      <c r="F35" s="53">
        <v>478.36066243701958</v>
      </c>
      <c r="G35" s="51">
        <v>524.86618535217212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25">
      <c r="A36" s="16"/>
      <c r="B36" s="3" t="s">
        <v>17</v>
      </c>
      <c r="C36" s="3" t="s">
        <v>52</v>
      </c>
      <c r="D36" s="11" t="s">
        <v>19</v>
      </c>
      <c r="E36" s="52">
        <v>522.33481685824188</v>
      </c>
      <c r="F36" s="53">
        <v>534.29632198723675</v>
      </c>
      <c r="G36" s="51">
        <v>586.2398277911459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25">
      <c r="A37" s="16"/>
      <c r="B37" s="3" t="s">
        <v>17</v>
      </c>
      <c r="C37" s="3" t="s">
        <v>53</v>
      </c>
      <c r="D37" s="11" t="s">
        <v>19</v>
      </c>
      <c r="E37" s="52">
        <v>519.17008491299509</v>
      </c>
      <c r="F37" s="53">
        <v>531.0591174512814</v>
      </c>
      <c r="G37" s="51">
        <v>582.68790697195584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x14ac:dyDescent="0.25">
      <c r="A38" s="16"/>
      <c r="B38" s="3" t="s">
        <v>17</v>
      </c>
      <c r="C38" s="3" t="s">
        <v>54</v>
      </c>
      <c r="D38" s="11" t="s">
        <v>19</v>
      </c>
      <c r="E38" s="52">
        <v>439.03990171135905</v>
      </c>
      <c r="F38" s="53">
        <v>449.09394725199752</v>
      </c>
      <c r="G38" s="51">
        <v>492.75420298578467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x14ac:dyDescent="0.25">
      <c r="A39" s="16"/>
      <c r="B39" s="3" t="s">
        <v>17</v>
      </c>
      <c r="C39" s="3" t="s">
        <v>55</v>
      </c>
      <c r="D39" s="11" t="s">
        <v>19</v>
      </c>
      <c r="E39" s="52">
        <v>404.40246659594203</v>
      </c>
      <c r="F39" s="53">
        <v>413.66331236429585</v>
      </c>
      <c r="G39" s="51">
        <v>453.87905367193002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x14ac:dyDescent="0.25">
      <c r="A40" s="16"/>
      <c r="B40" s="3" t="s">
        <v>17</v>
      </c>
      <c r="C40" s="3" t="s">
        <v>233</v>
      </c>
      <c r="D40" s="11" t="s">
        <v>19</v>
      </c>
      <c r="E40" s="52">
        <v>455.94627769029989</v>
      </c>
      <c r="F40" s="53">
        <v>466.38748046506868</v>
      </c>
      <c r="G40" s="51">
        <v>511.72898816683158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x14ac:dyDescent="0.25">
      <c r="A41" s="16"/>
      <c r="B41" s="3" t="s">
        <v>17</v>
      </c>
      <c r="C41" s="3" t="s">
        <v>57</v>
      </c>
      <c r="D41" s="11" t="s">
        <v>19</v>
      </c>
      <c r="E41" s="52">
        <v>371.0021116778766</v>
      </c>
      <c r="F41" s="53">
        <v>379.49808690004375</v>
      </c>
      <c r="G41" s="51">
        <v>416.39233503214257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x14ac:dyDescent="0.25">
      <c r="A42" s="16"/>
      <c r="B42" s="3" t="s">
        <v>17</v>
      </c>
      <c r="C42" s="3" t="s">
        <v>58</v>
      </c>
      <c r="D42" s="11" t="s">
        <v>19</v>
      </c>
      <c r="E42" s="52">
        <v>409.76295578982081</v>
      </c>
      <c r="F42" s="53">
        <v>419.14655714887442</v>
      </c>
      <c r="G42" s="51">
        <v>459.89537148278862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x14ac:dyDescent="0.25">
      <c r="A43" s="16"/>
      <c r="B43" s="3" t="s">
        <v>17</v>
      </c>
      <c r="C43" s="3" t="s">
        <v>59</v>
      </c>
      <c r="D43" s="11" t="s">
        <v>19</v>
      </c>
      <c r="E43" s="52">
        <v>357.80686084146043</v>
      </c>
      <c r="F43" s="53">
        <v>366.00066386398839</v>
      </c>
      <c r="G43" s="51">
        <v>401.58271229910349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x14ac:dyDescent="0.25">
      <c r="A44" s="16"/>
      <c r="B44" s="3" t="s">
        <v>60</v>
      </c>
      <c r="C44" s="3" t="s">
        <v>61</v>
      </c>
      <c r="D44" s="11" t="s">
        <v>234</v>
      </c>
      <c r="E44" s="52">
        <v>132.19315323320973</v>
      </c>
      <c r="F44" s="53">
        <v>135.22038601452778</v>
      </c>
      <c r="G44" s="51">
        <v>148.36631387648347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x14ac:dyDescent="0.25">
      <c r="A45" s="16"/>
      <c r="B45" s="3" t="s">
        <v>62</v>
      </c>
      <c r="C45" s="3" t="s">
        <v>63</v>
      </c>
      <c r="D45" s="11" t="s">
        <v>234</v>
      </c>
      <c r="E45" s="52">
        <v>390.77289586999876</v>
      </c>
      <c r="F45" s="53">
        <v>399.72162348179359</v>
      </c>
      <c r="G45" s="51">
        <v>438.58197421759849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x14ac:dyDescent="0.25">
      <c r="A46" s="16"/>
      <c r="B46" s="3" t="s">
        <v>64</v>
      </c>
      <c r="C46" s="3" t="s">
        <v>65</v>
      </c>
      <c r="D46" s="11" t="s">
        <v>234</v>
      </c>
      <c r="E46" s="52">
        <v>189.13137399392252</v>
      </c>
      <c r="F46" s="53">
        <v>193.46249615363126</v>
      </c>
      <c r="G46" s="51">
        <v>212.27063665218213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x14ac:dyDescent="0.25">
      <c r="A47" s="16"/>
      <c r="B47" s="3" t="s">
        <v>66</v>
      </c>
      <c r="C47" s="3" t="s">
        <v>67</v>
      </c>
      <c r="D47" s="11" t="s">
        <v>234</v>
      </c>
      <c r="E47" s="52">
        <v>189.13137399392252</v>
      </c>
      <c r="F47" s="53">
        <v>193.46249615363126</v>
      </c>
      <c r="G47" s="51">
        <v>212.27063665218213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x14ac:dyDescent="0.25">
      <c r="A48" s="16"/>
      <c r="B48" s="3" t="s">
        <v>68</v>
      </c>
      <c r="C48" s="3" t="s">
        <v>69</v>
      </c>
      <c r="D48" s="11" t="s">
        <v>234</v>
      </c>
      <c r="E48" s="52">
        <v>468.14026333357833</v>
      </c>
      <c r="F48" s="53">
        <v>478.86070926256048</v>
      </c>
      <c r="G48" s="51">
        <v>525.4148459976401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25">
      <c r="A49" s="16"/>
      <c r="B49" s="3" t="s">
        <v>70</v>
      </c>
      <c r="C49" s="3" t="s">
        <v>71</v>
      </c>
      <c r="D49" s="11" t="s">
        <v>234</v>
      </c>
      <c r="E49" s="52">
        <v>389.03501320228145</v>
      </c>
      <c r="F49" s="53">
        <v>397.9439431751432</v>
      </c>
      <c r="G49" s="51">
        <v>436.63147043542324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25">
      <c r="A50" s="16"/>
      <c r="B50" s="3" t="s">
        <v>72</v>
      </c>
      <c r="C50" s="3" t="s">
        <v>73</v>
      </c>
      <c r="D50" s="11" t="s">
        <v>234</v>
      </c>
      <c r="E50" s="52">
        <v>92.166947619477355</v>
      </c>
      <c r="F50" s="53">
        <v>94.277577393891534</v>
      </c>
      <c r="G50" s="51">
        <v>103.44310537342923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25">
      <c r="A51" s="16"/>
      <c r="B51" s="3" t="s">
        <v>74</v>
      </c>
      <c r="C51" s="3" t="s">
        <v>75</v>
      </c>
      <c r="D51" s="11" t="s">
        <v>234</v>
      </c>
      <c r="E51" s="52">
        <v>235.22337175211794</v>
      </c>
      <c r="F51" s="53">
        <v>240.61000399807068</v>
      </c>
      <c r="G51" s="51">
        <v>264.0017561491382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25">
      <c r="A52" s="16"/>
      <c r="B52" s="3" t="s">
        <v>76</v>
      </c>
      <c r="C52" s="3" t="s">
        <v>77</v>
      </c>
      <c r="D52" s="11" t="s">
        <v>234</v>
      </c>
      <c r="E52" s="52">
        <v>219.89981947049475</v>
      </c>
      <c r="F52" s="53">
        <v>224.93554125960003</v>
      </c>
      <c r="G52" s="51">
        <v>246.80344510267122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25">
      <c r="A53" s="16"/>
      <c r="B53" s="3" t="s">
        <v>78</v>
      </c>
      <c r="C53" s="3" t="s">
        <v>79</v>
      </c>
      <c r="D53" s="11" t="s">
        <v>234</v>
      </c>
      <c r="E53" s="52">
        <v>61.850020706747948</v>
      </c>
      <c r="F53" s="53">
        <v>63.266390659572643</v>
      </c>
      <c r="G53" s="51">
        <v>69.417056488966836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25">
      <c r="A54" s="16"/>
      <c r="B54" s="3" t="s">
        <v>80</v>
      </c>
      <c r="C54" s="3" t="s">
        <v>81</v>
      </c>
      <c r="D54" s="11" t="s">
        <v>234</v>
      </c>
      <c r="E54" s="52">
        <v>427.9022125302584</v>
      </c>
      <c r="F54" s="53">
        <v>437.70120418215515</v>
      </c>
      <c r="G54" s="51">
        <v>480.25387412240781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25">
      <c r="A55" s="16"/>
      <c r="B55" s="3" t="s">
        <v>82</v>
      </c>
      <c r="C55" s="3" t="s">
        <v>83</v>
      </c>
      <c r="D55" s="11" t="s">
        <v>234</v>
      </c>
      <c r="E55" s="52">
        <v>415.77984861170717</v>
      </c>
      <c r="F55" s="53">
        <v>425.30123725207301</v>
      </c>
      <c r="G55" s="51">
        <v>466.64840057044705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25">
      <c r="A56" s="16"/>
      <c r="B56" s="3" t="s">
        <v>82</v>
      </c>
      <c r="C56" s="3" t="s">
        <v>84</v>
      </c>
      <c r="D56" s="11" t="s">
        <v>234</v>
      </c>
      <c r="E56" s="52">
        <v>415.77984861170717</v>
      </c>
      <c r="F56" s="53">
        <v>425.30123725207301</v>
      </c>
      <c r="G56" s="51">
        <v>466.64840057044705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25">
      <c r="A57" s="16"/>
      <c r="B57" s="3" t="s">
        <v>85</v>
      </c>
      <c r="C57" s="3" t="s">
        <v>86</v>
      </c>
      <c r="D57" s="11" t="s">
        <v>234</v>
      </c>
      <c r="E57" s="52">
        <v>234.72419121951214</v>
      </c>
      <c r="F57" s="53">
        <v>240.09939219512191</v>
      </c>
      <c r="G57" s="51">
        <v>263.4415034146341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x14ac:dyDescent="0.25">
      <c r="A58" s="16"/>
      <c r="B58" s="3" t="s">
        <v>85</v>
      </c>
      <c r="C58" s="3" t="s">
        <v>87</v>
      </c>
      <c r="D58" s="11" t="s">
        <v>234</v>
      </c>
      <c r="E58" s="52">
        <v>234.72419121951214</v>
      </c>
      <c r="F58" s="53">
        <v>240.09939219512191</v>
      </c>
      <c r="G58" s="51">
        <v>263.4415034146341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s="34" customFormat="1" x14ac:dyDescent="0.25">
      <c r="A59" s="35"/>
      <c r="B59" s="3" t="s">
        <v>85</v>
      </c>
      <c r="C59" s="3" t="s">
        <v>88</v>
      </c>
      <c r="D59" s="11" t="s">
        <v>234</v>
      </c>
      <c r="E59" s="52">
        <v>234.72419121951214</v>
      </c>
      <c r="F59" s="53">
        <v>240.09939219512191</v>
      </c>
      <c r="G59" s="51">
        <v>263.4415034146341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x14ac:dyDescent="0.25">
      <c r="A60" s="16"/>
      <c r="B60" s="3" t="s">
        <v>89</v>
      </c>
      <c r="C60" s="3" t="s">
        <v>90</v>
      </c>
      <c r="D60" s="11" t="s">
        <v>234</v>
      </c>
      <c r="E60" s="52">
        <v>281.65338335318052</v>
      </c>
      <c r="F60" s="53">
        <v>288.10326622685488</v>
      </c>
      <c r="G60" s="51">
        <v>316.11224376523535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x14ac:dyDescent="0.25">
      <c r="A61" s="16"/>
      <c r="B61" s="3" t="s">
        <v>91</v>
      </c>
      <c r="C61" s="3" t="s">
        <v>92</v>
      </c>
      <c r="D61" s="11" t="s">
        <v>234</v>
      </c>
      <c r="E61" s="52">
        <v>259.76609999999994</v>
      </c>
      <c r="F61" s="53">
        <v>265.71476249999995</v>
      </c>
      <c r="G61" s="51">
        <v>291.54716250000001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x14ac:dyDescent="0.25">
      <c r="A62" s="16"/>
      <c r="B62" s="3" t="s">
        <v>93</v>
      </c>
      <c r="C62" s="3" t="s">
        <v>53</v>
      </c>
      <c r="D62" s="11" t="s">
        <v>234</v>
      </c>
      <c r="E62" s="52">
        <v>299.29031999999995</v>
      </c>
      <c r="F62" s="53">
        <v>306.14409000000001</v>
      </c>
      <c r="G62" s="51">
        <v>335.90697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x14ac:dyDescent="0.25">
      <c r="A63" s="16"/>
      <c r="B63" s="3" t="s">
        <v>94</v>
      </c>
      <c r="C63" s="3" t="s">
        <v>95</v>
      </c>
      <c r="D63" s="11" t="s">
        <v>234</v>
      </c>
      <c r="E63" s="52">
        <v>246.72161794097559</v>
      </c>
      <c r="F63" s="53">
        <v>252.37156085725607</v>
      </c>
      <c r="G63" s="51">
        <v>276.90675433823168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x14ac:dyDescent="0.25">
      <c r="A64" s="16"/>
      <c r="B64" s="3" t="s">
        <v>94</v>
      </c>
      <c r="C64" s="3" t="s">
        <v>96</v>
      </c>
      <c r="D64" s="11" t="s">
        <v>234</v>
      </c>
      <c r="E64" s="52">
        <v>246.72161794097559</v>
      </c>
      <c r="F64" s="53">
        <v>252.37156085725607</v>
      </c>
      <c r="G64" s="51">
        <v>276.90675433823168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x14ac:dyDescent="0.25">
      <c r="A65" s="16"/>
      <c r="B65" s="3" t="s">
        <v>94</v>
      </c>
      <c r="C65" s="3" t="s">
        <v>97</v>
      </c>
      <c r="D65" s="11" t="s">
        <v>234</v>
      </c>
      <c r="E65" s="52">
        <v>246.72161794097559</v>
      </c>
      <c r="F65" s="53">
        <v>252.37156085725607</v>
      </c>
      <c r="G65" s="51">
        <v>276.90675433823168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x14ac:dyDescent="0.25">
      <c r="A66" s="16"/>
      <c r="B66" s="3" t="s">
        <v>94</v>
      </c>
      <c r="C66" s="3" t="s">
        <v>98</v>
      </c>
      <c r="D66" s="11" t="s">
        <v>234</v>
      </c>
      <c r="E66" s="52">
        <v>246.72161794097559</v>
      </c>
      <c r="F66" s="53">
        <v>252.37156085725607</v>
      </c>
      <c r="G66" s="51">
        <v>276.90675433823168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x14ac:dyDescent="0.25">
      <c r="A67" s="16"/>
      <c r="B67" s="3" t="s">
        <v>99</v>
      </c>
      <c r="C67" s="3" t="s">
        <v>100</v>
      </c>
      <c r="D67" s="11" t="s">
        <v>234</v>
      </c>
      <c r="E67" s="52">
        <v>390.0563765853658</v>
      </c>
      <c r="F67" s="53">
        <v>398.98869585365844</v>
      </c>
      <c r="G67" s="51">
        <v>437.77779243902438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25">
      <c r="A68" s="16"/>
      <c r="B68" s="3" t="s">
        <v>235</v>
      </c>
      <c r="C68" s="3" t="s">
        <v>236</v>
      </c>
      <c r="D68" s="11" t="s">
        <v>19</v>
      </c>
      <c r="E68" s="52">
        <v>301.58388479999996</v>
      </c>
      <c r="F68" s="53">
        <v>308.49017759999998</v>
      </c>
      <c r="G68" s="51">
        <v>338.48114079999999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25">
      <c r="A69" s="16"/>
      <c r="B69" s="3" t="s">
        <v>235</v>
      </c>
      <c r="C69" s="3" t="s">
        <v>237</v>
      </c>
      <c r="D69" s="11" t="s">
        <v>19</v>
      </c>
      <c r="E69" s="52">
        <v>292.31974364326396</v>
      </c>
      <c r="F69" s="53">
        <v>299.01388693994619</v>
      </c>
      <c r="G69" s="51">
        <v>328.08357904253489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25">
      <c r="A70" s="16"/>
      <c r="B70" s="3" t="s">
        <v>235</v>
      </c>
      <c r="C70" s="3" t="s">
        <v>238</v>
      </c>
      <c r="D70" s="11" t="s">
        <v>19</v>
      </c>
      <c r="E70" s="52">
        <v>292.31974364326396</v>
      </c>
      <c r="F70" s="53">
        <v>299.01388693994619</v>
      </c>
      <c r="G70" s="51">
        <v>328.08357904253489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25">
      <c r="A71" s="16"/>
      <c r="B71" s="3" t="s">
        <v>235</v>
      </c>
      <c r="C71" s="3" t="s">
        <v>239</v>
      </c>
      <c r="D71" s="11" t="s">
        <v>19</v>
      </c>
      <c r="E71" s="52">
        <v>297.35973922332028</v>
      </c>
      <c r="F71" s="53">
        <v>304.16929878373844</v>
      </c>
      <c r="G71" s="51">
        <v>333.74019247430272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25">
      <c r="A72" s="16"/>
      <c r="B72" s="3" t="s">
        <v>101</v>
      </c>
      <c r="C72" s="3" t="s">
        <v>102</v>
      </c>
      <c r="D72" s="11" t="s">
        <v>6</v>
      </c>
      <c r="E72" s="52">
        <v>197.95443474710518</v>
      </c>
      <c r="F72" s="53">
        <v>202.48760563695106</v>
      </c>
      <c r="G72" s="51">
        <v>222.17315405978655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25">
      <c r="A73" s="16"/>
      <c r="B73" s="3" t="s">
        <v>103</v>
      </c>
      <c r="C73" s="3" t="s">
        <v>104</v>
      </c>
      <c r="D73" s="11" t="s">
        <v>6</v>
      </c>
      <c r="E73" s="52">
        <v>207.8762664341792</v>
      </c>
      <c r="F73" s="53">
        <v>212.6366479881118</v>
      </c>
      <c r="G73" s="51">
        <v>233.3088714423435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25">
      <c r="A74" s="16"/>
      <c r="B74" s="3" t="s">
        <v>105</v>
      </c>
      <c r="C74" s="3" t="s">
        <v>106</v>
      </c>
      <c r="D74" s="11" t="s">
        <v>6</v>
      </c>
      <c r="E74" s="52">
        <v>191.40714165729227</v>
      </c>
      <c r="F74" s="53">
        <v>195.79037906128349</v>
      </c>
      <c r="G74" s="51">
        <v>214.82483292630991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x14ac:dyDescent="0.25">
      <c r="A75" s="16"/>
      <c r="B75" s="3" t="s">
        <v>107</v>
      </c>
      <c r="C75" s="3" t="s">
        <v>108</v>
      </c>
      <c r="D75" s="11" t="s">
        <v>6</v>
      </c>
      <c r="E75" s="52">
        <v>215.05357871626691</v>
      </c>
      <c r="F75" s="53">
        <v>219.97832124117778</v>
      </c>
      <c r="G75" s="51">
        <v>241.36429141523087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x14ac:dyDescent="0.25">
      <c r="A76" s="16"/>
      <c r="B76" s="3" t="s">
        <v>109</v>
      </c>
      <c r="C76" s="3" t="s">
        <v>110</v>
      </c>
      <c r="D76" s="11" t="s">
        <v>6</v>
      </c>
      <c r="E76" s="52">
        <v>235.29383107472259</v>
      </c>
      <c r="F76" s="53">
        <v>240.68207684426503</v>
      </c>
      <c r="G76" s="51">
        <v>264.08083581186963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x14ac:dyDescent="0.25">
      <c r="A77" s="16"/>
      <c r="B77" s="3" t="s">
        <v>111</v>
      </c>
      <c r="C77" s="3" t="s">
        <v>112</v>
      </c>
      <c r="D77" s="11" t="s">
        <v>6</v>
      </c>
      <c r="E77" s="52">
        <v>114.8919859837106</v>
      </c>
      <c r="F77" s="53">
        <v>117.52302078221518</v>
      </c>
      <c r="G77" s="51">
        <v>128.94843671880432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x14ac:dyDescent="0.25">
      <c r="A78" s="16"/>
      <c r="B78" s="3" t="s">
        <v>113</v>
      </c>
      <c r="C78" s="3" t="s">
        <v>114</v>
      </c>
      <c r="D78" s="11" t="s">
        <v>6</v>
      </c>
      <c r="E78" s="52">
        <v>299.41198273170727</v>
      </c>
      <c r="F78" s="53">
        <v>306.26853881707314</v>
      </c>
      <c r="G78" s="51">
        <v>336.04351754878047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x14ac:dyDescent="0.25">
      <c r="A79" s="16"/>
      <c r="B79" s="3" t="s">
        <v>115</v>
      </c>
      <c r="C79" s="3" t="s">
        <v>116</v>
      </c>
      <c r="D79" s="11" t="s">
        <v>6</v>
      </c>
      <c r="E79" s="52">
        <v>182.4795240177676</v>
      </c>
      <c r="F79" s="53">
        <v>186.65831833135331</v>
      </c>
      <c r="G79" s="51">
        <v>204.80496662855833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x14ac:dyDescent="0.25">
      <c r="A80" s="16"/>
      <c r="B80" s="3" t="s">
        <v>117</v>
      </c>
      <c r="C80" s="3" t="s">
        <v>118</v>
      </c>
      <c r="D80" s="11" t="s">
        <v>6</v>
      </c>
      <c r="E80" s="52">
        <v>275.04123995121955</v>
      </c>
      <c r="F80" s="53">
        <v>281.33970426219514</v>
      </c>
      <c r="G80" s="51">
        <v>308.69113821341466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x14ac:dyDescent="0.25">
      <c r="A81" s="21"/>
      <c r="B81" s="3" t="s">
        <v>119</v>
      </c>
      <c r="C81" s="3" t="s">
        <v>120</v>
      </c>
      <c r="D81" s="11" t="s">
        <v>6</v>
      </c>
      <c r="E81" s="52">
        <v>292.44891336585368</v>
      </c>
      <c r="F81" s="53">
        <v>299.14601465853656</v>
      </c>
      <c r="G81" s="51">
        <v>328.2285520243903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x14ac:dyDescent="0.25">
      <c r="A82" s="21"/>
      <c r="B82" s="3" t="s">
        <v>122</v>
      </c>
      <c r="C82" s="3" t="s">
        <v>124</v>
      </c>
      <c r="D82" s="11" t="s">
        <v>6</v>
      </c>
      <c r="E82" s="52">
        <v>277.37226213003811</v>
      </c>
      <c r="F82" s="53">
        <v>283.72410701770104</v>
      </c>
      <c r="G82" s="51">
        <v>311.30734911221612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x14ac:dyDescent="0.25">
      <c r="A83" s="21"/>
      <c r="B83" s="3" t="s">
        <v>129</v>
      </c>
      <c r="C83" s="3" t="s">
        <v>130</v>
      </c>
      <c r="D83" s="11" t="s">
        <v>6</v>
      </c>
      <c r="E83" s="52">
        <v>210.18559399982186</v>
      </c>
      <c r="F83" s="53">
        <v>214.99885932222904</v>
      </c>
      <c r="G83" s="51">
        <v>235.90073350227414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x14ac:dyDescent="0.25">
      <c r="A84" s="21"/>
      <c r="B84" s="3" t="s">
        <v>131</v>
      </c>
      <c r="C84" s="3" t="s">
        <v>132</v>
      </c>
      <c r="D84" s="11" t="s">
        <v>6</v>
      </c>
      <c r="E84" s="52">
        <v>215.9884638799675</v>
      </c>
      <c r="F84" s="53">
        <v>220.93461534282338</v>
      </c>
      <c r="G84" s="51">
        <v>242.41355502869033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x14ac:dyDescent="0.25">
      <c r="A85" s="21"/>
      <c r="B85" s="3" t="s">
        <v>133</v>
      </c>
      <c r="C85" s="3" t="s">
        <v>134</v>
      </c>
      <c r="D85" s="11" t="s">
        <v>6</v>
      </c>
      <c r="E85" s="52">
        <v>261.13149998754506</v>
      </c>
      <c r="F85" s="53">
        <v>267.11143024613017</v>
      </c>
      <c r="G85" s="51">
        <v>293.07961223861599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x14ac:dyDescent="0.25">
      <c r="A86" s="21"/>
      <c r="B86" s="3" t="s">
        <v>135</v>
      </c>
      <c r="C86" s="3" t="s">
        <v>136</v>
      </c>
      <c r="D86" s="11" t="s">
        <v>6</v>
      </c>
      <c r="E86" s="52">
        <v>269.26161206158048</v>
      </c>
      <c r="F86" s="53">
        <v>275.427722475373</v>
      </c>
      <c r="G86" s="51">
        <v>302.20440221695429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x14ac:dyDescent="0.25">
      <c r="A87" s="16"/>
      <c r="B87" s="3" t="s">
        <v>137</v>
      </c>
      <c r="C87" s="3" t="s">
        <v>138</v>
      </c>
      <c r="D87" s="11" t="s">
        <v>6</v>
      </c>
      <c r="E87" s="52">
        <v>174.31192564544222</v>
      </c>
      <c r="F87" s="53">
        <v>178.3036813648753</v>
      </c>
      <c r="G87" s="51">
        <v>195.63810409379693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x14ac:dyDescent="0.25">
      <c r="A88" s="16"/>
      <c r="B88" s="3" t="s">
        <v>139</v>
      </c>
      <c r="C88" s="3" t="s">
        <v>140</v>
      </c>
      <c r="D88" s="11" t="s">
        <v>6</v>
      </c>
      <c r="E88" s="52">
        <v>164.3181558297303</v>
      </c>
      <c r="F88" s="53">
        <v>168.08105349672175</v>
      </c>
      <c r="G88" s="51">
        <v>184.42164731807074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x14ac:dyDescent="0.25">
      <c r="A89" s="16"/>
      <c r="B89" s="3" t="s">
        <v>141</v>
      </c>
      <c r="C89" s="3" t="s">
        <v>141</v>
      </c>
      <c r="D89" s="11" t="s">
        <v>6</v>
      </c>
      <c r="E89" s="52">
        <v>224.40918553111982</v>
      </c>
      <c r="F89" s="53">
        <v>229.54817212954245</v>
      </c>
      <c r="G89" s="51">
        <v>251.86450918935935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x14ac:dyDescent="0.25">
      <c r="A90" s="16"/>
      <c r="B90" s="3" t="s">
        <v>142</v>
      </c>
      <c r="C90" s="3" t="s">
        <v>143</v>
      </c>
      <c r="D90" s="11" t="s">
        <v>6</v>
      </c>
      <c r="E90" s="52">
        <v>271.8550382485854</v>
      </c>
      <c r="F90" s="53">
        <v>278.08053830985369</v>
      </c>
      <c r="G90" s="51">
        <v>305.11512092110576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x14ac:dyDescent="0.25">
      <c r="A91" s="16"/>
      <c r="B91" s="3" t="s">
        <v>144</v>
      </c>
      <c r="C91" s="3" t="s">
        <v>145</v>
      </c>
      <c r="D91" s="11" t="s">
        <v>6</v>
      </c>
      <c r="E91" s="52">
        <v>167.99827778779343</v>
      </c>
      <c r="F91" s="53">
        <v>171.84545051410694</v>
      </c>
      <c r="G91" s="51">
        <v>188.55201349952114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x14ac:dyDescent="0.25">
      <c r="A92" s="16"/>
      <c r="B92" s="3" t="s">
        <v>146</v>
      </c>
      <c r="C92" s="3" t="s">
        <v>147</v>
      </c>
      <c r="D92" s="11" t="s">
        <v>6</v>
      </c>
      <c r="E92" s="52">
        <v>212.1322231003499</v>
      </c>
      <c r="F92" s="53">
        <v>216.99006637011715</v>
      </c>
      <c r="G92" s="51">
        <v>238.08552278270324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x14ac:dyDescent="0.25">
      <c r="A93" s="16"/>
      <c r="B93" s="3" t="s">
        <v>148</v>
      </c>
      <c r="C93" s="3" t="s">
        <v>149</v>
      </c>
      <c r="D93" s="11" t="s">
        <v>6</v>
      </c>
      <c r="E93" s="52">
        <v>277.66264741463419</v>
      </c>
      <c r="F93" s="53">
        <v>284.02114214634145</v>
      </c>
      <c r="G93" s="51">
        <v>311.63326156097565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x14ac:dyDescent="0.25">
      <c r="A94" s="16"/>
      <c r="B94" s="3" t="s">
        <v>150</v>
      </c>
      <c r="C94" s="3" t="s">
        <v>151</v>
      </c>
      <c r="D94" s="11" t="s">
        <v>6</v>
      </c>
      <c r="E94" s="52">
        <v>228.20368023802047</v>
      </c>
      <c r="F94" s="53">
        <v>233.42956103999541</v>
      </c>
      <c r="G94" s="51">
        <v>256.12324104435567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x14ac:dyDescent="0.25">
      <c r="A95" s="16"/>
      <c r="B95" s="3" t="s">
        <v>152</v>
      </c>
      <c r="C95" s="3" t="s">
        <v>153</v>
      </c>
      <c r="D95" s="11" t="s">
        <v>6</v>
      </c>
      <c r="E95" s="52">
        <v>176.74262113991662</v>
      </c>
      <c r="F95" s="53">
        <v>180.79003996218299</v>
      </c>
      <c r="G95" s="51">
        <v>198.36618283199851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x14ac:dyDescent="0.25">
      <c r="A96" s="16"/>
      <c r="B96" s="3" t="s">
        <v>154</v>
      </c>
      <c r="C96" s="3" t="s">
        <v>155</v>
      </c>
      <c r="D96" s="11" t="s">
        <v>6</v>
      </c>
      <c r="E96" s="52">
        <v>181.80413199759201</v>
      </c>
      <c r="F96" s="53">
        <v>185.96745978500968</v>
      </c>
      <c r="G96" s="51">
        <v>204.04694382628605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x14ac:dyDescent="0.25">
      <c r="A97" s="16"/>
      <c r="B97" s="3" t="s">
        <v>156</v>
      </c>
      <c r="C97" s="3" t="s">
        <v>157</v>
      </c>
      <c r="D97" s="11" t="s">
        <v>6</v>
      </c>
      <c r="E97" s="52">
        <v>211.57046408422676</v>
      </c>
      <c r="F97" s="53">
        <v>216.41544303184705</v>
      </c>
      <c r="G97" s="51">
        <v>237.45503540517592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x14ac:dyDescent="0.25">
      <c r="A98" s="16"/>
      <c r="B98" s="3" t="s">
        <v>158</v>
      </c>
      <c r="C98" s="3" t="s">
        <v>159</v>
      </c>
      <c r="D98" s="11" t="s">
        <v>6</v>
      </c>
      <c r="E98" s="52">
        <v>205.83098465266522</v>
      </c>
      <c r="F98" s="53">
        <v>210.54452910569967</v>
      </c>
      <c r="G98" s="51">
        <v>231.0133598266502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x14ac:dyDescent="0.25">
      <c r="A99" s="16"/>
      <c r="B99" s="3" t="s">
        <v>160</v>
      </c>
      <c r="C99" s="3" t="s">
        <v>161</v>
      </c>
      <c r="D99" s="11" t="s">
        <v>6</v>
      </c>
      <c r="E99" s="52">
        <v>354.30261798224149</v>
      </c>
      <c r="F99" s="53">
        <v>362.41617358954664</v>
      </c>
      <c r="G99" s="51">
        <v>397.64974313062407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x14ac:dyDescent="0.25">
      <c r="A100" s="16"/>
      <c r="B100" s="3" t="s">
        <v>162</v>
      </c>
      <c r="C100" s="3" t="s">
        <v>163</v>
      </c>
      <c r="D100" s="11" t="s">
        <v>6</v>
      </c>
      <c r="E100" s="52">
        <v>252.96199338199852</v>
      </c>
      <c r="F100" s="53">
        <v>258.75484134775212</v>
      </c>
      <c r="G100" s="51">
        <v>283.91060800799431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x14ac:dyDescent="0.25">
      <c r="A101" s="16"/>
      <c r="B101" s="3" t="s">
        <v>164</v>
      </c>
      <c r="C101" s="3" t="s">
        <v>165</v>
      </c>
      <c r="D101" s="11" t="s">
        <v>6</v>
      </c>
      <c r="E101" s="52">
        <v>169.04980721305591</v>
      </c>
      <c r="F101" s="53">
        <v>172.92106003935055</v>
      </c>
      <c r="G101" s="51">
        <v>189.73219220729143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x14ac:dyDescent="0.25">
      <c r="A102" s="16"/>
      <c r="B102" s="3" t="s">
        <v>166</v>
      </c>
      <c r="C102" s="3" t="s">
        <v>167</v>
      </c>
      <c r="D102" s="11" t="s">
        <v>6</v>
      </c>
      <c r="E102" s="52">
        <v>168.50598229981094</v>
      </c>
      <c r="F102" s="53">
        <v>172.3647814962132</v>
      </c>
      <c r="G102" s="51">
        <v>189.12183307900881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x14ac:dyDescent="0.25">
      <c r="A103" s="16"/>
      <c r="B103" s="3" t="s">
        <v>168</v>
      </c>
      <c r="C103" s="3" t="s">
        <v>169</v>
      </c>
      <c r="D103" s="11" t="s">
        <v>6</v>
      </c>
      <c r="E103" s="52">
        <v>283.98167227317072</v>
      </c>
      <c r="F103" s="53">
        <v>290.48487313170727</v>
      </c>
      <c r="G103" s="51">
        <v>318.72538700487803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x14ac:dyDescent="0.25">
      <c r="A104" s="16"/>
      <c r="B104" s="3" t="s">
        <v>170</v>
      </c>
      <c r="C104" s="3" t="s">
        <v>171</v>
      </c>
      <c r="D104" s="11" t="s">
        <v>6</v>
      </c>
      <c r="E104" s="52">
        <v>283.18848114189836</v>
      </c>
      <c r="F104" s="53">
        <v>289.67351786609282</v>
      </c>
      <c r="G104" s="51">
        <v>317.83515296878704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x14ac:dyDescent="0.25">
      <c r="A105" s="16"/>
      <c r="B105" s="3" t="s">
        <v>170</v>
      </c>
      <c r="C105" s="3" t="s">
        <v>172</v>
      </c>
      <c r="D105" s="11" t="s">
        <v>6</v>
      </c>
      <c r="E105" s="52">
        <v>437.16200364878057</v>
      </c>
      <c r="F105" s="53">
        <v>447.17304518780492</v>
      </c>
      <c r="G105" s="51">
        <v>490.64655363658545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x14ac:dyDescent="0.25">
      <c r="A106" s="16"/>
      <c r="B106" s="3" t="s">
        <v>173</v>
      </c>
      <c r="C106" s="3" t="s">
        <v>174</v>
      </c>
      <c r="D106" s="11" t="s">
        <v>6</v>
      </c>
      <c r="E106" s="52">
        <v>346.69634487804876</v>
      </c>
      <c r="F106" s="53">
        <v>354.63571628048777</v>
      </c>
      <c r="G106" s="51">
        <v>389.11288115853665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x14ac:dyDescent="0.25">
      <c r="A107" s="16"/>
      <c r="B107" s="3" t="s">
        <v>175</v>
      </c>
      <c r="C107" s="3" t="s">
        <v>176</v>
      </c>
      <c r="D107" s="11" t="s">
        <v>6</v>
      </c>
      <c r="E107" s="52">
        <v>322.3397489268292</v>
      </c>
      <c r="F107" s="53">
        <v>329.72135251829258</v>
      </c>
      <c r="G107" s="51">
        <v>361.77637944512185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x14ac:dyDescent="0.25">
      <c r="A108" s="16"/>
      <c r="B108" s="3" t="s">
        <v>175</v>
      </c>
      <c r="C108" s="3" t="s">
        <v>177</v>
      </c>
      <c r="D108" s="11" t="s">
        <v>6</v>
      </c>
      <c r="E108" s="52">
        <v>322.3397489268292</v>
      </c>
      <c r="F108" s="53">
        <v>329.72135251829258</v>
      </c>
      <c r="G108" s="51">
        <v>361.77637944512185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x14ac:dyDescent="0.25">
      <c r="A109" s="16"/>
      <c r="B109" s="3" t="s">
        <v>178</v>
      </c>
      <c r="C109" s="3" t="s">
        <v>179</v>
      </c>
      <c r="D109" s="11" t="s">
        <v>6</v>
      </c>
      <c r="E109" s="52">
        <v>208.2646754104471</v>
      </c>
      <c r="F109" s="53">
        <v>213.0339515580614</v>
      </c>
      <c r="G109" s="51">
        <v>233.74480028340642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x14ac:dyDescent="0.25">
      <c r="A110" s="16"/>
      <c r="B110" s="3" t="s">
        <v>180</v>
      </c>
      <c r="C110" s="3" t="s">
        <v>181</v>
      </c>
      <c r="D110" s="11" t="s">
        <v>8</v>
      </c>
      <c r="E110" s="52">
        <v>204.82992000000002</v>
      </c>
      <c r="F110" s="53">
        <v>209.52053999999998</v>
      </c>
      <c r="G110" s="51">
        <v>229.88981999999999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x14ac:dyDescent="0.25">
      <c r="A111" s="16"/>
      <c r="B111" s="3" t="s">
        <v>182</v>
      </c>
      <c r="C111" s="3" t="s">
        <v>183</v>
      </c>
      <c r="D111" s="11" t="s">
        <v>8</v>
      </c>
      <c r="E111" s="52">
        <v>276.5005056</v>
      </c>
      <c r="F111" s="53">
        <v>282.83238719999997</v>
      </c>
      <c r="G111" s="51">
        <v>310.32893760000007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x14ac:dyDescent="0.25">
      <c r="A112" s="21"/>
      <c r="B112" s="3" t="s">
        <v>182</v>
      </c>
      <c r="C112" s="3" t="s">
        <v>184</v>
      </c>
      <c r="D112" s="11" t="s">
        <v>8</v>
      </c>
      <c r="E112" s="52">
        <v>282.03051571200001</v>
      </c>
      <c r="F112" s="53">
        <v>288.48903494399997</v>
      </c>
      <c r="G112" s="51">
        <v>316.53551635200006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x14ac:dyDescent="0.25">
      <c r="A113" s="21"/>
      <c r="B113" s="3" t="s">
        <v>182</v>
      </c>
      <c r="C113" s="3" t="s">
        <v>185</v>
      </c>
      <c r="D113" s="11" t="s">
        <v>8</v>
      </c>
      <c r="E113" s="52">
        <v>287.56052582400002</v>
      </c>
      <c r="F113" s="53">
        <v>294.14568268799997</v>
      </c>
      <c r="G113" s="51">
        <v>322.7420951040001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x14ac:dyDescent="0.25">
      <c r="A114" s="21"/>
      <c r="B114" s="3" t="s">
        <v>182</v>
      </c>
      <c r="C114" s="3" t="s">
        <v>186</v>
      </c>
      <c r="D114" s="11" t="s">
        <v>8</v>
      </c>
      <c r="E114" s="52">
        <v>284.79552076800002</v>
      </c>
      <c r="F114" s="53">
        <v>291.31735881599997</v>
      </c>
      <c r="G114" s="51">
        <v>319.63880572800008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x14ac:dyDescent="0.25">
      <c r="A115" s="16"/>
      <c r="B115" s="3" t="s">
        <v>180</v>
      </c>
      <c r="C115" s="3" t="s">
        <v>187</v>
      </c>
      <c r="D115" s="11" t="s">
        <v>8</v>
      </c>
      <c r="E115" s="52">
        <v>196.079904</v>
      </c>
      <c r="F115" s="53">
        <v>200.57014799999996</v>
      </c>
      <c r="G115" s="51">
        <v>220.06928400000001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x14ac:dyDescent="0.25">
      <c r="A116" s="16"/>
      <c r="B116" s="3" t="s">
        <v>180</v>
      </c>
      <c r="C116" s="3" t="s">
        <v>188</v>
      </c>
      <c r="D116" s="11" t="s">
        <v>8</v>
      </c>
      <c r="E116" s="52">
        <v>192.69921599999998</v>
      </c>
      <c r="F116" s="53">
        <v>197.11204199999997</v>
      </c>
      <c r="G116" s="51">
        <v>216.27498599999998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x14ac:dyDescent="0.25">
      <c r="A117" s="16"/>
      <c r="B117" s="3" t="s">
        <v>180</v>
      </c>
      <c r="C117" s="3" t="s">
        <v>189</v>
      </c>
      <c r="D117" s="11" t="s">
        <v>8</v>
      </c>
      <c r="E117" s="52">
        <v>189.31852800000001</v>
      </c>
      <c r="F117" s="53">
        <v>193.65393599999999</v>
      </c>
      <c r="G117" s="51">
        <v>212.48068800000004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x14ac:dyDescent="0.25">
      <c r="A118" s="16"/>
      <c r="B118" s="3" t="s">
        <v>190</v>
      </c>
      <c r="C118" s="3" t="s">
        <v>191</v>
      </c>
      <c r="D118" s="11" t="s">
        <v>8</v>
      </c>
      <c r="E118" s="52">
        <v>99.39980684643551</v>
      </c>
      <c r="F118" s="53">
        <v>101.67606962088773</v>
      </c>
      <c r="G118" s="51">
        <v>111.5608681776658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x14ac:dyDescent="0.25">
      <c r="A119" s="21"/>
      <c r="B119" s="3" t="s">
        <v>190</v>
      </c>
      <c r="C119" s="3" t="s">
        <v>192</v>
      </c>
      <c r="D119" s="11" t="s">
        <v>8</v>
      </c>
      <c r="E119" s="52">
        <v>98.415650343005453</v>
      </c>
      <c r="F119" s="53">
        <v>100.66937586226508</v>
      </c>
      <c r="G119" s="51">
        <v>110.45630512640177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x14ac:dyDescent="0.25">
      <c r="A120" s="21"/>
      <c r="B120" s="3" t="s">
        <v>190</v>
      </c>
      <c r="C120" s="3" t="s">
        <v>193</v>
      </c>
      <c r="D120" s="11" t="s">
        <v>8</v>
      </c>
      <c r="E120" s="52">
        <v>98.415650343005453</v>
      </c>
      <c r="F120" s="53">
        <v>100.66937586226508</v>
      </c>
      <c r="G120" s="51">
        <v>110.45630512640177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x14ac:dyDescent="0.25">
      <c r="A121" s="21"/>
      <c r="B121" s="3" t="s">
        <v>190</v>
      </c>
      <c r="C121" s="3" t="s">
        <v>194</v>
      </c>
      <c r="D121" s="11" t="s">
        <v>8</v>
      </c>
      <c r="E121" s="52">
        <v>97.450791025917169</v>
      </c>
      <c r="F121" s="53">
        <v>99.682421196948752</v>
      </c>
      <c r="G121" s="51">
        <v>109.37340017418215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x14ac:dyDescent="0.25">
      <c r="A122" s="21"/>
      <c r="B122" s="3" t="s">
        <v>190</v>
      </c>
      <c r="C122" s="3" t="s">
        <v>195</v>
      </c>
      <c r="D122" s="11" t="s">
        <v>8</v>
      </c>
      <c r="E122" s="52">
        <v>107.35179139415035</v>
      </c>
      <c r="F122" s="53">
        <v>109.81015519055876</v>
      </c>
      <c r="G122" s="51">
        <v>120.48573763187906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x14ac:dyDescent="0.25">
      <c r="A123" s="21"/>
      <c r="B123" s="3" t="s">
        <v>190</v>
      </c>
      <c r="C123" s="3" t="s">
        <v>196</v>
      </c>
      <c r="D123" s="11" t="s">
        <v>8</v>
      </c>
      <c r="E123" s="52">
        <v>104.36979718875729</v>
      </c>
      <c r="F123" s="53">
        <v>106.75987310193211</v>
      </c>
      <c r="G123" s="51">
        <v>117.13891158654909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x14ac:dyDescent="0.25">
      <c r="A124" s="21"/>
      <c r="B124" s="3" t="s">
        <v>190</v>
      </c>
      <c r="C124" s="3" t="s">
        <v>197</v>
      </c>
      <c r="D124" s="11" t="s">
        <v>8</v>
      </c>
      <c r="E124" s="52">
        <v>98.415650343005453</v>
      </c>
      <c r="F124" s="53">
        <v>100.66937586226508</v>
      </c>
      <c r="G124" s="51">
        <v>110.45630512640177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x14ac:dyDescent="0.25">
      <c r="A125" s="16"/>
      <c r="B125" s="3" t="s">
        <v>198</v>
      </c>
      <c r="C125" s="3" t="s">
        <v>199</v>
      </c>
      <c r="D125" s="11" t="s">
        <v>8</v>
      </c>
      <c r="E125" s="52">
        <v>167.04576</v>
      </c>
      <c r="F125" s="53">
        <v>170.87111999999999</v>
      </c>
      <c r="G125" s="51">
        <v>187.48295999999999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x14ac:dyDescent="0.25">
      <c r="A126" s="16"/>
      <c r="B126" s="3" t="s">
        <v>200</v>
      </c>
      <c r="C126" s="3" t="s">
        <v>201</v>
      </c>
      <c r="D126" s="11" t="s">
        <v>8</v>
      </c>
      <c r="E126" s="52">
        <v>378.09763145775258</v>
      </c>
      <c r="F126" s="53">
        <v>386.7560945966747</v>
      </c>
      <c r="G126" s="51">
        <v>424.35595560574887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x14ac:dyDescent="0.25">
      <c r="A127" s="16"/>
      <c r="B127" s="3" t="s">
        <v>202</v>
      </c>
      <c r="C127" s="3" t="s">
        <v>203</v>
      </c>
      <c r="D127" s="11" t="s">
        <v>8</v>
      </c>
      <c r="E127" s="52">
        <v>167.38485765203467</v>
      </c>
      <c r="F127" s="53">
        <v>171.21798301282078</v>
      </c>
      <c r="G127" s="51">
        <v>187.86354452685367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x14ac:dyDescent="0.25">
      <c r="A128" s="16"/>
      <c r="B128" s="3" t="s">
        <v>204</v>
      </c>
      <c r="C128" s="3" t="s">
        <v>205</v>
      </c>
      <c r="D128" s="11" t="s">
        <v>8</v>
      </c>
      <c r="E128" s="52">
        <v>234.23624455159489</v>
      </c>
      <c r="F128" s="53">
        <v>239.60027151317649</v>
      </c>
      <c r="G128" s="51">
        <v>262.89385895108552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x14ac:dyDescent="0.25">
      <c r="A129" s="16"/>
      <c r="B129" s="3" t="s">
        <v>206</v>
      </c>
      <c r="C129" s="3" t="s">
        <v>207</v>
      </c>
      <c r="D129" s="11" t="s">
        <v>8</v>
      </c>
      <c r="E129" s="52">
        <v>127.6044</v>
      </c>
      <c r="F129" s="53">
        <v>130.52654999999999</v>
      </c>
      <c r="G129" s="51">
        <v>143.21615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x14ac:dyDescent="0.25">
      <c r="A130" s="16"/>
      <c r="B130" s="3" t="s">
        <v>208</v>
      </c>
      <c r="C130" s="3" t="s">
        <v>209</v>
      </c>
      <c r="D130" s="11" t="s">
        <v>8</v>
      </c>
      <c r="E130" s="52">
        <v>180.93309600000003</v>
      </c>
      <c r="F130" s="53">
        <v>185.07647700000001</v>
      </c>
      <c r="G130" s="51">
        <v>203.06934100000004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x14ac:dyDescent="0.25">
      <c r="A131" s="16"/>
      <c r="B131" s="3" t="s">
        <v>210</v>
      </c>
      <c r="C131" s="3" t="s">
        <v>210</v>
      </c>
      <c r="D131" s="11" t="s">
        <v>8</v>
      </c>
      <c r="E131" s="52">
        <v>319.17671999999999</v>
      </c>
      <c r="F131" s="53">
        <v>326.48589000000004</v>
      </c>
      <c r="G131" s="51">
        <v>358.22637000000003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x14ac:dyDescent="0.25">
      <c r="A132" s="16"/>
      <c r="B132" s="3" t="s">
        <v>211</v>
      </c>
      <c r="C132" s="3" t="s">
        <v>212</v>
      </c>
      <c r="D132" s="11" t="s">
        <v>8</v>
      </c>
      <c r="E132" s="52">
        <v>191.77118400000001</v>
      </c>
      <c r="F132" s="53">
        <v>196.162758</v>
      </c>
      <c r="G132" s="51">
        <v>215.23341400000001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x14ac:dyDescent="0.25">
      <c r="A133" s="16"/>
      <c r="B133" s="3" t="s">
        <v>213</v>
      </c>
      <c r="C133" s="3" t="s">
        <v>214</v>
      </c>
      <c r="D133" s="11" t="s">
        <v>8</v>
      </c>
      <c r="E133" s="52">
        <v>183.78220319467542</v>
      </c>
      <c r="F133" s="53">
        <v>187.99082895574099</v>
      </c>
      <c r="G133" s="51">
        <v>206.26702198403123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x14ac:dyDescent="0.25">
      <c r="A134" s="16"/>
      <c r="B134" s="3" t="s">
        <v>215</v>
      </c>
      <c r="C134" s="3" t="s">
        <v>216</v>
      </c>
      <c r="D134" s="11" t="s">
        <v>8</v>
      </c>
      <c r="E134" s="52">
        <v>110.73536785143243</v>
      </c>
      <c r="F134" s="53">
        <v>113.27121579372175</v>
      </c>
      <c r="G134" s="51">
        <v>124.28327747723374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x14ac:dyDescent="0.25">
      <c r="A135" s="16"/>
      <c r="B135" s="3" t="s">
        <v>217</v>
      </c>
      <c r="C135" s="3" t="s">
        <v>218</v>
      </c>
      <c r="D135" s="11" t="s">
        <v>8</v>
      </c>
      <c r="E135" s="52">
        <v>134.14906158745211</v>
      </c>
      <c r="F135" s="53">
        <v>137.22108481171216</v>
      </c>
      <c r="G135" s="51">
        <v>150.5615176801723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x14ac:dyDescent="0.25">
      <c r="A136" s="16"/>
      <c r="B136" s="3" t="s">
        <v>219</v>
      </c>
      <c r="C136" s="3" t="s">
        <v>220</v>
      </c>
      <c r="D136" s="11" t="s">
        <v>6</v>
      </c>
      <c r="E136" s="52">
        <v>353.64648</v>
      </c>
      <c r="F136" s="53">
        <v>361.74500999999998</v>
      </c>
      <c r="G136" s="51">
        <v>396.91332999999997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x14ac:dyDescent="0.25">
      <c r="A137" s="16"/>
      <c r="B137" s="3" t="s">
        <v>221</v>
      </c>
      <c r="C137" s="3" t="s">
        <v>222</v>
      </c>
      <c r="D137" s="11" t="s">
        <v>6</v>
      </c>
      <c r="E137" s="52">
        <v>206.81856000000002</v>
      </c>
      <c r="F137" s="53">
        <v>211.55471999999997</v>
      </c>
      <c r="G137" s="51">
        <v>232.12175999999999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x14ac:dyDescent="0.25">
      <c r="A138" s="16"/>
      <c r="B138" s="17"/>
      <c r="C138" s="3"/>
      <c r="D138" s="1"/>
      <c r="E138" s="4"/>
      <c r="F138" s="4"/>
      <c r="G138" s="4"/>
    </row>
    <row r="139" spans="1:24" x14ac:dyDescent="0.25">
      <c r="A139" s="16"/>
      <c r="B139" s="17"/>
      <c r="C139" s="3"/>
      <c r="D139" s="1"/>
      <c r="E139" s="4"/>
      <c r="F139" s="4"/>
      <c r="G139" s="4"/>
    </row>
    <row r="140" spans="1:24" x14ac:dyDescent="0.25">
      <c r="A140" s="16"/>
      <c r="B140" s="17"/>
      <c r="C140" s="3"/>
      <c r="D140" s="1"/>
      <c r="E140" s="4"/>
      <c r="F140" s="4"/>
      <c r="G140" s="4"/>
    </row>
    <row r="141" spans="1:24" x14ac:dyDescent="0.25">
      <c r="A141" s="16"/>
      <c r="B141" s="17"/>
      <c r="C141" s="3"/>
      <c r="D141" s="1"/>
      <c r="E141" s="4"/>
      <c r="F141" s="4"/>
      <c r="G141" s="4"/>
    </row>
    <row r="142" spans="1:24" x14ac:dyDescent="0.25">
      <c r="A142" s="16"/>
      <c r="B142" s="17"/>
      <c r="C142" s="3"/>
      <c r="D142" s="1"/>
      <c r="E142" s="4"/>
      <c r="F142" s="4"/>
      <c r="G142" s="4"/>
    </row>
    <row r="143" spans="1:24" x14ac:dyDescent="0.25">
      <c r="A143" s="16"/>
      <c r="B143" s="17"/>
      <c r="C143" s="3"/>
      <c r="D143" s="1"/>
      <c r="E143" s="4"/>
      <c r="F143" s="4"/>
      <c r="G143" s="4"/>
    </row>
    <row r="144" spans="1:24" x14ac:dyDescent="0.25">
      <c r="A144" s="16"/>
      <c r="B144" s="17"/>
      <c r="C144" s="3"/>
      <c r="D144" s="1"/>
      <c r="E144" s="4"/>
      <c r="F144" s="4"/>
      <c r="G144" s="4"/>
    </row>
    <row r="145" spans="1:7" x14ac:dyDescent="0.25">
      <c r="A145" s="16"/>
      <c r="B145" s="17"/>
      <c r="C145" s="3"/>
      <c r="D145" s="1"/>
      <c r="E145" s="4"/>
      <c r="F145" s="4"/>
      <c r="G145" s="4"/>
    </row>
    <row r="146" spans="1:7" x14ac:dyDescent="0.25">
      <c r="A146" s="16"/>
      <c r="B146" s="17"/>
      <c r="C146" s="3"/>
      <c r="D146" s="1"/>
      <c r="E146" s="4"/>
      <c r="F146" s="4"/>
      <c r="G146" s="4"/>
    </row>
    <row r="147" spans="1:7" x14ac:dyDescent="0.25">
      <c r="A147" s="16"/>
      <c r="B147" s="17"/>
      <c r="C147" s="3"/>
      <c r="D147" s="1"/>
      <c r="E147" s="4"/>
      <c r="F147" s="4"/>
      <c r="G147" s="4"/>
    </row>
    <row r="148" spans="1:7" x14ac:dyDescent="0.25">
      <c r="A148" s="16"/>
      <c r="B148" s="17"/>
      <c r="C148" s="3"/>
      <c r="D148" s="1"/>
      <c r="E148" s="4"/>
      <c r="F148" s="4"/>
      <c r="G148" s="4"/>
    </row>
    <row r="149" spans="1:7" x14ac:dyDescent="0.25">
      <c r="A149" s="16"/>
      <c r="B149" s="17"/>
      <c r="C149" s="3"/>
      <c r="D149" s="1"/>
      <c r="E149" s="4"/>
      <c r="F149" s="4"/>
      <c r="G149" s="4"/>
    </row>
    <row r="150" spans="1:7" x14ac:dyDescent="0.25">
      <c r="A150" s="16"/>
      <c r="B150" s="17"/>
      <c r="C150" s="3"/>
      <c r="D150" s="1"/>
      <c r="E150" s="4"/>
      <c r="F150" s="4"/>
      <c r="G150" s="4"/>
    </row>
    <row r="151" spans="1:7" x14ac:dyDescent="0.25">
      <c r="A151" s="16"/>
      <c r="B151" s="17"/>
      <c r="C151" s="3"/>
      <c r="D151" s="1"/>
      <c r="E151" s="4"/>
      <c r="F151" s="4"/>
      <c r="G151" s="4"/>
    </row>
    <row r="152" spans="1:7" x14ac:dyDescent="0.25">
      <c r="A152" s="16"/>
      <c r="B152" s="17"/>
      <c r="C152" s="3"/>
      <c r="D152" s="1"/>
      <c r="E152" s="4"/>
      <c r="F152" s="4"/>
      <c r="G152" s="4"/>
    </row>
    <row r="153" spans="1:7" x14ac:dyDescent="0.25">
      <c r="A153" s="16"/>
      <c r="B153" s="17"/>
      <c r="C153" s="3"/>
      <c r="D153" s="1"/>
      <c r="E153" s="4"/>
      <c r="F153" s="4"/>
      <c r="G153" s="4"/>
    </row>
    <row r="154" spans="1:7" x14ac:dyDescent="0.25">
      <c r="A154" s="16"/>
      <c r="B154" s="17"/>
      <c r="C154" s="3"/>
      <c r="D154" s="1"/>
      <c r="E154" s="4"/>
      <c r="F154" s="4"/>
      <c r="G154" s="4"/>
    </row>
    <row r="155" spans="1:7" x14ac:dyDescent="0.25">
      <c r="A155" s="16"/>
      <c r="B155" s="17"/>
      <c r="C155" s="3"/>
      <c r="D155" s="1"/>
      <c r="E155" s="4"/>
      <c r="F155" s="4"/>
      <c r="G155" s="4"/>
    </row>
    <row r="156" spans="1:7" x14ac:dyDescent="0.25">
      <c r="A156" s="16"/>
      <c r="B156" s="17"/>
      <c r="C156" s="3"/>
      <c r="D156" s="1"/>
      <c r="E156" s="4"/>
      <c r="F156" s="4"/>
      <c r="G156" s="4"/>
    </row>
    <row r="157" spans="1:7" x14ac:dyDescent="0.25">
      <c r="A157" s="16"/>
      <c r="B157" s="17"/>
      <c r="C157" s="3"/>
      <c r="D157" s="1"/>
      <c r="E157" s="4"/>
      <c r="F157" s="4"/>
      <c r="G157" s="4"/>
    </row>
  </sheetData>
  <autoFilter ref="B3:D137" xr:uid="{B593B8AD-AE04-4543-B232-6D3D3239B900}">
    <sortState xmlns:xlrd2="http://schemas.microsoft.com/office/spreadsheetml/2017/richdata2" ref="B67:D137">
      <sortCondition ref="B3:B137"/>
    </sortState>
  </autoFilter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EEEC-F371-4607-8F16-09A7399ED6EF}">
  <sheetPr>
    <tabColor theme="9" tint="0.39997558519241921"/>
  </sheetPr>
  <dimension ref="A1:X157"/>
  <sheetViews>
    <sheetView view="pageBreakPreview" zoomScale="90" zoomScaleNormal="100" zoomScaleSheetLayoutView="90" workbookViewId="0">
      <selection activeCell="C17" sqref="C17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7" width="10.83203125" customWidth="1"/>
    <col min="8" max="24" width="6" customWidth="1"/>
  </cols>
  <sheetData>
    <row r="1" spans="1:24" ht="17.5" customHeight="1" x14ac:dyDescent="0.25">
      <c r="A1" s="64" t="s">
        <v>248</v>
      </c>
      <c r="B1" s="65"/>
      <c r="C1" s="65"/>
      <c r="D1" s="66"/>
      <c r="E1" s="64" t="s">
        <v>230</v>
      </c>
      <c r="F1" s="65"/>
      <c r="G1" s="66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x14ac:dyDescent="0.25">
      <c r="A2" s="16"/>
      <c r="B2" s="16"/>
      <c r="C2" s="1"/>
      <c r="D2" s="1"/>
      <c r="E2" s="39" t="s">
        <v>9</v>
      </c>
      <c r="F2" s="36" t="s">
        <v>10</v>
      </c>
      <c r="G2" s="40" t="s">
        <v>11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x14ac:dyDescent="0.25">
      <c r="A3" s="16"/>
      <c r="B3" s="12" t="s">
        <v>14</v>
      </c>
      <c r="C3" s="12" t="s">
        <v>15</v>
      </c>
      <c r="D3" s="37" t="s">
        <v>16</v>
      </c>
      <c r="E3" s="41"/>
      <c r="F3" s="37"/>
      <c r="G3" s="4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x14ac:dyDescent="0.25">
      <c r="A4" s="16"/>
      <c r="B4" s="3" t="s">
        <v>17</v>
      </c>
      <c r="C4" s="3" t="s">
        <v>18</v>
      </c>
      <c r="D4" s="11" t="s">
        <v>19</v>
      </c>
      <c r="E4" s="52">
        <v>412.61379064966394</v>
      </c>
      <c r="F4" s="53">
        <v>422.06267633344061</v>
      </c>
      <c r="G4" s="51">
        <v>463.09499150304276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x14ac:dyDescent="0.25">
      <c r="A5" s="16"/>
      <c r="B5" s="3" t="s">
        <v>17</v>
      </c>
      <c r="C5" s="3" t="s">
        <v>20</v>
      </c>
      <c r="D5" s="11" t="s">
        <v>19</v>
      </c>
      <c r="E5" s="52">
        <v>385.42587907297639</v>
      </c>
      <c r="F5" s="53">
        <v>394.25215961293503</v>
      </c>
      <c r="G5" s="51">
        <v>432.58077708290034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x14ac:dyDescent="0.25">
      <c r="A6" s="16"/>
      <c r="B6" s="3" t="s">
        <v>17</v>
      </c>
      <c r="C6" s="3" t="s">
        <v>231</v>
      </c>
      <c r="D6" s="11" t="s">
        <v>19</v>
      </c>
      <c r="E6" s="52">
        <v>385.42587907297639</v>
      </c>
      <c r="F6" s="53">
        <v>394.25215961293503</v>
      </c>
      <c r="G6" s="51">
        <v>432.58077708290034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x14ac:dyDescent="0.25">
      <c r="A7" s="16"/>
      <c r="B7" s="3" t="s">
        <v>17</v>
      </c>
      <c r="C7" s="3" t="s">
        <v>22</v>
      </c>
      <c r="D7" s="11" t="s">
        <v>19</v>
      </c>
      <c r="E7" s="52">
        <v>504.96594440274635</v>
      </c>
      <c r="F7" s="53">
        <v>516.52970109480771</v>
      </c>
      <c r="G7" s="51">
        <v>566.74596203951728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x14ac:dyDescent="0.25">
      <c r="A8" s="16"/>
      <c r="B8" s="3" t="s">
        <v>17</v>
      </c>
      <c r="C8" s="3" t="s">
        <v>23</v>
      </c>
      <c r="D8" s="11" t="s">
        <v>19</v>
      </c>
      <c r="E8" s="52">
        <v>400.21643528424357</v>
      </c>
      <c r="F8" s="53">
        <v>409.38142063244351</v>
      </c>
      <c r="G8" s="51">
        <v>449.18088269788126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x14ac:dyDescent="0.25">
      <c r="A9" s="16"/>
      <c r="B9" s="3" t="s">
        <v>17</v>
      </c>
      <c r="C9" s="3" t="s">
        <v>24</v>
      </c>
      <c r="D9" s="11" t="s">
        <v>19</v>
      </c>
      <c r="E9" s="52">
        <v>491.58783396121635</v>
      </c>
      <c r="F9" s="53">
        <v>502.8452309554404</v>
      </c>
      <c r="G9" s="51">
        <v>551.73110775776274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x14ac:dyDescent="0.25">
      <c r="A10" s="16"/>
      <c r="B10" s="3" t="s">
        <v>17</v>
      </c>
      <c r="C10" s="3" t="s">
        <v>25</v>
      </c>
      <c r="D10" s="11" t="s">
        <v>19</v>
      </c>
      <c r="E10" s="52">
        <v>401.92825753133906</v>
      </c>
      <c r="F10" s="53">
        <v>411.13244373295282</v>
      </c>
      <c r="G10" s="51">
        <v>451.10213769938099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x14ac:dyDescent="0.25">
      <c r="A11" s="16"/>
      <c r="B11" s="3" t="s">
        <v>17</v>
      </c>
      <c r="C11" s="3" t="s">
        <v>26</v>
      </c>
      <c r="D11" s="11" t="s">
        <v>19</v>
      </c>
      <c r="E11" s="52">
        <v>391.00175181554891</v>
      </c>
      <c r="F11" s="53">
        <v>399.95572024506862</v>
      </c>
      <c r="G11" s="51">
        <v>438.83882952530189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x14ac:dyDescent="0.25">
      <c r="A12" s="16"/>
      <c r="B12" s="3" t="s">
        <v>17</v>
      </c>
      <c r="C12" s="3" t="s">
        <v>27</v>
      </c>
      <c r="D12" s="11" t="s">
        <v>19</v>
      </c>
      <c r="E12" s="52">
        <v>366.97874196282896</v>
      </c>
      <c r="F12" s="53">
        <v>375.38258172718406</v>
      </c>
      <c r="G12" s="51">
        <v>411.87672647463415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x14ac:dyDescent="0.25">
      <c r="A13" s="16"/>
      <c r="B13" s="3" t="s">
        <v>17</v>
      </c>
      <c r="C13" s="3" t="s">
        <v>28</v>
      </c>
      <c r="D13" s="11" t="s">
        <v>19</v>
      </c>
      <c r="E13" s="52">
        <v>387.23209828873621</v>
      </c>
      <c r="F13" s="53">
        <v>396.09974137952634</v>
      </c>
      <c r="G13" s="51">
        <v>434.60797804256265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x14ac:dyDescent="0.25">
      <c r="A14" s="16"/>
      <c r="B14" s="3" t="s">
        <v>17</v>
      </c>
      <c r="C14" s="3" t="s">
        <v>29</v>
      </c>
      <c r="D14" s="11" t="s">
        <v>19</v>
      </c>
      <c r="E14" s="52">
        <v>368.80261816553303</v>
      </c>
      <c r="F14" s="53">
        <v>377.24822482699932</v>
      </c>
      <c r="G14" s="51">
        <v>413.92374466388077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x14ac:dyDescent="0.25">
      <c r="A15" s="16"/>
      <c r="B15" s="3" t="s">
        <v>17</v>
      </c>
      <c r="C15" s="3" t="s">
        <v>30</v>
      </c>
      <c r="D15" s="11" t="s">
        <v>19</v>
      </c>
      <c r="E15" s="52">
        <v>393.93371713482702</v>
      </c>
      <c r="F15" s="53">
        <v>402.95482778246554</v>
      </c>
      <c r="G15" s="51">
        <v>442.12950590449037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25">
      <c r="A16" s="16"/>
      <c r="B16" s="3" t="s">
        <v>17</v>
      </c>
      <c r="C16" s="3" t="s">
        <v>32</v>
      </c>
      <c r="D16" s="11" t="s">
        <v>19</v>
      </c>
      <c r="E16" s="52">
        <v>413.61978616223905</v>
      </c>
      <c r="F16" s="53">
        <v>423.0917092160991</v>
      </c>
      <c r="G16" s="51">
        <v>464.22406545525973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x14ac:dyDescent="0.25">
      <c r="A17" s="16"/>
      <c r="B17" s="3" t="s">
        <v>17</v>
      </c>
      <c r="C17" s="3" t="s">
        <v>33</v>
      </c>
      <c r="D17" s="11" t="s">
        <v>19</v>
      </c>
      <c r="E17" s="52">
        <v>366.28966672874287</v>
      </c>
      <c r="F17" s="53">
        <v>374.67772662034059</v>
      </c>
      <c r="G17" s="51">
        <v>411.10334638675198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x14ac:dyDescent="0.25">
      <c r="A18" s="16"/>
      <c r="B18" s="3" t="s">
        <v>17</v>
      </c>
      <c r="C18" s="3" t="s">
        <v>34</v>
      </c>
      <c r="D18" s="11" t="s">
        <v>19</v>
      </c>
      <c r="E18" s="52">
        <v>389.32637540047955</v>
      </c>
      <c r="F18" s="53">
        <v>398.24197758877796</v>
      </c>
      <c r="G18" s="51">
        <v>436.9584793182006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x14ac:dyDescent="0.25">
      <c r="A19" s="16"/>
      <c r="B19" s="3" t="s">
        <v>17</v>
      </c>
      <c r="C19" s="3" t="s">
        <v>35</v>
      </c>
      <c r="D19" s="11" t="s">
        <v>19</v>
      </c>
      <c r="E19" s="52">
        <v>409.01244442789158</v>
      </c>
      <c r="F19" s="53">
        <v>418.37885902241152</v>
      </c>
      <c r="G19" s="51">
        <v>459.05303886896996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x14ac:dyDescent="0.25">
      <c r="A20" s="16"/>
      <c r="B20" s="3" t="s">
        <v>17</v>
      </c>
      <c r="C20" s="3" t="s">
        <v>36</v>
      </c>
      <c r="D20" s="11" t="s">
        <v>19</v>
      </c>
      <c r="E20" s="52">
        <v>482.73002536326294</v>
      </c>
      <c r="F20" s="53">
        <v>493.78457789918843</v>
      </c>
      <c r="G20" s="51">
        <v>541.78959128312874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x14ac:dyDescent="0.25">
      <c r="A21" s="16"/>
      <c r="B21" s="3" t="s">
        <v>17</v>
      </c>
      <c r="C21" s="3" t="s">
        <v>37</v>
      </c>
      <c r="D21" s="11" t="s">
        <v>19</v>
      </c>
      <c r="E21" s="52">
        <v>378.01741482004144</v>
      </c>
      <c r="F21" s="53">
        <v>386.67404099215133</v>
      </c>
      <c r="G21" s="51">
        <v>424.26592486998317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x14ac:dyDescent="0.25">
      <c r="A22" s="16"/>
      <c r="B22" s="3" t="s">
        <v>17</v>
      </c>
      <c r="C22" s="3" t="s">
        <v>38</v>
      </c>
      <c r="D22" s="11" t="s">
        <v>19</v>
      </c>
      <c r="E22" s="52">
        <v>444.19568870178739</v>
      </c>
      <c r="F22" s="53">
        <v>454.36780213784385</v>
      </c>
      <c r="G22" s="51">
        <v>498.54077431866369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x14ac:dyDescent="0.25">
      <c r="A23" s="16"/>
      <c r="B23" s="3" t="s">
        <v>17</v>
      </c>
      <c r="C23" s="3" t="s">
        <v>39</v>
      </c>
      <c r="D23" s="11" t="s">
        <v>19</v>
      </c>
      <c r="E23" s="52">
        <v>376.76093910164644</v>
      </c>
      <c r="F23" s="53">
        <v>385.38879188882203</v>
      </c>
      <c r="G23" s="51">
        <v>422.85572573141883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x14ac:dyDescent="0.25">
      <c r="A24" s="16"/>
      <c r="B24" s="3" t="s">
        <v>17</v>
      </c>
      <c r="C24" s="3" t="s">
        <v>40</v>
      </c>
      <c r="D24" s="11" t="s">
        <v>19</v>
      </c>
      <c r="E24" s="52">
        <v>523.98406659192426</v>
      </c>
      <c r="F24" s="53">
        <v>535.98333965924473</v>
      </c>
      <c r="G24" s="51">
        <v>588.0908548501385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x14ac:dyDescent="0.25">
      <c r="A25" s="16"/>
      <c r="B25" s="3" t="s">
        <v>17</v>
      </c>
      <c r="C25" s="3" t="s">
        <v>41</v>
      </c>
      <c r="D25" s="11" t="s">
        <v>19</v>
      </c>
      <c r="E25" s="52">
        <v>484.82430247500639</v>
      </c>
      <c r="F25" s="53">
        <v>495.92681410844017</v>
      </c>
      <c r="G25" s="51">
        <v>544.1400925587667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x14ac:dyDescent="0.25">
      <c r="A26" s="16"/>
      <c r="B26" s="3" t="s">
        <v>17</v>
      </c>
      <c r="C26" s="3" t="s">
        <v>42</v>
      </c>
      <c r="D26" s="11" t="s">
        <v>19</v>
      </c>
      <c r="E26" s="52">
        <v>503.25366941239577</v>
      </c>
      <c r="F26" s="53">
        <v>514.77821488319012</v>
      </c>
      <c r="G26" s="51">
        <v>564.82419890392566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x14ac:dyDescent="0.25">
      <c r="A27" s="16"/>
      <c r="B27" s="3" t="s">
        <v>17</v>
      </c>
      <c r="C27" s="3" t="s">
        <v>43</v>
      </c>
      <c r="D27" s="11" t="s">
        <v>19</v>
      </c>
      <c r="E27" s="52">
        <v>378.43620233090201</v>
      </c>
      <c r="F27" s="53">
        <v>387.10241876733551</v>
      </c>
      <c r="G27" s="51">
        <v>424.73594890499709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x14ac:dyDescent="0.25">
      <c r="A28" s="16"/>
      <c r="B28" s="3" t="s">
        <v>17</v>
      </c>
      <c r="C28" s="3" t="s">
        <v>44</v>
      </c>
      <c r="D28" s="11" t="s">
        <v>19</v>
      </c>
      <c r="E28" s="52">
        <v>376.36260200361363</v>
      </c>
      <c r="F28" s="53">
        <v>384.98133284240015</v>
      </c>
      <c r="G28" s="51">
        <v>422.40865411333641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x14ac:dyDescent="0.25">
      <c r="A29" s="16"/>
      <c r="B29" s="3" t="s">
        <v>17</v>
      </c>
      <c r="C29" s="3" t="s">
        <v>45</v>
      </c>
      <c r="D29" s="11" t="s">
        <v>19</v>
      </c>
      <c r="E29" s="52">
        <v>474.91441589226946</v>
      </c>
      <c r="F29" s="53">
        <v>485.78999040537087</v>
      </c>
      <c r="G29" s="51">
        <v>533.01778170337116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x14ac:dyDescent="0.25">
      <c r="A30" s="16"/>
      <c r="B30" s="3" t="s">
        <v>17</v>
      </c>
      <c r="C30" s="3" t="s">
        <v>46</v>
      </c>
      <c r="D30" s="11" t="s">
        <v>19</v>
      </c>
      <c r="E30" s="52">
        <v>387.65099898541041</v>
      </c>
      <c r="F30" s="53">
        <v>396.52823493248758</v>
      </c>
      <c r="G30" s="51">
        <v>435.07812911109949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x14ac:dyDescent="0.25">
      <c r="A31" s="16"/>
      <c r="B31" s="3" t="s">
        <v>17</v>
      </c>
      <c r="C31" s="3" t="s">
        <v>47</v>
      </c>
      <c r="D31" s="11" t="s">
        <v>19</v>
      </c>
      <c r="E31" s="52">
        <v>407.7011946986504</v>
      </c>
      <c r="F31" s="53">
        <v>417.0375815794215</v>
      </c>
      <c r="G31" s="51">
        <v>457.58136439763149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x14ac:dyDescent="0.25">
      <c r="A32" s="16"/>
      <c r="B32" s="3" t="s">
        <v>17</v>
      </c>
      <c r="C32" s="3" t="s">
        <v>48</v>
      </c>
      <c r="D32" s="11" t="s">
        <v>19</v>
      </c>
      <c r="E32" s="52">
        <v>468.90788697440712</v>
      </c>
      <c r="F32" s="53">
        <v>479.64591154034889</v>
      </c>
      <c r="G32" s="51">
        <v>526.27638449073652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x14ac:dyDescent="0.25">
      <c r="A33" s="16"/>
      <c r="B33" s="3" t="s">
        <v>17</v>
      </c>
      <c r="C33" s="3" t="s">
        <v>232</v>
      </c>
      <c r="D33" s="11" t="s">
        <v>19</v>
      </c>
      <c r="E33" s="52">
        <v>471.61568778956109</v>
      </c>
      <c r="F33" s="53">
        <v>482.41572119024528</v>
      </c>
      <c r="G33" s="51">
        <v>529.31547097766975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x14ac:dyDescent="0.25">
      <c r="A34" s="16"/>
      <c r="B34" s="3" t="s">
        <v>17</v>
      </c>
      <c r="C34" s="3" t="s">
        <v>50</v>
      </c>
      <c r="D34" s="11" t="s">
        <v>19</v>
      </c>
      <c r="E34" s="52">
        <v>384.6096475001537</v>
      </c>
      <c r="F34" s="53">
        <v>393.4172362779903</v>
      </c>
      <c r="G34" s="51">
        <v>431.66468372430063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x14ac:dyDescent="0.25">
      <c r="A35" s="16"/>
      <c r="B35" s="3" t="s">
        <v>17</v>
      </c>
      <c r="C35" s="3" t="s">
        <v>51</v>
      </c>
      <c r="D35" s="11" t="s">
        <v>19</v>
      </c>
      <c r="E35" s="52">
        <v>467.65141125601207</v>
      </c>
      <c r="F35" s="53">
        <v>478.36066243701958</v>
      </c>
      <c r="G35" s="51">
        <v>524.86618535217212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x14ac:dyDescent="0.25">
      <c r="A36" s="16"/>
      <c r="B36" s="3" t="s">
        <v>17</v>
      </c>
      <c r="C36" s="3" t="s">
        <v>52</v>
      </c>
      <c r="D36" s="11" t="s">
        <v>19</v>
      </c>
      <c r="E36" s="52">
        <v>522.33481685824188</v>
      </c>
      <c r="F36" s="53">
        <v>534.29632198723675</v>
      </c>
      <c r="G36" s="51">
        <v>586.2398277911459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x14ac:dyDescent="0.25">
      <c r="A37" s="16"/>
      <c r="B37" s="3" t="s">
        <v>17</v>
      </c>
      <c r="C37" s="3" t="s">
        <v>53</v>
      </c>
      <c r="D37" s="11" t="s">
        <v>19</v>
      </c>
      <c r="E37" s="52">
        <v>519.17008491299509</v>
      </c>
      <c r="F37" s="53">
        <v>531.0591174512814</v>
      </c>
      <c r="G37" s="51">
        <v>582.68790697195584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x14ac:dyDescent="0.25">
      <c r="A38" s="16"/>
      <c r="B38" s="3" t="s">
        <v>17</v>
      </c>
      <c r="C38" s="3" t="s">
        <v>54</v>
      </c>
      <c r="D38" s="11" t="s">
        <v>19</v>
      </c>
      <c r="E38" s="52">
        <v>439.03990171135905</v>
      </c>
      <c r="F38" s="53">
        <v>449.09394725199752</v>
      </c>
      <c r="G38" s="51">
        <v>492.75420298578467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x14ac:dyDescent="0.25">
      <c r="A39" s="16"/>
      <c r="B39" s="3" t="s">
        <v>17</v>
      </c>
      <c r="C39" s="3" t="s">
        <v>55</v>
      </c>
      <c r="D39" s="11" t="s">
        <v>19</v>
      </c>
      <c r="E39" s="52">
        <v>404.40246659594203</v>
      </c>
      <c r="F39" s="53">
        <v>413.66331236429585</v>
      </c>
      <c r="G39" s="51">
        <v>453.87905367193002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x14ac:dyDescent="0.25">
      <c r="A40" s="16"/>
      <c r="B40" s="3" t="s">
        <v>17</v>
      </c>
      <c r="C40" s="3" t="s">
        <v>233</v>
      </c>
      <c r="D40" s="11" t="s">
        <v>19</v>
      </c>
      <c r="E40" s="52">
        <v>455.94627769029989</v>
      </c>
      <c r="F40" s="53">
        <v>466.38748046506868</v>
      </c>
      <c r="G40" s="51">
        <v>511.72898816683158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x14ac:dyDescent="0.25">
      <c r="A41" s="16"/>
      <c r="B41" s="3" t="s">
        <v>17</v>
      </c>
      <c r="C41" s="3" t="s">
        <v>57</v>
      </c>
      <c r="D41" s="11" t="s">
        <v>19</v>
      </c>
      <c r="E41" s="52">
        <v>371.0021116778766</v>
      </c>
      <c r="F41" s="53">
        <v>379.49808690004375</v>
      </c>
      <c r="G41" s="51">
        <v>416.39233503214257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x14ac:dyDescent="0.25">
      <c r="A42" s="16"/>
      <c r="B42" s="3" t="s">
        <v>17</v>
      </c>
      <c r="C42" s="3" t="s">
        <v>58</v>
      </c>
      <c r="D42" s="11" t="s">
        <v>19</v>
      </c>
      <c r="E42" s="52">
        <v>409.76295578982081</v>
      </c>
      <c r="F42" s="53">
        <v>419.14655714887442</v>
      </c>
      <c r="G42" s="51">
        <v>459.89537148278862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x14ac:dyDescent="0.25">
      <c r="A43" s="16"/>
      <c r="B43" s="3" t="s">
        <v>17</v>
      </c>
      <c r="C43" s="3" t="s">
        <v>59</v>
      </c>
      <c r="D43" s="11" t="s">
        <v>19</v>
      </c>
      <c r="E43" s="52">
        <v>357.80686084146043</v>
      </c>
      <c r="F43" s="53">
        <v>366.00066386398839</v>
      </c>
      <c r="G43" s="51">
        <v>401.58271229910349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x14ac:dyDescent="0.25">
      <c r="A44" s="16"/>
      <c r="B44" s="3" t="s">
        <v>60</v>
      </c>
      <c r="C44" s="3" t="s">
        <v>61</v>
      </c>
      <c r="D44" s="11" t="s">
        <v>234</v>
      </c>
      <c r="E44" s="52">
        <v>132.19315323320973</v>
      </c>
      <c r="F44" s="53">
        <v>135.22038601452778</v>
      </c>
      <c r="G44" s="51">
        <v>148.36631387648347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x14ac:dyDescent="0.25">
      <c r="A45" s="16"/>
      <c r="B45" s="3" t="s">
        <v>62</v>
      </c>
      <c r="C45" s="3" t="s">
        <v>63</v>
      </c>
      <c r="D45" s="11" t="s">
        <v>234</v>
      </c>
      <c r="E45" s="52">
        <v>390.77289586999876</v>
      </c>
      <c r="F45" s="53">
        <v>399.72162348179359</v>
      </c>
      <c r="G45" s="51">
        <v>438.58197421759849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x14ac:dyDescent="0.25">
      <c r="A46" s="16"/>
      <c r="B46" s="3" t="s">
        <v>64</v>
      </c>
      <c r="C46" s="3" t="s">
        <v>65</v>
      </c>
      <c r="D46" s="11" t="s">
        <v>234</v>
      </c>
      <c r="E46" s="52">
        <v>189.13137399392252</v>
      </c>
      <c r="F46" s="53">
        <v>193.46249615363126</v>
      </c>
      <c r="G46" s="51">
        <v>212.27063665218213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x14ac:dyDescent="0.25">
      <c r="A47" s="16"/>
      <c r="B47" s="3" t="s">
        <v>66</v>
      </c>
      <c r="C47" s="3" t="s">
        <v>67</v>
      </c>
      <c r="D47" s="11" t="s">
        <v>234</v>
      </c>
      <c r="E47" s="52">
        <v>189.13137399392252</v>
      </c>
      <c r="F47" s="53">
        <v>193.46249615363126</v>
      </c>
      <c r="G47" s="51">
        <v>212.27063665218213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x14ac:dyDescent="0.25">
      <c r="A48" s="16"/>
      <c r="B48" s="3" t="s">
        <v>68</v>
      </c>
      <c r="C48" s="3" t="s">
        <v>69</v>
      </c>
      <c r="D48" s="11" t="s">
        <v>234</v>
      </c>
      <c r="E48" s="52">
        <v>468.14026333357833</v>
      </c>
      <c r="F48" s="53">
        <v>478.86070926256048</v>
      </c>
      <c r="G48" s="51">
        <v>525.4148459976401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x14ac:dyDescent="0.25">
      <c r="A49" s="16"/>
      <c r="B49" s="3" t="s">
        <v>70</v>
      </c>
      <c r="C49" s="3" t="s">
        <v>71</v>
      </c>
      <c r="D49" s="11" t="s">
        <v>234</v>
      </c>
      <c r="E49" s="52">
        <v>389.03501320228145</v>
      </c>
      <c r="F49" s="53">
        <v>397.9439431751432</v>
      </c>
      <c r="G49" s="51">
        <v>436.63147043542324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x14ac:dyDescent="0.25">
      <c r="A50" s="16"/>
      <c r="B50" s="3" t="s">
        <v>72</v>
      </c>
      <c r="C50" s="3" t="s">
        <v>73</v>
      </c>
      <c r="D50" s="11" t="s">
        <v>234</v>
      </c>
      <c r="E50" s="52">
        <v>92.166947619477355</v>
      </c>
      <c r="F50" s="53">
        <v>94.277577393891534</v>
      </c>
      <c r="G50" s="51">
        <v>103.44310537342923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x14ac:dyDescent="0.25">
      <c r="A51" s="16"/>
      <c r="B51" s="3" t="s">
        <v>74</v>
      </c>
      <c r="C51" s="3" t="s">
        <v>75</v>
      </c>
      <c r="D51" s="11" t="s">
        <v>234</v>
      </c>
      <c r="E51" s="52">
        <v>235.22337175211794</v>
      </c>
      <c r="F51" s="53">
        <v>240.61000399807068</v>
      </c>
      <c r="G51" s="51">
        <v>264.0017561491382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x14ac:dyDescent="0.25">
      <c r="A52" s="16"/>
      <c r="B52" s="3" t="s">
        <v>76</v>
      </c>
      <c r="C52" s="3" t="s">
        <v>77</v>
      </c>
      <c r="D52" s="11" t="s">
        <v>234</v>
      </c>
      <c r="E52" s="52">
        <v>219.89981947049475</v>
      </c>
      <c r="F52" s="53">
        <v>224.93554125960003</v>
      </c>
      <c r="G52" s="51">
        <v>246.80344510267122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x14ac:dyDescent="0.25">
      <c r="A53" s="16"/>
      <c r="B53" s="3" t="s">
        <v>78</v>
      </c>
      <c r="C53" s="3" t="s">
        <v>79</v>
      </c>
      <c r="D53" s="11" t="s">
        <v>234</v>
      </c>
      <c r="E53" s="52">
        <v>61.850020706747948</v>
      </c>
      <c r="F53" s="53">
        <v>63.266390659572643</v>
      </c>
      <c r="G53" s="51">
        <v>69.417056488966836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x14ac:dyDescent="0.25">
      <c r="A54" s="16"/>
      <c r="B54" s="3" t="s">
        <v>80</v>
      </c>
      <c r="C54" s="3" t="s">
        <v>81</v>
      </c>
      <c r="D54" s="11" t="s">
        <v>234</v>
      </c>
      <c r="E54" s="52">
        <v>427.9022125302584</v>
      </c>
      <c r="F54" s="53">
        <v>437.70120418215515</v>
      </c>
      <c r="G54" s="51">
        <v>480.25387412240781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x14ac:dyDescent="0.25">
      <c r="A55" s="16"/>
      <c r="B55" s="3" t="s">
        <v>82</v>
      </c>
      <c r="C55" s="3" t="s">
        <v>83</v>
      </c>
      <c r="D55" s="11" t="s">
        <v>234</v>
      </c>
      <c r="E55" s="52">
        <v>415.77984861170717</v>
      </c>
      <c r="F55" s="53">
        <v>425.30123725207301</v>
      </c>
      <c r="G55" s="51">
        <v>466.64840057044705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x14ac:dyDescent="0.25">
      <c r="A56" s="16"/>
      <c r="B56" s="3" t="s">
        <v>82</v>
      </c>
      <c r="C56" s="3" t="s">
        <v>84</v>
      </c>
      <c r="D56" s="11" t="s">
        <v>234</v>
      </c>
      <c r="E56" s="52">
        <v>415.77984861170717</v>
      </c>
      <c r="F56" s="53">
        <v>425.30123725207301</v>
      </c>
      <c r="G56" s="51">
        <v>466.64840057044705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x14ac:dyDescent="0.25">
      <c r="A57" s="16"/>
      <c r="B57" s="3" t="s">
        <v>85</v>
      </c>
      <c r="C57" s="3" t="s">
        <v>86</v>
      </c>
      <c r="D57" s="11" t="s">
        <v>234</v>
      </c>
      <c r="E57" s="52">
        <v>234.72419121951214</v>
      </c>
      <c r="F57" s="53">
        <v>240.09939219512191</v>
      </c>
      <c r="G57" s="51">
        <v>263.4415034146341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x14ac:dyDescent="0.25">
      <c r="A58" s="16"/>
      <c r="B58" s="3" t="s">
        <v>85</v>
      </c>
      <c r="C58" s="3" t="s">
        <v>87</v>
      </c>
      <c r="D58" s="11" t="s">
        <v>234</v>
      </c>
      <c r="E58" s="52">
        <v>234.72419121951214</v>
      </c>
      <c r="F58" s="53">
        <v>240.09939219512191</v>
      </c>
      <c r="G58" s="51">
        <v>263.4415034146341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s="34" customFormat="1" x14ac:dyDescent="0.25">
      <c r="A59" s="35"/>
      <c r="B59" s="3" t="s">
        <v>85</v>
      </c>
      <c r="C59" s="3" t="s">
        <v>88</v>
      </c>
      <c r="D59" s="11" t="s">
        <v>234</v>
      </c>
      <c r="E59" s="52">
        <v>234.72419121951214</v>
      </c>
      <c r="F59" s="53">
        <v>240.09939219512191</v>
      </c>
      <c r="G59" s="51">
        <v>263.4415034146341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x14ac:dyDescent="0.25">
      <c r="A60" s="16"/>
      <c r="B60" s="3" t="s">
        <v>89</v>
      </c>
      <c r="C60" s="3" t="s">
        <v>90</v>
      </c>
      <c r="D60" s="11" t="s">
        <v>234</v>
      </c>
      <c r="E60" s="52">
        <v>281.65338335318052</v>
      </c>
      <c r="F60" s="53">
        <v>288.10326622685488</v>
      </c>
      <c r="G60" s="51">
        <v>316.11224376523535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x14ac:dyDescent="0.25">
      <c r="A61" s="16"/>
      <c r="B61" s="3" t="s">
        <v>91</v>
      </c>
      <c r="C61" s="3" t="s">
        <v>92</v>
      </c>
      <c r="D61" s="11" t="s">
        <v>234</v>
      </c>
      <c r="E61" s="52">
        <v>259.76609999999994</v>
      </c>
      <c r="F61" s="53">
        <v>265.71476249999995</v>
      </c>
      <c r="G61" s="51">
        <v>291.54716250000001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x14ac:dyDescent="0.25">
      <c r="A62" s="16"/>
      <c r="B62" s="3" t="s">
        <v>93</v>
      </c>
      <c r="C62" s="3" t="s">
        <v>53</v>
      </c>
      <c r="D62" s="11" t="s">
        <v>234</v>
      </c>
      <c r="E62" s="52">
        <v>299.29031999999995</v>
      </c>
      <c r="F62" s="53">
        <v>306.14409000000001</v>
      </c>
      <c r="G62" s="51">
        <v>335.90697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x14ac:dyDescent="0.25">
      <c r="A63" s="16"/>
      <c r="B63" s="3" t="s">
        <v>94</v>
      </c>
      <c r="C63" s="3" t="s">
        <v>95</v>
      </c>
      <c r="D63" s="11" t="s">
        <v>234</v>
      </c>
      <c r="E63" s="52">
        <v>246.72161794097559</v>
      </c>
      <c r="F63" s="53">
        <v>252.37156085725607</v>
      </c>
      <c r="G63" s="51">
        <v>276.90675433823168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x14ac:dyDescent="0.25">
      <c r="A64" s="16"/>
      <c r="B64" s="3" t="s">
        <v>94</v>
      </c>
      <c r="C64" s="3" t="s">
        <v>96</v>
      </c>
      <c r="D64" s="11" t="s">
        <v>234</v>
      </c>
      <c r="E64" s="52">
        <v>246.72161794097559</v>
      </c>
      <c r="F64" s="53">
        <v>252.37156085725607</v>
      </c>
      <c r="G64" s="51">
        <v>276.90675433823168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x14ac:dyDescent="0.25">
      <c r="A65" s="16"/>
      <c r="B65" s="3" t="s">
        <v>94</v>
      </c>
      <c r="C65" s="3" t="s">
        <v>97</v>
      </c>
      <c r="D65" s="11" t="s">
        <v>234</v>
      </c>
      <c r="E65" s="52">
        <v>246.72161794097559</v>
      </c>
      <c r="F65" s="53">
        <v>252.37156085725607</v>
      </c>
      <c r="G65" s="51">
        <v>276.90675433823168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x14ac:dyDescent="0.25">
      <c r="A66" s="16"/>
      <c r="B66" s="3" t="s">
        <v>94</v>
      </c>
      <c r="C66" s="3" t="s">
        <v>98</v>
      </c>
      <c r="D66" s="11" t="s">
        <v>234</v>
      </c>
      <c r="E66" s="52">
        <v>246.72161794097559</v>
      </c>
      <c r="F66" s="53">
        <v>252.37156085725607</v>
      </c>
      <c r="G66" s="51">
        <v>276.90675433823168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x14ac:dyDescent="0.25">
      <c r="A67" s="16"/>
      <c r="B67" s="3" t="s">
        <v>99</v>
      </c>
      <c r="C67" s="3" t="s">
        <v>100</v>
      </c>
      <c r="D67" s="11" t="s">
        <v>234</v>
      </c>
      <c r="E67" s="52">
        <v>390.0563765853658</v>
      </c>
      <c r="F67" s="53">
        <v>398.98869585365844</v>
      </c>
      <c r="G67" s="51">
        <v>437.77779243902438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x14ac:dyDescent="0.25">
      <c r="A68" s="16"/>
      <c r="B68" s="3" t="s">
        <v>235</v>
      </c>
      <c r="C68" s="3" t="s">
        <v>236</v>
      </c>
      <c r="D68" s="11" t="s">
        <v>19</v>
      </c>
      <c r="E68" s="52">
        <v>301.58388479999996</v>
      </c>
      <c r="F68" s="53">
        <v>308.49017759999998</v>
      </c>
      <c r="G68" s="51">
        <v>338.48114079999999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x14ac:dyDescent="0.25">
      <c r="A69" s="16"/>
      <c r="B69" s="3" t="s">
        <v>235</v>
      </c>
      <c r="C69" s="3" t="s">
        <v>237</v>
      </c>
      <c r="D69" s="11" t="s">
        <v>19</v>
      </c>
      <c r="E69" s="52">
        <v>292.31974364326396</v>
      </c>
      <c r="F69" s="53">
        <v>299.01388693994619</v>
      </c>
      <c r="G69" s="51">
        <v>328.08357904253489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x14ac:dyDescent="0.25">
      <c r="A70" s="16"/>
      <c r="B70" s="3" t="s">
        <v>235</v>
      </c>
      <c r="C70" s="3" t="s">
        <v>238</v>
      </c>
      <c r="D70" s="11" t="s">
        <v>19</v>
      </c>
      <c r="E70" s="52">
        <v>292.31974364326396</v>
      </c>
      <c r="F70" s="53">
        <v>299.01388693994619</v>
      </c>
      <c r="G70" s="51">
        <v>328.08357904253489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x14ac:dyDescent="0.25">
      <c r="A71" s="16"/>
      <c r="B71" s="3" t="s">
        <v>235</v>
      </c>
      <c r="C71" s="3" t="s">
        <v>239</v>
      </c>
      <c r="D71" s="11" t="s">
        <v>19</v>
      </c>
      <c r="E71" s="52">
        <v>297.35973922332028</v>
      </c>
      <c r="F71" s="53">
        <v>304.16929878373844</v>
      </c>
      <c r="G71" s="51">
        <v>333.74019247430272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x14ac:dyDescent="0.25">
      <c r="A72" s="16"/>
      <c r="B72" s="3" t="s">
        <v>101</v>
      </c>
      <c r="C72" s="3" t="s">
        <v>102</v>
      </c>
      <c r="D72" s="11" t="s">
        <v>6</v>
      </c>
      <c r="E72" s="52">
        <v>197.95443474710518</v>
      </c>
      <c r="F72" s="53">
        <v>202.48760563695106</v>
      </c>
      <c r="G72" s="51">
        <v>222.17315405978655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x14ac:dyDescent="0.25">
      <c r="A73" s="16"/>
      <c r="B73" s="3" t="s">
        <v>103</v>
      </c>
      <c r="C73" s="3" t="s">
        <v>104</v>
      </c>
      <c r="D73" s="11" t="s">
        <v>6</v>
      </c>
      <c r="E73" s="52">
        <v>207.8762664341792</v>
      </c>
      <c r="F73" s="53">
        <v>212.6366479881118</v>
      </c>
      <c r="G73" s="51">
        <v>233.3088714423435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x14ac:dyDescent="0.25">
      <c r="A74" s="16"/>
      <c r="B74" s="3" t="s">
        <v>105</v>
      </c>
      <c r="C74" s="3" t="s">
        <v>106</v>
      </c>
      <c r="D74" s="11" t="s">
        <v>6</v>
      </c>
      <c r="E74" s="52">
        <v>191.40714165729227</v>
      </c>
      <c r="F74" s="53">
        <v>195.79037906128349</v>
      </c>
      <c r="G74" s="51">
        <v>214.82483292630991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x14ac:dyDescent="0.25">
      <c r="A75" s="16"/>
      <c r="B75" s="3" t="s">
        <v>107</v>
      </c>
      <c r="C75" s="3" t="s">
        <v>108</v>
      </c>
      <c r="D75" s="11" t="s">
        <v>6</v>
      </c>
      <c r="E75" s="52">
        <v>215.05357871626691</v>
      </c>
      <c r="F75" s="53">
        <v>219.97832124117778</v>
      </c>
      <c r="G75" s="51">
        <v>241.36429141523087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x14ac:dyDescent="0.25">
      <c r="A76" s="16"/>
      <c r="B76" s="3" t="s">
        <v>109</v>
      </c>
      <c r="C76" s="3" t="s">
        <v>110</v>
      </c>
      <c r="D76" s="11" t="s">
        <v>6</v>
      </c>
      <c r="E76" s="52">
        <v>235.29383107472259</v>
      </c>
      <c r="F76" s="53">
        <v>240.68207684426503</v>
      </c>
      <c r="G76" s="51">
        <v>264.08083581186963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x14ac:dyDescent="0.25">
      <c r="A77" s="16"/>
      <c r="B77" s="3" t="s">
        <v>111</v>
      </c>
      <c r="C77" s="3" t="s">
        <v>112</v>
      </c>
      <c r="D77" s="11" t="s">
        <v>6</v>
      </c>
      <c r="E77" s="52">
        <v>114.8919859837106</v>
      </c>
      <c r="F77" s="53">
        <v>117.52302078221518</v>
      </c>
      <c r="G77" s="51">
        <v>128.94843671880432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x14ac:dyDescent="0.25">
      <c r="A78" s="16"/>
      <c r="B78" s="3" t="s">
        <v>113</v>
      </c>
      <c r="C78" s="3" t="s">
        <v>114</v>
      </c>
      <c r="D78" s="11" t="s">
        <v>6</v>
      </c>
      <c r="E78" s="52">
        <v>299.41198273170727</v>
      </c>
      <c r="F78" s="53">
        <v>306.26853881707314</v>
      </c>
      <c r="G78" s="51">
        <v>336.04351754878047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x14ac:dyDescent="0.25">
      <c r="A79" s="16"/>
      <c r="B79" s="3" t="s">
        <v>115</v>
      </c>
      <c r="C79" s="3" t="s">
        <v>116</v>
      </c>
      <c r="D79" s="11" t="s">
        <v>6</v>
      </c>
      <c r="E79" s="52">
        <v>182.4795240177676</v>
      </c>
      <c r="F79" s="53">
        <v>186.65831833135331</v>
      </c>
      <c r="G79" s="51">
        <v>204.80496662855833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x14ac:dyDescent="0.25">
      <c r="A80" s="16"/>
      <c r="B80" s="3" t="s">
        <v>117</v>
      </c>
      <c r="C80" s="3" t="s">
        <v>118</v>
      </c>
      <c r="D80" s="11" t="s">
        <v>6</v>
      </c>
      <c r="E80" s="52">
        <v>275.04123995121955</v>
      </c>
      <c r="F80" s="53">
        <v>281.33970426219514</v>
      </c>
      <c r="G80" s="51">
        <v>308.69113821341466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x14ac:dyDescent="0.25">
      <c r="A81" s="21"/>
      <c r="B81" s="3" t="s">
        <v>119</v>
      </c>
      <c r="C81" s="3" t="s">
        <v>120</v>
      </c>
      <c r="D81" s="11" t="s">
        <v>6</v>
      </c>
      <c r="E81" s="52">
        <v>292.44891336585368</v>
      </c>
      <c r="F81" s="53">
        <v>299.14601465853656</v>
      </c>
      <c r="G81" s="51">
        <v>328.2285520243903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x14ac:dyDescent="0.25">
      <c r="A82" s="21"/>
      <c r="B82" s="3" t="s">
        <v>122</v>
      </c>
      <c r="C82" s="3" t="s">
        <v>124</v>
      </c>
      <c r="D82" s="11" t="s">
        <v>6</v>
      </c>
      <c r="E82" s="52">
        <v>277.37226213003811</v>
      </c>
      <c r="F82" s="53">
        <v>283.72410701770104</v>
      </c>
      <c r="G82" s="51">
        <v>311.30734911221612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x14ac:dyDescent="0.25">
      <c r="A83" s="21"/>
      <c r="B83" s="3" t="s">
        <v>129</v>
      </c>
      <c r="C83" s="3" t="s">
        <v>130</v>
      </c>
      <c r="D83" s="11" t="s">
        <v>6</v>
      </c>
      <c r="E83" s="52">
        <v>210.18559399982186</v>
      </c>
      <c r="F83" s="53">
        <v>214.99885932222904</v>
      </c>
      <c r="G83" s="51">
        <v>235.90073350227414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x14ac:dyDescent="0.25">
      <c r="A84" s="21"/>
      <c r="B84" s="3" t="s">
        <v>131</v>
      </c>
      <c r="C84" s="3" t="s">
        <v>132</v>
      </c>
      <c r="D84" s="11" t="s">
        <v>6</v>
      </c>
      <c r="E84" s="52">
        <v>215.9884638799675</v>
      </c>
      <c r="F84" s="53">
        <v>220.93461534282338</v>
      </c>
      <c r="G84" s="51">
        <v>242.41355502869033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x14ac:dyDescent="0.25">
      <c r="A85" s="21"/>
      <c r="B85" s="3" t="s">
        <v>133</v>
      </c>
      <c r="C85" s="3" t="s">
        <v>134</v>
      </c>
      <c r="D85" s="11" t="s">
        <v>6</v>
      </c>
      <c r="E85" s="52">
        <v>261.13149998754506</v>
      </c>
      <c r="F85" s="53">
        <v>267.11143024613017</v>
      </c>
      <c r="G85" s="51">
        <v>293.07961223861599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x14ac:dyDescent="0.25">
      <c r="A86" s="21"/>
      <c r="B86" s="3" t="s">
        <v>135</v>
      </c>
      <c r="C86" s="3" t="s">
        <v>136</v>
      </c>
      <c r="D86" s="11" t="s">
        <v>6</v>
      </c>
      <c r="E86" s="52">
        <v>269.26161206158048</v>
      </c>
      <c r="F86" s="53">
        <v>275.427722475373</v>
      </c>
      <c r="G86" s="51">
        <v>302.20440221695429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x14ac:dyDescent="0.25">
      <c r="A87" s="16"/>
      <c r="B87" s="3" t="s">
        <v>137</v>
      </c>
      <c r="C87" s="3" t="s">
        <v>138</v>
      </c>
      <c r="D87" s="11" t="s">
        <v>6</v>
      </c>
      <c r="E87" s="52">
        <v>174.31192564544222</v>
      </c>
      <c r="F87" s="53">
        <v>178.3036813648753</v>
      </c>
      <c r="G87" s="51">
        <v>195.63810409379693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x14ac:dyDescent="0.25">
      <c r="A88" s="16"/>
      <c r="B88" s="3" t="s">
        <v>139</v>
      </c>
      <c r="C88" s="3" t="s">
        <v>140</v>
      </c>
      <c r="D88" s="11" t="s">
        <v>6</v>
      </c>
      <c r="E88" s="52">
        <v>164.3181558297303</v>
      </c>
      <c r="F88" s="53">
        <v>168.08105349672175</v>
      </c>
      <c r="G88" s="51">
        <v>184.42164731807074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x14ac:dyDescent="0.25">
      <c r="A89" s="16"/>
      <c r="B89" s="3" t="s">
        <v>141</v>
      </c>
      <c r="C89" s="3" t="s">
        <v>141</v>
      </c>
      <c r="D89" s="11" t="s">
        <v>6</v>
      </c>
      <c r="E89" s="52">
        <v>224.40918553111982</v>
      </c>
      <c r="F89" s="53">
        <v>229.54817212954245</v>
      </c>
      <c r="G89" s="51">
        <v>251.86450918935935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x14ac:dyDescent="0.25">
      <c r="A90" s="16"/>
      <c r="B90" s="3" t="s">
        <v>142</v>
      </c>
      <c r="C90" s="3" t="s">
        <v>143</v>
      </c>
      <c r="D90" s="11" t="s">
        <v>6</v>
      </c>
      <c r="E90" s="52">
        <v>271.8550382485854</v>
      </c>
      <c r="F90" s="53">
        <v>278.08053830985369</v>
      </c>
      <c r="G90" s="51">
        <v>305.11512092110576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x14ac:dyDescent="0.25">
      <c r="A91" s="16"/>
      <c r="B91" s="3" t="s">
        <v>144</v>
      </c>
      <c r="C91" s="3" t="s">
        <v>145</v>
      </c>
      <c r="D91" s="11" t="s">
        <v>6</v>
      </c>
      <c r="E91" s="52">
        <v>167.99827778779343</v>
      </c>
      <c r="F91" s="53">
        <v>171.84545051410694</v>
      </c>
      <c r="G91" s="51">
        <v>188.55201349952114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x14ac:dyDescent="0.25">
      <c r="A92" s="16"/>
      <c r="B92" s="3" t="s">
        <v>146</v>
      </c>
      <c r="C92" s="3" t="s">
        <v>147</v>
      </c>
      <c r="D92" s="11" t="s">
        <v>6</v>
      </c>
      <c r="E92" s="52">
        <v>212.1322231003499</v>
      </c>
      <c r="F92" s="53">
        <v>216.99006637011715</v>
      </c>
      <c r="G92" s="51">
        <v>238.08552278270324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x14ac:dyDescent="0.25">
      <c r="A93" s="16"/>
      <c r="B93" s="3" t="s">
        <v>148</v>
      </c>
      <c r="C93" s="3" t="s">
        <v>149</v>
      </c>
      <c r="D93" s="11" t="s">
        <v>6</v>
      </c>
      <c r="E93" s="52">
        <v>277.66264741463419</v>
      </c>
      <c r="F93" s="53">
        <v>284.02114214634145</v>
      </c>
      <c r="G93" s="51">
        <v>311.63326156097565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x14ac:dyDescent="0.25">
      <c r="A94" s="16"/>
      <c r="B94" s="3" t="s">
        <v>150</v>
      </c>
      <c r="C94" s="3" t="s">
        <v>151</v>
      </c>
      <c r="D94" s="11" t="s">
        <v>6</v>
      </c>
      <c r="E94" s="52">
        <v>228.20368023802047</v>
      </c>
      <c r="F94" s="53">
        <v>233.42956103999541</v>
      </c>
      <c r="G94" s="51">
        <v>256.12324104435567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x14ac:dyDescent="0.25">
      <c r="A95" s="16"/>
      <c r="B95" s="3" t="s">
        <v>152</v>
      </c>
      <c r="C95" s="3" t="s">
        <v>153</v>
      </c>
      <c r="D95" s="11" t="s">
        <v>6</v>
      </c>
      <c r="E95" s="52">
        <v>176.74262113991662</v>
      </c>
      <c r="F95" s="53">
        <v>180.79003996218299</v>
      </c>
      <c r="G95" s="51">
        <v>198.36618283199851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x14ac:dyDescent="0.25">
      <c r="A96" s="16"/>
      <c r="B96" s="3" t="s">
        <v>154</v>
      </c>
      <c r="C96" s="3" t="s">
        <v>155</v>
      </c>
      <c r="D96" s="11" t="s">
        <v>6</v>
      </c>
      <c r="E96" s="52">
        <v>181.80413199759201</v>
      </c>
      <c r="F96" s="53">
        <v>185.96745978500968</v>
      </c>
      <c r="G96" s="51">
        <v>204.04694382628605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x14ac:dyDescent="0.25">
      <c r="A97" s="16"/>
      <c r="B97" s="3" t="s">
        <v>156</v>
      </c>
      <c r="C97" s="3" t="s">
        <v>157</v>
      </c>
      <c r="D97" s="11" t="s">
        <v>6</v>
      </c>
      <c r="E97" s="52">
        <v>211.57046408422676</v>
      </c>
      <c r="F97" s="53">
        <v>216.41544303184705</v>
      </c>
      <c r="G97" s="51">
        <v>237.45503540517592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x14ac:dyDescent="0.25">
      <c r="A98" s="16"/>
      <c r="B98" s="3" t="s">
        <v>158</v>
      </c>
      <c r="C98" s="3" t="s">
        <v>159</v>
      </c>
      <c r="D98" s="11" t="s">
        <v>6</v>
      </c>
      <c r="E98" s="52">
        <v>205.83098465266522</v>
      </c>
      <c r="F98" s="53">
        <v>210.54452910569967</v>
      </c>
      <c r="G98" s="51">
        <v>231.0133598266502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x14ac:dyDescent="0.25">
      <c r="A99" s="16"/>
      <c r="B99" s="3" t="s">
        <v>160</v>
      </c>
      <c r="C99" s="3" t="s">
        <v>161</v>
      </c>
      <c r="D99" s="11" t="s">
        <v>6</v>
      </c>
      <c r="E99" s="52">
        <v>354.30261798224149</v>
      </c>
      <c r="F99" s="53">
        <v>362.41617358954664</v>
      </c>
      <c r="G99" s="51">
        <v>397.64974313062407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x14ac:dyDescent="0.25">
      <c r="A100" s="16"/>
      <c r="B100" s="3" t="s">
        <v>162</v>
      </c>
      <c r="C100" s="3" t="s">
        <v>163</v>
      </c>
      <c r="D100" s="11" t="s">
        <v>6</v>
      </c>
      <c r="E100" s="52">
        <v>252.96199338199852</v>
      </c>
      <c r="F100" s="53">
        <v>258.75484134775212</v>
      </c>
      <c r="G100" s="51">
        <v>283.91060800799431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x14ac:dyDescent="0.25">
      <c r="A101" s="16"/>
      <c r="B101" s="3" t="s">
        <v>164</v>
      </c>
      <c r="C101" s="3" t="s">
        <v>165</v>
      </c>
      <c r="D101" s="11" t="s">
        <v>6</v>
      </c>
      <c r="E101" s="52">
        <v>169.04980721305591</v>
      </c>
      <c r="F101" s="53">
        <v>172.92106003935055</v>
      </c>
      <c r="G101" s="51">
        <v>189.73219220729143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x14ac:dyDescent="0.25">
      <c r="A102" s="16"/>
      <c r="B102" s="3" t="s">
        <v>166</v>
      </c>
      <c r="C102" s="3" t="s">
        <v>167</v>
      </c>
      <c r="D102" s="11" t="s">
        <v>6</v>
      </c>
      <c r="E102" s="52">
        <v>168.50598229981094</v>
      </c>
      <c r="F102" s="53">
        <v>172.3647814962132</v>
      </c>
      <c r="G102" s="51">
        <v>189.12183307900881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x14ac:dyDescent="0.25">
      <c r="A103" s="16"/>
      <c r="B103" s="3" t="s">
        <v>168</v>
      </c>
      <c r="C103" s="3" t="s">
        <v>169</v>
      </c>
      <c r="D103" s="11" t="s">
        <v>6</v>
      </c>
      <c r="E103" s="52">
        <v>283.98167227317072</v>
      </c>
      <c r="F103" s="53">
        <v>290.48487313170727</v>
      </c>
      <c r="G103" s="51">
        <v>318.72538700487803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x14ac:dyDescent="0.25">
      <c r="A104" s="16"/>
      <c r="B104" s="3" t="s">
        <v>170</v>
      </c>
      <c r="C104" s="3" t="s">
        <v>171</v>
      </c>
      <c r="D104" s="11" t="s">
        <v>6</v>
      </c>
      <c r="E104" s="52">
        <v>283.18848114189836</v>
      </c>
      <c r="F104" s="53">
        <v>289.67351786609282</v>
      </c>
      <c r="G104" s="51">
        <v>317.83515296878704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x14ac:dyDescent="0.25">
      <c r="A105" s="16"/>
      <c r="B105" s="3" t="s">
        <v>170</v>
      </c>
      <c r="C105" s="3" t="s">
        <v>172</v>
      </c>
      <c r="D105" s="11" t="s">
        <v>6</v>
      </c>
      <c r="E105" s="52">
        <v>437.16200364878057</v>
      </c>
      <c r="F105" s="53">
        <v>447.17304518780492</v>
      </c>
      <c r="G105" s="51">
        <v>490.64655363658545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x14ac:dyDescent="0.25">
      <c r="A106" s="16"/>
      <c r="B106" s="3" t="s">
        <v>173</v>
      </c>
      <c r="C106" s="3" t="s">
        <v>174</v>
      </c>
      <c r="D106" s="11" t="s">
        <v>6</v>
      </c>
      <c r="E106" s="52">
        <v>346.69634487804876</v>
      </c>
      <c r="F106" s="53">
        <v>354.63571628048777</v>
      </c>
      <c r="G106" s="51">
        <v>389.11288115853665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x14ac:dyDescent="0.25">
      <c r="A107" s="16"/>
      <c r="B107" s="3" t="s">
        <v>175</v>
      </c>
      <c r="C107" s="3" t="s">
        <v>176</v>
      </c>
      <c r="D107" s="11" t="s">
        <v>6</v>
      </c>
      <c r="E107" s="52">
        <v>322.3397489268292</v>
      </c>
      <c r="F107" s="53">
        <v>329.72135251829258</v>
      </c>
      <c r="G107" s="51">
        <v>361.77637944512185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x14ac:dyDescent="0.25">
      <c r="A108" s="16"/>
      <c r="B108" s="3" t="s">
        <v>175</v>
      </c>
      <c r="C108" s="3" t="s">
        <v>177</v>
      </c>
      <c r="D108" s="11" t="s">
        <v>6</v>
      </c>
      <c r="E108" s="52">
        <v>322.3397489268292</v>
      </c>
      <c r="F108" s="53">
        <v>329.72135251829258</v>
      </c>
      <c r="G108" s="51">
        <v>361.77637944512185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x14ac:dyDescent="0.25">
      <c r="A109" s="16"/>
      <c r="B109" s="3" t="s">
        <v>178</v>
      </c>
      <c r="C109" s="3" t="s">
        <v>179</v>
      </c>
      <c r="D109" s="11" t="s">
        <v>6</v>
      </c>
      <c r="E109" s="52">
        <v>208.2646754104471</v>
      </c>
      <c r="F109" s="53">
        <v>213.0339515580614</v>
      </c>
      <c r="G109" s="51">
        <v>233.74480028340642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x14ac:dyDescent="0.25">
      <c r="A110" s="16"/>
      <c r="B110" s="3" t="s">
        <v>180</v>
      </c>
      <c r="C110" s="3" t="s">
        <v>181</v>
      </c>
      <c r="D110" s="11" t="s">
        <v>8</v>
      </c>
      <c r="E110" s="52">
        <v>204.82992000000002</v>
      </c>
      <c r="F110" s="53">
        <v>209.52053999999998</v>
      </c>
      <c r="G110" s="51">
        <v>229.88981999999999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x14ac:dyDescent="0.25">
      <c r="A111" s="16"/>
      <c r="B111" s="3" t="s">
        <v>182</v>
      </c>
      <c r="C111" s="3" t="s">
        <v>183</v>
      </c>
      <c r="D111" s="11" t="s">
        <v>8</v>
      </c>
      <c r="E111" s="52">
        <v>276.5005056</v>
      </c>
      <c r="F111" s="53">
        <v>282.83238719999997</v>
      </c>
      <c r="G111" s="51">
        <v>310.32893760000007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x14ac:dyDescent="0.25">
      <c r="A112" s="21"/>
      <c r="B112" s="3" t="s">
        <v>182</v>
      </c>
      <c r="C112" s="3" t="s">
        <v>184</v>
      </c>
      <c r="D112" s="11" t="s">
        <v>8</v>
      </c>
      <c r="E112" s="52">
        <v>282.03051571200001</v>
      </c>
      <c r="F112" s="53">
        <v>288.48903494399997</v>
      </c>
      <c r="G112" s="51">
        <v>316.53551635200006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x14ac:dyDescent="0.25">
      <c r="A113" s="21"/>
      <c r="B113" s="3" t="s">
        <v>182</v>
      </c>
      <c r="C113" s="3" t="s">
        <v>185</v>
      </c>
      <c r="D113" s="11" t="s">
        <v>8</v>
      </c>
      <c r="E113" s="52">
        <v>287.56052582400002</v>
      </c>
      <c r="F113" s="53">
        <v>294.14568268799997</v>
      </c>
      <c r="G113" s="51">
        <v>322.7420951040001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x14ac:dyDescent="0.25">
      <c r="A114" s="21"/>
      <c r="B114" s="3" t="s">
        <v>182</v>
      </c>
      <c r="C114" s="3" t="s">
        <v>186</v>
      </c>
      <c r="D114" s="11" t="s">
        <v>8</v>
      </c>
      <c r="E114" s="52">
        <v>284.79552076800002</v>
      </c>
      <c r="F114" s="53">
        <v>291.31735881599997</v>
      </c>
      <c r="G114" s="51">
        <v>319.63880572800008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x14ac:dyDescent="0.25">
      <c r="A115" s="16"/>
      <c r="B115" s="3" t="s">
        <v>180</v>
      </c>
      <c r="C115" s="3" t="s">
        <v>187</v>
      </c>
      <c r="D115" s="11" t="s">
        <v>8</v>
      </c>
      <c r="E115" s="52">
        <v>196.079904</v>
      </c>
      <c r="F115" s="53">
        <v>200.57014799999996</v>
      </c>
      <c r="G115" s="51">
        <v>220.06928400000001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x14ac:dyDescent="0.25">
      <c r="A116" s="16"/>
      <c r="B116" s="3" t="s">
        <v>180</v>
      </c>
      <c r="C116" s="3" t="s">
        <v>188</v>
      </c>
      <c r="D116" s="11" t="s">
        <v>8</v>
      </c>
      <c r="E116" s="52">
        <v>192.69921599999998</v>
      </c>
      <c r="F116" s="53">
        <v>197.11204199999997</v>
      </c>
      <c r="G116" s="51">
        <v>216.27498599999998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x14ac:dyDescent="0.25">
      <c r="A117" s="16"/>
      <c r="B117" s="3" t="s">
        <v>180</v>
      </c>
      <c r="C117" s="3" t="s">
        <v>189</v>
      </c>
      <c r="D117" s="11" t="s">
        <v>8</v>
      </c>
      <c r="E117" s="52">
        <v>189.31852800000001</v>
      </c>
      <c r="F117" s="53">
        <v>193.65393599999999</v>
      </c>
      <c r="G117" s="51">
        <v>212.48068800000004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x14ac:dyDescent="0.25">
      <c r="A118" s="16"/>
      <c r="B118" s="3" t="s">
        <v>190</v>
      </c>
      <c r="C118" s="3" t="s">
        <v>191</v>
      </c>
      <c r="D118" s="11" t="s">
        <v>8</v>
      </c>
      <c r="E118" s="52">
        <v>99.39980684643551</v>
      </c>
      <c r="F118" s="53">
        <v>101.67606962088773</v>
      </c>
      <c r="G118" s="51">
        <v>111.5608681776658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x14ac:dyDescent="0.25">
      <c r="A119" s="21"/>
      <c r="B119" s="3" t="s">
        <v>190</v>
      </c>
      <c r="C119" s="3" t="s">
        <v>192</v>
      </c>
      <c r="D119" s="11" t="s">
        <v>8</v>
      </c>
      <c r="E119" s="52">
        <v>98.415650343005453</v>
      </c>
      <c r="F119" s="53">
        <v>100.66937586226508</v>
      </c>
      <c r="G119" s="51">
        <v>110.45630512640177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x14ac:dyDescent="0.25">
      <c r="A120" s="21"/>
      <c r="B120" s="3" t="s">
        <v>190</v>
      </c>
      <c r="C120" s="3" t="s">
        <v>193</v>
      </c>
      <c r="D120" s="11" t="s">
        <v>8</v>
      </c>
      <c r="E120" s="52">
        <v>98.415650343005453</v>
      </c>
      <c r="F120" s="53">
        <v>100.66937586226508</v>
      </c>
      <c r="G120" s="51">
        <v>110.45630512640177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x14ac:dyDescent="0.25">
      <c r="A121" s="21"/>
      <c r="B121" s="3" t="s">
        <v>190</v>
      </c>
      <c r="C121" s="3" t="s">
        <v>194</v>
      </c>
      <c r="D121" s="11" t="s">
        <v>8</v>
      </c>
      <c r="E121" s="52">
        <v>97.450791025917169</v>
      </c>
      <c r="F121" s="53">
        <v>99.682421196948752</v>
      </c>
      <c r="G121" s="51">
        <v>109.37340017418215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x14ac:dyDescent="0.25">
      <c r="A122" s="21"/>
      <c r="B122" s="3" t="s">
        <v>190</v>
      </c>
      <c r="C122" s="3" t="s">
        <v>195</v>
      </c>
      <c r="D122" s="11" t="s">
        <v>8</v>
      </c>
      <c r="E122" s="52">
        <v>107.35179139415035</v>
      </c>
      <c r="F122" s="53">
        <v>109.81015519055876</v>
      </c>
      <c r="G122" s="51">
        <v>120.48573763187906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x14ac:dyDescent="0.25">
      <c r="A123" s="21"/>
      <c r="B123" s="3" t="s">
        <v>190</v>
      </c>
      <c r="C123" s="3" t="s">
        <v>196</v>
      </c>
      <c r="D123" s="11" t="s">
        <v>8</v>
      </c>
      <c r="E123" s="52">
        <v>104.36979718875729</v>
      </c>
      <c r="F123" s="53">
        <v>106.75987310193211</v>
      </c>
      <c r="G123" s="51">
        <v>117.13891158654909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x14ac:dyDescent="0.25">
      <c r="A124" s="21"/>
      <c r="B124" s="3" t="s">
        <v>190</v>
      </c>
      <c r="C124" s="3" t="s">
        <v>197</v>
      </c>
      <c r="D124" s="11" t="s">
        <v>8</v>
      </c>
      <c r="E124" s="52">
        <v>98.415650343005453</v>
      </c>
      <c r="F124" s="53">
        <v>100.66937586226508</v>
      </c>
      <c r="G124" s="51">
        <v>110.45630512640177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x14ac:dyDescent="0.25">
      <c r="A125" s="16"/>
      <c r="B125" s="3" t="s">
        <v>198</v>
      </c>
      <c r="C125" s="3" t="s">
        <v>199</v>
      </c>
      <c r="D125" s="11" t="s">
        <v>8</v>
      </c>
      <c r="E125" s="52">
        <v>167.04576</v>
      </c>
      <c r="F125" s="53">
        <v>170.87111999999999</v>
      </c>
      <c r="G125" s="51">
        <v>187.48295999999999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x14ac:dyDescent="0.25">
      <c r="A126" s="16"/>
      <c r="B126" s="3" t="s">
        <v>200</v>
      </c>
      <c r="C126" s="3" t="s">
        <v>201</v>
      </c>
      <c r="D126" s="11" t="s">
        <v>8</v>
      </c>
      <c r="E126" s="52">
        <v>378.09763145775258</v>
      </c>
      <c r="F126" s="53">
        <v>386.7560945966747</v>
      </c>
      <c r="G126" s="51">
        <v>424.35595560574887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x14ac:dyDescent="0.25">
      <c r="A127" s="16"/>
      <c r="B127" s="3" t="s">
        <v>202</v>
      </c>
      <c r="C127" s="3" t="s">
        <v>203</v>
      </c>
      <c r="D127" s="11" t="s">
        <v>8</v>
      </c>
      <c r="E127" s="52">
        <v>167.38485765203467</v>
      </c>
      <c r="F127" s="53">
        <v>171.21798301282078</v>
      </c>
      <c r="G127" s="51">
        <v>187.86354452685367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x14ac:dyDescent="0.25">
      <c r="A128" s="16"/>
      <c r="B128" s="3" t="s">
        <v>204</v>
      </c>
      <c r="C128" s="3" t="s">
        <v>205</v>
      </c>
      <c r="D128" s="11" t="s">
        <v>8</v>
      </c>
      <c r="E128" s="52">
        <v>234.23624455159489</v>
      </c>
      <c r="F128" s="53">
        <v>239.60027151317649</v>
      </c>
      <c r="G128" s="51">
        <v>262.89385895108552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x14ac:dyDescent="0.25">
      <c r="A129" s="16"/>
      <c r="B129" s="3" t="s">
        <v>206</v>
      </c>
      <c r="C129" s="3" t="s">
        <v>207</v>
      </c>
      <c r="D129" s="11" t="s">
        <v>8</v>
      </c>
      <c r="E129" s="52">
        <v>127.6044</v>
      </c>
      <c r="F129" s="53">
        <v>130.52654999999999</v>
      </c>
      <c r="G129" s="51">
        <v>143.21615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x14ac:dyDescent="0.25">
      <c r="A130" s="16"/>
      <c r="B130" s="3" t="s">
        <v>208</v>
      </c>
      <c r="C130" s="3" t="s">
        <v>209</v>
      </c>
      <c r="D130" s="11" t="s">
        <v>8</v>
      </c>
      <c r="E130" s="52">
        <v>180.93309600000003</v>
      </c>
      <c r="F130" s="53">
        <v>185.07647700000001</v>
      </c>
      <c r="G130" s="51">
        <v>203.06934100000004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x14ac:dyDescent="0.25">
      <c r="A131" s="16"/>
      <c r="B131" s="3" t="s">
        <v>210</v>
      </c>
      <c r="C131" s="3" t="s">
        <v>210</v>
      </c>
      <c r="D131" s="11" t="s">
        <v>8</v>
      </c>
      <c r="E131" s="52">
        <v>319.17671999999999</v>
      </c>
      <c r="F131" s="53">
        <v>326.48589000000004</v>
      </c>
      <c r="G131" s="51">
        <v>358.22637000000003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x14ac:dyDescent="0.25">
      <c r="A132" s="16"/>
      <c r="B132" s="3" t="s">
        <v>211</v>
      </c>
      <c r="C132" s="3" t="s">
        <v>212</v>
      </c>
      <c r="D132" s="11" t="s">
        <v>8</v>
      </c>
      <c r="E132" s="52">
        <v>191.77118400000001</v>
      </c>
      <c r="F132" s="53">
        <v>196.162758</v>
      </c>
      <c r="G132" s="51">
        <v>215.23341400000001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x14ac:dyDescent="0.25">
      <c r="A133" s="16"/>
      <c r="B133" s="3" t="s">
        <v>213</v>
      </c>
      <c r="C133" s="3" t="s">
        <v>214</v>
      </c>
      <c r="D133" s="11" t="s">
        <v>8</v>
      </c>
      <c r="E133" s="52">
        <v>183.78220319467542</v>
      </c>
      <c r="F133" s="53">
        <v>187.99082895574099</v>
      </c>
      <c r="G133" s="51">
        <v>206.26702198403123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x14ac:dyDescent="0.25">
      <c r="A134" s="16"/>
      <c r="B134" s="3" t="s">
        <v>215</v>
      </c>
      <c r="C134" s="3" t="s">
        <v>216</v>
      </c>
      <c r="D134" s="11" t="s">
        <v>8</v>
      </c>
      <c r="E134" s="52">
        <v>110.73536785143243</v>
      </c>
      <c r="F134" s="53">
        <v>113.27121579372175</v>
      </c>
      <c r="G134" s="51">
        <v>124.28327747723374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x14ac:dyDescent="0.25">
      <c r="A135" s="16"/>
      <c r="B135" s="3" t="s">
        <v>217</v>
      </c>
      <c r="C135" s="3" t="s">
        <v>218</v>
      </c>
      <c r="D135" s="11" t="s">
        <v>8</v>
      </c>
      <c r="E135" s="52">
        <v>134.14906158745211</v>
      </c>
      <c r="F135" s="53">
        <v>137.22108481171216</v>
      </c>
      <c r="G135" s="51">
        <v>150.5615176801723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x14ac:dyDescent="0.25">
      <c r="A136" s="16"/>
      <c r="B136" s="3" t="s">
        <v>219</v>
      </c>
      <c r="C136" s="3" t="s">
        <v>220</v>
      </c>
      <c r="D136" s="11" t="s">
        <v>6</v>
      </c>
      <c r="E136" s="52">
        <v>353.64648</v>
      </c>
      <c r="F136" s="53">
        <v>361.74500999999998</v>
      </c>
      <c r="G136" s="51">
        <v>396.91332999999997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x14ac:dyDescent="0.25">
      <c r="A137" s="16"/>
      <c r="B137" s="3" t="s">
        <v>221</v>
      </c>
      <c r="C137" s="3" t="s">
        <v>222</v>
      </c>
      <c r="D137" s="11" t="s">
        <v>6</v>
      </c>
      <c r="E137" s="52">
        <v>206.81856000000002</v>
      </c>
      <c r="F137" s="53">
        <v>211.55471999999997</v>
      </c>
      <c r="G137" s="51">
        <v>232.12175999999999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x14ac:dyDescent="0.25">
      <c r="A138" s="16"/>
      <c r="B138" s="17"/>
      <c r="C138" s="3"/>
      <c r="D138" s="1"/>
      <c r="E138" s="4"/>
      <c r="F138" s="4"/>
      <c r="G138" s="4"/>
    </row>
    <row r="139" spans="1:24" x14ac:dyDescent="0.25">
      <c r="A139" s="16"/>
      <c r="B139" s="17"/>
      <c r="C139" s="3"/>
      <c r="D139" s="1"/>
      <c r="E139" s="4"/>
      <c r="F139" s="4"/>
      <c r="G139" s="4"/>
    </row>
    <row r="140" spans="1:24" x14ac:dyDescent="0.25">
      <c r="A140" s="16"/>
      <c r="B140" s="17"/>
      <c r="C140" s="3"/>
      <c r="D140" s="1"/>
      <c r="E140" s="4"/>
      <c r="F140" s="4"/>
      <c r="G140" s="4"/>
    </row>
    <row r="141" spans="1:24" x14ac:dyDescent="0.25">
      <c r="A141" s="16"/>
      <c r="B141" s="17"/>
      <c r="C141" s="3"/>
      <c r="D141" s="1"/>
      <c r="E141" s="4"/>
      <c r="F141" s="4"/>
      <c r="G141" s="4"/>
    </row>
    <row r="142" spans="1:24" x14ac:dyDescent="0.25">
      <c r="A142" s="16"/>
      <c r="B142" s="17"/>
      <c r="C142" s="3"/>
      <c r="D142" s="1"/>
      <c r="E142" s="4"/>
      <c r="F142" s="4"/>
      <c r="G142" s="4"/>
    </row>
    <row r="143" spans="1:24" x14ac:dyDescent="0.25">
      <c r="A143" s="16"/>
      <c r="B143" s="17"/>
      <c r="C143" s="3"/>
      <c r="D143" s="1"/>
      <c r="E143" s="4"/>
      <c r="F143" s="4"/>
      <c r="G143" s="4"/>
    </row>
    <row r="144" spans="1:24" x14ac:dyDescent="0.25">
      <c r="A144" s="16"/>
      <c r="B144" s="17"/>
      <c r="C144" s="3"/>
      <c r="D144" s="1"/>
      <c r="E144" s="4"/>
      <c r="F144" s="4"/>
      <c r="G144" s="4"/>
    </row>
    <row r="145" spans="1:7" x14ac:dyDescent="0.25">
      <c r="A145" s="16"/>
      <c r="B145" s="17"/>
      <c r="C145" s="3"/>
      <c r="D145" s="1"/>
      <c r="E145" s="4"/>
      <c r="F145" s="4"/>
      <c r="G145" s="4"/>
    </row>
    <row r="146" spans="1:7" x14ac:dyDescent="0.25">
      <c r="A146" s="16"/>
      <c r="B146" s="17"/>
      <c r="C146" s="3"/>
      <c r="D146" s="1"/>
      <c r="E146" s="4"/>
      <c r="F146" s="4"/>
      <c r="G146" s="4"/>
    </row>
    <row r="147" spans="1:7" x14ac:dyDescent="0.25">
      <c r="A147" s="16"/>
      <c r="B147" s="17"/>
      <c r="C147" s="3"/>
      <c r="D147" s="1"/>
      <c r="E147" s="4"/>
      <c r="F147" s="4"/>
      <c r="G147" s="4"/>
    </row>
    <row r="148" spans="1:7" x14ac:dyDescent="0.25">
      <c r="A148" s="16"/>
      <c r="B148" s="17"/>
      <c r="C148" s="3"/>
      <c r="D148" s="1"/>
      <c r="E148" s="4"/>
      <c r="F148" s="4"/>
      <c r="G148" s="4"/>
    </row>
    <row r="149" spans="1:7" x14ac:dyDescent="0.25">
      <c r="A149" s="16"/>
      <c r="B149" s="17"/>
      <c r="C149" s="3"/>
      <c r="D149" s="1"/>
      <c r="E149" s="4"/>
      <c r="F149" s="4"/>
      <c r="G149" s="4"/>
    </row>
    <row r="150" spans="1:7" x14ac:dyDescent="0.25">
      <c r="A150" s="16"/>
      <c r="B150" s="17"/>
      <c r="C150" s="3"/>
      <c r="D150" s="1"/>
      <c r="E150" s="4"/>
      <c r="F150" s="4"/>
      <c r="G150" s="4"/>
    </row>
    <row r="151" spans="1:7" x14ac:dyDescent="0.25">
      <c r="A151" s="16"/>
      <c r="B151" s="17"/>
      <c r="C151" s="3"/>
      <c r="D151" s="1"/>
      <c r="E151" s="4"/>
      <c r="F151" s="4"/>
      <c r="G151" s="4"/>
    </row>
    <row r="152" spans="1:7" x14ac:dyDescent="0.25">
      <c r="A152" s="16"/>
      <c r="B152" s="17"/>
      <c r="C152" s="3"/>
      <c r="D152" s="1"/>
      <c r="E152" s="4"/>
      <c r="F152" s="4"/>
      <c r="G152" s="4"/>
    </row>
    <row r="153" spans="1:7" x14ac:dyDescent="0.25">
      <c r="A153" s="16"/>
      <c r="B153" s="17"/>
      <c r="C153" s="3"/>
      <c r="D153" s="1"/>
      <c r="E153" s="4"/>
      <c r="F153" s="4"/>
      <c r="G153" s="4"/>
    </row>
    <row r="154" spans="1:7" x14ac:dyDescent="0.25">
      <c r="A154" s="16"/>
      <c r="B154" s="17"/>
      <c r="C154" s="3"/>
      <c r="D154" s="1"/>
      <c r="E154" s="4"/>
      <c r="F154" s="4"/>
      <c r="G154" s="4"/>
    </row>
    <row r="155" spans="1:7" x14ac:dyDescent="0.25">
      <c r="A155" s="16"/>
      <c r="B155" s="17"/>
      <c r="C155" s="3"/>
      <c r="D155" s="1"/>
      <c r="E155" s="4"/>
      <c r="F155" s="4"/>
      <c r="G155" s="4"/>
    </row>
    <row r="156" spans="1:7" x14ac:dyDescent="0.25">
      <c r="A156" s="16"/>
      <c r="B156" s="17"/>
      <c r="C156" s="3"/>
      <c r="D156" s="1"/>
      <c r="E156" s="4"/>
      <c r="F156" s="4"/>
      <c r="G156" s="4"/>
    </row>
    <row r="157" spans="1:7" x14ac:dyDescent="0.25">
      <c r="A157" s="16"/>
      <c r="B157" s="17"/>
      <c r="C157" s="3"/>
      <c r="D157" s="1"/>
      <c r="E157" s="4"/>
      <c r="F157" s="4"/>
      <c r="G157" s="4"/>
    </row>
  </sheetData>
  <autoFilter ref="B3:D137" xr:uid="{B593B8AD-AE04-4543-B232-6D3D3239B900}">
    <sortState xmlns:xlrd2="http://schemas.microsoft.com/office/spreadsheetml/2017/richdata2" ref="B67:D137">
      <sortCondition ref="B3:B137"/>
    </sortState>
  </autoFilter>
  <mergeCells count="2">
    <mergeCell ref="A1:D1"/>
    <mergeCell ref="E1:G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0435-894C-411C-A512-733D46E76B44}">
  <sheetPr>
    <tabColor theme="3" tint="-0.249977111117893"/>
  </sheetPr>
  <dimension ref="A2:L136"/>
  <sheetViews>
    <sheetView topLeftCell="C1" workbookViewId="0">
      <selection activeCell="K1" sqref="K1"/>
    </sheetView>
  </sheetViews>
  <sheetFormatPr defaultColWidth="8.83203125" defaultRowHeight="13.5" x14ac:dyDescent="0.25"/>
  <cols>
    <col min="1" max="1" width="22.83203125" bestFit="1" customWidth="1"/>
    <col min="2" max="2" width="19.33203125" customWidth="1"/>
    <col min="3" max="3" width="16" customWidth="1"/>
    <col min="4" max="4" width="13.83203125" customWidth="1"/>
    <col min="5" max="5" width="10.5" customWidth="1"/>
    <col min="6" max="6" width="13.5" customWidth="1"/>
    <col min="7" max="7" width="11.83203125" customWidth="1"/>
    <col min="8" max="8" width="11.5" customWidth="1"/>
    <col min="9" max="9" width="12.83203125" style="10" customWidth="1"/>
    <col min="10" max="11" width="12" style="10" customWidth="1"/>
    <col min="12" max="12" width="11.58203125" customWidth="1"/>
  </cols>
  <sheetData>
    <row r="2" spans="1:12" s="44" customFormat="1" ht="42" customHeight="1" x14ac:dyDescent="0.25">
      <c r="A2" s="44" t="s">
        <v>14</v>
      </c>
      <c r="B2" s="44" t="s">
        <v>15</v>
      </c>
      <c r="C2" s="44" t="s">
        <v>16</v>
      </c>
      <c r="D2" s="67" t="s">
        <v>240</v>
      </c>
      <c r="E2" s="68"/>
      <c r="F2" s="67" t="s">
        <v>241</v>
      </c>
      <c r="G2" s="68"/>
      <c r="I2" s="45" t="s">
        <v>242</v>
      </c>
      <c r="J2" s="45" t="s">
        <v>243</v>
      </c>
      <c r="K2" s="45" t="s">
        <v>244</v>
      </c>
      <c r="L2" s="44" t="s">
        <v>245</v>
      </c>
    </row>
    <row r="3" spans="1:12" x14ac:dyDescent="0.25">
      <c r="A3" t="s">
        <v>17</v>
      </c>
      <c r="B3" t="s">
        <v>18</v>
      </c>
      <c r="C3" t="s">
        <v>19</v>
      </c>
      <c r="D3" s="43">
        <v>2883.9654627419304</v>
      </c>
      <c r="E3" s="43">
        <v>4673.1935375050834</v>
      </c>
      <c r="F3" s="43">
        <v>2757.4002694155661</v>
      </c>
      <c r="G3" s="43">
        <v>4404.9104012341941</v>
      </c>
      <c r="I3" s="10">
        <f t="shared" ref="I3:I34" si="0">SUM(D3:G3)/SUM($D$135:$G$135)</f>
        <v>1.1182057212687879</v>
      </c>
      <c r="J3" s="10">
        <f t="shared" ref="J3:J34" si="1">SUM(D3:G3)/SUM($D$130:$G$130)</f>
        <v>1.2994533607433179</v>
      </c>
      <c r="K3" s="10">
        <f t="shared" ref="K3:K42" si="2">SUM(D3:G3)/SUM($D$62:$G$62)</f>
        <v>1.5873707270263324</v>
      </c>
      <c r="L3" s="10">
        <f>SUM(D3:G3)/SUM($D$23:$G$23)</f>
        <v>0.7777074331196373</v>
      </c>
    </row>
    <row r="4" spans="1:12" x14ac:dyDescent="0.25">
      <c r="A4" t="s">
        <v>17</v>
      </c>
      <c r="B4" t="s">
        <v>20</v>
      </c>
      <c r="C4" t="s">
        <v>19</v>
      </c>
      <c r="D4" s="43">
        <v>2693.9354643073339</v>
      </c>
      <c r="E4" s="43">
        <v>4363.7937017038385</v>
      </c>
      <c r="F4" s="43">
        <v>2625.911511873182</v>
      </c>
      <c r="G4" s="43">
        <v>4193.5674607963147</v>
      </c>
      <c r="I4" s="10">
        <f t="shared" si="0"/>
        <v>1.0542209660305724</v>
      </c>
      <c r="J4" s="10">
        <f t="shared" si="1"/>
        <v>1.2250974496178626</v>
      </c>
      <c r="K4" s="10">
        <f t="shared" si="2"/>
        <v>1.4965399205752234</v>
      </c>
      <c r="L4" s="10">
        <f t="shared" ref="L4:L67" si="3">SUM(D4:G4)/SUM($D$23:$G$23)</f>
        <v>0.73320630170113743</v>
      </c>
    </row>
    <row r="5" spans="1:12" x14ac:dyDescent="0.25">
      <c r="A5" t="s">
        <v>17</v>
      </c>
      <c r="B5" t="s">
        <v>231</v>
      </c>
      <c r="C5" t="s">
        <v>19</v>
      </c>
      <c r="D5" s="43">
        <v>2693.9354643073339</v>
      </c>
      <c r="E5" s="43">
        <v>4363.7937017038385</v>
      </c>
      <c r="F5" s="43">
        <v>2625.911511873182</v>
      </c>
      <c r="G5" s="43">
        <v>4193.5674607963147</v>
      </c>
      <c r="I5" s="10">
        <f t="shared" si="0"/>
        <v>1.0542209660305724</v>
      </c>
      <c r="J5" s="10">
        <f t="shared" si="1"/>
        <v>1.2250974496178626</v>
      </c>
      <c r="K5" s="10">
        <f t="shared" si="2"/>
        <v>1.4965399205752234</v>
      </c>
      <c r="L5" s="10">
        <f t="shared" si="3"/>
        <v>0.73320630170113743</v>
      </c>
    </row>
    <row r="6" spans="1:12" x14ac:dyDescent="0.25">
      <c r="A6" t="s">
        <v>17</v>
      </c>
      <c r="B6" t="s">
        <v>22</v>
      </c>
      <c r="C6" t="s">
        <v>19</v>
      </c>
      <c r="D6" s="43">
        <v>3529.4611487061989</v>
      </c>
      <c r="E6" s="43">
        <v>5724.1707177149765</v>
      </c>
      <c r="F6" s="43">
        <v>3440.2182826914659</v>
      </c>
      <c r="G6" s="43">
        <v>5500.3496002494812</v>
      </c>
      <c r="I6" s="10">
        <f t="shared" si="0"/>
        <v>1.3821733193193486</v>
      </c>
      <c r="J6" s="10">
        <f t="shared" si="1"/>
        <v>1.6062069177050342</v>
      </c>
      <c r="K6" s="10">
        <f t="shared" si="2"/>
        <v>1.962091075938045</v>
      </c>
      <c r="L6" s="10">
        <f t="shared" si="3"/>
        <v>0.96129580080722443</v>
      </c>
    </row>
    <row r="7" spans="1:12" x14ac:dyDescent="0.25">
      <c r="A7" t="s">
        <v>17</v>
      </c>
      <c r="B7" t="s">
        <v>23</v>
      </c>
      <c r="C7" t="s">
        <v>19</v>
      </c>
      <c r="D7" s="43">
        <v>2797.3141061624124</v>
      </c>
      <c r="E7" s="43">
        <v>4540.2224448439147</v>
      </c>
      <c r="F7" s="43">
        <v>2698.1675568473556</v>
      </c>
      <c r="G7" s="43">
        <v>4315.2967856279347</v>
      </c>
      <c r="I7" s="10">
        <f t="shared" si="0"/>
        <v>1.0902139590499904</v>
      </c>
      <c r="J7" s="10">
        <f t="shared" si="1"/>
        <v>1.2669244720097923</v>
      </c>
      <c r="K7" s="10">
        <f t="shared" si="2"/>
        <v>1.5476344753698985</v>
      </c>
      <c r="L7" s="10">
        <f t="shared" si="3"/>
        <v>0.75823927879918251</v>
      </c>
    </row>
    <row r="8" spans="1:12" x14ac:dyDescent="0.25">
      <c r="A8" t="s">
        <v>17</v>
      </c>
      <c r="B8" t="s">
        <v>24</v>
      </c>
      <c r="C8" t="s">
        <v>19</v>
      </c>
      <c r="D8" s="43">
        <v>3435.9548012586938</v>
      </c>
      <c r="E8" s="43">
        <v>5571.9260214590195</v>
      </c>
      <c r="F8" s="43">
        <v>3349.0868854294231</v>
      </c>
      <c r="G8" s="43">
        <v>5354.1037662452964</v>
      </c>
      <c r="I8" s="10">
        <f t="shared" si="0"/>
        <v>1.3454711273751658</v>
      </c>
      <c r="J8" s="10">
        <f t="shared" si="1"/>
        <v>1.56355574380977</v>
      </c>
      <c r="K8" s="10">
        <f t="shared" si="2"/>
        <v>1.9099897639864376</v>
      </c>
      <c r="L8" s="10">
        <f t="shared" si="3"/>
        <v>0.93576957880364964</v>
      </c>
    </row>
    <row r="9" spans="1:12" x14ac:dyDescent="0.25">
      <c r="A9" t="s">
        <v>17</v>
      </c>
      <c r="B9" t="s">
        <v>25</v>
      </c>
      <c r="C9" t="s">
        <v>19</v>
      </c>
      <c r="D9" s="43">
        <v>2809.2788934546734</v>
      </c>
      <c r="E9" s="43">
        <v>4569.3745010144094</v>
      </c>
      <c r="F9" s="43">
        <v>2741.6133876018898</v>
      </c>
      <c r="G9" s="43">
        <v>4387.8656635943862</v>
      </c>
      <c r="I9" s="10">
        <f t="shared" si="0"/>
        <v>1.102150897307427</v>
      </c>
      <c r="J9" s="10">
        <f t="shared" si="1"/>
        <v>1.2807962437603526</v>
      </c>
      <c r="K9" s="10">
        <f t="shared" si="2"/>
        <v>1.5645797887409261</v>
      </c>
      <c r="L9" s="10">
        <f t="shared" si="3"/>
        <v>0.7665413697605532</v>
      </c>
    </row>
    <row r="10" spans="1:12" x14ac:dyDescent="0.25">
      <c r="A10" t="s">
        <v>17</v>
      </c>
      <c r="B10" t="s">
        <v>26</v>
      </c>
      <c r="C10" t="s">
        <v>19</v>
      </c>
      <c r="D10" s="43">
        <v>2732.9080453955821</v>
      </c>
      <c r="E10" s="43">
        <v>4435.1690115414403</v>
      </c>
      <c r="F10" s="43">
        <v>2636.0621216015761</v>
      </c>
      <c r="G10" s="43">
        <v>4215.4968693971487</v>
      </c>
      <c r="I10" s="10">
        <f t="shared" si="0"/>
        <v>1.0650409008895216</v>
      </c>
      <c r="J10" s="10">
        <f t="shared" si="1"/>
        <v>1.2376711652124599</v>
      </c>
      <c r="K10" s="10">
        <f t="shared" si="2"/>
        <v>1.511899569999964</v>
      </c>
      <c r="L10" s="10">
        <f t="shared" si="3"/>
        <v>0.74073152143988741</v>
      </c>
    </row>
    <row r="11" spans="1:12" x14ac:dyDescent="0.25">
      <c r="A11" t="s">
        <v>17</v>
      </c>
      <c r="B11" t="s">
        <v>27</v>
      </c>
      <c r="C11" t="s">
        <v>19</v>
      </c>
      <c r="D11" s="43">
        <v>2564.9991380920496</v>
      </c>
      <c r="E11" s="43">
        <v>4139.0271269026716</v>
      </c>
      <c r="F11" s="43">
        <v>2569.5655970350881</v>
      </c>
      <c r="G11" s="43">
        <v>4116.8730429193229</v>
      </c>
      <c r="I11" s="10">
        <f t="shared" si="0"/>
        <v>1.017244153623831</v>
      </c>
      <c r="J11" s="10">
        <f t="shared" si="1"/>
        <v>1.1821271426004782</v>
      </c>
      <c r="K11" s="10">
        <f t="shared" si="2"/>
        <v>1.4440487657932524</v>
      </c>
      <c r="L11" s="10">
        <f t="shared" si="3"/>
        <v>0.70748908230687102</v>
      </c>
    </row>
    <row r="12" spans="1:12" x14ac:dyDescent="0.25">
      <c r="A12" t="s">
        <v>17</v>
      </c>
      <c r="B12" t="s">
        <v>28</v>
      </c>
      <c r="C12" t="s">
        <v>19</v>
      </c>
      <c r="D12" s="43">
        <v>2706.5600395261854</v>
      </c>
      <c r="E12" s="43">
        <v>4450.877046121087</v>
      </c>
      <c r="F12" s="43">
        <v>2319.3608912056156</v>
      </c>
      <c r="G12" s="43">
        <v>3702.0347916968635</v>
      </c>
      <c r="I12" s="10">
        <f t="shared" si="0"/>
        <v>1.0011669259099802</v>
      </c>
      <c r="J12" s="10">
        <f t="shared" si="1"/>
        <v>1.1634439904873823</v>
      </c>
      <c r="K12" s="10">
        <f t="shared" si="2"/>
        <v>1.4212260238243186</v>
      </c>
      <c r="L12" s="10">
        <f t="shared" si="3"/>
        <v>0.6963074372310154</v>
      </c>
    </row>
    <row r="13" spans="1:12" x14ac:dyDescent="0.25">
      <c r="A13" t="s">
        <v>17</v>
      </c>
      <c r="B13" t="s">
        <v>29</v>
      </c>
      <c r="C13" t="s">
        <v>19</v>
      </c>
      <c r="D13" s="43">
        <v>2577.7471268799027</v>
      </c>
      <c r="E13" s="43">
        <v>4182.0853909070465</v>
      </c>
      <c r="F13" s="43">
        <v>2486.4457932986597</v>
      </c>
      <c r="G13" s="43">
        <v>3975.0705826179292</v>
      </c>
      <c r="I13" s="10">
        <f t="shared" si="0"/>
        <v>1.0043967823828084</v>
      </c>
      <c r="J13" s="10">
        <f t="shared" si="1"/>
        <v>1.1671973676777376</v>
      </c>
      <c r="K13" s="10">
        <f t="shared" si="2"/>
        <v>1.4258110295347586</v>
      </c>
      <c r="L13" s="10">
        <f t="shared" si="3"/>
        <v>0.698553788988166</v>
      </c>
    </row>
    <row r="14" spans="1:12" x14ac:dyDescent="0.25">
      <c r="A14" t="s">
        <v>17</v>
      </c>
      <c r="B14" t="s">
        <v>30</v>
      </c>
      <c r="C14" t="s">
        <v>19</v>
      </c>
      <c r="D14" s="43">
        <v>2753.4010267509589</v>
      </c>
      <c r="E14" s="43">
        <v>4468.5950136473684</v>
      </c>
      <c r="F14" s="43">
        <v>2655.8229214588223</v>
      </c>
      <c r="G14" s="43">
        <v>4247.2514060657186</v>
      </c>
      <c r="I14" s="10">
        <f t="shared" si="0"/>
        <v>1.0730505141747604</v>
      </c>
      <c r="J14" s="10">
        <f t="shared" si="1"/>
        <v>1.2469790400549781</v>
      </c>
      <c r="K14" s="10">
        <f t="shared" si="2"/>
        <v>1.5232697726576314</v>
      </c>
      <c r="L14" s="10">
        <f t="shared" si="3"/>
        <v>0.74630217420070133</v>
      </c>
    </row>
    <row r="15" spans="1:12" x14ac:dyDescent="0.25">
      <c r="A15" t="s">
        <v>17</v>
      </c>
      <c r="B15" t="s">
        <v>32</v>
      </c>
      <c r="C15" t="s">
        <v>19</v>
      </c>
      <c r="D15" s="43">
        <v>2890.9968717245811</v>
      </c>
      <c r="E15" s="43">
        <v>4693.0283052534551</v>
      </c>
      <c r="F15" s="43">
        <v>2788.5022644608616</v>
      </c>
      <c r="G15" s="43">
        <v>4460.4603034643605</v>
      </c>
      <c r="I15" s="10">
        <f t="shared" si="0"/>
        <v>1.1268294395588865</v>
      </c>
      <c r="J15" s="10">
        <f t="shared" si="1"/>
        <v>1.3094748795935856</v>
      </c>
      <c r="K15" s="10">
        <f t="shared" si="2"/>
        <v>1.5996126944134175</v>
      </c>
      <c r="L15" s="10">
        <f t="shared" si="3"/>
        <v>0.78370519335979205</v>
      </c>
    </row>
    <row r="16" spans="1:12" x14ac:dyDescent="0.25">
      <c r="A16" t="s">
        <v>17</v>
      </c>
      <c r="B16" t="s">
        <v>33</v>
      </c>
      <c r="C16" t="s">
        <v>19</v>
      </c>
      <c r="D16" s="43">
        <v>2560.1828444504672</v>
      </c>
      <c r="E16" s="43">
        <v>4153.4341195082188</v>
      </c>
      <c r="F16" s="43">
        <v>2469.5083984166595</v>
      </c>
      <c r="G16" s="43">
        <v>3947.8528458368137</v>
      </c>
      <c r="I16" s="10">
        <f t="shared" si="0"/>
        <v>0.99753152026326053</v>
      </c>
      <c r="J16" s="10">
        <f t="shared" si="1"/>
        <v>1.1592193295010882</v>
      </c>
      <c r="K16" s="10">
        <f t="shared" si="2"/>
        <v>1.4160653128793583</v>
      </c>
      <c r="L16" s="10">
        <f t="shared" si="3"/>
        <v>0.6937790277084358</v>
      </c>
    </row>
    <row r="17" spans="1:12" x14ac:dyDescent="0.25">
      <c r="A17" t="s">
        <v>17</v>
      </c>
      <c r="B17" t="s">
        <v>34</v>
      </c>
      <c r="C17" t="s">
        <v>19</v>
      </c>
      <c r="D17" s="43">
        <v>2721.1979963675435</v>
      </c>
      <c r="E17" s="43">
        <v>4416.0685941119928</v>
      </c>
      <c r="F17" s="43">
        <v>2624.7707980676578</v>
      </c>
      <c r="G17" s="43">
        <v>4197.3517450661893</v>
      </c>
      <c r="I17" s="10">
        <f t="shared" si="0"/>
        <v>1.060464075379479</v>
      </c>
      <c r="J17" s="10">
        <f t="shared" si="1"/>
        <v>1.2323524915753652</v>
      </c>
      <c r="K17" s="10">
        <f t="shared" si="2"/>
        <v>1.5054024481384289</v>
      </c>
      <c r="L17" s="10">
        <f t="shared" si="3"/>
        <v>0.73754835831386356</v>
      </c>
    </row>
    <row r="18" spans="1:12" x14ac:dyDescent="0.25">
      <c r="A18" t="s">
        <v>17</v>
      </c>
      <c r="B18" t="s">
        <v>35</v>
      </c>
      <c r="C18" t="s">
        <v>19</v>
      </c>
      <c r="D18" s="43">
        <v>2858.7938413411662</v>
      </c>
      <c r="E18" s="43">
        <v>4640.5018857180794</v>
      </c>
      <c r="F18" s="43">
        <v>2757.4495468379719</v>
      </c>
      <c r="G18" s="43">
        <v>4410.5600482331047</v>
      </c>
      <c r="I18" s="10">
        <f t="shared" si="0"/>
        <v>1.114242910478652</v>
      </c>
      <c r="J18" s="10">
        <f t="shared" si="1"/>
        <v>1.2948482261949192</v>
      </c>
      <c r="K18" s="10">
        <f t="shared" si="2"/>
        <v>1.5817452417284499</v>
      </c>
      <c r="L18" s="10">
        <f t="shared" si="3"/>
        <v>0.77495131468014444</v>
      </c>
    </row>
    <row r="19" spans="1:12" x14ac:dyDescent="0.25">
      <c r="A19" t="s">
        <v>17</v>
      </c>
      <c r="B19" t="s">
        <v>36</v>
      </c>
      <c r="C19" t="s">
        <v>19</v>
      </c>
      <c r="D19" s="43">
        <v>3374.0431185884313</v>
      </c>
      <c r="E19" s="43">
        <v>5480.9307866942581</v>
      </c>
      <c r="F19" s="43">
        <v>3254.2896480644595</v>
      </c>
      <c r="G19" s="43">
        <v>5208.9584364471248</v>
      </c>
      <c r="I19" s="10">
        <f t="shared" si="0"/>
        <v>1.3156272164804881</v>
      </c>
      <c r="J19" s="10">
        <f t="shared" si="1"/>
        <v>1.5288744954739897</v>
      </c>
      <c r="K19" s="10">
        <f t="shared" si="2"/>
        <v>1.86762425857618</v>
      </c>
      <c r="L19" s="10">
        <f t="shared" si="3"/>
        <v>0.91501326277459583</v>
      </c>
    </row>
    <row r="20" spans="1:12" x14ac:dyDescent="0.25">
      <c r="A20" t="s">
        <v>17</v>
      </c>
      <c r="B20" t="s">
        <v>37</v>
      </c>
      <c r="C20" t="s">
        <v>19</v>
      </c>
      <c r="D20" s="43">
        <v>2642.1539787593547</v>
      </c>
      <c r="E20" s="43">
        <v>4287.1390703024517</v>
      </c>
      <c r="F20" s="43">
        <v>2548.5508189633165</v>
      </c>
      <c r="G20" s="43">
        <v>4074.8701514481772</v>
      </c>
      <c r="I20" s="10">
        <f t="shared" si="0"/>
        <v>1.0295698618312696</v>
      </c>
      <c r="J20" s="10">
        <f t="shared" si="1"/>
        <v>1.1964506992135888</v>
      </c>
      <c r="K20" s="10">
        <f t="shared" si="2"/>
        <v>1.4615459651244775</v>
      </c>
      <c r="L20" s="10">
        <f t="shared" si="3"/>
        <v>0.71606156115317143</v>
      </c>
    </row>
    <row r="21" spans="1:12" x14ac:dyDescent="0.25">
      <c r="A21" t="s">
        <v>17</v>
      </c>
      <c r="B21" t="s">
        <v>38</v>
      </c>
      <c r="C21" t="s">
        <v>19</v>
      </c>
      <c r="D21" s="43">
        <v>3104.7072442678277</v>
      </c>
      <c r="E21" s="43">
        <v>5041.6155496373267</v>
      </c>
      <c r="F21" s="43">
        <v>2994.5774027096672</v>
      </c>
      <c r="G21" s="43">
        <v>4791.6131535306467</v>
      </c>
      <c r="I21" s="10">
        <f t="shared" si="0"/>
        <v>1.2103579803251558</v>
      </c>
      <c r="J21" s="10">
        <f t="shared" si="1"/>
        <v>1.4065423877919478</v>
      </c>
      <c r="K21" s="10">
        <f t="shared" si="2"/>
        <v>1.7181872625466903</v>
      </c>
      <c r="L21" s="10">
        <f t="shared" si="3"/>
        <v>0.84179894641075625</v>
      </c>
    </row>
    <row r="22" spans="1:12" x14ac:dyDescent="0.25">
      <c r="A22" t="s">
        <v>17</v>
      </c>
      <c r="B22" t="s">
        <v>39</v>
      </c>
      <c r="C22" t="s">
        <v>19</v>
      </c>
      <c r="D22" s="43">
        <v>2633.3718375446374</v>
      </c>
      <c r="E22" s="43">
        <v>4272.8143259506251</v>
      </c>
      <c r="F22" s="43">
        <v>2540.0827157540421</v>
      </c>
      <c r="G22" s="43">
        <v>4061.2615801734819</v>
      </c>
      <c r="I22" s="10">
        <f t="shared" si="0"/>
        <v>1.0261373661989253</v>
      </c>
      <c r="J22" s="10">
        <f t="shared" si="1"/>
        <v>1.192461837503844</v>
      </c>
      <c r="K22" s="10">
        <f t="shared" si="2"/>
        <v>1.4566732990454248</v>
      </c>
      <c r="L22" s="10">
        <f t="shared" si="3"/>
        <v>0.71367427470252098</v>
      </c>
    </row>
    <row r="23" spans="1:12" x14ac:dyDescent="0.25">
      <c r="A23" t="s">
        <v>17</v>
      </c>
      <c r="B23" t="s">
        <v>40</v>
      </c>
      <c r="C23" t="s">
        <v>19</v>
      </c>
      <c r="D23" s="43">
        <v>3662.3883770313528</v>
      </c>
      <c r="E23" s="43">
        <v>5963.8568770158317</v>
      </c>
      <c r="F23" s="43">
        <v>3574.0689932670557</v>
      </c>
      <c r="G23" s="43">
        <v>5726.4299807204552</v>
      </c>
      <c r="I23" s="10">
        <f t="shared" si="0"/>
        <v>1.4378231114280358</v>
      </c>
      <c r="J23" s="10">
        <f t="shared" si="1"/>
        <v>1.6708768688641538</v>
      </c>
      <c r="K23" s="10">
        <f t="shared" si="2"/>
        <v>2.0410898230184999</v>
      </c>
      <c r="L23" s="10">
        <f t="shared" si="3"/>
        <v>1</v>
      </c>
    </row>
    <row r="24" spans="1:12" x14ac:dyDescent="0.25">
      <c r="A24" t="s">
        <v>17</v>
      </c>
      <c r="B24" t="s">
        <v>41</v>
      </c>
      <c r="C24" t="s">
        <v>19</v>
      </c>
      <c r="D24" s="43">
        <v>3388.6810754297899</v>
      </c>
      <c r="E24" s="43">
        <v>5504.8062829696</v>
      </c>
      <c r="F24" s="43">
        <v>3268.4041919230203</v>
      </c>
      <c r="G24" s="43">
        <v>5231.6395196026251</v>
      </c>
      <c r="I24" s="10">
        <f t="shared" si="0"/>
        <v>1.3213482815832758</v>
      </c>
      <c r="J24" s="10">
        <f t="shared" si="1"/>
        <v>1.5355228761193804</v>
      </c>
      <c r="K24" s="10">
        <f t="shared" si="2"/>
        <v>1.8757457080544322</v>
      </c>
      <c r="L24" s="10">
        <f t="shared" si="3"/>
        <v>0.91899223978318312</v>
      </c>
    </row>
    <row r="25" spans="1:12" x14ac:dyDescent="0.25">
      <c r="A25" t="s">
        <v>17</v>
      </c>
      <c r="B25" t="s">
        <v>42</v>
      </c>
      <c r="C25" t="s">
        <v>19</v>
      </c>
      <c r="D25" s="43">
        <v>3517.4931969634504</v>
      </c>
      <c r="E25" s="43">
        <v>5714.9137438062753</v>
      </c>
      <c r="F25" s="43">
        <v>3392.6138739511289</v>
      </c>
      <c r="G25" s="43">
        <v>5431.2387578324706</v>
      </c>
      <c r="I25" s="10">
        <f t="shared" si="0"/>
        <v>1.37169430761926</v>
      </c>
      <c r="J25" s="10">
        <f t="shared" si="1"/>
        <v>1.5940293847949916</v>
      </c>
      <c r="K25" s="10">
        <f t="shared" si="2"/>
        <v>1.9472153906285357</v>
      </c>
      <c r="L25" s="10">
        <f t="shared" si="3"/>
        <v>0.95400769170896338</v>
      </c>
    </row>
    <row r="26" spans="1:12" x14ac:dyDescent="0.25">
      <c r="A26" t="s">
        <v>17</v>
      </c>
      <c r="B26" t="s">
        <v>43</v>
      </c>
      <c r="C26" t="s">
        <v>19</v>
      </c>
      <c r="D26" s="43">
        <v>2645.0810954600543</v>
      </c>
      <c r="E26" s="43">
        <v>4291.913903055417</v>
      </c>
      <c r="F26" s="43">
        <v>2551.3744488690832</v>
      </c>
      <c r="G26" s="43">
        <v>4079.4058634415301</v>
      </c>
      <c r="I26" s="10">
        <f t="shared" si="0"/>
        <v>1.0307140349935457</v>
      </c>
      <c r="J26" s="10">
        <f t="shared" si="1"/>
        <v>1.1977803290238398</v>
      </c>
      <c r="K26" s="10">
        <f t="shared" si="2"/>
        <v>1.4631701984385279</v>
      </c>
      <c r="L26" s="10">
        <f t="shared" si="3"/>
        <v>0.71685732883361986</v>
      </c>
    </row>
    <row r="27" spans="1:12" x14ac:dyDescent="0.25">
      <c r="A27" t="s">
        <v>17</v>
      </c>
      <c r="B27" t="s">
        <v>44</v>
      </c>
      <c r="C27" t="s">
        <v>19</v>
      </c>
      <c r="D27" s="43">
        <v>2630.5876590724474</v>
      </c>
      <c r="E27" s="43">
        <v>4277.2870676362763</v>
      </c>
      <c r="F27" s="43">
        <v>2567.2476698021396</v>
      </c>
      <c r="G27" s="43">
        <v>4107.4905203382859</v>
      </c>
      <c r="I27" s="10">
        <f t="shared" si="0"/>
        <v>1.0318412152735343</v>
      </c>
      <c r="J27" s="10">
        <f t="shared" si="1"/>
        <v>1.1990902116108586</v>
      </c>
      <c r="K27" s="10">
        <f t="shared" si="2"/>
        <v>1.4647703091753115</v>
      </c>
      <c r="L27" s="10">
        <f t="shared" si="3"/>
        <v>0.71764127803504074</v>
      </c>
    </row>
    <row r="28" spans="1:12" x14ac:dyDescent="0.25">
      <c r="A28" t="s">
        <v>17</v>
      </c>
      <c r="B28" t="s">
        <v>45</v>
      </c>
      <c r="C28" t="s">
        <v>19</v>
      </c>
      <c r="D28" s="43">
        <v>3319.4158901840328</v>
      </c>
      <c r="E28" s="43">
        <v>5403.2373929187834</v>
      </c>
      <c r="F28" s="43">
        <v>3239.4000792253491</v>
      </c>
      <c r="G28" s="43">
        <v>5188.2914307155597</v>
      </c>
      <c r="I28" s="10">
        <f t="shared" si="0"/>
        <v>1.3028739552506905</v>
      </c>
      <c r="J28" s="10">
        <f t="shared" si="1"/>
        <v>1.5140540846584432</v>
      </c>
      <c r="K28" s="10">
        <f t="shared" si="2"/>
        <v>1.8495201180184566</v>
      </c>
      <c r="L28" s="10">
        <f t="shared" si="3"/>
        <v>0.90614342257768088</v>
      </c>
    </row>
    <row r="29" spans="1:12" x14ac:dyDescent="0.25">
      <c r="A29" t="s">
        <v>17</v>
      </c>
      <c r="B29" t="s">
        <v>46</v>
      </c>
      <c r="C29" t="s">
        <v>19</v>
      </c>
      <c r="D29" s="43">
        <v>2709.4879473395058</v>
      </c>
      <c r="E29" s="43">
        <v>4396.968176682547</v>
      </c>
      <c r="F29" s="43">
        <v>2613.4788803020147</v>
      </c>
      <c r="G29" s="43">
        <v>4179.2066207352282</v>
      </c>
      <c r="I29" s="10">
        <f t="shared" si="0"/>
        <v>1.0558872047269601</v>
      </c>
      <c r="J29" s="10">
        <f t="shared" si="1"/>
        <v>1.2270337654787442</v>
      </c>
      <c r="K29" s="10">
        <f t="shared" si="2"/>
        <v>1.4989052621940118</v>
      </c>
      <c r="L29" s="10">
        <f t="shared" si="3"/>
        <v>0.73436516379143502</v>
      </c>
    </row>
    <row r="30" spans="1:12" x14ac:dyDescent="0.25">
      <c r="A30" t="s">
        <v>17</v>
      </c>
      <c r="B30" t="s">
        <v>47</v>
      </c>
      <c r="C30" t="s">
        <v>19</v>
      </c>
      <c r="D30" s="43">
        <v>2849.6288569953758</v>
      </c>
      <c r="E30" s="43">
        <v>4635.3300492664257</v>
      </c>
      <c r="F30" s="43">
        <v>2780.9865411572473</v>
      </c>
      <c r="G30" s="43">
        <v>4451.1763019347636</v>
      </c>
      <c r="I30" s="10">
        <f t="shared" si="0"/>
        <v>1.1180273548356805</v>
      </c>
      <c r="J30" s="10">
        <f t="shared" si="1"/>
        <v>1.2992460832660733</v>
      </c>
      <c r="K30" s="10">
        <f t="shared" si="2"/>
        <v>1.5871175234796029</v>
      </c>
      <c r="L30" s="10">
        <f t="shared" si="3"/>
        <v>0.77758338000650429</v>
      </c>
    </row>
    <row r="31" spans="1:12" x14ac:dyDescent="0.25">
      <c r="A31" t="s">
        <v>17</v>
      </c>
      <c r="B31" t="s">
        <v>48</v>
      </c>
      <c r="C31" t="s">
        <v>19</v>
      </c>
      <c r="D31" s="43">
        <v>3277.4332363255635</v>
      </c>
      <c r="E31" s="43">
        <v>5323.3500935317534</v>
      </c>
      <c r="F31" s="43">
        <v>3161.1319047769125</v>
      </c>
      <c r="G31" s="43">
        <v>5059.2586123856208</v>
      </c>
      <c r="I31" s="10">
        <f t="shared" si="0"/>
        <v>1.2778675628093159</v>
      </c>
      <c r="J31" s="10">
        <f t="shared" si="1"/>
        <v>1.4849944580799457</v>
      </c>
      <c r="K31" s="10">
        <f t="shared" si="2"/>
        <v>1.8140218062186111</v>
      </c>
      <c r="L31" s="10">
        <f t="shared" si="3"/>
        <v>0.88875158053353787</v>
      </c>
    </row>
    <row r="32" spans="1:12" x14ac:dyDescent="0.25">
      <c r="A32" t="s">
        <v>17</v>
      </c>
      <c r="B32" t="s">
        <v>232</v>
      </c>
      <c r="C32" t="s">
        <v>19</v>
      </c>
      <c r="D32" s="43">
        <v>3296.359419133446</v>
      </c>
      <c r="E32" s="43">
        <v>5365.5489662223126</v>
      </c>
      <c r="F32" s="43">
        <v>3216.9005222654223</v>
      </c>
      <c r="G32" s="43">
        <v>5152.1140413090461</v>
      </c>
      <c r="I32" s="10">
        <f t="shared" si="0"/>
        <v>1.293801740536582</v>
      </c>
      <c r="J32" s="10">
        <f t="shared" si="1"/>
        <v>1.5035113735316776</v>
      </c>
      <c r="K32" s="10">
        <f t="shared" si="2"/>
        <v>1.8366414787908438</v>
      </c>
      <c r="L32" s="10">
        <f t="shared" si="3"/>
        <v>0.89983373493808105</v>
      </c>
    </row>
    <row r="33" spans="1:12" x14ac:dyDescent="0.25">
      <c r="A33" t="s">
        <v>17</v>
      </c>
      <c r="B33" t="s">
        <v>50</v>
      </c>
      <c r="C33" t="s">
        <v>19</v>
      </c>
      <c r="D33" s="43">
        <v>2688.2304110130326</v>
      </c>
      <c r="E33" s="43">
        <v>4371.508912304771</v>
      </c>
      <c r="F33" s="43">
        <v>2623.4954440773422</v>
      </c>
      <c r="G33" s="43">
        <v>4197.9341879327703</v>
      </c>
      <c r="I33" s="10">
        <f t="shared" si="0"/>
        <v>1.0545218605556388</v>
      </c>
      <c r="J33" s="10">
        <f t="shared" si="1"/>
        <v>1.2254471155106312</v>
      </c>
      <c r="K33" s="10">
        <f t="shared" si="2"/>
        <v>1.4969670612631381</v>
      </c>
      <c r="L33" s="10">
        <f t="shared" si="3"/>
        <v>0.73341557259313706</v>
      </c>
    </row>
    <row r="34" spans="1:12" x14ac:dyDescent="0.25">
      <c r="A34" t="s">
        <v>17</v>
      </c>
      <c r="B34" t="s">
        <v>51</v>
      </c>
      <c r="C34" t="s">
        <v>19</v>
      </c>
      <c r="D34" s="43">
        <v>3268.6510951108471</v>
      </c>
      <c r="E34" s="43">
        <v>5309.0247549482028</v>
      </c>
      <c r="F34" s="43">
        <v>3152.6626131041867</v>
      </c>
      <c r="G34" s="43">
        <v>5045.6494468792016</v>
      </c>
      <c r="I34" s="10">
        <f t="shared" si="0"/>
        <v>1.2744348866070654</v>
      </c>
      <c r="J34" s="10">
        <f t="shared" si="1"/>
        <v>1.4810053865320942</v>
      </c>
      <c r="K34" s="10">
        <f t="shared" si="2"/>
        <v>1.8091488838080285</v>
      </c>
      <c r="L34" s="10">
        <f t="shared" si="3"/>
        <v>0.88636416849726785</v>
      </c>
    </row>
    <row r="35" spans="1:12" x14ac:dyDescent="0.25">
      <c r="A35" t="s">
        <v>17</v>
      </c>
      <c r="B35" t="s">
        <v>52</v>
      </c>
      <c r="C35" t="s">
        <v>19</v>
      </c>
      <c r="D35" s="43">
        <v>3650.8609405298071</v>
      </c>
      <c r="E35" s="43">
        <v>5945.0132123084768</v>
      </c>
      <c r="F35" s="43">
        <v>3562.8202926317904</v>
      </c>
      <c r="G35" s="43">
        <v>5708.3424266642878</v>
      </c>
      <c r="I35" s="10">
        <f t="shared" ref="I35:I66" si="4">SUM(D35:G35)/SUM($D$135:$G$135)</f>
        <v>1.4332872749840373</v>
      </c>
      <c r="J35" s="10">
        <f t="shared" ref="J35:J66" si="5">SUM(D35:G35)/SUM($D$130:$G$130)</f>
        <v>1.6656058281255606</v>
      </c>
      <c r="K35" s="10">
        <f t="shared" si="2"/>
        <v>2.0346508879846024</v>
      </c>
      <c r="L35" s="10">
        <f t="shared" si="3"/>
        <v>0.99684534459910479</v>
      </c>
    </row>
    <row r="36" spans="1:12" x14ac:dyDescent="0.25">
      <c r="A36" t="s">
        <v>17</v>
      </c>
      <c r="B36" t="s">
        <v>53</v>
      </c>
      <c r="C36" t="s">
        <v>19</v>
      </c>
      <c r="D36" s="43">
        <v>3628.7410360676768</v>
      </c>
      <c r="E36" s="43">
        <v>5896.3705274758477</v>
      </c>
      <c r="F36" s="43">
        <v>3499.8867553289633</v>
      </c>
      <c r="G36" s="43">
        <v>5603.6208535129263</v>
      </c>
      <c r="I36" s="10">
        <f t="shared" si="4"/>
        <v>1.4151752069631263</v>
      </c>
      <c r="J36" s="10">
        <f t="shared" si="5"/>
        <v>1.6445580126725337</v>
      </c>
      <c r="K36" s="10">
        <f t="shared" si="2"/>
        <v>2.0089395487958872</v>
      </c>
      <c r="L36" s="10">
        <f t="shared" si="3"/>
        <v>0.9842484765442282</v>
      </c>
    </row>
    <row r="37" spans="1:12" x14ac:dyDescent="0.25">
      <c r="A37" t="s">
        <v>17</v>
      </c>
      <c r="B37" t="s">
        <v>54</v>
      </c>
      <c r="C37" t="s">
        <v>19</v>
      </c>
      <c r="D37" s="43">
        <v>3068.6708539420515</v>
      </c>
      <c r="E37" s="43">
        <v>4993.3720850446671</v>
      </c>
      <c r="F37" s="43">
        <v>2994.7250047777388</v>
      </c>
      <c r="G37" s="43">
        <v>4794.8617385990156</v>
      </c>
      <c r="I37" s="10">
        <f t="shared" si="4"/>
        <v>1.2042134260651707</v>
      </c>
      <c r="J37" s="10">
        <f t="shared" si="5"/>
        <v>1.3994018755127338</v>
      </c>
      <c r="K37" s="10">
        <f t="shared" si="2"/>
        <v>1.7094646407809402</v>
      </c>
      <c r="L37" s="10">
        <f t="shared" si="3"/>
        <v>0.83752543445288929</v>
      </c>
    </row>
    <row r="38" spans="1:12" x14ac:dyDescent="0.25">
      <c r="A38" t="s">
        <v>17</v>
      </c>
      <c r="B38" t="s">
        <v>55</v>
      </c>
      <c r="C38" t="s">
        <v>19</v>
      </c>
      <c r="D38" s="43">
        <v>2826.5723859447885</v>
      </c>
      <c r="E38" s="43">
        <v>4597.6410283382302</v>
      </c>
      <c r="F38" s="43">
        <v>2758.4875784290462</v>
      </c>
      <c r="G38" s="43">
        <v>4414.99891252825</v>
      </c>
      <c r="I38" s="10">
        <f t="shared" si="4"/>
        <v>1.108955140121572</v>
      </c>
      <c r="J38" s="10">
        <f t="shared" si="5"/>
        <v>1.2887033721393077</v>
      </c>
      <c r="K38" s="10">
        <f t="shared" si="2"/>
        <v>1.5742388842519899</v>
      </c>
      <c r="L38" s="10">
        <f t="shared" si="3"/>
        <v>0.77127369236690435</v>
      </c>
    </row>
    <row r="39" spans="1:12" x14ac:dyDescent="0.25">
      <c r="A39" t="s">
        <v>17</v>
      </c>
      <c r="B39" t="s">
        <v>233</v>
      </c>
      <c r="C39" t="s">
        <v>19</v>
      </c>
      <c r="D39" s="43">
        <v>3186.8380251037966</v>
      </c>
      <c r="E39" s="43">
        <v>5186.5272310550008</v>
      </c>
      <c r="F39" s="43">
        <v>3110.0311981298755</v>
      </c>
      <c r="G39" s="43">
        <v>4980.2711995613254</v>
      </c>
      <c r="I39" s="10">
        <f t="shared" si="4"/>
        <v>1.2507086039928872</v>
      </c>
      <c r="J39" s="10">
        <f t="shared" si="5"/>
        <v>1.4534333601200342</v>
      </c>
      <c r="K39" s="10">
        <f t="shared" si="2"/>
        <v>1.7754677768645173</v>
      </c>
      <c r="L39" s="10">
        <f t="shared" si="3"/>
        <v>0.86986263751922333</v>
      </c>
    </row>
    <row r="40" spans="1:12" x14ac:dyDescent="0.25">
      <c r="A40" t="s">
        <v>17</v>
      </c>
      <c r="B40" t="s">
        <v>57</v>
      </c>
      <c r="C40" t="s">
        <v>19</v>
      </c>
      <c r="D40" s="43">
        <v>2593.1204941033698</v>
      </c>
      <c r="E40" s="43">
        <v>4216.0430308546338</v>
      </c>
      <c r="F40" s="43">
        <v>2530.6878020257777</v>
      </c>
      <c r="G40" s="43">
        <v>4048.7029549715739</v>
      </c>
      <c r="I40" s="10">
        <f t="shared" si="4"/>
        <v>1.0170990077992461</v>
      </c>
      <c r="J40" s="10">
        <f t="shared" si="5"/>
        <v>1.1819584703910921</v>
      </c>
      <c r="K40" s="10">
        <f t="shared" si="2"/>
        <v>1.4438427212088671</v>
      </c>
      <c r="L40" s="10">
        <f t="shared" si="3"/>
        <v>0.70738813398893741</v>
      </c>
    </row>
    <row r="41" spans="1:12" x14ac:dyDescent="0.25">
      <c r="A41" t="s">
        <v>17</v>
      </c>
      <c r="B41" t="s">
        <v>58</v>
      </c>
      <c r="C41" t="s">
        <v>19</v>
      </c>
      <c r="D41" s="43">
        <v>2864.0395430027402</v>
      </c>
      <c r="E41" s="43">
        <v>4658.8850626589438</v>
      </c>
      <c r="F41" s="43">
        <v>2795.0480385906271</v>
      </c>
      <c r="G41" s="43">
        <v>4473.7876638901016</v>
      </c>
      <c r="I41" s="10">
        <f t="shared" si="4"/>
        <v>1.1236974819075607</v>
      </c>
      <c r="J41" s="10">
        <f t="shared" si="5"/>
        <v>1.3058352694410786</v>
      </c>
      <c r="K41" s="10">
        <f t="shared" si="2"/>
        <v>1.5951666628832264</v>
      </c>
      <c r="L41" s="10">
        <f t="shared" si="3"/>
        <v>0.78152692982623728</v>
      </c>
    </row>
    <row r="42" spans="1:12" x14ac:dyDescent="0.25">
      <c r="A42" t="s">
        <v>17</v>
      </c>
      <c r="B42" t="s">
        <v>59</v>
      </c>
      <c r="C42" t="s">
        <v>19</v>
      </c>
      <c r="D42" s="43">
        <v>2500.892244474283</v>
      </c>
      <c r="E42" s="43">
        <v>4065.2880118461167</v>
      </c>
      <c r="F42" s="43">
        <v>2440.6919932393962</v>
      </c>
      <c r="G42" s="43">
        <v>3903.9932535519956</v>
      </c>
      <c r="I42" s="10">
        <f t="shared" si="4"/>
        <v>0.9808100424063626</v>
      </c>
      <c r="J42" s="10">
        <f t="shared" si="5"/>
        <v>1.1397875020793091</v>
      </c>
      <c r="K42" s="10">
        <f t="shared" si="2"/>
        <v>1.3923280130625222</v>
      </c>
      <c r="L42" s="10">
        <f t="shared" si="3"/>
        <v>0.68214930933487994</v>
      </c>
    </row>
    <row r="43" spans="1:12" x14ac:dyDescent="0.25">
      <c r="A43" t="s">
        <v>60</v>
      </c>
      <c r="B43" t="s">
        <v>61</v>
      </c>
      <c r="C43" t="s">
        <v>234</v>
      </c>
      <c r="D43" s="43">
        <v>2068.8703492489608</v>
      </c>
      <c r="E43" s="43">
        <v>3497.0647003510353</v>
      </c>
      <c r="F43" s="43">
        <v>2006.0324412058849</v>
      </c>
      <c r="G43" s="43">
        <v>3298.9123524936099</v>
      </c>
      <c r="I43" s="10">
        <f t="shared" si="4"/>
        <v>0.82583682074073295</v>
      </c>
      <c r="J43" s="10">
        <f t="shared" si="5"/>
        <v>0.95969499326069707</v>
      </c>
      <c r="K43" s="10">
        <f t="shared" ref="K43:K71" si="6">SUM(D43:G43)/SUM($D$62:$G$62)</f>
        <v>1.1723327556014385</v>
      </c>
      <c r="L43" s="10">
        <f t="shared" si="3"/>
        <v>0.57436607756326696</v>
      </c>
    </row>
    <row r="44" spans="1:12" x14ac:dyDescent="0.25">
      <c r="A44" t="s">
        <v>62</v>
      </c>
      <c r="B44" t="s">
        <v>63</v>
      </c>
      <c r="C44" t="s">
        <v>234</v>
      </c>
      <c r="D44" s="43">
        <v>2687.4412783160874</v>
      </c>
      <c r="E44" s="43">
        <v>2847.1407845675471</v>
      </c>
      <c r="F44" s="43">
        <v>2592.6605241266548</v>
      </c>
      <c r="G44" s="43">
        <v>4141.2504443324469</v>
      </c>
      <c r="I44" s="10">
        <f t="shared" si="4"/>
        <v>0.93201041924208805</v>
      </c>
      <c r="J44" s="10">
        <f t="shared" si="5"/>
        <v>1.0830780495003403</v>
      </c>
      <c r="K44" s="10">
        <f t="shared" si="6"/>
        <v>1.3230535568265165</v>
      </c>
      <c r="L44" s="10">
        <f t="shared" si="3"/>
        <v>0.64820937418123836</v>
      </c>
    </row>
    <row r="45" spans="1:12" x14ac:dyDescent="0.25">
      <c r="A45" t="s">
        <v>64</v>
      </c>
      <c r="B45" t="s">
        <v>65</v>
      </c>
      <c r="C45" t="s">
        <v>234</v>
      </c>
      <c r="D45" s="43">
        <v>2274.8764092651932</v>
      </c>
      <c r="E45" s="43">
        <v>1377.9916665258445</v>
      </c>
      <c r="F45" s="43">
        <v>2203.1896572226783</v>
      </c>
      <c r="G45" s="43">
        <v>3599.3750563072285</v>
      </c>
      <c r="I45" s="10">
        <f t="shared" si="4"/>
        <v>0.718308422687012</v>
      </c>
      <c r="J45" s="10">
        <f t="shared" si="5"/>
        <v>0.83473754082725016</v>
      </c>
      <c r="K45" s="10">
        <f t="shared" si="6"/>
        <v>1.0196887222648545</v>
      </c>
      <c r="L45" s="10">
        <f t="shared" si="3"/>
        <v>0.49958052348566939</v>
      </c>
    </row>
    <row r="46" spans="1:12" x14ac:dyDescent="0.25">
      <c r="A46" t="s">
        <v>66</v>
      </c>
      <c r="B46" t="s">
        <v>67</v>
      </c>
      <c r="C46" t="s">
        <v>234</v>
      </c>
      <c r="D46" s="43">
        <v>2274.8764092651932</v>
      </c>
      <c r="E46" s="43">
        <v>1377.9916665258445</v>
      </c>
      <c r="F46" s="43">
        <v>2203.1896572226783</v>
      </c>
      <c r="G46" s="43">
        <v>3599.3750563072285</v>
      </c>
      <c r="I46" s="10">
        <f t="shared" si="4"/>
        <v>0.718308422687012</v>
      </c>
      <c r="J46" s="10">
        <f t="shared" si="5"/>
        <v>0.83473754082725016</v>
      </c>
      <c r="K46" s="10">
        <f t="shared" si="6"/>
        <v>1.0196887222648545</v>
      </c>
      <c r="L46" s="10">
        <f t="shared" si="3"/>
        <v>0.49958052348566939</v>
      </c>
    </row>
    <row r="47" spans="1:12" x14ac:dyDescent="0.25">
      <c r="A47" t="s">
        <v>68</v>
      </c>
      <c r="B47" t="s">
        <v>69</v>
      </c>
      <c r="C47" t="s">
        <v>234</v>
      </c>
      <c r="D47" s="43">
        <v>3220.0646909579195</v>
      </c>
      <c r="E47" s="43">
        <v>5224.4411612042313</v>
      </c>
      <c r="F47" s="43">
        <v>3106.3145500635028</v>
      </c>
      <c r="G47" s="43">
        <v>4965.7922085563214</v>
      </c>
      <c r="I47" s="10">
        <f t="shared" si="4"/>
        <v>1.2547307158676599</v>
      </c>
      <c r="J47" s="10">
        <f t="shared" si="5"/>
        <v>1.4581074077425313</v>
      </c>
      <c r="K47" s="10">
        <f t="shared" si="6"/>
        <v>1.7811774441729573</v>
      </c>
      <c r="L47" s="10">
        <f t="shared" si="3"/>
        <v>0.87265999961669161</v>
      </c>
    </row>
    <row r="48" spans="1:12" x14ac:dyDescent="0.25">
      <c r="A48" t="s">
        <v>70</v>
      </c>
      <c r="B48" t="s">
        <v>71</v>
      </c>
      <c r="C48" t="s">
        <v>234</v>
      </c>
      <c r="D48" s="43">
        <v>3086.6597605450547</v>
      </c>
      <c r="E48" s="43">
        <v>5059.7335094743457</v>
      </c>
      <c r="F48" s="43">
        <v>2981.2630713883864</v>
      </c>
      <c r="G48" s="43">
        <v>4800.323057632304</v>
      </c>
      <c r="I48" s="10">
        <f t="shared" si="4"/>
        <v>1.210013546036466</v>
      </c>
      <c r="J48" s="10">
        <f t="shared" si="5"/>
        <v>1.4061421248658332</v>
      </c>
      <c r="K48" s="10">
        <f t="shared" si="6"/>
        <v>1.7176983141386728</v>
      </c>
      <c r="L48" s="10">
        <f t="shared" si="3"/>
        <v>0.84155939379405942</v>
      </c>
    </row>
    <row r="49" spans="1:12" x14ac:dyDescent="0.25">
      <c r="A49" t="s">
        <v>72</v>
      </c>
      <c r="B49" t="s">
        <v>73</v>
      </c>
      <c r="C49" t="s">
        <v>234</v>
      </c>
      <c r="D49" s="43">
        <v>1442.132827763867</v>
      </c>
      <c r="E49" s="43">
        <v>2430.7608625540161</v>
      </c>
      <c r="F49" s="43">
        <v>1398.5704337203201</v>
      </c>
      <c r="G49" s="43">
        <v>2293.7144751610349</v>
      </c>
      <c r="I49" s="10">
        <f t="shared" si="4"/>
        <v>0.57470997129541257</v>
      </c>
      <c r="J49" s="10">
        <f t="shared" si="5"/>
        <v>0.6678635151366803</v>
      </c>
      <c r="K49" s="10">
        <f t="shared" si="6"/>
        <v>0.8158407416565111</v>
      </c>
      <c r="L49" s="10">
        <f t="shared" si="3"/>
        <v>0.3997083971787147</v>
      </c>
    </row>
    <row r="50" spans="1:12" x14ac:dyDescent="0.25">
      <c r="A50" t="s">
        <v>74</v>
      </c>
      <c r="B50" t="s">
        <v>75</v>
      </c>
      <c r="C50" t="s">
        <v>234</v>
      </c>
      <c r="D50" s="43">
        <v>2829.8910236427714</v>
      </c>
      <c r="E50" s="43">
        <v>4743.7866150764148</v>
      </c>
      <c r="F50" s="43">
        <v>2740.4794623562802</v>
      </c>
      <c r="G50" s="43">
        <v>4482.2380554361316</v>
      </c>
      <c r="I50" s="10">
        <f t="shared" si="4"/>
        <v>1.1240495811393614</v>
      </c>
      <c r="J50" s="10">
        <f t="shared" si="5"/>
        <v>1.3062444397049897</v>
      </c>
      <c r="K50" s="10">
        <f t="shared" si="6"/>
        <v>1.5956664922106374</v>
      </c>
      <c r="L50" s="10">
        <f t="shared" si="3"/>
        <v>0.7817718133790208</v>
      </c>
    </row>
    <row r="51" spans="1:12" x14ac:dyDescent="0.25">
      <c r="A51" t="s">
        <v>76</v>
      </c>
      <c r="B51" t="s">
        <v>77</v>
      </c>
      <c r="C51" t="s">
        <v>234</v>
      </c>
      <c r="D51" s="43">
        <v>2403.1301667237012</v>
      </c>
      <c r="E51" s="43">
        <v>4007.283300031429</v>
      </c>
      <c r="F51" s="43">
        <v>2326.1416636170993</v>
      </c>
      <c r="G51" s="43">
        <v>3789.7570850658926</v>
      </c>
      <c r="I51" s="10">
        <f t="shared" si="4"/>
        <v>0.9515963753365746</v>
      </c>
      <c r="J51" s="10">
        <f t="shared" si="5"/>
        <v>1.1058386524790778</v>
      </c>
      <c r="K51" s="10">
        <f t="shared" si="6"/>
        <v>1.3508571825582236</v>
      </c>
      <c r="L51" s="10">
        <f t="shared" si="3"/>
        <v>0.66183132526744259</v>
      </c>
    </row>
    <row r="52" spans="1:12" x14ac:dyDescent="0.25">
      <c r="A52" t="s">
        <v>78</v>
      </c>
      <c r="B52" t="s">
        <v>79</v>
      </c>
      <c r="C52" t="s">
        <v>234</v>
      </c>
      <c r="D52" s="43">
        <v>2230.8834927894081</v>
      </c>
      <c r="E52" s="43">
        <v>3843.6322802204477</v>
      </c>
      <c r="F52" s="43">
        <v>2167.8836974073502</v>
      </c>
      <c r="G52" s="43">
        <v>3614.0364476241762</v>
      </c>
      <c r="I52" s="10">
        <f t="shared" si="4"/>
        <v>0.90070734706047983</v>
      </c>
      <c r="J52" s="10">
        <f t="shared" si="5"/>
        <v>1.04670112745971</v>
      </c>
      <c r="K52" s="10">
        <f t="shared" si="6"/>
        <v>1.2786166705702953</v>
      </c>
      <c r="L52" s="10">
        <f t="shared" si="3"/>
        <v>0.62643821753978046</v>
      </c>
    </row>
    <row r="53" spans="1:12" x14ac:dyDescent="0.25">
      <c r="A53" t="s">
        <v>80</v>
      </c>
      <c r="B53" t="s">
        <v>81</v>
      </c>
      <c r="C53" t="s">
        <v>234</v>
      </c>
      <c r="D53" s="43">
        <v>2943.4765938075175</v>
      </c>
      <c r="E53" s="43">
        <v>4773.8221586726941</v>
      </c>
      <c r="F53" s="43">
        <v>2839.6352703968014</v>
      </c>
      <c r="G53" s="43">
        <v>4537.6841917271195</v>
      </c>
      <c r="I53" s="10">
        <f t="shared" si="4"/>
        <v>1.1467049306342341</v>
      </c>
      <c r="J53" s="10">
        <f t="shared" si="5"/>
        <v>1.3325719476759943</v>
      </c>
      <c r="K53" s="10">
        <f t="shared" si="6"/>
        <v>1.6278273351706487</v>
      </c>
      <c r="L53" s="10">
        <f t="shared" si="3"/>
        <v>0.79752851482219866</v>
      </c>
    </row>
    <row r="54" spans="1:12" x14ac:dyDescent="0.25">
      <c r="A54" t="s">
        <v>82</v>
      </c>
      <c r="B54" t="s">
        <v>83</v>
      </c>
      <c r="C54" t="s">
        <v>234</v>
      </c>
      <c r="D54" s="43">
        <v>2457.0291196908606</v>
      </c>
      <c r="E54" s="43">
        <v>3929.7378610005239</v>
      </c>
      <c r="F54" s="43">
        <v>2367.0736287052368</v>
      </c>
      <c r="G54" s="43">
        <v>3744.5886532241393</v>
      </c>
      <c r="I54" s="10">
        <f t="shared" si="4"/>
        <v>0.94947816876640945</v>
      </c>
      <c r="J54" s="10">
        <f t="shared" si="5"/>
        <v>1.1033771102118584</v>
      </c>
      <c r="K54" s="10">
        <f t="shared" si="6"/>
        <v>1.3478502411347262</v>
      </c>
      <c r="L54" s="10">
        <f t="shared" si="3"/>
        <v>0.66035812139881001</v>
      </c>
    </row>
    <row r="55" spans="1:12" x14ac:dyDescent="0.25">
      <c r="A55" t="s">
        <v>82</v>
      </c>
      <c r="B55" t="s">
        <v>84</v>
      </c>
      <c r="C55" t="s">
        <v>234</v>
      </c>
      <c r="D55" s="43">
        <v>2851.3392327594192</v>
      </c>
      <c r="E55" s="43">
        <v>4983.7775981525119</v>
      </c>
      <c r="F55" s="43">
        <v>2649.6898123489163</v>
      </c>
      <c r="G55" s="43">
        <v>4466.1026589182056</v>
      </c>
      <c r="I55" s="10">
        <f t="shared" si="4"/>
        <v>1.1357876807832583</v>
      </c>
      <c r="J55" s="10">
        <f t="shared" si="5"/>
        <v>1.3198851435047296</v>
      </c>
      <c r="K55" s="10">
        <f t="shared" si="6"/>
        <v>1.6123295403521711</v>
      </c>
      <c r="L55" s="10">
        <f t="shared" si="3"/>
        <v>0.78993561291082748</v>
      </c>
    </row>
    <row r="56" spans="1:12" x14ac:dyDescent="0.25">
      <c r="A56" t="s">
        <v>85</v>
      </c>
      <c r="B56" t="s">
        <v>86</v>
      </c>
      <c r="C56" t="s">
        <v>234</v>
      </c>
      <c r="D56" s="43">
        <v>1690.4456159428794</v>
      </c>
      <c r="E56" s="43">
        <v>2965.3429344490896</v>
      </c>
      <c r="F56" s="43">
        <v>1569.6905605803831</v>
      </c>
      <c r="G56" s="43">
        <v>2655.3402286651681</v>
      </c>
      <c r="I56" s="10">
        <f t="shared" si="4"/>
        <v>0.67465630332945004</v>
      </c>
      <c r="J56" s="10">
        <f t="shared" si="5"/>
        <v>0.78400994024013293</v>
      </c>
      <c r="K56" s="10">
        <f t="shared" si="6"/>
        <v>0.9577215053897431</v>
      </c>
      <c r="L56" s="10">
        <f t="shared" si="3"/>
        <v>0.46922065584227968</v>
      </c>
    </row>
    <row r="57" spans="1:12" x14ac:dyDescent="0.25">
      <c r="A57" t="s">
        <v>85</v>
      </c>
      <c r="B57" t="s">
        <v>87</v>
      </c>
      <c r="C57" t="s">
        <v>234</v>
      </c>
      <c r="D57" s="43">
        <v>1690.4456159428794</v>
      </c>
      <c r="E57" s="43">
        <v>2965.3429344490896</v>
      </c>
      <c r="F57" s="43">
        <v>1569.6905605803831</v>
      </c>
      <c r="G57" s="43">
        <v>2655.3402286651681</v>
      </c>
      <c r="I57" s="10">
        <f t="shared" si="4"/>
        <v>0.67465630332945004</v>
      </c>
      <c r="J57" s="10">
        <f t="shared" si="5"/>
        <v>0.78400994024013293</v>
      </c>
      <c r="K57" s="10">
        <f t="shared" si="6"/>
        <v>0.9577215053897431</v>
      </c>
      <c r="L57" s="10">
        <f t="shared" si="3"/>
        <v>0.46922065584227968</v>
      </c>
    </row>
    <row r="58" spans="1:12" x14ac:dyDescent="0.25">
      <c r="A58" t="s">
        <v>85</v>
      </c>
      <c r="B58" t="s">
        <v>88</v>
      </c>
      <c r="C58" t="s">
        <v>234</v>
      </c>
      <c r="D58" s="43">
        <v>1715.715466110739</v>
      </c>
      <c r="E58" s="43">
        <v>3004.0071918562617</v>
      </c>
      <c r="F58" s="43">
        <v>1589.9451822434335</v>
      </c>
      <c r="G58" s="43">
        <v>2694.3072204227788</v>
      </c>
      <c r="I58" s="10">
        <f t="shared" si="4"/>
        <v>0.68401217245404577</v>
      </c>
      <c r="J58" s="10">
        <f t="shared" si="5"/>
        <v>0.79488228273077566</v>
      </c>
      <c r="K58" s="10">
        <f t="shared" si="6"/>
        <v>0.97100281176458569</v>
      </c>
      <c r="L58" s="10">
        <f t="shared" si="3"/>
        <v>0.47572762394582019</v>
      </c>
    </row>
    <row r="59" spans="1:12" x14ac:dyDescent="0.25">
      <c r="A59" t="s">
        <v>89</v>
      </c>
      <c r="B59" t="s">
        <v>90</v>
      </c>
      <c r="C59" t="s">
        <v>234</v>
      </c>
      <c r="D59" s="43">
        <v>1786.0242835138542</v>
      </c>
      <c r="E59" s="43">
        <v>2866.665782293479</v>
      </c>
      <c r="F59" s="43">
        <v>1720.7582540775777</v>
      </c>
      <c r="G59" s="43">
        <v>2730.0213188457751</v>
      </c>
      <c r="I59" s="10">
        <f t="shared" si="4"/>
        <v>0.69157055661810252</v>
      </c>
      <c r="J59" s="10">
        <f t="shared" si="5"/>
        <v>0.80366578966242352</v>
      </c>
      <c r="K59" s="10">
        <f t="shared" si="6"/>
        <v>0.9817324633281902</v>
      </c>
      <c r="L59" s="10">
        <f t="shared" si="3"/>
        <v>0.48098444872765989</v>
      </c>
    </row>
    <row r="60" spans="1:12" x14ac:dyDescent="0.25">
      <c r="A60" t="s">
        <v>91</v>
      </c>
      <c r="B60" t="s">
        <v>92</v>
      </c>
      <c r="C60" t="s">
        <v>234</v>
      </c>
      <c r="D60" s="43">
        <v>1609.2434841068032</v>
      </c>
      <c r="E60" s="43">
        <v>2572.4617519815229</v>
      </c>
      <c r="F60" s="43">
        <v>1547.9649784705268</v>
      </c>
      <c r="G60" s="43">
        <v>2452.2819029338189</v>
      </c>
      <c r="I60" s="10">
        <f t="shared" si="4"/>
        <v>0.62156489829366091</v>
      </c>
      <c r="J60" s="10">
        <f t="shared" si="5"/>
        <v>0.72231305979307114</v>
      </c>
      <c r="K60" s="10">
        <f t="shared" si="6"/>
        <v>0.88235456654517574</v>
      </c>
      <c r="L60" s="10">
        <f t="shared" si="3"/>
        <v>0.43229580422888536</v>
      </c>
    </row>
    <row r="61" spans="1:12" x14ac:dyDescent="0.25">
      <c r="A61" t="s">
        <v>93</v>
      </c>
      <c r="B61" t="s">
        <v>53</v>
      </c>
      <c r="C61" t="s">
        <v>234</v>
      </c>
      <c r="D61" s="43">
        <v>1624.0945537392663</v>
      </c>
      <c r="E61" s="43">
        <v>2561.2986336296958</v>
      </c>
      <c r="F61" s="43">
        <v>1558.074689137547</v>
      </c>
      <c r="G61" s="43">
        <v>2448.5883291082291</v>
      </c>
      <c r="I61" s="10">
        <f t="shared" si="4"/>
        <v>0.62233248363463545</v>
      </c>
      <c r="J61" s="10">
        <f t="shared" si="5"/>
        <v>0.72320506144537433</v>
      </c>
      <c r="K61" s="10">
        <f t="shared" si="6"/>
        <v>0.88344420727727191</v>
      </c>
      <c r="L61" s="10">
        <f t="shared" si="3"/>
        <v>0.43282965664429973</v>
      </c>
    </row>
    <row r="62" spans="1:12" x14ac:dyDescent="0.25">
      <c r="A62" t="s">
        <v>94</v>
      </c>
      <c r="B62" t="s">
        <v>95</v>
      </c>
      <c r="C62" t="s">
        <v>234</v>
      </c>
      <c r="D62" s="43">
        <v>1765.5035572191773</v>
      </c>
      <c r="E62" s="43">
        <v>3095.5818381570334</v>
      </c>
      <c r="F62" s="43">
        <v>1639.5480560170786</v>
      </c>
      <c r="G62" s="43">
        <v>2772.2285337027715</v>
      </c>
      <c r="I62" s="10">
        <f t="shared" si="4"/>
        <v>0.70443892043010958</v>
      </c>
      <c r="J62" s="10">
        <f t="shared" si="5"/>
        <v>0.8186199597983147</v>
      </c>
      <c r="K62" s="10">
        <f t="shared" si="6"/>
        <v>1</v>
      </c>
      <c r="L62" s="10">
        <f t="shared" si="3"/>
        <v>0.48993434229226285</v>
      </c>
    </row>
    <row r="63" spans="1:12" x14ac:dyDescent="0.25">
      <c r="A63" t="s">
        <v>94</v>
      </c>
      <c r="B63" t="s">
        <v>96</v>
      </c>
      <c r="C63" t="s">
        <v>234</v>
      </c>
      <c r="D63" s="43">
        <v>1765.5035572191773</v>
      </c>
      <c r="E63" s="43">
        <v>3095.5818381570334</v>
      </c>
      <c r="F63" s="43">
        <v>1639.5480560170786</v>
      </c>
      <c r="G63" s="43">
        <v>2772.2285337027715</v>
      </c>
      <c r="I63" s="10">
        <f t="shared" si="4"/>
        <v>0.70443892043010958</v>
      </c>
      <c r="J63" s="10">
        <f t="shared" si="5"/>
        <v>0.8186199597983147</v>
      </c>
      <c r="K63" s="10">
        <f t="shared" si="6"/>
        <v>1</v>
      </c>
      <c r="L63" s="10">
        <f t="shared" si="3"/>
        <v>0.48993434229226285</v>
      </c>
    </row>
    <row r="64" spans="1:12" x14ac:dyDescent="0.25">
      <c r="A64" t="s">
        <v>94</v>
      </c>
      <c r="B64" t="s">
        <v>97</v>
      </c>
      <c r="C64" t="s">
        <v>234</v>
      </c>
      <c r="D64" s="43">
        <v>1765.5035572191773</v>
      </c>
      <c r="E64" s="43">
        <v>3095.5818381570334</v>
      </c>
      <c r="F64" s="43">
        <v>1639.5480560170786</v>
      </c>
      <c r="G64" s="43">
        <v>2772.2285337027715</v>
      </c>
      <c r="I64" s="10">
        <f t="shared" si="4"/>
        <v>0.70443892043010958</v>
      </c>
      <c r="J64" s="10">
        <f t="shared" si="5"/>
        <v>0.8186199597983147</v>
      </c>
      <c r="K64" s="10">
        <f t="shared" si="6"/>
        <v>1</v>
      </c>
      <c r="L64" s="10">
        <f t="shared" si="3"/>
        <v>0.48993434229226285</v>
      </c>
    </row>
    <row r="65" spans="1:12" x14ac:dyDescent="0.25">
      <c r="A65" t="s">
        <v>94</v>
      </c>
      <c r="B65" t="s">
        <v>98</v>
      </c>
      <c r="C65" t="s">
        <v>234</v>
      </c>
      <c r="D65" s="43">
        <v>1765.5035572191773</v>
      </c>
      <c r="E65" s="43">
        <v>3095.5818381570334</v>
      </c>
      <c r="F65" s="43">
        <v>1639.5480560170786</v>
      </c>
      <c r="G65" s="43">
        <v>2772.2285337027715</v>
      </c>
      <c r="I65" s="10">
        <f t="shared" si="4"/>
        <v>0.70443892043010958</v>
      </c>
      <c r="J65" s="10">
        <f t="shared" si="5"/>
        <v>0.8186199597983147</v>
      </c>
      <c r="K65" s="10">
        <f t="shared" si="6"/>
        <v>1</v>
      </c>
      <c r="L65" s="10">
        <f t="shared" si="3"/>
        <v>0.48993434229226285</v>
      </c>
    </row>
    <row r="66" spans="1:12" x14ac:dyDescent="0.25">
      <c r="A66" t="s">
        <v>99</v>
      </c>
      <c r="B66" t="s">
        <v>100</v>
      </c>
      <c r="C66" t="s">
        <v>234</v>
      </c>
      <c r="D66" s="43">
        <v>2330.2467850419512</v>
      </c>
      <c r="E66" s="43">
        <v>3742.0007229265852</v>
      </c>
      <c r="F66" s="43">
        <v>2225.0735686917074</v>
      </c>
      <c r="G66" s="43">
        <v>3703.2237288660972</v>
      </c>
      <c r="I66" s="10">
        <f t="shared" si="4"/>
        <v>0.91165498213662466</v>
      </c>
      <c r="J66" s="10">
        <f t="shared" si="5"/>
        <v>1.0594232419340897</v>
      </c>
      <c r="K66" s="10">
        <f t="shared" si="6"/>
        <v>1.2941575993274124</v>
      </c>
      <c r="L66" s="10">
        <f t="shared" si="3"/>
        <v>0.63405225224900963</v>
      </c>
    </row>
    <row r="67" spans="1:12" x14ac:dyDescent="0.25">
      <c r="A67" s="56" t="s">
        <v>235</v>
      </c>
      <c r="B67" s="56" t="s">
        <v>236</v>
      </c>
      <c r="C67" s="56" t="s">
        <v>19</v>
      </c>
      <c r="D67" s="57">
        <v>2178.1287523359997</v>
      </c>
      <c r="E67" s="57">
        <v>4169.9801532560004</v>
      </c>
      <c r="F67" s="57">
        <v>2196.3309923359998</v>
      </c>
      <c r="G67" s="57">
        <v>3575.1282732560007</v>
      </c>
      <c r="H67" s="56"/>
      <c r="I67" s="58">
        <f t="shared" ref="I67:I70" si="7">SUM(D67:G67)/SUM($D$135:$G$135)</f>
        <v>0.92069692531927971</v>
      </c>
      <c r="J67" s="58">
        <f t="shared" ref="J67:J70" si="8">SUM(D67:G67)/SUM($D$130:$G$130)</f>
        <v>1.0699307748798337</v>
      </c>
      <c r="K67" s="58">
        <f>SUM(D67:G67)/SUM($D$62:$G$62)</f>
        <v>1.3069932660125159</v>
      </c>
      <c r="L67" s="10">
        <f t="shared" si="3"/>
        <v>0.64034088616425844</v>
      </c>
    </row>
    <row r="68" spans="1:12" x14ac:dyDescent="0.25">
      <c r="A68" s="56" t="s">
        <v>235</v>
      </c>
      <c r="B68" s="56" t="s">
        <v>237</v>
      </c>
      <c r="C68" s="56" t="s">
        <v>19</v>
      </c>
      <c r="D68" s="57">
        <v>1662.0348926556894</v>
      </c>
      <c r="E68" s="57">
        <v>2648.3433479687578</v>
      </c>
      <c r="F68" s="57">
        <v>1598.7004486188921</v>
      </c>
      <c r="G68" s="57">
        <v>2526.1997101398169</v>
      </c>
      <c r="H68" s="56"/>
      <c r="I68" s="58">
        <f t="shared" si="7"/>
        <v>0.64080953849410038</v>
      </c>
      <c r="J68" s="58">
        <f t="shared" si="8"/>
        <v>0.74467702369443789</v>
      </c>
      <c r="K68" s="58">
        <f>SUM(D68:G68)/SUM($D$62:$G$62)</f>
        <v>0.9096736706467623</v>
      </c>
      <c r="L68" s="10">
        <f t="shared" ref="L68:L131" si="9">SUM(D68:G68)/SUM($D$23:$G$23)</f>
        <v>0.44568037152891005</v>
      </c>
    </row>
    <row r="69" spans="1:12" x14ac:dyDescent="0.25">
      <c r="A69" s="56" t="s">
        <v>235</v>
      </c>
      <c r="B69" s="56" t="s">
        <v>238</v>
      </c>
      <c r="C69" s="56" t="s">
        <v>19</v>
      </c>
      <c r="D69" s="57">
        <v>1662.0348926556894</v>
      </c>
      <c r="E69" s="57">
        <v>2648.3433479687578</v>
      </c>
      <c r="F69" s="57">
        <v>1598.7004486188921</v>
      </c>
      <c r="G69" s="57">
        <v>2526.1997101398169</v>
      </c>
      <c r="H69" s="56"/>
      <c r="I69" s="58">
        <f t="shared" si="7"/>
        <v>0.64080953849410038</v>
      </c>
      <c r="J69" s="58">
        <f t="shared" si="8"/>
        <v>0.74467702369443789</v>
      </c>
      <c r="K69" s="58">
        <f>SUM(D69:G69)/SUM($D$62:$G$62)</f>
        <v>0.9096736706467623</v>
      </c>
      <c r="L69" s="10">
        <f t="shared" si="9"/>
        <v>0.44568037152891005</v>
      </c>
    </row>
    <row r="70" spans="1:12" x14ac:dyDescent="0.25">
      <c r="A70" s="56" t="s">
        <v>235</v>
      </c>
      <c r="B70" s="56" t="s">
        <v>239</v>
      </c>
      <c r="C70" s="56" t="s">
        <v>19</v>
      </c>
      <c r="D70" s="57">
        <v>1690.6906666669947</v>
      </c>
      <c r="E70" s="57">
        <v>2694.0044401751156</v>
      </c>
      <c r="F70" s="57">
        <v>1626.2642494571487</v>
      </c>
      <c r="G70" s="57">
        <v>2569.7548775560208</v>
      </c>
      <c r="H70" s="56"/>
      <c r="I70" s="58">
        <f t="shared" si="7"/>
        <v>0.65185797881296426</v>
      </c>
      <c r="J70" s="58">
        <f t="shared" si="8"/>
        <v>0.75751628272365246</v>
      </c>
      <c r="K70" s="58">
        <f>SUM(D70:G70)/SUM($D$62:$G$62)</f>
        <v>0.92535769945101687</v>
      </c>
      <c r="L70" s="10">
        <f t="shared" si="9"/>
        <v>0.45336451586561544</v>
      </c>
    </row>
    <row r="71" spans="1:12" x14ac:dyDescent="0.25">
      <c r="A71" t="s">
        <v>101</v>
      </c>
      <c r="B71" t="s">
        <v>102</v>
      </c>
      <c r="C71" t="s">
        <v>6</v>
      </c>
      <c r="D71" s="43">
        <v>1496.7162964563847</v>
      </c>
      <c r="E71" s="43">
        <v>2301.7012127509624</v>
      </c>
      <c r="F71" s="43">
        <v>1336.978477299991</v>
      </c>
      <c r="G71" s="43">
        <v>2133.6681327652659</v>
      </c>
      <c r="I71" s="10">
        <f t="shared" ref="I71:I102" si="10">SUM(D71:G71)/SUM($D$135:$G$135)</f>
        <v>0.55221480584395788</v>
      </c>
      <c r="J71" s="10">
        <f t="shared" ref="J71:J102" si="11">SUM(D71:G71)/SUM($D$130:$G$130)</f>
        <v>0.64172215510750608</v>
      </c>
      <c r="K71" s="10">
        <f t="shared" si="6"/>
        <v>0.78390729107754553</v>
      </c>
      <c r="L71" s="10">
        <f t="shared" si="9"/>
        <v>0.38406310307218672</v>
      </c>
    </row>
    <row r="72" spans="1:12" x14ac:dyDescent="0.25">
      <c r="A72" t="s">
        <v>103</v>
      </c>
      <c r="B72" t="s">
        <v>104</v>
      </c>
      <c r="C72" t="s">
        <v>6</v>
      </c>
      <c r="D72" s="43">
        <v>1588.3150753120103</v>
      </c>
      <c r="E72" s="43">
        <v>2625.4350198653528</v>
      </c>
      <c r="F72" s="43">
        <v>1523.3304615500851</v>
      </c>
      <c r="G72" s="43">
        <v>2623.2440761789676</v>
      </c>
      <c r="I72" s="10">
        <f t="shared" si="10"/>
        <v>0.6351154657877548</v>
      </c>
      <c r="J72" s="10">
        <f t="shared" si="11"/>
        <v>0.73806001058688386</v>
      </c>
      <c r="K72" s="10">
        <f t="shared" ref="K72:K130" si="12">SUM(D72:G72)/SUM($D$62:$G$62)</f>
        <v>0.90159053875099915</v>
      </c>
      <c r="L72" s="10">
        <f t="shared" si="9"/>
        <v>0.44172016761989769</v>
      </c>
    </row>
    <row r="73" spans="1:12" x14ac:dyDescent="0.25">
      <c r="A73" t="s">
        <v>105</v>
      </c>
      <c r="B73" t="s">
        <v>106</v>
      </c>
      <c r="C73" t="s">
        <v>6</v>
      </c>
      <c r="D73" s="43">
        <v>1373.1809085240961</v>
      </c>
      <c r="E73" s="43">
        <v>2491.8359303010152</v>
      </c>
      <c r="F73" s="43">
        <v>1373.6746527408043</v>
      </c>
      <c r="G73" s="43">
        <v>2364.5121090497237</v>
      </c>
      <c r="I73" s="10">
        <f t="shared" si="10"/>
        <v>0.57759864698045749</v>
      </c>
      <c r="J73" s="10">
        <f t="shared" si="11"/>
        <v>0.6712204102550221</v>
      </c>
      <c r="K73" s="10">
        <f t="shared" si="12"/>
        <v>0.81994141752956062</v>
      </c>
      <c r="L73" s="10">
        <f t="shared" si="9"/>
        <v>0.40171745911553097</v>
      </c>
    </row>
    <row r="74" spans="1:12" x14ac:dyDescent="0.25">
      <c r="A74" t="s">
        <v>107</v>
      </c>
      <c r="B74" t="s">
        <v>108</v>
      </c>
      <c r="C74" t="s">
        <v>6</v>
      </c>
      <c r="D74" s="43">
        <v>1529.5208558969975</v>
      </c>
      <c r="E74" s="43">
        <v>1669.9977506700195</v>
      </c>
      <c r="F74" s="43">
        <v>1495.4211711621731</v>
      </c>
      <c r="G74" s="43">
        <v>1737.736624734742</v>
      </c>
      <c r="I74" s="10">
        <f t="shared" si="10"/>
        <v>0.48867627143713938</v>
      </c>
      <c r="J74" s="10">
        <f t="shared" si="11"/>
        <v>0.56788479181986229</v>
      </c>
      <c r="K74" s="10">
        <f t="shared" si="12"/>
        <v>0.6937099261051165</v>
      </c>
      <c r="L74" s="10">
        <f t="shared" si="9"/>
        <v>0.33987231638792448</v>
      </c>
    </row>
    <row r="75" spans="1:12" x14ac:dyDescent="0.25">
      <c r="A75" t="s">
        <v>109</v>
      </c>
      <c r="B75" t="s">
        <v>110</v>
      </c>
      <c r="C75" t="s">
        <v>6</v>
      </c>
      <c r="D75" s="43">
        <v>1673.5277627686078</v>
      </c>
      <c r="E75" s="43">
        <v>1827.2259571717536</v>
      </c>
      <c r="F75" s="43">
        <v>1636.2187093336825</v>
      </c>
      <c r="G75" s="43">
        <v>1901.3402280735429</v>
      </c>
      <c r="I75" s="10">
        <f t="shared" si="10"/>
        <v>0.53468512504126819</v>
      </c>
      <c r="J75" s="10">
        <f t="shared" si="11"/>
        <v>0.62135112480552712</v>
      </c>
      <c r="K75" s="10">
        <f t="shared" si="12"/>
        <v>0.75902269101600073</v>
      </c>
      <c r="L75" s="10">
        <f t="shared" si="9"/>
        <v>0.37187128290782778</v>
      </c>
    </row>
    <row r="76" spans="1:12" x14ac:dyDescent="0.25">
      <c r="A76" t="s">
        <v>111</v>
      </c>
      <c r="B76" t="s">
        <v>112</v>
      </c>
      <c r="C76" t="s">
        <v>6</v>
      </c>
      <c r="D76" s="43">
        <v>830.47621132523682</v>
      </c>
      <c r="E76" s="43">
        <v>1681.7418605905254</v>
      </c>
      <c r="F76" s="43">
        <v>854.53758262523581</v>
      </c>
      <c r="G76" s="43">
        <v>1669.2354300422289</v>
      </c>
      <c r="I76" s="10">
        <f t="shared" si="10"/>
        <v>0.38257316119028978</v>
      </c>
      <c r="J76" s="10">
        <f t="shared" si="11"/>
        <v>0.44458364912928078</v>
      </c>
      <c r="K76" s="10">
        <f t="shared" si="12"/>
        <v>0.54308918785563676</v>
      </c>
      <c r="L76" s="10">
        <f t="shared" si="9"/>
        <v>0.2660780440580906</v>
      </c>
    </row>
    <row r="77" spans="1:12" x14ac:dyDescent="0.25">
      <c r="A77" t="s">
        <v>113</v>
      </c>
      <c r="B77" t="s">
        <v>114</v>
      </c>
      <c r="C77" t="s">
        <v>6</v>
      </c>
      <c r="D77" s="43">
        <v>2296.1618237599864</v>
      </c>
      <c r="E77" s="43">
        <v>4036.9874756827589</v>
      </c>
      <c r="F77" s="43">
        <v>2121.4854893512802</v>
      </c>
      <c r="G77" s="43">
        <v>3731.356962118326</v>
      </c>
      <c r="I77" s="10">
        <f t="shared" si="10"/>
        <v>0.92574297850869947</v>
      </c>
      <c r="J77" s="10">
        <f t="shared" si="11"/>
        <v>1.0757947323348545</v>
      </c>
      <c r="K77" s="10">
        <f t="shared" si="12"/>
        <v>1.3141564891722168</v>
      </c>
      <c r="L77" s="10">
        <f t="shared" si="9"/>
        <v>0.64385039519169929</v>
      </c>
    </row>
    <row r="78" spans="1:12" x14ac:dyDescent="0.25">
      <c r="A78" t="s">
        <v>115</v>
      </c>
      <c r="B78" t="s">
        <v>116</v>
      </c>
      <c r="C78" t="s">
        <v>6</v>
      </c>
      <c r="D78" s="43">
        <v>1319.6854318398953</v>
      </c>
      <c r="E78" s="43">
        <v>2606.9732929387942</v>
      </c>
      <c r="F78" s="43">
        <v>1507.6780767156515</v>
      </c>
      <c r="G78" s="43">
        <v>2676.1898293081349</v>
      </c>
      <c r="I78" s="10">
        <f t="shared" si="10"/>
        <v>0.61613886123885453</v>
      </c>
      <c r="J78" s="10">
        <f t="shared" si="11"/>
        <v>0.71600752767829567</v>
      </c>
      <c r="K78" s="10">
        <f t="shared" si="12"/>
        <v>0.87465192988294604</v>
      </c>
      <c r="L78" s="10">
        <f t="shared" si="9"/>
        <v>0.42852201800185957</v>
      </c>
    </row>
    <row r="79" spans="1:12" x14ac:dyDescent="0.25">
      <c r="A79" t="s">
        <v>117</v>
      </c>
      <c r="B79" t="s">
        <v>118</v>
      </c>
      <c r="C79" t="s">
        <v>6</v>
      </c>
      <c r="D79" s="43">
        <v>2015.7088253121826</v>
      </c>
      <c r="E79" s="43">
        <v>3543.9101888225946</v>
      </c>
      <c r="F79" s="43">
        <v>1862.3674426633547</v>
      </c>
      <c r="G79" s="43">
        <v>3275.6093586712973</v>
      </c>
      <c r="I79" s="10">
        <f t="shared" si="10"/>
        <v>0.81267281445134942</v>
      </c>
      <c r="J79" s="10">
        <f t="shared" si="11"/>
        <v>0.94439726057321283</v>
      </c>
      <c r="K79" s="10">
        <f t="shared" si="12"/>
        <v>1.1536455338883822</v>
      </c>
      <c r="L79" s="10">
        <f t="shared" si="9"/>
        <v>0.56521056588401097</v>
      </c>
    </row>
    <row r="80" spans="1:12" x14ac:dyDescent="0.25">
      <c r="A80" t="s">
        <v>119</v>
      </c>
      <c r="B80" t="s">
        <v>120</v>
      </c>
      <c r="C80" t="s">
        <v>6</v>
      </c>
      <c r="D80" s="43">
        <v>2152.3287312738958</v>
      </c>
      <c r="E80" s="43">
        <v>3784.1079151279869</v>
      </c>
      <c r="F80" s="43">
        <v>1988.5942377677607</v>
      </c>
      <c r="G80" s="43">
        <v>3497.6222986998109</v>
      </c>
      <c r="I80" s="10">
        <f t="shared" si="10"/>
        <v>0.86775382719176275</v>
      </c>
      <c r="J80" s="10">
        <f t="shared" si="11"/>
        <v>1.0084062400993252</v>
      </c>
      <c r="K80" s="10">
        <f t="shared" si="12"/>
        <v>1.2318368591302962</v>
      </c>
      <c r="L80" s="10">
        <f t="shared" si="9"/>
        <v>0.60351918138936844</v>
      </c>
    </row>
    <row r="81" spans="1:12" x14ac:dyDescent="0.25">
      <c r="A81" t="s">
        <v>122</v>
      </c>
      <c r="B81" t="s">
        <v>124</v>
      </c>
      <c r="C81" t="s">
        <v>6</v>
      </c>
      <c r="D81" s="43">
        <v>2119.3114200654982</v>
      </c>
      <c r="E81" s="43">
        <v>2947.1558577277037</v>
      </c>
      <c r="F81" s="43">
        <v>1868.4801104088097</v>
      </c>
      <c r="G81" s="43">
        <v>2821.3141077339201</v>
      </c>
      <c r="I81" s="10">
        <f t="shared" si="10"/>
        <v>0.74116171756650584</v>
      </c>
      <c r="J81" s="10">
        <f t="shared" si="11"/>
        <v>0.86129507873853928</v>
      </c>
      <c r="K81" s="10">
        <f t="shared" si="12"/>
        <v>1.0521305624538382</v>
      </c>
      <c r="L81" s="10">
        <f t="shared" si="9"/>
        <v>0.51547489512140976</v>
      </c>
    </row>
    <row r="82" spans="1:12" x14ac:dyDescent="0.25">
      <c r="A82" t="s">
        <v>129</v>
      </c>
      <c r="B82" t="s">
        <v>130</v>
      </c>
      <c r="C82" t="s">
        <v>6</v>
      </c>
      <c r="D82" s="43">
        <v>1520.0547451952586</v>
      </c>
      <c r="E82" s="43">
        <v>2746.0446510084712</v>
      </c>
      <c r="F82" s="43">
        <v>1463.2700999218296</v>
      </c>
      <c r="G82" s="43">
        <v>2551.9867235358893</v>
      </c>
      <c r="I82" s="10">
        <f t="shared" si="10"/>
        <v>0.62911640920050338</v>
      </c>
      <c r="J82" s="10">
        <f t="shared" si="11"/>
        <v>0.73108857939553928</v>
      </c>
      <c r="K82" s="10">
        <f t="shared" si="12"/>
        <v>0.89307446104253219</v>
      </c>
      <c r="L82" s="10">
        <f t="shared" si="9"/>
        <v>0.43754784868889013</v>
      </c>
    </row>
    <row r="83" spans="1:12" x14ac:dyDescent="0.25">
      <c r="A83" t="s">
        <v>131</v>
      </c>
      <c r="B83" t="s">
        <v>132</v>
      </c>
      <c r="C83" t="s">
        <v>6</v>
      </c>
      <c r="D83" s="43">
        <v>1643.0368234005637</v>
      </c>
      <c r="E83" s="43">
        <v>2336.2254669816803</v>
      </c>
      <c r="F83" s="43">
        <v>1576.4353021772642</v>
      </c>
      <c r="G83" s="43">
        <v>2189.740907473069</v>
      </c>
      <c r="I83" s="10">
        <f t="shared" si="10"/>
        <v>0.58840391930671376</v>
      </c>
      <c r="J83" s="10">
        <f t="shared" si="11"/>
        <v>0.68377708669750059</v>
      </c>
      <c r="K83" s="10">
        <f t="shared" si="12"/>
        <v>0.83528025247022364</v>
      </c>
      <c r="L83" s="10">
        <f t="shared" si="9"/>
        <v>0.4092324811237143</v>
      </c>
    </row>
    <row r="84" spans="1:12" x14ac:dyDescent="0.25">
      <c r="A84" t="s">
        <v>133</v>
      </c>
      <c r="B84" t="s">
        <v>134</v>
      </c>
      <c r="C84" t="s">
        <v>6</v>
      </c>
      <c r="D84" s="43">
        <v>1734.3497013420633</v>
      </c>
      <c r="E84" s="43">
        <v>2824.3765765326593</v>
      </c>
      <c r="F84" s="43">
        <v>1684.0600771300585</v>
      </c>
      <c r="G84" s="43">
        <v>2806.4043482024717</v>
      </c>
      <c r="I84" s="10">
        <f t="shared" si="10"/>
        <v>0.68744710532510578</v>
      </c>
      <c r="J84" s="10">
        <f t="shared" si="11"/>
        <v>0.7988739767261902</v>
      </c>
      <c r="K84" s="10">
        <f t="shared" si="12"/>
        <v>0.97587893767336265</v>
      </c>
      <c r="L84" s="10">
        <f t="shared" si="9"/>
        <v>0.47811660548587109</v>
      </c>
    </row>
    <row r="85" spans="1:12" x14ac:dyDescent="0.25">
      <c r="A85" t="s">
        <v>135</v>
      </c>
      <c r="B85" t="s">
        <v>136</v>
      </c>
      <c r="C85" t="s">
        <v>6</v>
      </c>
      <c r="D85" s="43">
        <v>1894.215607500764</v>
      </c>
      <c r="E85" s="43">
        <v>2068.506845677302</v>
      </c>
      <c r="F85" s="43">
        <v>1852.2178959398857</v>
      </c>
      <c r="G85" s="43">
        <v>2151.9351153681223</v>
      </c>
      <c r="I85" s="10">
        <f t="shared" si="10"/>
        <v>0.60522599823268686</v>
      </c>
      <c r="J85" s="10">
        <f t="shared" si="11"/>
        <v>0.70332582140638933</v>
      </c>
      <c r="K85" s="10">
        <f t="shared" si="12"/>
        <v>0.85916036249552152</v>
      </c>
      <c r="L85" s="10">
        <f t="shared" si="9"/>
        <v>0.4209321671228255</v>
      </c>
    </row>
    <row r="86" spans="1:12" x14ac:dyDescent="0.25">
      <c r="A86" t="s">
        <v>137</v>
      </c>
      <c r="B86" t="s">
        <v>138</v>
      </c>
      <c r="C86" t="s">
        <v>6</v>
      </c>
      <c r="D86" s="43">
        <v>1114.0972701198125</v>
      </c>
      <c r="E86" s="43">
        <v>2335.8251789783631</v>
      </c>
      <c r="F86" s="43">
        <v>1082.1503576150756</v>
      </c>
      <c r="G86" s="43">
        <v>1924.5308877875939</v>
      </c>
      <c r="I86" s="10">
        <f t="shared" si="10"/>
        <v>0.49049397516209403</v>
      </c>
      <c r="J86" s="10">
        <f t="shared" si="11"/>
        <v>0.56999712336074182</v>
      </c>
      <c r="K86" s="10">
        <f t="shared" si="12"/>
        <v>0.69629028285747308</v>
      </c>
      <c r="L86" s="10">
        <f t="shared" si="9"/>
        <v>0.34113652177626974</v>
      </c>
    </row>
    <row r="87" spans="1:12" x14ac:dyDescent="0.25">
      <c r="A87" t="s">
        <v>139</v>
      </c>
      <c r="B87" t="s">
        <v>140</v>
      </c>
      <c r="C87" t="s">
        <v>6</v>
      </c>
      <c r="D87" s="43">
        <v>1188.3430626122133</v>
      </c>
      <c r="E87" s="43">
        <v>2134.6152349080344</v>
      </c>
      <c r="F87" s="43">
        <v>1144.2567512609858</v>
      </c>
      <c r="G87" s="43">
        <v>1985.7212686894673</v>
      </c>
      <c r="I87" s="10">
        <f t="shared" si="10"/>
        <v>0.49021537259903658</v>
      </c>
      <c r="J87" s="10">
        <f t="shared" si="11"/>
        <v>0.56967336268773627</v>
      </c>
      <c r="K87" s="10">
        <f t="shared" si="12"/>
        <v>0.69589478715872988</v>
      </c>
      <c r="L87" s="10">
        <f t="shared" si="9"/>
        <v>0.34094275485122655</v>
      </c>
    </row>
    <row r="88" spans="1:12" x14ac:dyDescent="0.25">
      <c r="A88" t="s">
        <v>141</v>
      </c>
      <c r="B88" t="s">
        <v>141</v>
      </c>
      <c r="C88" t="s">
        <v>6</v>
      </c>
      <c r="D88" s="43">
        <v>1693.2149324821337</v>
      </c>
      <c r="E88" s="43">
        <v>2653.6680039972612</v>
      </c>
      <c r="F88" s="43">
        <v>1610.7371756362538</v>
      </c>
      <c r="G88" s="43">
        <v>2637.3838737655965</v>
      </c>
      <c r="I88" s="10">
        <f t="shared" si="10"/>
        <v>0.65294353983032472</v>
      </c>
      <c r="J88" s="10">
        <f t="shared" si="11"/>
        <v>0.75877780006833251</v>
      </c>
      <c r="K88" s="10">
        <f t="shared" si="12"/>
        <v>0.92689872875231916</v>
      </c>
      <c r="L88" s="10">
        <f t="shared" si="9"/>
        <v>0.45411951904280201</v>
      </c>
    </row>
    <row r="89" spans="1:12" x14ac:dyDescent="0.25">
      <c r="A89" t="s">
        <v>142</v>
      </c>
      <c r="B89" t="s">
        <v>143</v>
      </c>
      <c r="C89" t="s">
        <v>6</v>
      </c>
      <c r="D89" s="43">
        <v>1966.0459740896945</v>
      </c>
      <c r="E89" s="43">
        <v>3458.5235453255482</v>
      </c>
      <c r="F89" s="43">
        <v>1816.2519311923984</v>
      </c>
      <c r="G89" s="43">
        <v>3196.4294819564725</v>
      </c>
      <c r="I89" s="10">
        <f t="shared" si="10"/>
        <v>0.79289498657597612</v>
      </c>
      <c r="J89" s="10">
        <f t="shared" si="11"/>
        <v>0.92141368571572102</v>
      </c>
      <c r="K89" s="10">
        <f t="shared" si="12"/>
        <v>1.1255695328302671</v>
      </c>
      <c r="L89" s="10">
        <f t="shared" si="9"/>
        <v>0.55145516877140643</v>
      </c>
    </row>
    <row r="90" spans="1:12" x14ac:dyDescent="0.25">
      <c r="A90" t="s">
        <v>144</v>
      </c>
      <c r="B90" t="s">
        <v>145</v>
      </c>
      <c r="C90" t="s">
        <v>6</v>
      </c>
      <c r="D90" s="43">
        <v>1215.97718580319</v>
      </c>
      <c r="E90" s="43">
        <v>2084.4792600783703</v>
      </c>
      <c r="F90" s="43">
        <v>1219.6884707685394</v>
      </c>
      <c r="G90" s="43">
        <v>1906.7676931541969</v>
      </c>
      <c r="I90" s="10">
        <f t="shared" si="10"/>
        <v>0.48823840879179187</v>
      </c>
      <c r="J90" s="10">
        <f t="shared" si="11"/>
        <v>0.56737595692909171</v>
      </c>
      <c r="K90" s="10">
        <f t="shared" si="12"/>
        <v>0.69308834965235577</v>
      </c>
      <c r="L90" s="10">
        <f t="shared" si="9"/>
        <v>0.33956778473735683</v>
      </c>
    </row>
    <row r="91" spans="1:12" x14ac:dyDescent="0.25">
      <c r="A91" t="s">
        <v>146</v>
      </c>
      <c r="B91" t="s">
        <v>147</v>
      </c>
      <c r="C91" t="s">
        <v>6</v>
      </c>
      <c r="D91" s="43">
        <v>1534.1326976613793</v>
      </c>
      <c r="E91" s="43">
        <v>2869.1798522368226</v>
      </c>
      <c r="F91" s="43">
        <v>1472.1523805788572</v>
      </c>
      <c r="G91" s="43">
        <v>2661.3449624351565</v>
      </c>
      <c r="I91" s="10">
        <f t="shared" si="10"/>
        <v>0.64852266264134018</v>
      </c>
      <c r="J91" s="10">
        <f t="shared" si="11"/>
        <v>0.75364035209128133</v>
      </c>
      <c r="K91" s="10">
        <f t="shared" si="12"/>
        <v>0.92062298636959383</v>
      </c>
      <c r="L91" s="10">
        <f t="shared" si="9"/>
        <v>0.45104481732612584</v>
      </c>
    </row>
    <row r="92" spans="1:12" x14ac:dyDescent="0.25">
      <c r="A92" t="s">
        <v>148</v>
      </c>
      <c r="B92" t="s">
        <v>149</v>
      </c>
      <c r="C92" t="s">
        <v>6</v>
      </c>
      <c r="D92" s="43">
        <v>2034.9204684813353</v>
      </c>
      <c r="E92" s="43">
        <v>3577.6870603212042</v>
      </c>
      <c r="F92" s="43">
        <v>1880.1175950211759</v>
      </c>
      <c r="G92" s="43">
        <v>3306.8290652926553</v>
      </c>
      <c r="I92" s="10">
        <f t="shared" si="10"/>
        <v>0.82041836774181154</v>
      </c>
      <c r="J92" s="10">
        <f t="shared" si="11"/>
        <v>0.95339827448565007</v>
      </c>
      <c r="K92" s="10">
        <f t="shared" si="12"/>
        <v>1.1646408850335643</v>
      </c>
      <c r="L92" s="10">
        <f t="shared" si="9"/>
        <v>0.5705975660155983</v>
      </c>
    </row>
    <row r="93" spans="1:12" x14ac:dyDescent="0.25">
      <c r="A93" t="s">
        <v>150</v>
      </c>
      <c r="B93" t="s">
        <v>151</v>
      </c>
      <c r="C93" t="s">
        <v>6</v>
      </c>
      <c r="D93" s="43">
        <v>1577.5702224997879</v>
      </c>
      <c r="E93" s="43">
        <v>2449.1521636030348</v>
      </c>
      <c r="F93" s="43">
        <v>1485.9443550005528</v>
      </c>
      <c r="G93" s="43">
        <v>2348.6630603431813</v>
      </c>
      <c r="I93" s="10">
        <f t="shared" si="10"/>
        <v>0.59720792646076382</v>
      </c>
      <c r="J93" s="10">
        <f t="shared" si="11"/>
        <v>0.69400811705867382</v>
      </c>
      <c r="K93" s="10">
        <f t="shared" si="12"/>
        <v>0.84777815242821375</v>
      </c>
      <c r="L93" s="10">
        <f t="shared" si="9"/>
        <v>0.41535563151966665</v>
      </c>
    </row>
    <row r="94" spans="1:12" x14ac:dyDescent="0.25">
      <c r="A94" t="s">
        <v>152</v>
      </c>
      <c r="B94" t="s">
        <v>153</v>
      </c>
      <c r="C94" t="s">
        <v>6</v>
      </c>
      <c r="D94" s="43">
        <v>1295.6001312216631</v>
      </c>
      <c r="E94" s="43">
        <v>2490.5615815081237</v>
      </c>
      <c r="F94" s="43">
        <v>1230.6172419225322</v>
      </c>
      <c r="G94" s="43">
        <v>2412.1794767134561</v>
      </c>
      <c r="I94" s="10">
        <f t="shared" si="10"/>
        <v>0.56436162489236641</v>
      </c>
      <c r="J94" s="10">
        <f t="shared" si="11"/>
        <v>0.65583782678989178</v>
      </c>
      <c r="K94" s="10">
        <f t="shared" si="12"/>
        <v>0.80115054481626868</v>
      </c>
      <c r="L94" s="10">
        <f t="shared" si="9"/>
        <v>0.39251116525164664</v>
      </c>
    </row>
    <row r="95" spans="1:12" x14ac:dyDescent="0.25">
      <c r="A95" t="s">
        <v>154</v>
      </c>
      <c r="B95" t="s">
        <v>155</v>
      </c>
      <c r="C95" t="s">
        <v>6</v>
      </c>
      <c r="D95" s="43">
        <v>1314.8010207553957</v>
      </c>
      <c r="E95" s="43">
        <v>2468.3622857612522</v>
      </c>
      <c r="F95" s="43">
        <v>1333.1977469862436</v>
      </c>
      <c r="G95" s="43">
        <v>2365.7859156820491</v>
      </c>
      <c r="I95" s="10">
        <f t="shared" si="10"/>
        <v>0.56840224107114812</v>
      </c>
      <c r="J95" s="10">
        <f t="shared" si="11"/>
        <v>0.66053337804054535</v>
      </c>
      <c r="K95" s="10">
        <f t="shared" si="12"/>
        <v>0.80688648027013954</v>
      </c>
      <c r="L95" s="10">
        <f t="shared" si="9"/>
        <v>0.39532139701566976</v>
      </c>
    </row>
    <row r="96" spans="1:12" x14ac:dyDescent="0.25">
      <c r="A96" t="s">
        <v>156</v>
      </c>
      <c r="B96" t="s">
        <v>157</v>
      </c>
      <c r="C96" t="s">
        <v>6</v>
      </c>
      <c r="D96" s="43">
        <v>1530.0700764233372</v>
      </c>
      <c r="E96" s="43">
        <v>3022.5777374556583</v>
      </c>
      <c r="F96" s="43">
        <v>1498.046001071996</v>
      </c>
      <c r="G96" s="43">
        <v>2854.5042755373988</v>
      </c>
      <c r="I96" s="10">
        <f t="shared" si="10"/>
        <v>0.67650830338708301</v>
      </c>
      <c r="J96" s="10">
        <f t="shared" si="11"/>
        <v>0.78616212713491762</v>
      </c>
      <c r="K96" s="10">
        <f t="shared" si="12"/>
        <v>0.96035054816963694</v>
      </c>
      <c r="L96" s="10">
        <f t="shared" si="9"/>
        <v>0.47050871418750517</v>
      </c>
    </row>
    <row r="97" spans="1:12" x14ac:dyDescent="0.25">
      <c r="A97" t="s">
        <v>158</v>
      </c>
      <c r="B97" t="s">
        <v>159</v>
      </c>
      <c r="C97" t="s">
        <v>6</v>
      </c>
      <c r="D97" s="43">
        <v>1463.9299451555016</v>
      </c>
      <c r="E97" s="43">
        <v>1598.3824743562766</v>
      </c>
      <c r="F97" s="43">
        <v>1431.2926287843352</v>
      </c>
      <c r="G97" s="43">
        <v>1663.2163600848196</v>
      </c>
      <c r="I97" s="10">
        <f t="shared" si="10"/>
        <v>0.46772017454500286</v>
      </c>
      <c r="J97" s="10">
        <f t="shared" si="11"/>
        <v>0.54353196477149879</v>
      </c>
      <c r="K97" s="10">
        <f t="shared" si="12"/>
        <v>0.66396129029813789</v>
      </c>
      <c r="L97" s="10">
        <f t="shared" si="9"/>
        <v>0.32529743806974037</v>
      </c>
    </row>
    <row r="98" spans="1:12" x14ac:dyDescent="0.25">
      <c r="A98" t="s">
        <v>160</v>
      </c>
      <c r="B98" t="s">
        <v>161</v>
      </c>
      <c r="C98" t="s">
        <v>6</v>
      </c>
      <c r="D98" s="43">
        <v>2404.2992766181596</v>
      </c>
      <c r="E98" s="43">
        <v>3053.807344274383</v>
      </c>
      <c r="F98" s="43">
        <v>2348.6984501773882</v>
      </c>
      <c r="G98" s="43">
        <v>3134.8650319503477</v>
      </c>
      <c r="I98" s="10">
        <f t="shared" si="10"/>
        <v>0.83121460100046607</v>
      </c>
      <c r="J98" s="10">
        <f t="shared" si="11"/>
        <v>0.96594444673686075</v>
      </c>
      <c r="K98" s="10">
        <f t="shared" si="12"/>
        <v>1.1799668883896293</v>
      </c>
      <c r="L98" s="10">
        <f t="shared" si="9"/>
        <v>0.57810630138982089</v>
      </c>
    </row>
    <row r="99" spans="1:12" x14ac:dyDescent="0.25">
      <c r="A99" t="s">
        <v>162</v>
      </c>
      <c r="B99" t="s">
        <v>163</v>
      </c>
      <c r="C99" t="s">
        <v>6</v>
      </c>
      <c r="D99" s="43">
        <v>1799.0835187324785</v>
      </c>
      <c r="E99" s="43">
        <v>1964.3228769334448</v>
      </c>
      <c r="F99" s="43">
        <v>1758.9729366360996</v>
      </c>
      <c r="G99" s="43">
        <v>2044.0023722255091</v>
      </c>
      <c r="I99" s="10">
        <f t="shared" si="10"/>
        <v>0.57480136855981601</v>
      </c>
      <c r="J99" s="10">
        <f t="shared" si="11"/>
        <v>0.66796972679356303</v>
      </c>
      <c r="K99" s="10">
        <f t="shared" si="12"/>
        <v>0.81597048642465586</v>
      </c>
      <c r="L99" s="10">
        <f t="shared" si="9"/>
        <v>0.39977196359636152</v>
      </c>
    </row>
    <row r="100" spans="1:12" x14ac:dyDescent="0.25">
      <c r="A100" t="s">
        <v>164</v>
      </c>
      <c r="B100" t="s">
        <v>165</v>
      </c>
      <c r="C100" t="s">
        <v>6</v>
      </c>
      <c r="D100" s="43">
        <v>1222.5621972396791</v>
      </c>
      <c r="E100" s="43">
        <v>2017.8276508288718</v>
      </c>
      <c r="F100" s="43">
        <v>1221.1425538295853</v>
      </c>
      <c r="G100" s="43">
        <v>2035.0220333043619</v>
      </c>
      <c r="I100" s="10">
        <f t="shared" si="10"/>
        <v>0.49352894502312383</v>
      </c>
      <c r="J100" s="10">
        <f t="shared" si="11"/>
        <v>0.57352402517375967</v>
      </c>
      <c r="K100" s="10">
        <f t="shared" si="12"/>
        <v>0.700598633479521</v>
      </c>
      <c r="L100" s="10">
        <f t="shared" si="9"/>
        <v>0.34324733070464725</v>
      </c>
    </row>
    <row r="101" spans="1:12" x14ac:dyDescent="0.25">
      <c r="A101" t="s">
        <v>166</v>
      </c>
      <c r="B101" t="s">
        <v>167</v>
      </c>
      <c r="C101" t="s">
        <v>6</v>
      </c>
      <c r="D101" s="43">
        <v>1131.9708417498223</v>
      </c>
      <c r="E101" s="43">
        <v>2386.4035245022337</v>
      </c>
      <c r="F101" s="43">
        <v>1101.7878520972577</v>
      </c>
      <c r="G101" s="43">
        <v>1954.9470787400253</v>
      </c>
      <c r="I101" s="10">
        <f t="shared" si="10"/>
        <v>0.49949658502370226</v>
      </c>
      <c r="J101" s="10">
        <f t="shared" si="11"/>
        <v>0.58045894752924443</v>
      </c>
      <c r="K101" s="10">
        <f t="shared" si="12"/>
        <v>0.709070113160023</v>
      </c>
      <c r="L101" s="10">
        <f t="shared" si="9"/>
        <v>0.34739779953015626</v>
      </c>
    </row>
    <row r="102" spans="1:12" x14ac:dyDescent="0.25">
      <c r="A102" t="s">
        <v>168</v>
      </c>
      <c r="B102" t="s">
        <v>169</v>
      </c>
      <c r="C102" t="s">
        <v>6</v>
      </c>
      <c r="D102" s="43">
        <v>1997.6044936253784</v>
      </c>
      <c r="E102" s="43">
        <v>3507.209324201905</v>
      </c>
      <c r="F102" s="43">
        <v>1846.2231541849594</v>
      </c>
      <c r="G102" s="43">
        <v>3242.3379741483109</v>
      </c>
      <c r="I102" s="10">
        <f t="shared" si="10"/>
        <v>0.80475538434398541</v>
      </c>
      <c r="J102" s="10">
        <f t="shared" si="11"/>
        <v>0.93519651068812837</v>
      </c>
      <c r="K102" s="10">
        <f t="shared" si="12"/>
        <v>1.1424061916576465</v>
      </c>
      <c r="L102" s="10">
        <f t="shared" si="9"/>
        <v>0.55970402614039783</v>
      </c>
    </row>
    <row r="103" spans="1:12" x14ac:dyDescent="0.25">
      <c r="A103" t="s">
        <v>170</v>
      </c>
      <c r="B103" t="s">
        <v>171</v>
      </c>
      <c r="C103" t="s">
        <v>6</v>
      </c>
      <c r="D103" s="43">
        <v>2296.0924695170288</v>
      </c>
      <c r="E103" s="43">
        <v>3663.0120596745392</v>
      </c>
      <c r="F103" s="43">
        <v>2108.0354384536954</v>
      </c>
      <c r="G103" s="43">
        <v>3403.5698217151935</v>
      </c>
      <c r="I103" s="10">
        <f t="shared" ref="I103:I131" si="13">SUM(D103:G103)/SUM($D$135:$G$135)</f>
        <v>0.87140458184016234</v>
      </c>
      <c r="J103" s="10">
        <f t="shared" ref="J103:J130" si="14">SUM(D103:G103)/SUM($D$130:$G$130)</f>
        <v>1.0126487379750553</v>
      </c>
      <c r="K103" s="10">
        <f t="shared" si="12"/>
        <v>1.2370193590497647</v>
      </c>
      <c r="L103" s="10">
        <f t="shared" si="9"/>
        <v>0.60605826607884294</v>
      </c>
    </row>
    <row r="104" spans="1:12" x14ac:dyDescent="0.25">
      <c r="A104" t="s">
        <v>170</v>
      </c>
      <c r="B104" t="s">
        <v>172</v>
      </c>
      <c r="C104" t="s">
        <v>6</v>
      </c>
      <c r="D104" s="43">
        <v>3544.5099337708607</v>
      </c>
      <c r="E104" s="43">
        <v>6238.7277692203243</v>
      </c>
      <c r="F104" s="43">
        <v>3274.0347654379552</v>
      </c>
      <c r="G104" s="43">
        <v>5765.4784027057276</v>
      </c>
      <c r="I104" s="10">
        <f t="shared" si="13"/>
        <v>1.4299229649377545</v>
      </c>
      <c r="J104" s="10">
        <f t="shared" si="14"/>
        <v>1.6616962040616952</v>
      </c>
      <c r="K104" s="10">
        <f t="shared" si="12"/>
        <v>2.0298750160832761</v>
      </c>
      <c r="L104" s="10">
        <f t="shared" si="9"/>
        <v>0.99450548094025648</v>
      </c>
    </row>
    <row r="105" spans="1:12" x14ac:dyDescent="0.25">
      <c r="A105" t="s">
        <v>173</v>
      </c>
      <c r="B105" t="s">
        <v>174</v>
      </c>
      <c r="C105" t="s">
        <v>6</v>
      </c>
      <c r="D105" s="43">
        <v>1781.4764075893925</v>
      </c>
      <c r="E105" s="43">
        <v>3058.6922783251762</v>
      </c>
      <c r="F105" s="43">
        <v>1654.7364699426671</v>
      </c>
      <c r="G105" s="43">
        <v>2836.9358946501002</v>
      </c>
      <c r="I105" s="10">
        <f t="shared" si="13"/>
        <v>0.70891943024822968</v>
      </c>
      <c r="J105" s="10">
        <f t="shared" si="14"/>
        <v>0.82382670613332121</v>
      </c>
      <c r="K105" s="10">
        <f t="shared" si="12"/>
        <v>1.0063603950437383</v>
      </c>
      <c r="L105" s="10">
        <f t="shared" si="9"/>
        <v>0.49305051825473578</v>
      </c>
    </row>
    <row r="106" spans="1:12" x14ac:dyDescent="0.25">
      <c r="A106" t="s">
        <v>175</v>
      </c>
      <c r="B106" t="s">
        <v>176</v>
      </c>
      <c r="C106" t="s">
        <v>6</v>
      </c>
      <c r="D106" s="43">
        <v>2190.1018448012728</v>
      </c>
      <c r="E106" s="43">
        <v>3839.856329409361</v>
      </c>
      <c r="F106" s="43">
        <v>2028.3566102431946</v>
      </c>
      <c r="G106" s="43">
        <v>3435.688127491439</v>
      </c>
      <c r="I106" s="10">
        <f t="shared" si="13"/>
        <v>0.87317410910730642</v>
      </c>
      <c r="J106" s="10">
        <f t="shared" si="14"/>
        <v>1.0147050842362855</v>
      </c>
      <c r="K106" s="10">
        <f t="shared" si="12"/>
        <v>1.2395313259724094</v>
      </c>
      <c r="L106" s="10">
        <f t="shared" si="9"/>
        <v>0.60728896494094886</v>
      </c>
    </row>
    <row r="107" spans="1:12" x14ac:dyDescent="0.25">
      <c r="A107" t="s">
        <v>175</v>
      </c>
      <c r="B107" t="s">
        <v>177</v>
      </c>
      <c r="C107" t="s">
        <v>6</v>
      </c>
      <c r="D107" s="43">
        <v>2190.1018448012728</v>
      </c>
      <c r="E107" s="43">
        <v>3839.856329409361</v>
      </c>
      <c r="F107" s="43">
        <v>2028.3566102431946</v>
      </c>
      <c r="G107" s="43">
        <v>3435.688127491439</v>
      </c>
      <c r="I107" s="10">
        <f t="shared" si="13"/>
        <v>0.87317410910730642</v>
      </c>
      <c r="J107" s="10">
        <f t="shared" si="14"/>
        <v>1.0147050842362855</v>
      </c>
      <c r="K107" s="10">
        <f t="shared" si="12"/>
        <v>1.2395313259724094</v>
      </c>
      <c r="L107" s="10">
        <f t="shared" si="9"/>
        <v>0.60728896494094886</v>
      </c>
    </row>
    <row r="108" spans="1:12" x14ac:dyDescent="0.25">
      <c r="A108" t="s">
        <v>178</v>
      </c>
      <c r="B108" t="s">
        <v>179</v>
      </c>
      <c r="C108" t="s">
        <v>6</v>
      </c>
      <c r="D108" s="43">
        <v>1506.1627302319719</v>
      </c>
      <c r="E108" s="43">
        <v>2975.3499598287158</v>
      </c>
      <c r="F108" s="43">
        <v>1457.477088247058</v>
      </c>
      <c r="G108" s="43">
        <v>2792.7407013013853</v>
      </c>
      <c r="I108" s="10">
        <f t="shared" si="13"/>
        <v>0.66333035069741952</v>
      </c>
      <c r="J108" s="10">
        <f t="shared" si="14"/>
        <v>0.77084818750414064</v>
      </c>
      <c r="K108" s="10">
        <f t="shared" si="12"/>
        <v>0.94164352857222811</v>
      </c>
      <c r="L108" s="10">
        <f t="shared" si="9"/>
        <v>0.46134350284480019</v>
      </c>
    </row>
    <row r="109" spans="1:12" x14ac:dyDescent="0.25">
      <c r="A109" t="s">
        <v>180</v>
      </c>
      <c r="B109" t="s">
        <v>181</v>
      </c>
      <c r="C109" t="s">
        <v>8</v>
      </c>
      <c r="D109" s="43">
        <v>1468.0912200381902</v>
      </c>
      <c r="E109" s="43">
        <v>2616.883051055594</v>
      </c>
      <c r="F109" s="43">
        <v>1425.7413971689709</v>
      </c>
      <c r="G109" s="43">
        <v>2607.9499478482348</v>
      </c>
      <c r="I109" s="10">
        <f t="shared" si="13"/>
        <v>0.61675716204321696</v>
      </c>
      <c r="J109" s="10">
        <f t="shared" si="14"/>
        <v>0.71672604757396152</v>
      </c>
      <c r="K109" s="10">
        <f t="shared" si="12"/>
        <v>0.87552965084132939</v>
      </c>
      <c r="L109" s="10">
        <f t="shared" si="9"/>
        <v>0.42895204364232126</v>
      </c>
    </row>
    <row r="110" spans="1:12" x14ac:dyDescent="0.25">
      <c r="A110" t="s">
        <v>182</v>
      </c>
      <c r="B110" t="s">
        <v>183</v>
      </c>
      <c r="C110" t="s">
        <v>8</v>
      </c>
      <c r="D110" s="43">
        <v>1928.275794367227</v>
      </c>
      <c r="E110" s="43">
        <v>3165.0262771161115</v>
      </c>
      <c r="F110" s="43">
        <v>1774.3505185747733</v>
      </c>
      <c r="G110" s="43">
        <v>3010.5880724723706</v>
      </c>
      <c r="I110" s="10">
        <f t="shared" si="13"/>
        <v>0.75042820644220964</v>
      </c>
      <c r="J110" s="10">
        <f t="shared" si="14"/>
        <v>0.87206355352165965</v>
      </c>
      <c r="K110" s="10">
        <f t="shared" si="12"/>
        <v>1.0652849873542198</v>
      </c>
      <c r="L110" s="10">
        <f t="shared" si="9"/>
        <v>0.52191969963321128</v>
      </c>
    </row>
    <row r="111" spans="1:12" x14ac:dyDescent="0.25">
      <c r="A111" t="s">
        <v>182</v>
      </c>
      <c r="B111" t="s">
        <v>184</v>
      </c>
      <c r="C111" t="s">
        <v>8</v>
      </c>
      <c r="D111" s="43">
        <v>1966.8413102545715</v>
      </c>
      <c r="E111" s="43">
        <v>3228.3268026584346</v>
      </c>
      <c r="F111" s="43">
        <v>1809.837528946269</v>
      </c>
      <c r="G111" s="43">
        <v>3070.7998339218179</v>
      </c>
      <c r="I111" s="10">
        <f t="shared" si="13"/>
        <v>0.76543677057105386</v>
      </c>
      <c r="J111" s="10">
        <f t="shared" si="14"/>
        <v>0.8895048245920929</v>
      </c>
      <c r="K111" s="10">
        <f t="shared" si="12"/>
        <v>1.0865906871013042</v>
      </c>
      <c r="L111" s="10">
        <f t="shared" si="9"/>
        <v>0.53235809362587549</v>
      </c>
    </row>
    <row r="112" spans="1:12" x14ac:dyDescent="0.25">
      <c r="A112" t="s">
        <v>182</v>
      </c>
      <c r="B112" t="s">
        <v>185</v>
      </c>
      <c r="C112" t="s">
        <v>8</v>
      </c>
      <c r="D112" s="43">
        <v>2005.4068261419163</v>
      </c>
      <c r="E112" s="43">
        <v>3291.627328200756</v>
      </c>
      <c r="F112" s="43">
        <v>1845.3245393177642</v>
      </c>
      <c r="G112" s="43">
        <v>3131.0115953712652</v>
      </c>
      <c r="I112" s="10">
        <f t="shared" si="13"/>
        <v>0.78044533469989796</v>
      </c>
      <c r="J112" s="10">
        <f t="shared" si="14"/>
        <v>0.90694609566252604</v>
      </c>
      <c r="K112" s="10">
        <f t="shared" si="12"/>
        <v>1.1078963868483886</v>
      </c>
      <c r="L112" s="10">
        <f t="shared" si="9"/>
        <v>0.54279648761853971</v>
      </c>
    </row>
    <row r="113" spans="1:12" x14ac:dyDescent="0.25">
      <c r="A113" t="s">
        <v>182</v>
      </c>
      <c r="B113" t="s">
        <v>186</v>
      </c>
      <c r="C113" t="s">
        <v>8</v>
      </c>
      <c r="D113" s="43">
        <v>1986.1240681982438</v>
      </c>
      <c r="E113" s="43">
        <v>3259.9770654295953</v>
      </c>
      <c r="F113" s="43">
        <v>1827.5810341320166</v>
      </c>
      <c r="G113" s="43">
        <v>3100.9057146465416</v>
      </c>
      <c r="I113" s="10">
        <f t="shared" si="13"/>
        <v>0.77294105263547586</v>
      </c>
      <c r="J113" s="10">
        <f t="shared" si="14"/>
        <v>0.89822546012730942</v>
      </c>
      <c r="K113" s="10">
        <f t="shared" si="12"/>
        <v>1.0972435369748463</v>
      </c>
      <c r="L113" s="10">
        <f t="shared" si="9"/>
        <v>0.5375772906222076</v>
      </c>
    </row>
    <row r="114" spans="1:12" x14ac:dyDescent="0.25">
      <c r="A114" t="s">
        <v>180</v>
      </c>
      <c r="B114" t="s">
        <v>187</v>
      </c>
      <c r="C114" t="s">
        <v>8</v>
      </c>
      <c r="D114" s="43">
        <v>1264.3511569439829</v>
      </c>
      <c r="E114" s="43">
        <v>2311.4656230883143</v>
      </c>
      <c r="F114" s="43">
        <v>1266.0720716790649</v>
      </c>
      <c r="G114" s="43">
        <v>2375.1487311703627</v>
      </c>
      <c r="I114" s="10">
        <f t="shared" si="13"/>
        <v>0.54826246435674342</v>
      </c>
      <c r="J114" s="10">
        <f t="shared" si="14"/>
        <v>0.6371291868095631</v>
      </c>
      <c r="K114" s="10">
        <f>SUM(D114:G114)/SUM($D$62:$G$62)</f>
        <v>0.77829666768268646</v>
      </c>
      <c r="L114" s="10">
        <f t="shared" si="9"/>
        <v>0.38131426598937684</v>
      </c>
    </row>
    <row r="115" spans="1:12" x14ac:dyDescent="0.25">
      <c r="A115" t="s">
        <v>180</v>
      </c>
      <c r="B115" t="s">
        <v>188</v>
      </c>
      <c r="C115" t="s">
        <v>8</v>
      </c>
      <c r="D115" s="43">
        <v>1210.7079319686227</v>
      </c>
      <c r="E115" s="43">
        <v>2211.0851594325704</v>
      </c>
      <c r="F115" s="43">
        <v>1224.190615070562</v>
      </c>
      <c r="G115" s="43">
        <v>2285.1756669653901</v>
      </c>
      <c r="I115" s="10">
        <f t="shared" si="13"/>
        <v>0.52654492584928925</v>
      </c>
      <c r="J115" s="10">
        <f t="shared" si="14"/>
        <v>0.61189149765826578</v>
      </c>
      <c r="K115" s="10">
        <f t="shared" si="12"/>
        <v>0.74746711258911758</v>
      </c>
      <c r="L115" s="10">
        <f t="shared" si="9"/>
        <v>0.36620980819144611</v>
      </c>
    </row>
    <row r="116" spans="1:12" x14ac:dyDescent="0.25">
      <c r="A116" t="s">
        <v>180</v>
      </c>
      <c r="B116" t="s">
        <v>189</v>
      </c>
      <c r="C116" t="s">
        <v>8</v>
      </c>
      <c r="D116" s="43">
        <v>1253.2727254931378</v>
      </c>
      <c r="E116" s="43">
        <v>2299.9510360582799</v>
      </c>
      <c r="F116" s="43">
        <v>1242.6002907691195</v>
      </c>
      <c r="G116" s="43">
        <v>2228.6852446696666</v>
      </c>
      <c r="I116" s="10">
        <f t="shared" si="13"/>
        <v>0.53363651412868363</v>
      </c>
      <c r="J116" s="10">
        <f t="shared" si="14"/>
        <v>0.62013254673124929</v>
      </c>
      <c r="K116" s="10">
        <f t="shared" si="12"/>
        <v>0.75753411495614253</v>
      </c>
      <c r="L116" s="10">
        <f t="shared" si="9"/>
        <v>0.37114197837498913</v>
      </c>
    </row>
    <row r="117" spans="1:12" x14ac:dyDescent="0.25">
      <c r="A117" t="s">
        <v>190</v>
      </c>
      <c r="B117" t="s">
        <v>191</v>
      </c>
      <c r="C117" t="s">
        <v>8</v>
      </c>
      <c r="D117" s="43">
        <v>681.54336644376383</v>
      </c>
      <c r="E117" s="43">
        <v>1066.6499358458871</v>
      </c>
      <c r="F117" s="43">
        <v>627.5251286889154</v>
      </c>
      <c r="G117" s="43">
        <v>1004.3722466067026</v>
      </c>
      <c r="I117" s="10">
        <f t="shared" si="13"/>
        <v>0.25677805101607776</v>
      </c>
      <c r="J117" s="10">
        <f t="shared" si="14"/>
        <v>0.29839867120278796</v>
      </c>
      <c r="K117" s="10">
        <f t="shared" si="12"/>
        <v>0.36451428728454793</v>
      </c>
      <c r="L117" s="10">
        <f t="shared" si="9"/>
        <v>0.17858806759688794</v>
      </c>
    </row>
    <row r="118" spans="1:12" x14ac:dyDescent="0.25">
      <c r="A118" t="s">
        <v>190</v>
      </c>
      <c r="B118" t="s">
        <v>192</v>
      </c>
      <c r="C118" t="s">
        <v>8</v>
      </c>
      <c r="D118" s="43">
        <v>674.79541232055817</v>
      </c>
      <c r="E118" s="43">
        <v>1056.0890453919674</v>
      </c>
      <c r="F118" s="43">
        <v>621.31200860288664</v>
      </c>
      <c r="G118" s="43">
        <v>994.42796693732907</v>
      </c>
      <c r="I118" s="10">
        <f t="shared" si="13"/>
        <v>0.25423569407532454</v>
      </c>
      <c r="J118" s="10">
        <f t="shared" si="14"/>
        <v>0.29544422891365141</v>
      </c>
      <c r="K118" s="10">
        <f t="shared" si="12"/>
        <v>0.36090523493519594</v>
      </c>
      <c r="L118" s="10">
        <f t="shared" si="9"/>
        <v>0.17681986890780985</v>
      </c>
    </row>
    <row r="119" spans="1:12" x14ac:dyDescent="0.25">
      <c r="A119" t="s">
        <v>190</v>
      </c>
      <c r="B119" t="s">
        <v>193</v>
      </c>
      <c r="C119" t="s">
        <v>8</v>
      </c>
      <c r="D119" s="43">
        <v>674.79541232055817</v>
      </c>
      <c r="E119" s="43">
        <v>1056.0890453919674</v>
      </c>
      <c r="F119" s="43">
        <v>621.31200860288664</v>
      </c>
      <c r="G119" s="43">
        <v>994.42796693732907</v>
      </c>
      <c r="I119" s="10">
        <f t="shared" si="13"/>
        <v>0.25423569407532454</v>
      </c>
      <c r="J119" s="10">
        <f t="shared" si="14"/>
        <v>0.29544422891365141</v>
      </c>
      <c r="K119" s="10">
        <f t="shared" si="12"/>
        <v>0.36090523493519594</v>
      </c>
      <c r="L119" s="10">
        <f t="shared" si="9"/>
        <v>0.17681986890780985</v>
      </c>
    </row>
    <row r="120" spans="1:12" x14ac:dyDescent="0.25">
      <c r="A120" t="s">
        <v>190</v>
      </c>
      <c r="B120" t="s">
        <v>194</v>
      </c>
      <c r="C120" t="s">
        <v>8</v>
      </c>
      <c r="D120" s="43">
        <v>668.1797710232978</v>
      </c>
      <c r="E120" s="43">
        <v>1045.735231221458</v>
      </c>
      <c r="F120" s="43">
        <v>615.22071440089758</v>
      </c>
      <c r="G120" s="43">
        <v>984.67867314382602</v>
      </c>
      <c r="I120" s="10">
        <f t="shared" si="13"/>
        <v>0.25174318727066447</v>
      </c>
      <c r="J120" s="10">
        <f t="shared" si="14"/>
        <v>0.29254771686547837</v>
      </c>
      <c r="K120" s="10">
        <f t="shared" si="12"/>
        <v>0.35736694831818427</v>
      </c>
      <c r="L120" s="10">
        <f t="shared" si="9"/>
        <v>0.1750863407812627</v>
      </c>
    </row>
    <row r="121" spans="1:12" x14ac:dyDescent="0.25">
      <c r="A121" t="s">
        <v>190</v>
      </c>
      <c r="B121" t="s">
        <v>195</v>
      </c>
      <c r="C121" t="s">
        <v>8</v>
      </c>
      <c r="D121" s="43">
        <v>736.0668357592649</v>
      </c>
      <c r="E121" s="43">
        <v>1151.9819307135581</v>
      </c>
      <c r="F121" s="43">
        <v>677.7271389840289</v>
      </c>
      <c r="G121" s="43">
        <v>1084.7220263352388</v>
      </c>
      <c r="I121" s="10">
        <f t="shared" si="13"/>
        <v>0.27732029509736406</v>
      </c>
      <c r="J121" s="10">
        <f t="shared" si="14"/>
        <v>0.32227056489901101</v>
      </c>
      <c r="K121" s="10">
        <f t="shared" si="12"/>
        <v>0.39367543026731183</v>
      </c>
      <c r="L121" s="10">
        <f t="shared" si="9"/>
        <v>0.192875113004639</v>
      </c>
    </row>
    <row r="122" spans="1:12" x14ac:dyDescent="0.25">
      <c r="A122" t="s">
        <v>190</v>
      </c>
      <c r="B122" t="s">
        <v>196</v>
      </c>
      <c r="C122" t="s">
        <v>8</v>
      </c>
      <c r="D122" s="43">
        <v>715.62053476595202</v>
      </c>
      <c r="E122" s="43">
        <v>1119.9824326381813</v>
      </c>
      <c r="F122" s="43">
        <v>658.90138512336125</v>
      </c>
      <c r="G122" s="43">
        <v>1054.5908589370376</v>
      </c>
      <c r="I122" s="10">
        <f t="shared" si="13"/>
        <v>0.2696169535668817</v>
      </c>
      <c r="J122" s="10">
        <f t="shared" si="14"/>
        <v>0.31331860476292739</v>
      </c>
      <c r="K122" s="10">
        <f t="shared" si="12"/>
        <v>0.38274000164877536</v>
      </c>
      <c r="L122" s="10">
        <f t="shared" si="9"/>
        <v>0.18751747097673235</v>
      </c>
    </row>
    <row r="123" spans="1:12" x14ac:dyDescent="0.25">
      <c r="A123" t="s">
        <v>190</v>
      </c>
      <c r="B123" t="s">
        <v>197</v>
      </c>
      <c r="C123" t="s">
        <v>8</v>
      </c>
      <c r="D123" s="43">
        <v>674.79541232055817</v>
      </c>
      <c r="E123" s="43">
        <v>1056.0890453919674</v>
      </c>
      <c r="F123" s="43">
        <v>621.31200860288664</v>
      </c>
      <c r="G123" s="43">
        <v>994.42796693732907</v>
      </c>
      <c r="I123" s="10">
        <f t="shared" si="13"/>
        <v>0.25423569407532454</v>
      </c>
      <c r="J123" s="10">
        <f t="shared" si="14"/>
        <v>0.29544422891365141</v>
      </c>
      <c r="K123" s="10">
        <f t="shared" si="12"/>
        <v>0.36090523493519594</v>
      </c>
      <c r="L123" s="10">
        <f t="shared" si="9"/>
        <v>0.17681986890780985</v>
      </c>
    </row>
    <row r="124" spans="1:12" x14ac:dyDescent="0.25">
      <c r="A124" t="s">
        <v>198</v>
      </c>
      <c r="B124" t="s">
        <v>199</v>
      </c>
      <c r="C124" t="s">
        <v>8</v>
      </c>
      <c r="D124" s="43">
        <v>1126.0199272935515</v>
      </c>
      <c r="E124" s="43">
        <v>1704.2876286656592</v>
      </c>
      <c r="F124" s="43">
        <v>1021.2996859610915</v>
      </c>
      <c r="G124" s="43">
        <v>1516.7610628506163</v>
      </c>
      <c r="I124" s="10">
        <f t="shared" si="13"/>
        <v>0.40782312722460601</v>
      </c>
      <c r="J124" s="10">
        <f t="shared" si="14"/>
        <v>0.47392632963776288</v>
      </c>
      <c r="K124" s="10">
        <f t="shared" si="12"/>
        <v>0.57893326929693389</v>
      </c>
      <c r="L124" s="10">
        <f t="shared" si="9"/>
        <v>0.28363929052410281</v>
      </c>
    </row>
    <row r="125" spans="1:12" x14ac:dyDescent="0.25">
      <c r="A125" t="s">
        <v>200</v>
      </c>
      <c r="B125" t="s">
        <v>201</v>
      </c>
      <c r="C125" t="s">
        <v>8</v>
      </c>
      <c r="D125" s="43">
        <v>2925.6407403911717</v>
      </c>
      <c r="E125" s="43">
        <v>4267.6906951950514</v>
      </c>
      <c r="F125" s="43">
        <v>2603.1504699597876</v>
      </c>
      <c r="G125" s="43">
        <v>3886.7269783484239</v>
      </c>
      <c r="I125" s="10">
        <f t="shared" si="13"/>
        <v>1.0394832695323921</v>
      </c>
      <c r="J125" s="10">
        <f t="shared" si="14"/>
        <v>1.2079709505489384</v>
      </c>
      <c r="K125" s="10">
        <f t="shared" si="12"/>
        <v>1.4756187362528383</v>
      </c>
      <c r="L125" s="10">
        <f t="shared" si="9"/>
        <v>0.72295629502017444</v>
      </c>
    </row>
    <row r="126" spans="1:12" x14ac:dyDescent="0.25">
      <c r="A126" t="s">
        <v>202</v>
      </c>
      <c r="B126" t="s">
        <v>203</v>
      </c>
      <c r="C126" t="s">
        <v>8</v>
      </c>
      <c r="D126" s="43">
        <v>1092.1712369512024</v>
      </c>
      <c r="E126" s="43">
        <v>1914.2065602265798</v>
      </c>
      <c r="F126" s="43">
        <v>981.51870050392063</v>
      </c>
      <c r="G126" s="43">
        <v>1584.7029250458281</v>
      </c>
      <c r="I126" s="10">
        <f t="shared" si="13"/>
        <v>0.42333811585301712</v>
      </c>
      <c r="J126" s="10">
        <f t="shared" si="14"/>
        <v>0.49195611050152666</v>
      </c>
      <c r="K126" s="10">
        <f t="shared" si="12"/>
        <v>0.6009578738133029</v>
      </c>
      <c r="L126" s="10">
        <f t="shared" si="9"/>
        <v>0.29442990065207725</v>
      </c>
    </row>
    <row r="127" spans="1:12" x14ac:dyDescent="0.25">
      <c r="A127" t="s">
        <v>204</v>
      </c>
      <c r="B127" t="s">
        <v>205</v>
      </c>
      <c r="C127" t="s">
        <v>8</v>
      </c>
      <c r="D127" s="43">
        <v>1582.3774957978869</v>
      </c>
      <c r="E127" s="43">
        <v>2655.204021092788</v>
      </c>
      <c r="F127" s="43">
        <v>1201.9307138224774</v>
      </c>
      <c r="G127" s="43">
        <v>2024.5998809174469</v>
      </c>
      <c r="I127" s="10">
        <f t="shared" si="13"/>
        <v>0.56703217262775818</v>
      </c>
      <c r="J127" s="10">
        <f t="shared" si="14"/>
        <v>0.6589412380529307</v>
      </c>
      <c r="K127" s="10">
        <f t="shared" si="12"/>
        <v>0.80494157290676815</v>
      </c>
      <c r="L127" s="10">
        <f t="shared" si="9"/>
        <v>0.394368520105777</v>
      </c>
    </row>
    <row r="128" spans="1:12" x14ac:dyDescent="0.25">
      <c r="A128" t="s">
        <v>206</v>
      </c>
      <c r="B128" t="s">
        <v>207</v>
      </c>
      <c r="C128" t="s">
        <v>8</v>
      </c>
      <c r="D128" s="43">
        <v>1008.7100685175284</v>
      </c>
      <c r="E128" s="43">
        <v>1164.4929575963451</v>
      </c>
      <c r="F128" s="43">
        <v>956.42794279960219</v>
      </c>
      <c r="G128" s="43">
        <v>1109.7981623980609</v>
      </c>
      <c r="I128" s="10">
        <f t="shared" si="13"/>
        <v>0.32206010240430843</v>
      </c>
      <c r="J128" s="10">
        <f t="shared" si="14"/>
        <v>0.37426215451281758</v>
      </c>
      <c r="K128" s="10">
        <f t="shared" si="12"/>
        <v>0.45718669577153409</v>
      </c>
      <c r="L128" s="10">
        <f t="shared" si="9"/>
        <v>0.22399146309759943</v>
      </c>
    </row>
    <row r="129" spans="1:12" x14ac:dyDescent="0.25">
      <c r="A129" t="s">
        <v>208</v>
      </c>
      <c r="B129" t="s">
        <v>209</v>
      </c>
      <c r="C129" t="s">
        <v>8</v>
      </c>
      <c r="D129" s="43">
        <v>1202.5460603760118</v>
      </c>
      <c r="E129" s="43">
        <v>2060.655875555251</v>
      </c>
      <c r="F129" s="43">
        <v>1204.640134712163</v>
      </c>
      <c r="G129" s="43">
        <v>1767.4161729769316</v>
      </c>
      <c r="I129" s="10">
        <f t="shared" si="13"/>
        <v>0.47367884832089024</v>
      </c>
      <c r="J129" s="10">
        <f t="shared" si="14"/>
        <v>0.5504564675855822</v>
      </c>
      <c r="K129" s="10">
        <f t="shared" si="12"/>
        <v>0.67242004179961534</v>
      </c>
      <c r="L129" s="10">
        <f t="shared" si="9"/>
        <v>0.32944167092323046</v>
      </c>
    </row>
    <row r="130" spans="1:12" x14ac:dyDescent="0.25">
      <c r="A130" t="s">
        <v>210</v>
      </c>
      <c r="B130" t="s">
        <v>210</v>
      </c>
      <c r="C130" t="s">
        <v>8</v>
      </c>
      <c r="D130" s="43">
        <v>2200.4539356443561</v>
      </c>
      <c r="E130" s="43">
        <v>3657.7028544837394</v>
      </c>
      <c r="F130" s="43">
        <v>2031.672179781601</v>
      </c>
      <c r="G130" s="43">
        <v>3437.6030992773744</v>
      </c>
      <c r="I130" s="10">
        <f t="shared" si="13"/>
        <v>0.86052008871572583</v>
      </c>
      <c r="J130" s="10">
        <f t="shared" si="14"/>
        <v>1</v>
      </c>
      <c r="K130" s="10">
        <f t="shared" si="12"/>
        <v>1.2215680646809202</v>
      </c>
      <c r="L130" s="10">
        <f t="shared" si="9"/>
        <v>0.59848814633467906</v>
      </c>
    </row>
    <row r="131" spans="1:12" x14ac:dyDescent="0.25">
      <c r="A131" t="s">
        <v>211</v>
      </c>
      <c r="B131" t="s">
        <v>212</v>
      </c>
      <c r="C131" t="s">
        <v>8</v>
      </c>
      <c r="D131" s="43">
        <v>1266.0896776861664</v>
      </c>
      <c r="E131" s="43">
        <v>2160.0289785429736</v>
      </c>
      <c r="F131" s="43">
        <v>1290.4512597376827</v>
      </c>
      <c r="G131" s="43">
        <v>1871.4742502277477</v>
      </c>
      <c r="I131" s="10">
        <f t="shared" si="13"/>
        <v>0.50047921856694266</v>
      </c>
      <c r="J131" s="10">
        <f t="shared" ref="J131:J136" si="15">SUM(D131:G131)/SUM($D$130:$G$130)</f>
        <v>0.58160085409961504</v>
      </c>
      <c r="K131" s="10">
        <f t="shared" ref="K131:K136" si="16">SUM(D131:G131)/SUM($D$62:$G$62)</f>
        <v>0.71046502975923709</v>
      </c>
      <c r="L131" s="10">
        <f t="shared" si="9"/>
        <v>0.34808121707674478</v>
      </c>
    </row>
    <row r="132" spans="1:12" x14ac:dyDescent="0.25">
      <c r="A132" t="s">
        <v>213</v>
      </c>
      <c r="B132" t="s">
        <v>214</v>
      </c>
      <c r="C132" t="s">
        <v>8</v>
      </c>
      <c r="D132" s="43">
        <v>1248.9630597387975</v>
      </c>
      <c r="E132" s="43">
        <v>2335.3162615467281</v>
      </c>
      <c r="F132" s="43">
        <v>1195.6467434054309</v>
      </c>
      <c r="G132" s="43">
        <v>2087.223590110229</v>
      </c>
      <c r="I132" s="10">
        <f t="shared" ref="I132:I136" si="17">SUM(D132:G132)/SUM($D$135:$G$135)</f>
        <v>0.52168224837544952</v>
      </c>
      <c r="J132" s="10">
        <f t="shared" si="15"/>
        <v>0.60624063890713897</v>
      </c>
      <c r="K132" s="10">
        <f t="shared" si="16"/>
        <v>0.74056420400071843</v>
      </c>
      <c r="L132" s="10">
        <f t="shared" ref="L132:L136" si="18">SUM(D132:G132)/SUM($D$23:$G$23)</f>
        <v>0.36282783621228515</v>
      </c>
    </row>
    <row r="133" spans="1:12" x14ac:dyDescent="0.25">
      <c r="A133" t="s">
        <v>215</v>
      </c>
      <c r="B133" t="s">
        <v>216</v>
      </c>
      <c r="C133" t="s">
        <v>8</v>
      </c>
      <c r="D133" s="43">
        <v>738.3110414632672</v>
      </c>
      <c r="E133" s="43">
        <v>1480.8654689329819</v>
      </c>
      <c r="F133" s="43">
        <v>713.05780179796693</v>
      </c>
      <c r="G133" s="43">
        <v>1214.7382696749621</v>
      </c>
      <c r="I133" s="10">
        <f t="shared" si="17"/>
        <v>0.31503638179026833</v>
      </c>
      <c r="J133" s="10">
        <f t="shared" si="15"/>
        <v>0.36609997363389979</v>
      </c>
      <c r="K133" s="10">
        <f t="shared" si="16"/>
        <v>0.44721603627169892</v>
      </c>
      <c r="L133" s="10">
        <f t="shared" si="18"/>
        <v>0.21910649459332757</v>
      </c>
    </row>
    <row r="134" spans="1:12" x14ac:dyDescent="0.25">
      <c r="A134" t="s">
        <v>217</v>
      </c>
      <c r="B134" t="s">
        <v>218</v>
      </c>
      <c r="C134" t="s">
        <v>8</v>
      </c>
      <c r="D134" s="43">
        <v>916.76831720519408</v>
      </c>
      <c r="E134" s="43">
        <v>1391.5976812484359</v>
      </c>
      <c r="F134" s="43">
        <v>839.63510801880273</v>
      </c>
      <c r="G134" s="43">
        <v>1253.9845034931639</v>
      </c>
      <c r="I134" s="10">
        <f t="shared" si="17"/>
        <v>0.33440916038835217</v>
      </c>
      <c r="J134" s="10">
        <f t="shared" si="15"/>
        <v>0.38861284561925524</v>
      </c>
      <c r="K134" s="10">
        <f t="shared" si="16"/>
        <v>0.4747170417332589</v>
      </c>
      <c r="L134" s="10">
        <f t="shared" si="18"/>
        <v>0.23258018161651289</v>
      </c>
    </row>
    <row r="135" spans="1:12" x14ac:dyDescent="0.25">
      <c r="A135" t="s">
        <v>219</v>
      </c>
      <c r="B135" t="s">
        <v>220</v>
      </c>
      <c r="C135" t="s">
        <v>6</v>
      </c>
      <c r="D135" s="43">
        <v>2481.6419968135256</v>
      </c>
      <c r="E135" s="43">
        <v>4358.9689107729982</v>
      </c>
      <c r="F135" s="43">
        <v>2293.3485233376427</v>
      </c>
      <c r="G135" s="43">
        <v>4029.5125411161107</v>
      </c>
      <c r="I135" s="10">
        <f t="shared" si="17"/>
        <v>1</v>
      </c>
      <c r="J135" s="10">
        <f t="shared" si="15"/>
        <v>1.1620879199838781</v>
      </c>
      <c r="K135" s="10">
        <f t="shared" si="16"/>
        <v>1.419569491403782</v>
      </c>
      <c r="L135" s="10">
        <f t="shared" si="18"/>
        <v>0.69549584510907403</v>
      </c>
    </row>
    <row r="136" spans="1:12" x14ac:dyDescent="0.25">
      <c r="A136" t="s">
        <v>221</v>
      </c>
      <c r="B136" t="s">
        <v>222</v>
      </c>
      <c r="C136" t="s">
        <v>6</v>
      </c>
      <c r="D136" s="43">
        <v>1504.4852363558532</v>
      </c>
      <c r="E136" s="43">
        <v>2973.4672348131426</v>
      </c>
      <c r="F136" s="43">
        <v>1487.7563153310589</v>
      </c>
      <c r="G136" s="43">
        <v>2822.8146964672146</v>
      </c>
      <c r="I136" s="10">
        <f t="shared" si="17"/>
        <v>0.66764479019170853</v>
      </c>
      <c r="J136" s="10">
        <f t="shared" si="15"/>
        <v>0.77586194552195531</v>
      </c>
      <c r="K136" s="10">
        <f t="shared" si="16"/>
        <v>0.94776817525082846</v>
      </c>
      <c r="L136" s="10">
        <f t="shared" si="18"/>
        <v>0.46434417758705276</v>
      </c>
    </row>
  </sheetData>
  <autoFilter ref="A2:K2" xr:uid="{22000435-894C-411C-A512-733D46E76B44}">
    <filterColumn colId="3" showButton="0"/>
    <filterColumn colId="5" showButton="0"/>
  </autoFilter>
  <mergeCells count="2">
    <mergeCell ref="D2:E2"/>
    <mergeCell ref="F2:G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5EE7-7980-4885-98F4-20DE0DE0DA9D}">
  <dimension ref="A1:AB159"/>
  <sheetViews>
    <sheetView view="pageBreakPreview" topLeftCell="I1" zoomScaleNormal="100" zoomScaleSheetLayoutView="100" workbookViewId="0">
      <selection activeCell="L17" sqref="L17"/>
    </sheetView>
  </sheetViews>
  <sheetFormatPr defaultColWidth="8.83203125" defaultRowHeight="13.5" x14ac:dyDescent="0.25"/>
  <cols>
    <col min="1" max="1" width="4.58203125" customWidth="1"/>
    <col min="2" max="2" width="21" customWidth="1"/>
    <col min="3" max="3" width="14.58203125" customWidth="1"/>
    <col min="4" max="4" width="10.08203125" bestFit="1" customWidth="1"/>
    <col min="5" max="5" width="14" style="4" customWidth="1"/>
    <col min="6" max="13" width="14" customWidth="1"/>
    <col min="14" max="14" width="6" customWidth="1"/>
    <col min="24" max="24" width="6" customWidth="1"/>
    <col min="25" max="27" width="8.5" style="24"/>
    <col min="28" max="28" width="6" customWidth="1"/>
  </cols>
  <sheetData>
    <row r="1" spans="1:28" ht="17.5" customHeight="1" x14ac:dyDescent="0.25">
      <c r="A1" s="20"/>
      <c r="B1" s="15"/>
      <c r="C1" s="2"/>
      <c r="D1" s="2"/>
      <c r="E1" s="60" t="s">
        <v>0</v>
      </c>
      <c r="F1" s="60"/>
      <c r="G1" s="60"/>
      <c r="H1" s="60"/>
      <c r="I1" s="60"/>
      <c r="J1" s="60"/>
      <c r="K1" s="60"/>
      <c r="L1" s="60"/>
      <c r="M1" s="60"/>
      <c r="N1" s="22"/>
      <c r="O1" s="60" t="s">
        <v>1</v>
      </c>
      <c r="P1" s="60"/>
      <c r="Q1" s="60"/>
      <c r="R1" s="60"/>
      <c r="S1" s="60"/>
      <c r="T1" s="60"/>
      <c r="U1" s="60"/>
      <c r="V1" s="60"/>
      <c r="W1" s="60"/>
      <c r="X1" s="22"/>
      <c r="Y1" s="59" t="s">
        <v>2</v>
      </c>
      <c r="Z1" s="59"/>
      <c r="AA1" s="59"/>
      <c r="AB1" s="22"/>
    </row>
    <row r="2" spans="1:28" x14ac:dyDescent="0.25">
      <c r="A2" s="16"/>
      <c r="B2" s="16"/>
      <c r="C2" s="1"/>
      <c r="D2" s="1"/>
      <c r="E2" s="61" t="s">
        <v>3</v>
      </c>
      <c r="F2" s="61"/>
      <c r="G2" s="61"/>
      <c r="H2" s="61" t="s">
        <v>4</v>
      </c>
      <c r="I2" s="61"/>
      <c r="J2" s="61"/>
      <c r="K2" s="61" t="s">
        <v>5</v>
      </c>
      <c r="L2" s="61"/>
      <c r="M2" s="61"/>
      <c r="N2" s="22"/>
      <c r="O2" s="61" t="s">
        <v>3</v>
      </c>
      <c r="P2" s="61"/>
      <c r="Q2" s="61"/>
      <c r="R2" s="61" t="s">
        <v>4</v>
      </c>
      <c r="S2" s="61"/>
      <c r="T2" s="61"/>
      <c r="U2" s="61" t="s">
        <v>5</v>
      </c>
      <c r="V2" s="61"/>
      <c r="W2" s="61"/>
      <c r="X2" s="22"/>
      <c r="Y2" s="24" t="s">
        <v>6</v>
      </c>
      <c r="Z2" s="24" t="s">
        <v>7</v>
      </c>
      <c r="AA2" s="24" t="s">
        <v>8</v>
      </c>
      <c r="AB2" s="22"/>
    </row>
    <row r="3" spans="1:28" x14ac:dyDescent="0.25">
      <c r="A3" s="16"/>
      <c r="B3" s="16"/>
      <c r="C3" s="1"/>
      <c r="D3" s="1"/>
      <c r="E3" s="5" t="s">
        <v>9</v>
      </c>
      <c r="F3" s="6" t="s">
        <v>10</v>
      </c>
      <c r="G3" s="6" t="s">
        <v>11</v>
      </c>
      <c r="H3" s="6" t="s">
        <v>9</v>
      </c>
      <c r="I3" s="6" t="s">
        <v>10</v>
      </c>
      <c r="J3" s="6" t="s">
        <v>12</v>
      </c>
      <c r="K3" s="6" t="s">
        <v>13</v>
      </c>
      <c r="L3" s="6" t="s">
        <v>10</v>
      </c>
      <c r="M3" s="6" t="s">
        <v>11</v>
      </c>
      <c r="N3" s="22"/>
      <c r="O3" s="5" t="s">
        <v>9</v>
      </c>
      <c r="P3" s="6" t="s">
        <v>10</v>
      </c>
      <c r="Q3" s="6" t="s">
        <v>11</v>
      </c>
      <c r="R3" s="6" t="s">
        <v>9</v>
      </c>
      <c r="S3" s="6" t="s">
        <v>10</v>
      </c>
      <c r="T3" s="6" t="s">
        <v>12</v>
      </c>
      <c r="U3" s="6" t="s">
        <v>13</v>
      </c>
      <c r="V3" s="6" t="s">
        <v>10</v>
      </c>
      <c r="W3" s="6" t="s">
        <v>11</v>
      </c>
      <c r="X3" s="22"/>
      <c r="Y3" s="24">
        <f>O138</f>
        <v>145.4238732537512</v>
      </c>
      <c r="Z3" s="24">
        <f>O25</f>
        <v>213.86533880922462</v>
      </c>
      <c r="AA3" s="24">
        <f>O133</f>
        <v>153.65409583117747</v>
      </c>
      <c r="AB3" s="22"/>
    </row>
    <row r="4" spans="1:28" x14ac:dyDescent="0.25">
      <c r="A4" s="16"/>
      <c r="B4" s="12" t="s">
        <v>14</v>
      </c>
      <c r="C4" s="12" t="s">
        <v>15</v>
      </c>
      <c r="D4" s="13" t="s">
        <v>16</v>
      </c>
      <c r="E4" s="14"/>
      <c r="F4" s="14"/>
      <c r="G4" s="14"/>
      <c r="H4" s="14"/>
      <c r="I4" s="14"/>
      <c r="J4" s="14"/>
      <c r="K4" s="14"/>
      <c r="L4" s="14"/>
      <c r="M4" s="14"/>
      <c r="N4" s="22"/>
      <c r="O4" s="14"/>
      <c r="P4" s="14"/>
      <c r="Q4" s="14"/>
      <c r="R4" s="14"/>
      <c r="S4" s="14"/>
      <c r="T4" s="14"/>
      <c r="U4" s="14"/>
      <c r="V4" s="14"/>
      <c r="W4" s="14"/>
      <c r="X4" s="22"/>
      <c r="AB4" s="22"/>
    </row>
    <row r="5" spans="1:28" x14ac:dyDescent="0.25">
      <c r="A5" s="16"/>
      <c r="B5" s="3" t="s">
        <v>17</v>
      </c>
      <c r="C5" s="3" t="s">
        <v>18</v>
      </c>
      <c r="D5" s="11" t="s">
        <v>19</v>
      </c>
      <c r="E5" s="7">
        <v>1812.7573346593736</v>
      </c>
      <c r="F5" s="7">
        <v>2640.9278965688713</v>
      </c>
      <c r="G5" s="7">
        <v>3159.8935852809545</v>
      </c>
      <c r="H5" s="7">
        <v>1744.1546494281451</v>
      </c>
      <c r="I5" s="7">
        <v>2478.8513177523619</v>
      </c>
      <c r="J5" s="7">
        <v>2933.1367478866237</v>
      </c>
      <c r="K5" s="7">
        <v>1826.7707608155147</v>
      </c>
      <c r="L5" s="7">
        <v>2431.3083043262059</v>
      </c>
      <c r="M5" s="7">
        <v>2969.2192938836401</v>
      </c>
      <c r="N5" s="22"/>
      <c r="O5" s="7">
        <v>168.4092966959864</v>
      </c>
      <c r="P5" s="7">
        <v>245.3482334244955</v>
      </c>
      <c r="Q5" s="7">
        <v>293.56133121442826</v>
      </c>
      <c r="R5" s="7">
        <v>162.03595055066893</v>
      </c>
      <c r="S5" s="7">
        <v>230.29094907236305</v>
      </c>
      <c r="T5" s="7">
        <v>272.49510311183383</v>
      </c>
      <c r="U5" s="7">
        <v>169.7111759923128</v>
      </c>
      <c r="V5" s="7">
        <v>225.87409453765983</v>
      </c>
      <c r="W5" s="7">
        <v>275.8472540468623</v>
      </c>
      <c r="X5" s="22"/>
      <c r="Y5"/>
      <c r="Z5" s="10">
        <f>O5/$Z$3</f>
        <v>0.78745484253628117</v>
      </c>
      <c r="AA5"/>
      <c r="AB5" s="22"/>
    </row>
    <row r="6" spans="1:28" x14ac:dyDescent="0.25">
      <c r="A6" s="16"/>
      <c r="B6" s="3" t="s">
        <v>17</v>
      </c>
      <c r="C6" s="3" t="s">
        <v>20</v>
      </c>
      <c r="D6" s="11" t="s">
        <v>19</v>
      </c>
      <c r="E6" s="8">
        <v>1693.3112879164594</v>
      </c>
      <c r="F6" s="8">
        <v>2466.1541521631029</v>
      </c>
      <c r="G6" s="8">
        <v>2950.4485330681255</v>
      </c>
      <c r="H6" s="8">
        <v>1671.2386872202885</v>
      </c>
      <c r="I6" s="8">
        <v>2376.9915464942815</v>
      </c>
      <c r="J6" s="8">
        <v>2805.8960716061661</v>
      </c>
      <c r="K6" s="8">
        <v>1972.5798110392839</v>
      </c>
      <c r="L6" s="8">
        <v>2620.9930382894081</v>
      </c>
      <c r="M6" s="8">
        <v>3225.4336151168573</v>
      </c>
      <c r="N6" s="22"/>
      <c r="O6" s="8">
        <v>157.31248614088253</v>
      </c>
      <c r="P6" s="8">
        <v>229.11135338901616</v>
      </c>
      <c r="Q6" s="8">
        <v>274.10340749501069</v>
      </c>
      <c r="R6" s="8">
        <v>155.26189112277328</v>
      </c>
      <c r="S6" s="8">
        <v>220.82794367654665</v>
      </c>
      <c r="T6" s="8">
        <v>260.67415366989428</v>
      </c>
      <c r="U6" s="8">
        <v>183.25716978342817</v>
      </c>
      <c r="V6" s="8">
        <v>243.49623955946484</v>
      </c>
      <c r="W6" s="8">
        <v>299.65014967846844</v>
      </c>
      <c r="X6" s="22"/>
      <c r="Y6"/>
      <c r="Z6" s="10">
        <f t="shared" ref="Z6:Z67" si="0">O6/$Z$3</f>
        <v>0.73556793736085857</v>
      </c>
      <c r="AA6"/>
      <c r="AB6" s="22"/>
    </row>
    <row r="7" spans="1:28" x14ac:dyDescent="0.25">
      <c r="A7" s="16"/>
      <c r="B7" s="3" t="s">
        <v>17</v>
      </c>
      <c r="C7" s="3" t="s">
        <v>21</v>
      </c>
      <c r="D7" s="11" t="s">
        <v>19</v>
      </c>
      <c r="E7" s="8">
        <v>1693.3112879164594</v>
      </c>
      <c r="F7" s="8">
        <v>2466.1541521631029</v>
      </c>
      <c r="G7" s="8">
        <v>2950.4485330681255</v>
      </c>
      <c r="H7" s="8">
        <v>1671.2386872202885</v>
      </c>
      <c r="I7" s="8">
        <v>2376.9915464942815</v>
      </c>
      <c r="J7" s="8">
        <v>2805.8960716061661</v>
      </c>
      <c r="K7" s="8">
        <v>1972.5798110392839</v>
      </c>
      <c r="L7" s="8">
        <v>2620.9930382894081</v>
      </c>
      <c r="M7" s="8">
        <v>3225.4336151168573</v>
      </c>
      <c r="N7" s="22"/>
      <c r="O7" s="8">
        <v>157.31248614088253</v>
      </c>
      <c r="P7" s="8">
        <v>229.11135338901616</v>
      </c>
      <c r="Q7" s="8">
        <v>274.10340749501069</v>
      </c>
      <c r="R7" s="8">
        <v>155.26189112277328</v>
      </c>
      <c r="S7" s="8">
        <v>220.82794367654665</v>
      </c>
      <c r="T7" s="8">
        <v>260.67415366989428</v>
      </c>
      <c r="U7" s="8">
        <v>183.25716978342817</v>
      </c>
      <c r="V7" s="8">
        <v>243.49623955946484</v>
      </c>
      <c r="W7" s="8">
        <v>299.65014967846844</v>
      </c>
      <c r="X7" s="22"/>
      <c r="Y7"/>
      <c r="Z7" s="10">
        <f t="shared" si="0"/>
        <v>0.73556793736085857</v>
      </c>
      <c r="AA7"/>
      <c r="AB7" s="22"/>
    </row>
    <row r="8" spans="1:28" x14ac:dyDescent="0.25">
      <c r="A8" s="16"/>
      <c r="B8" s="3" t="s">
        <v>17</v>
      </c>
      <c r="C8" s="3" t="s">
        <v>22</v>
      </c>
      <c r="D8" s="11" t="s">
        <v>19</v>
      </c>
      <c r="E8" s="8">
        <v>2218.492789656887</v>
      </c>
      <c r="F8" s="8">
        <v>3234.6056688214817</v>
      </c>
      <c r="G8" s="8">
        <v>3871.3426156141222</v>
      </c>
      <c r="H8" s="8">
        <v>2189.4728990551962</v>
      </c>
      <c r="I8" s="8">
        <v>3117.3779214321235</v>
      </c>
      <c r="J8" s="8">
        <v>3681.2884137245151</v>
      </c>
      <c r="K8" s="8">
        <v>2585.6683242168074</v>
      </c>
      <c r="L8" s="8">
        <v>3438.1829935355545</v>
      </c>
      <c r="M8" s="8">
        <v>4232.8861263053204</v>
      </c>
      <c r="N8" s="22"/>
      <c r="O8" s="8">
        <v>206.10304715795698</v>
      </c>
      <c r="P8" s="8">
        <v>300.50225441643875</v>
      </c>
      <c r="Q8" s="8">
        <v>359.65657106955427</v>
      </c>
      <c r="R8" s="8">
        <v>203.40703304013599</v>
      </c>
      <c r="S8" s="8">
        <v>289.61152893783719</v>
      </c>
      <c r="T8" s="8">
        <v>342.00010163352795</v>
      </c>
      <c r="U8" s="8">
        <v>240.2144929410895</v>
      </c>
      <c r="V8" s="8">
        <v>319.41505284943452</v>
      </c>
      <c r="W8" s="8">
        <v>393.24478897183826</v>
      </c>
      <c r="X8" s="22"/>
      <c r="Y8"/>
      <c r="Z8" s="10">
        <f t="shared" si="0"/>
        <v>0.9637047700460154</v>
      </c>
      <c r="AA8"/>
      <c r="AB8" s="22"/>
    </row>
    <row r="9" spans="1:28" x14ac:dyDescent="0.25">
      <c r="A9" s="16"/>
      <c r="B9" s="3" t="s">
        <v>17</v>
      </c>
      <c r="C9" s="3" t="s">
        <v>23</v>
      </c>
      <c r="D9" s="11" t="s">
        <v>19</v>
      </c>
      <c r="E9" s="8">
        <v>1758.2913973147688</v>
      </c>
      <c r="F9" s="8">
        <v>2556.5693684733965</v>
      </c>
      <c r="G9" s="8">
        <v>3071.177026355047</v>
      </c>
      <c r="H9" s="8">
        <v>1711.5121829935356</v>
      </c>
      <c r="I9" s="8">
        <v>2430.6210840377921</v>
      </c>
      <c r="J9" s="8">
        <v>2880.7702635504725</v>
      </c>
      <c r="K9" s="8">
        <v>1940.2859273993038</v>
      </c>
      <c r="L9" s="8">
        <v>2568.7384385877672</v>
      </c>
      <c r="M9" s="8">
        <v>3179.7702635504725</v>
      </c>
      <c r="N9" s="22"/>
      <c r="O9" s="8">
        <v>163.34928671742182</v>
      </c>
      <c r="P9" s="8">
        <v>237.51113349101928</v>
      </c>
      <c r="Q9" s="8">
        <v>285.31936026313844</v>
      </c>
      <c r="R9" s="8">
        <v>159.00339086406976</v>
      </c>
      <c r="S9" s="8">
        <v>225.81025020326703</v>
      </c>
      <c r="T9" s="8">
        <v>267.63013711286862</v>
      </c>
      <c r="U9" s="8">
        <v>180.25699423460713</v>
      </c>
      <c r="V9" s="8">
        <v>238.6416678985882</v>
      </c>
      <c r="W9" s="8">
        <v>295.40792002365288</v>
      </c>
      <c r="X9" s="22"/>
      <c r="Y9"/>
      <c r="Z9" s="10">
        <f t="shared" si="0"/>
        <v>0.76379504798173536</v>
      </c>
      <c r="AA9"/>
      <c r="AB9" s="22"/>
    </row>
    <row r="10" spans="1:28" x14ac:dyDescent="0.25">
      <c r="A10" s="16"/>
      <c r="B10" s="3" t="s">
        <v>17</v>
      </c>
      <c r="C10" s="3" t="s">
        <v>24</v>
      </c>
      <c r="D10" s="11" t="s">
        <v>19</v>
      </c>
      <c r="E10" s="8">
        <v>2159.7180507210342</v>
      </c>
      <c r="F10" s="8">
        <v>3148.6056688214817</v>
      </c>
      <c r="G10" s="8">
        <v>3768.2819492789658</v>
      </c>
      <c r="H10" s="8">
        <v>2131.4758826454499</v>
      </c>
      <c r="I10" s="8">
        <v>3034.5181501740426</v>
      </c>
      <c r="J10" s="8">
        <v>3583.3207359522626</v>
      </c>
      <c r="K10" s="8">
        <v>2506.1422178020885</v>
      </c>
      <c r="L10" s="8">
        <v>3309.3117851815018</v>
      </c>
      <c r="M10" s="8">
        <v>4058.2222774738934</v>
      </c>
      <c r="N10" s="22"/>
      <c r="O10" s="8">
        <v>200.64273967033779</v>
      </c>
      <c r="P10" s="8">
        <v>292.51265799393894</v>
      </c>
      <c r="Q10" s="8">
        <v>350.0819997782541</v>
      </c>
      <c r="R10" s="8">
        <v>198.01897775149678</v>
      </c>
      <c r="S10" s="8">
        <v>281.91366693768941</v>
      </c>
      <c r="T10" s="8">
        <v>332.89868061201861</v>
      </c>
      <c r="U10" s="8">
        <v>232.82633601892229</v>
      </c>
      <c r="V10" s="8">
        <v>307.44262325375121</v>
      </c>
      <c r="W10" s="8">
        <v>377.01811848621475</v>
      </c>
      <c r="X10" s="22"/>
      <c r="Y10"/>
      <c r="Z10" s="10">
        <f t="shared" si="0"/>
        <v>0.93817324858479356</v>
      </c>
      <c r="AA10"/>
      <c r="AB10" s="22"/>
    </row>
    <row r="11" spans="1:28" x14ac:dyDescent="0.25">
      <c r="A11" s="16"/>
      <c r="B11" s="3" t="s">
        <v>17</v>
      </c>
      <c r="C11" s="3" t="s">
        <v>25</v>
      </c>
      <c r="D11" s="11" t="s">
        <v>19</v>
      </c>
      <c r="E11" s="8">
        <v>1765.8120338140229</v>
      </c>
      <c r="F11" s="8">
        <v>2572.788165091994</v>
      </c>
      <c r="G11" s="8">
        <v>3092.4574838388862</v>
      </c>
      <c r="H11" s="8">
        <v>1745.531576330184</v>
      </c>
      <c r="I11" s="8">
        <v>2479.1447041273</v>
      </c>
      <c r="J11" s="8">
        <v>2938.3734460467431</v>
      </c>
      <c r="K11" s="8">
        <v>2151.858776727996</v>
      </c>
      <c r="L11" s="8">
        <v>2859.9547488811536</v>
      </c>
      <c r="M11" s="8">
        <v>3520.0318249627053</v>
      </c>
      <c r="N11" s="22"/>
      <c r="O11" s="8">
        <v>164.0479710252051</v>
      </c>
      <c r="P11" s="8">
        <v>239.01789674033557</v>
      </c>
      <c r="Q11" s="8">
        <v>287.29636336758074</v>
      </c>
      <c r="R11" s="8">
        <v>162.16387020474536</v>
      </c>
      <c r="S11" s="8">
        <v>230.31820533668414</v>
      </c>
      <c r="T11" s="8">
        <v>272.98160433143613</v>
      </c>
      <c r="U11" s="8">
        <v>199.91259516593982</v>
      </c>
      <c r="V11" s="8">
        <v>265.6963282578165</v>
      </c>
      <c r="W11" s="8">
        <v>327.01899623032006</v>
      </c>
      <c r="X11" s="22"/>
      <c r="Y11"/>
      <c r="Z11" s="10">
        <f t="shared" si="0"/>
        <v>0.7670619836697411</v>
      </c>
      <c r="AA11"/>
      <c r="AB11" s="22"/>
    </row>
    <row r="12" spans="1:28" x14ac:dyDescent="0.25">
      <c r="A12" s="16"/>
      <c r="B12" s="3" t="s">
        <v>17</v>
      </c>
      <c r="C12" s="3" t="s">
        <v>26</v>
      </c>
      <c r="D12" s="11" t="s">
        <v>19</v>
      </c>
      <c r="E12" s="8">
        <v>1717.8080556936848</v>
      </c>
      <c r="F12" s="8">
        <v>2497.442565887618</v>
      </c>
      <c r="G12" s="8">
        <v>3000.0318249627053</v>
      </c>
      <c r="H12" s="8">
        <v>1672.120835405271</v>
      </c>
      <c r="I12" s="8">
        <v>2374.4356041770266</v>
      </c>
      <c r="J12" s="8">
        <v>2814.0716061660864</v>
      </c>
      <c r="K12" s="8">
        <v>1895.551964196917</v>
      </c>
      <c r="L12" s="8">
        <v>2509.3276976628545</v>
      </c>
      <c r="M12" s="8">
        <v>3106.0885131775235</v>
      </c>
      <c r="N12" s="22"/>
      <c r="O12" s="8">
        <v>159.58829181757704</v>
      </c>
      <c r="P12" s="8">
        <v>232.01811848621477</v>
      </c>
      <c r="Q12" s="8">
        <v>278.70980855939092</v>
      </c>
      <c r="R12" s="8">
        <v>155.34384470396924</v>
      </c>
      <c r="S12" s="8">
        <v>220.59049079754601</v>
      </c>
      <c r="T12" s="8">
        <v>261.43367950328923</v>
      </c>
      <c r="U12" s="8">
        <v>176.10110688151377</v>
      </c>
      <c r="V12" s="8">
        <v>233.12227437356788</v>
      </c>
      <c r="W12" s="8">
        <v>288.56271712617337</v>
      </c>
      <c r="X12" s="22"/>
      <c r="Y12"/>
      <c r="Z12" s="10">
        <f t="shared" si="0"/>
        <v>0.7462092394501354</v>
      </c>
      <c r="AA12"/>
      <c r="AB12" s="22"/>
    </row>
    <row r="13" spans="1:28" x14ac:dyDescent="0.25">
      <c r="A13" s="16"/>
      <c r="B13" s="3" t="s">
        <v>17</v>
      </c>
      <c r="C13" s="3" t="s">
        <v>27</v>
      </c>
      <c r="D13" s="11" t="s">
        <v>19</v>
      </c>
      <c r="E13" s="8">
        <v>1612.2665340626554</v>
      </c>
      <c r="F13" s="8">
        <v>2322.8329189457982</v>
      </c>
      <c r="G13" s="8">
        <v>2795.9229239184488</v>
      </c>
      <c r="H13" s="8">
        <v>1649.2710094480358</v>
      </c>
      <c r="I13" s="8">
        <v>2341.8428642466433</v>
      </c>
      <c r="J13" s="8">
        <v>2775.3809050223767</v>
      </c>
      <c r="K13" s="8">
        <v>1784.6752859273993</v>
      </c>
      <c r="L13" s="8">
        <v>2384.5977125808054</v>
      </c>
      <c r="M13" s="8">
        <v>2928.0397812033816</v>
      </c>
      <c r="N13" s="22"/>
      <c r="O13" s="8">
        <v>149.78324340306008</v>
      </c>
      <c r="P13" s="8">
        <v>215.79648347993199</v>
      </c>
      <c r="Q13" s="8">
        <v>259.74762547120997</v>
      </c>
      <c r="R13" s="8">
        <v>153.22104368393821</v>
      </c>
      <c r="S13" s="8">
        <v>217.56255081676397</v>
      </c>
      <c r="T13" s="8">
        <v>257.83922499815208</v>
      </c>
      <c r="U13" s="8">
        <v>165.80041022987655</v>
      </c>
      <c r="V13" s="8">
        <v>221.53457387833541</v>
      </c>
      <c r="W13" s="8">
        <v>272.02158326557765</v>
      </c>
      <c r="X13" s="22"/>
      <c r="Y13"/>
      <c r="Z13" s="10">
        <f t="shared" si="0"/>
        <v>0.70036240672300798</v>
      </c>
      <c r="AA13"/>
      <c r="AB13" s="22"/>
    </row>
    <row r="14" spans="1:28" x14ac:dyDescent="0.25">
      <c r="A14" s="16"/>
      <c r="B14" s="3" t="s">
        <v>17</v>
      </c>
      <c r="C14" s="3" t="s">
        <v>28</v>
      </c>
      <c r="D14" s="11" t="s">
        <v>19</v>
      </c>
      <c r="E14" s="8">
        <v>1701.2466434609646</v>
      </c>
      <c r="F14" s="8">
        <v>2518.8100447538536</v>
      </c>
      <c r="G14" s="8">
        <v>3020.0353058180008</v>
      </c>
      <c r="H14" s="8">
        <v>1412.245151665838</v>
      </c>
      <c r="I14" s="8">
        <v>2014.3615116857286</v>
      </c>
      <c r="J14" s="8">
        <v>2391.2754848334162</v>
      </c>
      <c r="K14" s="8">
        <v>1877.2511188463452</v>
      </c>
      <c r="L14" s="8">
        <v>2485.0228741919441</v>
      </c>
      <c r="M14" s="8">
        <v>3075.9457981103928</v>
      </c>
      <c r="N14" s="22"/>
      <c r="O14" s="8">
        <v>158.04969879518072</v>
      </c>
      <c r="P14" s="8">
        <v>234.00320607583708</v>
      </c>
      <c r="Q14" s="8">
        <v>280.56817761844923</v>
      </c>
      <c r="R14" s="8">
        <v>131.20080013304752</v>
      </c>
      <c r="S14" s="8">
        <v>187.13878520215832</v>
      </c>
      <c r="T14" s="8">
        <v>222.15495417251827</v>
      </c>
      <c r="U14" s="8">
        <v>174.4009165496341</v>
      </c>
      <c r="V14" s="8">
        <v>230.86430076132751</v>
      </c>
      <c r="W14" s="8">
        <v>285.76239005100155</v>
      </c>
      <c r="X14" s="22"/>
      <c r="Y14"/>
      <c r="Z14" s="10">
        <f t="shared" si="0"/>
        <v>0.73901502541356923</v>
      </c>
      <c r="AA14"/>
      <c r="AB14" s="22"/>
    </row>
    <row r="15" spans="1:28" x14ac:dyDescent="0.25">
      <c r="A15" s="16"/>
      <c r="B15" s="3" t="s">
        <v>17</v>
      </c>
      <c r="C15" s="3" t="s">
        <v>29</v>
      </c>
      <c r="D15" s="11" t="s">
        <v>19</v>
      </c>
      <c r="E15" s="8">
        <v>1620.2794629537543</v>
      </c>
      <c r="F15" s="8">
        <v>2355</v>
      </c>
      <c r="G15" s="8">
        <v>2828.6364992541025</v>
      </c>
      <c r="H15" s="8">
        <v>1577.2247637991049</v>
      </c>
      <c r="I15" s="8">
        <v>2239.0795624067628</v>
      </c>
      <c r="J15" s="8">
        <v>2653.3893585280953</v>
      </c>
      <c r="K15" s="8">
        <v>1787.7836897066136</v>
      </c>
      <c r="L15" s="8">
        <v>2366.2003978120338</v>
      </c>
      <c r="M15" s="8">
        <v>2928.5832918945798</v>
      </c>
      <c r="N15" s="22"/>
      <c r="O15" s="8">
        <v>150.527662798433</v>
      </c>
      <c r="P15" s="8">
        <v>218.78487877891934</v>
      </c>
      <c r="Q15" s="8">
        <v>262.78679133712762</v>
      </c>
      <c r="R15" s="8">
        <v>146.52778291078423</v>
      </c>
      <c r="S15" s="8">
        <v>208.01560536625027</v>
      </c>
      <c r="T15" s="8">
        <v>246.50593170226918</v>
      </c>
      <c r="U15" s="8">
        <v>166.08918804050558</v>
      </c>
      <c r="V15" s="8">
        <v>219.82542131717051</v>
      </c>
      <c r="W15" s="8">
        <v>272.07207665015892</v>
      </c>
      <c r="X15" s="22"/>
      <c r="Y15"/>
      <c r="Z15" s="10">
        <f t="shared" si="0"/>
        <v>0.70384319234033965</v>
      </c>
      <c r="AA15"/>
      <c r="AB15" s="22"/>
    </row>
    <row r="16" spans="1:28" x14ac:dyDescent="0.25">
      <c r="A16" s="16"/>
      <c r="B16" s="3" t="s">
        <v>17</v>
      </c>
      <c r="C16" s="3" t="s">
        <v>30</v>
      </c>
      <c r="D16" s="11" t="s">
        <v>19</v>
      </c>
      <c r="E16" s="8">
        <v>1730.6892093485828</v>
      </c>
      <c r="F16" s="8">
        <v>2516.2555942317254</v>
      </c>
      <c r="G16" s="8">
        <v>3022.66882148185</v>
      </c>
      <c r="H16" s="8">
        <v>1684.654400795624</v>
      </c>
      <c r="I16" s="8">
        <v>2392.3127797115862</v>
      </c>
      <c r="J16" s="8">
        <v>2835.2938836399803</v>
      </c>
      <c r="K16" s="8">
        <v>1909.7851815017405</v>
      </c>
      <c r="L16" s="8">
        <v>2528.2312282446542</v>
      </c>
      <c r="M16" s="8">
        <v>3129.5325708602686</v>
      </c>
      <c r="N16" s="22"/>
      <c r="O16" s="8">
        <v>160.78498041244731</v>
      </c>
      <c r="P16" s="8">
        <v>233.76589178801092</v>
      </c>
      <c r="Q16" s="8">
        <v>280.81283723852465</v>
      </c>
      <c r="R16" s="8">
        <v>156.50824155517776</v>
      </c>
      <c r="S16" s="8">
        <v>222.25132123586368</v>
      </c>
      <c r="T16" s="8">
        <v>263.40527755192545</v>
      </c>
      <c r="U16" s="8">
        <v>177.42340527755192</v>
      </c>
      <c r="V16" s="8">
        <v>234.8784555399512</v>
      </c>
      <c r="W16" s="8">
        <v>290.74072363071917</v>
      </c>
      <c r="X16" s="22"/>
      <c r="Y16"/>
      <c r="Z16" s="10">
        <f t="shared" si="0"/>
        <v>0.75180476325746803</v>
      </c>
      <c r="AA16"/>
      <c r="AB16" s="22"/>
    </row>
    <row r="17" spans="1:28" x14ac:dyDescent="0.25">
      <c r="A17" s="16"/>
      <c r="B17" s="3" t="s">
        <v>17</v>
      </c>
      <c r="C17" s="3" t="s">
        <v>32</v>
      </c>
      <c r="D17" s="11" t="s">
        <v>19</v>
      </c>
      <c r="E17" s="8">
        <v>1817.1770263550472</v>
      </c>
      <c r="F17" s="8">
        <v>2642.5723520636498</v>
      </c>
      <c r="G17" s="8">
        <v>3174.6613625062159</v>
      </c>
      <c r="H17" s="8">
        <v>1768.8080556936848</v>
      </c>
      <c r="I17" s="8">
        <v>2512.345599204376</v>
      </c>
      <c r="J17" s="8">
        <v>2977.7861760318251</v>
      </c>
      <c r="K17" s="8">
        <v>2005.3530581800098</v>
      </c>
      <c r="L17" s="8">
        <v>2655.1551466931874</v>
      </c>
      <c r="M17" s="8">
        <v>3286.9428145201391</v>
      </c>
      <c r="N17" s="22"/>
      <c r="O17" s="8">
        <v>168.81989614901323</v>
      </c>
      <c r="P17" s="8">
        <v>245.50100709586812</v>
      </c>
      <c r="Q17" s="8">
        <v>294.93329144800055</v>
      </c>
      <c r="R17" s="8">
        <v>164.3263083006874</v>
      </c>
      <c r="S17" s="8">
        <v>233.40264431960972</v>
      </c>
      <c r="T17" s="8">
        <v>276.64313696503802</v>
      </c>
      <c r="U17" s="8">
        <v>186.3018792963264</v>
      </c>
      <c r="V17" s="8">
        <v>246.66997745583561</v>
      </c>
      <c r="W17" s="8">
        <v>305.3644947889718</v>
      </c>
      <c r="X17" s="22"/>
      <c r="Y17"/>
      <c r="Z17" s="10">
        <f t="shared" si="0"/>
        <v>0.78937473967956295</v>
      </c>
      <c r="AA17"/>
      <c r="AB17" s="22"/>
    </row>
    <row r="18" spans="1:28" x14ac:dyDescent="0.25">
      <c r="A18" s="16"/>
      <c r="B18" s="3" t="s">
        <v>17</v>
      </c>
      <c r="C18" s="3" t="s">
        <v>33</v>
      </c>
      <c r="D18" s="11" t="s">
        <v>19</v>
      </c>
      <c r="E18" s="8">
        <v>1609.2391844853307</v>
      </c>
      <c r="F18" s="8">
        <v>2338.8751864743908</v>
      </c>
      <c r="G18" s="8">
        <v>2809.2327200397813</v>
      </c>
      <c r="H18" s="8">
        <v>1566.4818498259572</v>
      </c>
      <c r="I18" s="8">
        <v>2223.7563401292891</v>
      </c>
      <c r="J18" s="8">
        <v>2635.1989060169071</v>
      </c>
      <c r="K18" s="8">
        <v>1775.583789159622</v>
      </c>
      <c r="L18" s="8">
        <v>2349.9975136747885</v>
      </c>
      <c r="M18" s="8">
        <v>2908.4883142715066</v>
      </c>
      <c r="N18" s="22"/>
      <c r="O18" s="8">
        <v>149.50199571291299</v>
      </c>
      <c r="P18" s="8">
        <v>217.28684677359743</v>
      </c>
      <c r="Q18" s="8">
        <v>260.98413593022394</v>
      </c>
      <c r="R18" s="8">
        <v>145.52974166605068</v>
      </c>
      <c r="S18" s="8">
        <v>206.59204301870056</v>
      </c>
      <c r="T18" s="8">
        <v>244.81599711730357</v>
      </c>
      <c r="U18" s="8">
        <v>164.95578941533003</v>
      </c>
      <c r="V18" s="8">
        <v>218.32013637371571</v>
      </c>
      <c r="W18" s="8">
        <v>270.20520733239704</v>
      </c>
      <c r="X18" s="22"/>
      <c r="Y18"/>
      <c r="Z18" s="10">
        <f t="shared" si="0"/>
        <v>0.69904733766266824</v>
      </c>
      <c r="AA18"/>
      <c r="AB18" s="22"/>
    </row>
    <row r="19" spans="1:28" x14ac:dyDescent="0.25">
      <c r="A19" s="16"/>
      <c r="B19" s="3" t="s">
        <v>17</v>
      </c>
      <c r="C19" s="3" t="s">
        <v>34</v>
      </c>
      <c r="D19" s="11" t="s">
        <v>19</v>
      </c>
      <c r="E19" s="8">
        <v>1710.4475385380408</v>
      </c>
      <c r="F19" s="8">
        <v>2486.6921929388363</v>
      </c>
      <c r="G19" s="8">
        <v>2987.0964694181998</v>
      </c>
      <c r="H19" s="8">
        <v>1664.959224266534</v>
      </c>
      <c r="I19" s="8">
        <v>2364.2202884137246</v>
      </c>
      <c r="J19" s="8">
        <v>2801.9448035803084</v>
      </c>
      <c r="K19" s="8">
        <v>1887.4181999005471</v>
      </c>
      <c r="L19" s="8">
        <v>2498.5256091496767</v>
      </c>
      <c r="M19" s="8">
        <v>3092.6921929388363</v>
      </c>
      <c r="N19" s="22"/>
      <c r="O19" s="8">
        <v>158.90448296252492</v>
      </c>
      <c r="P19" s="8">
        <v>231.01938428560868</v>
      </c>
      <c r="Q19" s="8">
        <v>277.50808448517995</v>
      </c>
      <c r="R19" s="8">
        <v>154.67851467218566</v>
      </c>
      <c r="S19" s="8">
        <v>219.64146463153224</v>
      </c>
      <c r="T19" s="8">
        <v>260.30707184566484</v>
      </c>
      <c r="U19" s="8">
        <v>175.34546160100524</v>
      </c>
      <c r="V19" s="8">
        <v>232.11873567891195</v>
      </c>
      <c r="W19" s="8">
        <v>287.31816837903762</v>
      </c>
      <c r="X19" s="22"/>
      <c r="Y19"/>
      <c r="Z19" s="10">
        <f t="shared" si="0"/>
        <v>0.74301185899166811</v>
      </c>
      <c r="AA19"/>
      <c r="AB19" s="22"/>
    </row>
    <row r="20" spans="1:28" x14ac:dyDescent="0.25">
      <c r="A20" s="16"/>
      <c r="B20" s="3" t="s">
        <v>17</v>
      </c>
      <c r="C20" s="3" t="s">
        <v>35</v>
      </c>
      <c r="D20" s="11" t="s">
        <v>19</v>
      </c>
      <c r="E20" s="8">
        <v>1796.9353555445052</v>
      </c>
      <c r="F20" s="8">
        <v>2613.0084535057185</v>
      </c>
      <c r="G20" s="8">
        <v>3139.0890104425657</v>
      </c>
      <c r="H20" s="8">
        <v>1749.1123818995525</v>
      </c>
      <c r="I20" s="8">
        <v>2484.2521133764299</v>
      </c>
      <c r="J20" s="8">
        <v>2944.436598707111</v>
      </c>
      <c r="K20" s="8">
        <v>1982.9860765788164</v>
      </c>
      <c r="L20" s="8">
        <v>2625.4495275982099</v>
      </c>
      <c r="M20" s="8">
        <v>3250.1024365987073</v>
      </c>
      <c r="N20" s="22"/>
      <c r="O20" s="8">
        <v>166.93939869909084</v>
      </c>
      <c r="P20" s="8">
        <v>242.75445339640771</v>
      </c>
      <c r="Q20" s="8">
        <v>291.6285386946559</v>
      </c>
      <c r="R20" s="8">
        <v>162.49653522063713</v>
      </c>
      <c r="S20" s="8">
        <v>230.79269532116194</v>
      </c>
      <c r="T20" s="8">
        <v>273.54488506171924</v>
      </c>
      <c r="U20" s="8">
        <v>184.22393561977972</v>
      </c>
      <c r="V20" s="8">
        <v>243.91025759479635</v>
      </c>
      <c r="W20" s="8">
        <v>301.94193953729024</v>
      </c>
      <c r="X20" s="22"/>
      <c r="Y20"/>
      <c r="Z20" s="10">
        <f t="shared" si="0"/>
        <v>0.78058183541376303</v>
      </c>
      <c r="AA20"/>
      <c r="AB20" s="22"/>
    </row>
    <row r="21" spans="1:28" x14ac:dyDescent="0.25">
      <c r="A21" s="16"/>
      <c r="B21" s="3" t="s">
        <v>17</v>
      </c>
      <c r="C21" s="3" t="s">
        <v>36</v>
      </c>
      <c r="D21" s="11" t="s">
        <v>19</v>
      </c>
      <c r="E21" s="8">
        <v>2120.80258577822</v>
      </c>
      <c r="F21" s="8">
        <v>3086.0233714569868</v>
      </c>
      <c r="G21" s="8">
        <v>3708.2516161113872</v>
      </c>
      <c r="H21" s="8">
        <v>2064.2401790154154</v>
      </c>
      <c r="I21" s="8">
        <v>2933.7354549975139</v>
      </c>
      <c r="J21" s="8">
        <v>3478.0248632521134</v>
      </c>
      <c r="K21" s="8">
        <v>2340.8572849328693</v>
      </c>
      <c r="L21" s="8">
        <v>3100.737941322725</v>
      </c>
      <c r="M21" s="8">
        <v>3839.5539532570861</v>
      </c>
      <c r="N21" s="22"/>
      <c r="O21" s="8">
        <v>197.02740409490721</v>
      </c>
      <c r="P21" s="8">
        <v>286.69861963190181</v>
      </c>
      <c r="Q21" s="8">
        <v>344.50504471875229</v>
      </c>
      <c r="R21" s="8">
        <v>191.77262731909229</v>
      </c>
      <c r="S21" s="8">
        <v>272.55072436987211</v>
      </c>
      <c r="T21" s="8">
        <v>323.11645354423825</v>
      </c>
      <c r="U21" s="8">
        <v>217.4709882474684</v>
      </c>
      <c r="V21" s="8">
        <v>288.0656367802498</v>
      </c>
      <c r="W21" s="8">
        <v>356.70333173183531</v>
      </c>
      <c r="X21" s="22"/>
      <c r="Y21"/>
      <c r="Z21" s="10">
        <f t="shared" si="0"/>
        <v>0.92126851967659218</v>
      </c>
      <c r="AA21"/>
      <c r="AB21" s="22"/>
    </row>
    <row r="22" spans="1:28" x14ac:dyDescent="0.25">
      <c r="A22" s="16"/>
      <c r="B22" s="3" t="s">
        <v>17</v>
      </c>
      <c r="C22" s="3" t="s">
        <v>37</v>
      </c>
      <c r="D22" s="11" t="s">
        <v>19</v>
      </c>
      <c r="E22" s="8">
        <v>1660.7633018398806</v>
      </c>
      <c r="F22" s="8">
        <v>2414.126802585778</v>
      </c>
      <c r="G22" s="8">
        <v>2899.7817006464447</v>
      </c>
      <c r="H22" s="8">
        <v>1616.6156141223271</v>
      </c>
      <c r="I22" s="8">
        <v>2295.2645450024861</v>
      </c>
      <c r="J22" s="8">
        <v>2720.0875186474391</v>
      </c>
      <c r="K22" s="8">
        <v>1832.5176529090004</v>
      </c>
      <c r="L22" s="8">
        <v>2425.6121332670314</v>
      </c>
      <c r="M22" s="8">
        <v>3002.2645450024861</v>
      </c>
      <c r="N22" s="22"/>
      <c r="O22" s="8">
        <v>154.28870389533594</v>
      </c>
      <c r="P22" s="8">
        <v>224.27789378372384</v>
      </c>
      <c r="Q22" s="8">
        <v>269.39634304087514</v>
      </c>
      <c r="R22" s="8">
        <v>150.18728287382658</v>
      </c>
      <c r="S22" s="8">
        <v>213.23531857491312</v>
      </c>
      <c r="T22" s="8">
        <v>252.70234311479044</v>
      </c>
      <c r="U22" s="8">
        <v>170.24507539359894</v>
      </c>
      <c r="V22" s="8">
        <v>225.34490723630717</v>
      </c>
      <c r="W22" s="8">
        <v>278.9172333505802</v>
      </c>
      <c r="X22" s="22"/>
      <c r="Y22"/>
      <c r="Z22" s="10">
        <f t="shared" si="0"/>
        <v>0.72142921688196926</v>
      </c>
      <c r="AA22"/>
      <c r="AB22" s="22"/>
    </row>
    <row r="23" spans="1:28" x14ac:dyDescent="0.25">
      <c r="A23" s="16"/>
      <c r="B23" s="3" t="s">
        <v>17</v>
      </c>
      <c r="C23" s="3" t="s">
        <v>38</v>
      </c>
      <c r="D23" s="11" t="s">
        <v>19</v>
      </c>
      <c r="E23" s="8">
        <v>1951.5077076081552</v>
      </c>
      <c r="F23" s="8">
        <v>2838.7657881650921</v>
      </c>
      <c r="G23" s="8">
        <v>3410.7349577324712</v>
      </c>
      <c r="H23" s="8">
        <v>1899.5141720537047</v>
      </c>
      <c r="I23" s="8">
        <v>2698.7782197911488</v>
      </c>
      <c r="J23" s="8">
        <v>3199.1034311287917</v>
      </c>
      <c r="K23" s="8">
        <v>2153.788165091994</v>
      </c>
      <c r="L23" s="8">
        <v>2852.291894579811</v>
      </c>
      <c r="M23" s="8">
        <v>3531.4316260566884</v>
      </c>
      <c r="N23" s="22"/>
      <c r="O23" s="8">
        <v>181.29952324635966</v>
      </c>
      <c r="P23" s="8">
        <v>263.72782541207772</v>
      </c>
      <c r="Q23" s="8">
        <v>316.86506763249315</v>
      </c>
      <c r="R23" s="8">
        <v>176.46920504102297</v>
      </c>
      <c r="S23" s="8">
        <v>250.72266058097418</v>
      </c>
      <c r="T23" s="8">
        <v>297.20401544829622</v>
      </c>
      <c r="U23" s="8">
        <v>200.09183975164461</v>
      </c>
      <c r="V23" s="8">
        <v>264.98443159139623</v>
      </c>
      <c r="W23" s="8">
        <v>328.07806378889791</v>
      </c>
      <c r="X23" s="22"/>
      <c r="Y23"/>
      <c r="Z23" s="10">
        <f t="shared" si="0"/>
        <v>0.84772747307166585</v>
      </c>
      <c r="AA23"/>
      <c r="AB23" s="22"/>
    </row>
    <row r="24" spans="1:28" x14ac:dyDescent="0.25">
      <c r="A24" s="16"/>
      <c r="B24" s="3" t="s">
        <v>17</v>
      </c>
      <c r="C24" s="3" t="s">
        <v>39</v>
      </c>
      <c r="D24" s="11" t="s">
        <v>19</v>
      </c>
      <c r="E24" s="8">
        <v>1655.2431626056689</v>
      </c>
      <c r="F24" s="8">
        <v>2406.0641471904523</v>
      </c>
      <c r="G24" s="8">
        <v>2890.0805569368472</v>
      </c>
      <c r="H24" s="8">
        <v>1611.2446544007955</v>
      </c>
      <c r="I24" s="8">
        <v>2287.6031824962706</v>
      </c>
      <c r="J24" s="8">
        <v>2710.9925410243659</v>
      </c>
      <c r="K24" s="8">
        <v>1826.4177026355046</v>
      </c>
      <c r="L24" s="8">
        <v>2417.5106911984089</v>
      </c>
      <c r="M24" s="8">
        <v>2992.2173048234708</v>
      </c>
      <c r="N24" s="22"/>
      <c r="O24" s="8">
        <v>153.77587035257594</v>
      </c>
      <c r="P24" s="8">
        <v>223.52885468253379</v>
      </c>
      <c r="Q24" s="8">
        <v>268.49508463301055</v>
      </c>
      <c r="R24" s="8">
        <v>149.688308448518</v>
      </c>
      <c r="S24" s="8">
        <v>212.52356049966735</v>
      </c>
      <c r="T24" s="8">
        <v>251.85739892083672</v>
      </c>
      <c r="U24" s="8">
        <v>169.67837608101115</v>
      </c>
      <c r="V24" s="8">
        <v>224.59226476457977</v>
      </c>
      <c r="W24" s="8">
        <v>277.98382179022838</v>
      </c>
      <c r="X24" s="22"/>
      <c r="Y24"/>
      <c r="Z24" s="10">
        <f t="shared" si="0"/>
        <v>0.71903128954313345</v>
      </c>
      <c r="AA24"/>
      <c r="AB24" s="22"/>
    </row>
    <row r="25" spans="1:28" x14ac:dyDescent="0.25">
      <c r="A25" s="16"/>
      <c r="B25" s="3" t="s">
        <v>17</v>
      </c>
      <c r="C25" s="3" t="s">
        <v>40</v>
      </c>
      <c r="D25" s="11" t="s">
        <v>19</v>
      </c>
      <c r="E25" s="8">
        <v>2302.0460815514671</v>
      </c>
      <c r="F25" s="8">
        <v>3357.5815067130779</v>
      </c>
      <c r="G25" s="8">
        <v>4037.3143560417702</v>
      </c>
      <c r="H25" s="8">
        <v>2275.5186474390848</v>
      </c>
      <c r="I25" s="8">
        <v>3235.0939830929888</v>
      </c>
      <c r="J25" s="8">
        <v>3835.7707608155147</v>
      </c>
      <c r="K25" s="8">
        <v>2619.6762804574837</v>
      </c>
      <c r="L25" s="8">
        <v>3646.4286424664347</v>
      </c>
      <c r="M25" s="8">
        <v>4441.1790154152159</v>
      </c>
      <c r="N25" s="22"/>
      <c r="O25" s="8">
        <v>213.86533880922462</v>
      </c>
      <c r="P25" s="8">
        <v>311.92699063123661</v>
      </c>
      <c r="Q25" s="8">
        <v>375.07572483184271</v>
      </c>
      <c r="R25" s="8">
        <v>211.40087959198758</v>
      </c>
      <c r="S25" s="8">
        <v>300.54761992756301</v>
      </c>
      <c r="T25" s="8">
        <v>356.3518645132678</v>
      </c>
      <c r="U25" s="8">
        <v>243.37390974942713</v>
      </c>
      <c r="V25" s="8">
        <v>338.76154926454279</v>
      </c>
      <c r="W25" s="8">
        <v>412.5956741074728</v>
      </c>
      <c r="X25" s="22"/>
      <c r="Y25"/>
      <c r="Z25" s="10">
        <f t="shared" si="0"/>
        <v>1</v>
      </c>
      <c r="AA25"/>
      <c r="AB25" s="22"/>
    </row>
    <row r="26" spans="1:28" x14ac:dyDescent="0.25">
      <c r="A26" s="16"/>
      <c r="B26" s="3" t="s">
        <v>17</v>
      </c>
      <c r="C26" s="3" t="s">
        <v>41</v>
      </c>
      <c r="D26" s="11" t="s">
        <v>19</v>
      </c>
      <c r="E26" s="8">
        <v>2130.0034808552959</v>
      </c>
      <c r="F26" s="8">
        <v>3099.4619592242666</v>
      </c>
      <c r="G26" s="8">
        <v>3724.4206862257583</v>
      </c>
      <c r="H26" s="8">
        <v>2073.1924415713574</v>
      </c>
      <c r="I26" s="8">
        <v>2946.5052212829437</v>
      </c>
      <c r="J26" s="8">
        <v>3493.1829935355545</v>
      </c>
      <c r="K26" s="8">
        <v>2351.023868722029</v>
      </c>
      <c r="L26" s="8">
        <v>3114.2406762804576</v>
      </c>
      <c r="M26" s="8">
        <v>3856.2998508204873</v>
      </c>
      <c r="N26" s="22"/>
      <c r="O26" s="8">
        <v>197.88218826225145</v>
      </c>
      <c r="P26" s="8">
        <v>287.94709512898214</v>
      </c>
      <c r="Q26" s="8">
        <v>346.00718826225142</v>
      </c>
      <c r="R26" s="8">
        <v>192.60431295735086</v>
      </c>
      <c r="S26" s="8">
        <v>273.73706482371199</v>
      </c>
      <c r="T26" s="8">
        <v>324.52467846847509</v>
      </c>
      <c r="U26" s="8">
        <v>218.41548710178134</v>
      </c>
      <c r="V26" s="8">
        <v>289.32007169783424</v>
      </c>
      <c r="W26" s="8">
        <v>358.25906386281321</v>
      </c>
      <c r="X26" s="22"/>
      <c r="Y26"/>
      <c r="Z26" s="10">
        <f t="shared" si="0"/>
        <v>0.92526535325469117</v>
      </c>
      <c r="AA26"/>
      <c r="AB26" s="22"/>
    </row>
    <row r="27" spans="1:28" x14ac:dyDescent="0.25">
      <c r="A27" s="16"/>
      <c r="B27" s="3" t="s">
        <v>17</v>
      </c>
      <c r="C27" s="3" t="s">
        <v>42</v>
      </c>
      <c r="D27" s="11" t="s">
        <v>19</v>
      </c>
      <c r="E27" s="8">
        <v>2210.970164097464</v>
      </c>
      <c r="F27" s="8">
        <v>3217.7155643958231</v>
      </c>
      <c r="G27" s="8">
        <v>3866.7115862754849</v>
      </c>
      <c r="H27" s="8">
        <v>2151.9741422178022</v>
      </c>
      <c r="I27" s="8">
        <v>3058.8766782695175</v>
      </c>
      <c r="J27" s="8">
        <v>3626.5798110392839</v>
      </c>
      <c r="K27" s="8">
        <v>2440.4912978617604</v>
      </c>
      <c r="L27" s="8">
        <v>3233.0626553953257</v>
      </c>
      <c r="M27" s="8">
        <v>4003.6623570363004</v>
      </c>
      <c r="N27" s="22"/>
      <c r="O27" s="8">
        <v>205.404178061941</v>
      </c>
      <c r="P27" s="8">
        <v>298.93312513859115</v>
      </c>
      <c r="Q27" s="8">
        <v>359.22633786680461</v>
      </c>
      <c r="R27" s="8">
        <v>199.92331288343556</v>
      </c>
      <c r="S27" s="8">
        <v>284.17662983221226</v>
      </c>
      <c r="T27" s="8">
        <v>336.91754749057577</v>
      </c>
      <c r="U27" s="8">
        <v>226.72721561090989</v>
      </c>
      <c r="V27" s="8">
        <v>300.3589049449331</v>
      </c>
      <c r="W27" s="8">
        <v>371.94937726365583</v>
      </c>
      <c r="X27" s="22"/>
      <c r="Y27"/>
      <c r="Z27" s="10">
        <f t="shared" si="0"/>
        <v>0.9604369703178911</v>
      </c>
      <c r="AA27"/>
      <c r="AB27" s="22"/>
    </row>
    <row r="28" spans="1:28" x14ac:dyDescent="0.25">
      <c r="A28" s="16"/>
      <c r="B28" s="3" t="s">
        <v>17</v>
      </c>
      <c r="C28" s="3" t="s">
        <v>43</v>
      </c>
      <c r="D28" s="11" t="s">
        <v>19</v>
      </c>
      <c r="E28" s="8">
        <v>1662.6031824962706</v>
      </c>
      <c r="F28" s="8">
        <v>2416.8150174042767</v>
      </c>
      <c r="G28" s="8">
        <v>2903.0154152163104</v>
      </c>
      <c r="H28" s="8">
        <v>1618.4067628045748</v>
      </c>
      <c r="I28" s="8">
        <v>2297.8189955246148</v>
      </c>
      <c r="J28" s="8">
        <v>2723.1188463451022</v>
      </c>
      <c r="K28" s="8">
        <v>1834.5504724017901</v>
      </c>
      <c r="L28" s="8">
        <v>2428.3127797115862</v>
      </c>
      <c r="M28" s="8">
        <v>3005.613625062158</v>
      </c>
      <c r="N28" s="22"/>
      <c r="O28" s="8">
        <v>154.45963301056989</v>
      </c>
      <c r="P28" s="8">
        <v>224.52763508019808</v>
      </c>
      <c r="Q28" s="8">
        <v>269.69676251016335</v>
      </c>
      <c r="R28" s="8">
        <v>150.35368467735972</v>
      </c>
      <c r="S28" s="8">
        <v>213.47263286273929</v>
      </c>
      <c r="T28" s="8">
        <v>252.98396038140291</v>
      </c>
      <c r="U28" s="8">
        <v>170.43392896740335</v>
      </c>
      <c r="V28" s="8">
        <v>225.5958034592357</v>
      </c>
      <c r="W28" s="8">
        <v>279.22837053736419</v>
      </c>
      <c r="X28" s="22"/>
      <c r="Y28"/>
      <c r="Z28" s="10">
        <f t="shared" si="0"/>
        <v>0.72222845399157132</v>
      </c>
      <c r="AA28"/>
      <c r="AB28" s="22"/>
    </row>
    <row r="29" spans="1:28" x14ac:dyDescent="0.25">
      <c r="A29" s="16"/>
      <c r="B29" s="3" t="s">
        <v>17</v>
      </c>
      <c r="C29" s="3" t="s">
        <v>44</v>
      </c>
      <c r="D29" s="11" t="s">
        <v>19</v>
      </c>
      <c r="E29" s="8">
        <v>1653.4931277971157</v>
      </c>
      <c r="F29" s="8">
        <v>2408.4060517155644</v>
      </c>
      <c r="G29" s="8">
        <v>2894.548189955246</v>
      </c>
      <c r="H29" s="8">
        <v>1634.5206364992541</v>
      </c>
      <c r="I29" s="8">
        <v>2320.8040775733466</v>
      </c>
      <c r="J29" s="8">
        <v>2750.4047737444057</v>
      </c>
      <c r="K29" s="8">
        <v>1887.7409249129787</v>
      </c>
      <c r="L29" s="8">
        <v>2622.0696171059176</v>
      </c>
      <c r="M29" s="8">
        <v>3190.4704127299851</v>
      </c>
      <c r="N29" s="22"/>
      <c r="O29" s="8">
        <v>153.61328812181239</v>
      </c>
      <c r="P29" s="8">
        <v>223.74642296178578</v>
      </c>
      <c r="Q29" s="8">
        <v>268.91013794441568</v>
      </c>
      <c r="R29" s="8">
        <v>151.85070034740187</v>
      </c>
      <c r="S29" s="8">
        <v>215.60799948259293</v>
      </c>
      <c r="T29" s="8">
        <v>255.51888535738041</v>
      </c>
      <c r="U29" s="8">
        <v>175.37544349175843</v>
      </c>
      <c r="V29" s="8">
        <v>243.59625619040577</v>
      </c>
      <c r="W29" s="8">
        <v>296.40198832138367</v>
      </c>
      <c r="X29" s="22"/>
      <c r="Y29"/>
      <c r="Z29" s="10">
        <f t="shared" si="0"/>
        <v>0.71827108112568361</v>
      </c>
      <c r="AA29"/>
      <c r="AB29" s="22"/>
    </row>
    <row r="30" spans="1:28" x14ac:dyDescent="0.25">
      <c r="A30" s="16"/>
      <c r="B30" s="3" t="s">
        <v>17</v>
      </c>
      <c r="C30" s="3" t="s">
        <v>45</v>
      </c>
      <c r="D30" s="11" t="s">
        <v>19</v>
      </c>
      <c r="E30" s="8">
        <v>2086.4658677274988</v>
      </c>
      <c r="F30" s="8">
        <v>3042.0734510193934</v>
      </c>
      <c r="G30" s="8">
        <v>3657.4563053207357</v>
      </c>
      <c r="H30" s="8">
        <v>2062.4500248632521</v>
      </c>
      <c r="I30" s="8">
        <v>2931.1819990054701</v>
      </c>
      <c r="J30" s="8">
        <v>3474.9930382894081</v>
      </c>
      <c r="K30" s="8">
        <v>2376.3794132272501</v>
      </c>
      <c r="L30" s="8">
        <v>3305.929388363998</v>
      </c>
      <c r="M30" s="8">
        <v>4025.4410740924914</v>
      </c>
      <c r="N30" s="22"/>
      <c r="O30" s="8">
        <v>193.8374445635302</v>
      </c>
      <c r="P30" s="8">
        <v>282.61557164239781</v>
      </c>
      <c r="Q30" s="8">
        <v>339.786044330697</v>
      </c>
      <c r="R30" s="8">
        <v>191.60631790967551</v>
      </c>
      <c r="S30" s="8">
        <v>272.31350247616228</v>
      </c>
      <c r="T30" s="8">
        <v>322.83479008056764</v>
      </c>
      <c r="U30" s="8">
        <v>220.77107509793774</v>
      </c>
      <c r="V30" s="8">
        <v>307.12839086406973</v>
      </c>
      <c r="W30" s="8">
        <v>373.97266982038582</v>
      </c>
      <c r="X30" s="22"/>
      <c r="Y30"/>
      <c r="Z30" s="10">
        <f t="shared" si="0"/>
        <v>0.9063527808797478</v>
      </c>
      <c r="AA30"/>
      <c r="AB30" s="22"/>
    </row>
    <row r="31" spans="1:28" x14ac:dyDescent="0.25">
      <c r="A31" s="16"/>
      <c r="B31" s="3" t="s">
        <v>17</v>
      </c>
      <c r="C31" s="3" t="s">
        <v>46</v>
      </c>
      <c r="D31" s="11" t="s">
        <v>19</v>
      </c>
      <c r="E31" s="8">
        <v>1703.0870213823969</v>
      </c>
      <c r="F31" s="8">
        <v>2475.9413227250125</v>
      </c>
      <c r="G31" s="8">
        <v>2974.1611138736948</v>
      </c>
      <c r="H31" s="8">
        <v>1657.7971158627549</v>
      </c>
      <c r="I31" s="8">
        <v>2354.0044753853804</v>
      </c>
      <c r="J31" s="8">
        <v>2789.8180009945299</v>
      </c>
      <c r="K31" s="8">
        <v>1879.2849328692193</v>
      </c>
      <c r="L31" s="8">
        <v>2487.7235206364994</v>
      </c>
      <c r="M31" s="8">
        <v>3079.2948781700647</v>
      </c>
      <c r="N31" s="22"/>
      <c r="O31" s="8">
        <v>158.22067410747283</v>
      </c>
      <c r="P31" s="8">
        <v>230.02060388794439</v>
      </c>
      <c r="Q31" s="8">
        <v>276.30636041096903</v>
      </c>
      <c r="R31" s="8">
        <v>154.01313844334391</v>
      </c>
      <c r="S31" s="8">
        <v>218.69239226846034</v>
      </c>
      <c r="T31" s="8">
        <v>259.1804641880405</v>
      </c>
      <c r="U31" s="8">
        <v>174.58986251755488</v>
      </c>
      <c r="V31" s="8">
        <v>231.11519698425602</v>
      </c>
      <c r="W31" s="8">
        <v>286.07352723778547</v>
      </c>
      <c r="X31" s="22"/>
      <c r="Y31"/>
      <c r="Z31" s="10">
        <f t="shared" si="0"/>
        <v>0.73981447853320081</v>
      </c>
      <c r="AA31"/>
      <c r="AB31" s="22"/>
    </row>
    <row r="32" spans="1:28" x14ac:dyDescent="0.25">
      <c r="A32" s="16"/>
      <c r="B32" s="3" t="s">
        <v>17</v>
      </c>
      <c r="C32" s="3" t="s">
        <v>47</v>
      </c>
      <c r="D32" s="11" t="s">
        <v>19</v>
      </c>
      <c r="E32" s="8">
        <v>1791.1745748383889</v>
      </c>
      <c r="F32" s="8">
        <v>2609.9072998508204</v>
      </c>
      <c r="G32" s="8">
        <v>3137.1468622575831</v>
      </c>
      <c r="H32" s="8">
        <v>1770.59870711089</v>
      </c>
      <c r="I32" s="8">
        <v>2514.8990551964198</v>
      </c>
      <c r="J32" s="8">
        <v>2980.8180009945299</v>
      </c>
      <c r="K32" s="8">
        <v>2043.124316260567</v>
      </c>
      <c r="L32" s="8">
        <v>2839.5310790651415</v>
      </c>
      <c r="M32" s="8">
        <v>3455.9840875186474</v>
      </c>
      <c r="N32" s="22"/>
      <c r="O32" s="8">
        <v>166.40420901396999</v>
      </c>
      <c r="P32" s="8">
        <v>242.46634913888681</v>
      </c>
      <c r="Q32" s="8">
        <v>291.44810869243844</v>
      </c>
      <c r="R32" s="8">
        <v>164.49266390716238</v>
      </c>
      <c r="S32" s="8">
        <v>233.63986621331952</v>
      </c>
      <c r="T32" s="8">
        <v>276.92480042870869</v>
      </c>
      <c r="U32" s="8">
        <v>189.81091544090472</v>
      </c>
      <c r="V32" s="8">
        <v>263.79892268460344</v>
      </c>
      <c r="W32" s="8">
        <v>321.06881513785203</v>
      </c>
      <c r="X32" s="22"/>
      <c r="Y32"/>
      <c r="Z32" s="10">
        <f t="shared" si="0"/>
        <v>0.77807937434129226</v>
      </c>
      <c r="AA32"/>
      <c r="AB32" s="22"/>
    </row>
    <row r="33" spans="1:28" x14ac:dyDescent="0.25">
      <c r="A33" s="16"/>
      <c r="B33" s="3" t="s">
        <v>17</v>
      </c>
      <c r="C33" s="3" t="s">
        <v>48</v>
      </c>
      <c r="D33" s="11" t="s">
        <v>19</v>
      </c>
      <c r="E33" s="8">
        <v>2060.0770760815512</v>
      </c>
      <c r="F33" s="8">
        <v>2997.3336648433615</v>
      </c>
      <c r="G33" s="8">
        <v>3601.533565390353</v>
      </c>
      <c r="H33" s="8">
        <v>2005.1536548980607</v>
      </c>
      <c r="I33" s="8">
        <v>2849.4574838388862</v>
      </c>
      <c r="J33" s="8">
        <v>3377.9771258080559</v>
      </c>
      <c r="K33" s="8">
        <v>2273.7563401292891</v>
      </c>
      <c r="L33" s="8">
        <v>3011.6215813028343</v>
      </c>
      <c r="M33" s="8">
        <v>3729.0318249627053</v>
      </c>
      <c r="N33" s="22"/>
      <c r="O33" s="8">
        <v>191.38586554808188</v>
      </c>
      <c r="P33" s="8">
        <v>278.45914332175323</v>
      </c>
      <c r="Q33" s="8">
        <v>334.59069406460196</v>
      </c>
      <c r="R33" s="8">
        <v>186.2833542759997</v>
      </c>
      <c r="S33" s="8">
        <v>264.72110835981965</v>
      </c>
      <c r="T33" s="8">
        <v>313.82179022839824</v>
      </c>
      <c r="U33" s="8">
        <v>211.23715721782835</v>
      </c>
      <c r="V33" s="8">
        <v>279.78652339419023</v>
      </c>
      <c r="W33" s="8">
        <v>346.43557358267424</v>
      </c>
      <c r="X33" s="22"/>
      <c r="Y33"/>
      <c r="Z33" s="10">
        <f t="shared" si="0"/>
        <v>0.89488959086916264</v>
      </c>
      <c r="AA33"/>
      <c r="AB33" s="22"/>
    </row>
    <row r="34" spans="1:28" x14ac:dyDescent="0.25">
      <c r="A34" s="16"/>
      <c r="B34" s="3" t="s">
        <v>17</v>
      </c>
      <c r="C34" s="3" t="s">
        <v>49</v>
      </c>
      <c r="D34" s="11" t="s">
        <v>19</v>
      </c>
      <c r="E34" s="8">
        <v>2071.9733963202389</v>
      </c>
      <c r="F34" s="8">
        <v>3020.8626603679763</v>
      </c>
      <c r="G34" s="8">
        <v>3631.9197314768771</v>
      </c>
      <c r="H34" s="8">
        <v>2048.1253107906514</v>
      </c>
      <c r="I34" s="8">
        <v>2910.7508702138239</v>
      </c>
      <c r="J34" s="8">
        <v>3450.7389358528094</v>
      </c>
      <c r="K34" s="8">
        <v>2360.0228741919441</v>
      </c>
      <c r="L34" s="8">
        <v>3283.0387866732967</v>
      </c>
      <c r="M34" s="8">
        <v>3997.4922923918448</v>
      </c>
      <c r="N34" s="22"/>
      <c r="O34" s="8">
        <v>192.49106086924382</v>
      </c>
      <c r="P34" s="8">
        <v>280.64504074580532</v>
      </c>
      <c r="Q34" s="8">
        <v>337.41363829551329</v>
      </c>
      <c r="R34" s="8">
        <v>190.27551925493384</v>
      </c>
      <c r="S34" s="8">
        <v>270.41540394707664</v>
      </c>
      <c r="T34" s="8">
        <v>320.58152856826075</v>
      </c>
      <c r="U34" s="8">
        <v>219.251515263508</v>
      </c>
      <c r="V34" s="8">
        <v>305.00180168526867</v>
      </c>
      <c r="W34" s="8">
        <v>371.37616416586587</v>
      </c>
      <c r="X34" s="22"/>
      <c r="Y34"/>
      <c r="Z34" s="10">
        <f t="shared" si="0"/>
        <v>0.90005730681282858</v>
      </c>
      <c r="AA34"/>
      <c r="AB34" s="22"/>
    </row>
    <row r="35" spans="1:28" x14ac:dyDescent="0.25">
      <c r="A35" s="16"/>
      <c r="B35" s="3" t="s">
        <v>17</v>
      </c>
      <c r="C35" s="3" t="s">
        <v>50</v>
      </c>
      <c r="D35" s="11" t="s">
        <v>19</v>
      </c>
      <c r="E35" s="8">
        <v>1689.7252958727004</v>
      </c>
      <c r="F35" s="8">
        <v>2461.4327747389361</v>
      </c>
      <c r="G35" s="8">
        <v>2958.3898657384384</v>
      </c>
      <c r="H35" s="8">
        <v>1670.3311785181502</v>
      </c>
      <c r="I35" s="8">
        <v>2371.8816509199405</v>
      </c>
      <c r="J35" s="8">
        <v>2811.0397812033816</v>
      </c>
      <c r="K35" s="8">
        <v>1928.6315266036797</v>
      </c>
      <c r="L35" s="8">
        <v>2679.2963699651914</v>
      </c>
      <c r="M35" s="8">
        <v>3260.3431128791644</v>
      </c>
      <c r="N35" s="22"/>
      <c r="O35" s="8">
        <v>156.97933928967404</v>
      </c>
      <c r="P35" s="8">
        <v>228.6727266427674</v>
      </c>
      <c r="Q35" s="8">
        <v>274.8411754379481</v>
      </c>
      <c r="R35" s="8">
        <v>155.1775814916106</v>
      </c>
      <c r="S35" s="8">
        <v>220.35322270677801</v>
      </c>
      <c r="T35" s="8">
        <v>261.15201603961856</v>
      </c>
      <c r="U35" s="8">
        <v>179.17427378224554</v>
      </c>
      <c r="V35" s="8">
        <v>248.9127522359376</v>
      </c>
      <c r="W35" s="8">
        <v>302.89332175327075</v>
      </c>
      <c r="X35" s="22"/>
      <c r="Y35"/>
      <c r="Z35" s="10">
        <f t="shared" si="0"/>
        <v>0.7340101961529405</v>
      </c>
      <c r="AA35"/>
      <c r="AB35" s="22"/>
    </row>
    <row r="36" spans="1:28" x14ac:dyDescent="0.25">
      <c r="A36" s="16"/>
      <c r="B36" s="3" t="s">
        <v>17</v>
      </c>
      <c r="C36" s="3" t="s">
        <v>51</v>
      </c>
      <c r="D36" s="11" t="s">
        <v>19</v>
      </c>
      <c r="E36" s="8">
        <v>2054.5569368473398</v>
      </c>
      <c r="F36" s="8">
        <v>2989.2710094480358</v>
      </c>
      <c r="G36" s="8">
        <v>3591.8319244157137</v>
      </c>
      <c r="H36" s="8">
        <v>1999.7817006464445</v>
      </c>
      <c r="I36" s="8">
        <v>2841.7956240676281</v>
      </c>
      <c r="J36" s="8">
        <v>3368.8816509199405</v>
      </c>
      <c r="K36" s="8">
        <v>2267.6553953257085</v>
      </c>
      <c r="L36" s="8">
        <v>3003.5196419691697</v>
      </c>
      <c r="M36" s="8">
        <v>3718.9845847836896</v>
      </c>
      <c r="N36" s="22"/>
      <c r="O36" s="8">
        <v>190.87303200532187</v>
      </c>
      <c r="P36" s="8">
        <v>277.71010422056321</v>
      </c>
      <c r="Q36" s="8">
        <v>333.68938945967921</v>
      </c>
      <c r="R36" s="8">
        <v>185.78428745657476</v>
      </c>
      <c r="S36" s="8">
        <v>264.00930408751572</v>
      </c>
      <c r="T36" s="8">
        <v>312.97679983738635</v>
      </c>
      <c r="U36" s="8">
        <v>210.67036551112423</v>
      </c>
      <c r="V36" s="8">
        <v>279.03383472540469</v>
      </c>
      <c r="W36" s="8">
        <v>345.50216202232241</v>
      </c>
      <c r="X36" s="22"/>
      <c r="Y36"/>
      <c r="Z36" s="10">
        <f t="shared" si="0"/>
        <v>0.89249166353032694</v>
      </c>
      <c r="AA36"/>
      <c r="AB36" s="22"/>
    </row>
    <row r="37" spans="1:28" x14ac:dyDescent="0.25">
      <c r="A37" s="16"/>
      <c r="B37" s="3" t="s">
        <v>17</v>
      </c>
      <c r="C37" s="3" t="s">
        <v>52</v>
      </c>
      <c r="D37" s="11" t="s">
        <v>19</v>
      </c>
      <c r="E37" s="8">
        <v>2294.8003480855295</v>
      </c>
      <c r="F37" s="8">
        <v>3346.975867727499</v>
      </c>
      <c r="G37" s="8">
        <v>4024.5463202386873</v>
      </c>
      <c r="H37" s="8">
        <v>2268.3570363003482</v>
      </c>
      <c r="I37" s="8">
        <v>3224.8781700646446</v>
      </c>
      <c r="J37" s="8">
        <v>3823.6444554947789</v>
      </c>
      <c r="K37" s="8">
        <v>2611.4977623073096</v>
      </c>
      <c r="L37" s="8">
        <v>3634.9835902536051</v>
      </c>
      <c r="M37" s="8">
        <v>4427.2048731974146</v>
      </c>
      <c r="N37" s="22"/>
      <c r="O37" s="8">
        <v>213.19219362111019</v>
      </c>
      <c r="P37" s="8">
        <v>310.94170254638186</v>
      </c>
      <c r="Q37" s="8">
        <v>373.88954514376525</v>
      </c>
      <c r="R37" s="8">
        <v>210.73554956020399</v>
      </c>
      <c r="S37" s="8">
        <v>299.59854756449107</v>
      </c>
      <c r="T37" s="8">
        <v>355.22530305270158</v>
      </c>
      <c r="U37" s="8">
        <v>242.61410673368317</v>
      </c>
      <c r="V37" s="8">
        <v>337.69827777367135</v>
      </c>
      <c r="W37" s="8">
        <v>411.29744437874194</v>
      </c>
      <c r="X37" s="22"/>
      <c r="Y37"/>
      <c r="Z37" s="10">
        <f t="shared" si="0"/>
        <v>0.99685248113667024</v>
      </c>
      <c r="AA37"/>
      <c r="AB37" s="22"/>
    </row>
    <row r="38" spans="1:28" x14ac:dyDescent="0.25">
      <c r="A38" s="16"/>
      <c r="B38" s="3" t="s">
        <v>17</v>
      </c>
      <c r="C38" s="3" t="s">
        <v>53</v>
      </c>
      <c r="D38" s="11" t="s">
        <v>19</v>
      </c>
      <c r="E38" s="8">
        <v>2280.8965688712083</v>
      </c>
      <c r="F38" s="8">
        <v>3319.8438587767282</v>
      </c>
      <c r="G38" s="8">
        <v>3989.5992043759325</v>
      </c>
      <c r="H38" s="8">
        <v>2220.0134261561411</v>
      </c>
      <c r="I38" s="8">
        <v>3155.923421183491</v>
      </c>
      <c r="J38" s="8">
        <v>3741.7866732968673</v>
      </c>
      <c r="K38" s="8">
        <v>2517.7593237195424</v>
      </c>
      <c r="L38" s="8">
        <v>3335.6822476379912</v>
      </c>
      <c r="M38" s="8">
        <v>4130.9308801591251</v>
      </c>
      <c r="N38" s="22"/>
      <c r="O38" s="8">
        <v>211.90050077611056</v>
      </c>
      <c r="P38" s="8">
        <v>308.42107694582006</v>
      </c>
      <c r="Q38" s="8">
        <v>370.64287826151229</v>
      </c>
      <c r="R38" s="8">
        <v>206.24431776184491</v>
      </c>
      <c r="S38" s="8">
        <v>293.19249390198831</v>
      </c>
      <c r="T38" s="8">
        <v>347.62052812476901</v>
      </c>
      <c r="U38" s="8">
        <v>233.90559169192105</v>
      </c>
      <c r="V38" s="8">
        <v>309.89249944563528</v>
      </c>
      <c r="W38" s="8">
        <v>383.77291374085297</v>
      </c>
      <c r="X38" s="22"/>
      <c r="Y38"/>
      <c r="Z38" s="10">
        <f t="shared" si="0"/>
        <v>0.99081273270341963</v>
      </c>
      <c r="AA38"/>
      <c r="AB38" s="22"/>
    </row>
    <row r="39" spans="1:28" x14ac:dyDescent="0.25">
      <c r="A39" s="16"/>
      <c r="B39" s="3" t="s">
        <v>17</v>
      </c>
      <c r="C39" s="3" t="s">
        <v>54</v>
      </c>
      <c r="D39" s="11" t="s">
        <v>19</v>
      </c>
      <c r="E39" s="8">
        <v>1928.8565241173544</v>
      </c>
      <c r="F39" s="8">
        <v>2811.4080507210342</v>
      </c>
      <c r="G39" s="8">
        <v>3379.7445350571852</v>
      </c>
      <c r="H39" s="8">
        <v>1906.6762804574839</v>
      </c>
      <c r="I39" s="8">
        <v>2708.994032819493</v>
      </c>
      <c r="J39" s="8">
        <v>3211.230730979612</v>
      </c>
      <c r="K39" s="8">
        <v>2198.5067130780708</v>
      </c>
      <c r="L39" s="8">
        <v>3056.9930382894081</v>
      </c>
      <c r="M39" s="8">
        <v>3721.4977623073096</v>
      </c>
      <c r="N39" s="22"/>
      <c r="O39" s="8">
        <v>179.19517656515632</v>
      </c>
      <c r="P39" s="8">
        <v>261.1862291189297</v>
      </c>
      <c r="Q39" s="8">
        <v>313.9859865843743</v>
      </c>
      <c r="R39" s="8">
        <v>177.13458126986473</v>
      </c>
      <c r="S39" s="8">
        <v>251.67173294404611</v>
      </c>
      <c r="T39" s="8">
        <v>298.33066930297878</v>
      </c>
      <c r="U39" s="8">
        <v>204.24629499593465</v>
      </c>
      <c r="V39" s="8">
        <v>284.00163537585922</v>
      </c>
      <c r="W39" s="8">
        <v>345.73564195432033</v>
      </c>
      <c r="X39" s="22"/>
      <c r="Y39"/>
      <c r="Z39" s="10">
        <f>O39/$Z$3</f>
        <v>0.83788788572703077</v>
      </c>
      <c r="AA39"/>
      <c r="AB39" s="22"/>
    </row>
    <row r="40" spans="1:28" x14ac:dyDescent="0.25">
      <c r="A40" s="16"/>
      <c r="B40" s="3" t="s">
        <v>17</v>
      </c>
      <c r="C40" s="3" t="s">
        <v>55</v>
      </c>
      <c r="D40" s="11" t="s">
        <v>19</v>
      </c>
      <c r="E40" s="8">
        <v>1776.6821034311288</v>
      </c>
      <c r="F40" s="8">
        <v>2588.696509199403</v>
      </c>
      <c r="G40" s="8">
        <v>3111.6097911486822</v>
      </c>
      <c r="H40" s="8">
        <v>1756.2744903033317</v>
      </c>
      <c r="I40" s="8">
        <v>2494.4679264047736</v>
      </c>
      <c r="J40" s="8">
        <v>2956.5638985579312</v>
      </c>
      <c r="K40" s="8">
        <v>2026.7677772252612</v>
      </c>
      <c r="L40" s="8">
        <v>2816.6404773744407</v>
      </c>
      <c r="M40" s="8">
        <v>3428.0358030830434</v>
      </c>
      <c r="N40" s="22"/>
      <c r="O40" s="8">
        <v>165.05782531968362</v>
      </c>
      <c r="P40" s="8">
        <v>240.49581824229429</v>
      </c>
      <c r="Q40" s="8">
        <v>289.07565646019657</v>
      </c>
      <c r="R40" s="8">
        <v>163.16191144947888</v>
      </c>
      <c r="S40" s="8">
        <v>231.74176768423385</v>
      </c>
      <c r="T40" s="8">
        <v>274.6715389164018</v>
      </c>
      <c r="U40" s="8">
        <v>188.29135560647498</v>
      </c>
      <c r="V40" s="8">
        <v>261.67233350580233</v>
      </c>
      <c r="W40" s="8">
        <v>318.47235568039025</v>
      </c>
      <c r="X40" s="22"/>
      <c r="Y40"/>
      <c r="Z40" s="10">
        <f t="shared" si="0"/>
        <v>0.77178390027437305</v>
      </c>
      <c r="AA40"/>
      <c r="AB40" s="22"/>
    </row>
    <row r="41" spans="1:28" x14ac:dyDescent="0.25">
      <c r="A41" s="16"/>
      <c r="B41" s="3" t="s">
        <v>17</v>
      </c>
      <c r="C41" s="3" t="s">
        <v>56</v>
      </c>
      <c r="D41" s="11" t="s">
        <v>19</v>
      </c>
      <c r="E41" s="8">
        <v>2003.1321730482346</v>
      </c>
      <c r="F41" s="8">
        <v>2920.1122874191947</v>
      </c>
      <c r="G41" s="8">
        <v>3510.6203978120338</v>
      </c>
      <c r="H41" s="8">
        <v>1980.0865241173547</v>
      </c>
      <c r="I41" s="8">
        <v>2813.7031327697664</v>
      </c>
      <c r="J41" s="8">
        <v>3335.5325708602686</v>
      </c>
      <c r="K41" s="8">
        <v>2282.3321730482348</v>
      </c>
      <c r="L41" s="8">
        <v>3174.3078070611637</v>
      </c>
      <c r="M41" s="8">
        <v>3864.7349577324712</v>
      </c>
      <c r="N41" s="22"/>
      <c r="O41" s="8">
        <v>186.09555399512158</v>
      </c>
      <c r="P41" s="8">
        <v>271.28510098676918</v>
      </c>
      <c r="Q41" s="8">
        <v>326.14465315248725</v>
      </c>
      <c r="R41" s="8">
        <v>183.95456057358265</v>
      </c>
      <c r="S41" s="8">
        <v>261.39944748318425</v>
      </c>
      <c r="T41" s="8">
        <v>309.87859413112574</v>
      </c>
      <c r="U41" s="8">
        <v>212.03387168305122</v>
      </c>
      <c r="V41" s="8">
        <v>294.90044533964073</v>
      </c>
      <c r="W41" s="8">
        <v>359.04270456057355</v>
      </c>
      <c r="X41" s="22"/>
      <c r="Y41"/>
      <c r="Z41" s="10">
        <f t="shared" si="0"/>
        <v>0.87015294311494451</v>
      </c>
      <c r="AA41"/>
      <c r="AB41" s="22"/>
    </row>
    <row r="42" spans="1:28" x14ac:dyDescent="0.25">
      <c r="A42" s="16"/>
      <c r="B42" s="3" t="s">
        <v>17</v>
      </c>
      <c r="C42" s="3" t="s">
        <v>57</v>
      </c>
      <c r="D42" s="11" t="s">
        <v>19</v>
      </c>
      <c r="E42" s="8">
        <v>1629.9426106414719</v>
      </c>
      <c r="F42" s="8">
        <v>2373.9388314271509</v>
      </c>
      <c r="G42" s="8">
        <v>2853.0510740924915</v>
      </c>
      <c r="H42" s="8">
        <v>1611.2446544007955</v>
      </c>
      <c r="I42" s="8">
        <v>2287.6031824962706</v>
      </c>
      <c r="J42" s="8">
        <v>2710.9925410243659</v>
      </c>
      <c r="K42" s="8">
        <v>1861.1626056688215</v>
      </c>
      <c r="L42" s="8">
        <v>2584.8722028841371</v>
      </c>
      <c r="M42" s="8">
        <v>3145.0542018896072</v>
      </c>
      <c r="N42" s="22"/>
      <c r="O42" s="8">
        <v>151.42539128908268</v>
      </c>
      <c r="P42" s="8">
        <v>220.54433947446225</v>
      </c>
      <c r="Q42" s="8">
        <v>265.05496110207702</v>
      </c>
      <c r="R42" s="8">
        <v>149.688308448518</v>
      </c>
      <c r="S42" s="8">
        <v>212.52356049966735</v>
      </c>
      <c r="T42" s="8">
        <v>251.85739892083672</v>
      </c>
      <c r="U42" s="8">
        <v>172.90625692955871</v>
      </c>
      <c r="V42" s="8">
        <v>240.14053145095718</v>
      </c>
      <c r="W42" s="8">
        <v>292.18271860447925</v>
      </c>
      <c r="X42" s="22"/>
      <c r="Y42"/>
      <c r="Z42" s="10">
        <f t="shared" si="0"/>
        <v>0.70804082668187496</v>
      </c>
      <c r="AA42"/>
      <c r="AB42" s="22"/>
    </row>
    <row r="43" spans="1:28" x14ac:dyDescent="0.25">
      <c r="A43" s="16"/>
      <c r="B43" s="3" t="s">
        <v>17</v>
      </c>
      <c r="C43" s="3" t="s">
        <v>58</v>
      </c>
      <c r="D43" s="11" t="s">
        <v>19</v>
      </c>
      <c r="E43" s="8">
        <v>1800.2326156141223</v>
      </c>
      <c r="F43" s="8">
        <v>2623.1637294878169</v>
      </c>
      <c r="G43" s="8">
        <v>3153.1069070114372</v>
      </c>
      <c r="H43" s="8">
        <v>1779.5509696668323</v>
      </c>
      <c r="I43" s="8">
        <v>2527.6683242168074</v>
      </c>
      <c r="J43" s="8">
        <v>2995.9771258080559</v>
      </c>
      <c r="K43" s="8">
        <v>2053.3465937344604</v>
      </c>
      <c r="L43" s="8">
        <v>2853.8378915962207</v>
      </c>
      <c r="M43" s="8">
        <v>3473.4525111884636</v>
      </c>
      <c r="N43" s="22"/>
      <c r="O43" s="8">
        <v>167.24572169044274</v>
      </c>
      <c r="P43" s="8">
        <v>243.69790172961783</v>
      </c>
      <c r="Q43" s="8">
        <v>292.93083330253529</v>
      </c>
      <c r="R43" s="8">
        <v>165.32434954542094</v>
      </c>
      <c r="S43" s="8">
        <v>234.82616047010126</v>
      </c>
      <c r="T43" s="8">
        <v>278.33311774706186</v>
      </c>
      <c r="U43" s="8">
        <v>190.76058836573284</v>
      </c>
      <c r="V43" s="8">
        <v>265.12805824525094</v>
      </c>
      <c r="W43" s="8">
        <v>322.69167159435284</v>
      </c>
      <c r="X43" s="22"/>
      <c r="Y43"/>
      <c r="Z43" s="10">
        <f t="shared" si="0"/>
        <v>0.78201415255808138</v>
      </c>
      <c r="AA43"/>
      <c r="AB43" s="22"/>
    </row>
    <row r="44" spans="1:28" x14ac:dyDescent="0.25">
      <c r="A44" s="16"/>
      <c r="B44" s="3" t="s">
        <v>17</v>
      </c>
      <c r="C44" s="3" t="s">
        <v>59</v>
      </c>
      <c r="D44" s="11" t="s">
        <v>19</v>
      </c>
      <c r="E44" s="8">
        <v>1571.9712381899553</v>
      </c>
      <c r="F44" s="8">
        <v>2289.0961710591746</v>
      </c>
      <c r="G44" s="8">
        <v>2750.9042963699653</v>
      </c>
      <c r="H44" s="8">
        <v>1553.9482844356041</v>
      </c>
      <c r="I44" s="8">
        <v>2205.879164594729</v>
      </c>
      <c r="J44" s="8">
        <v>2613.9766285430132</v>
      </c>
      <c r="K44" s="8">
        <v>1795.737941322725</v>
      </c>
      <c r="L44" s="8">
        <v>2493.3092988562903</v>
      </c>
      <c r="M44" s="8">
        <v>3033.2590750870213</v>
      </c>
      <c r="N44" s="22"/>
      <c r="O44" s="8">
        <v>146.03971838273338</v>
      </c>
      <c r="P44" s="8">
        <v>212.662262547121</v>
      </c>
      <c r="Q44" s="8">
        <v>255.56529215019586</v>
      </c>
      <c r="R44" s="8">
        <v>144.36534481484219</v>
      </c>
      <c r="S44" s="8">
        <v>204.93121258038286</v>
      </c>
      <c r="T44" s="8">
        <v>242.84439906866729</v>
      </c>
      <c r="U44" s="8">
        <v>166.82815618301424</v>
      </c>
      <c r="V44" s="8">
        <v>231.63412853869465</v>
      </c>
      <c r="W44" s="8">
        <v>281.79669598639958</v>
      </c>
      <c r="X44" s="22"/>
      <c r="Y44"/>
      <c r="Z44" s="10">
        <f t="shared" si="0"/>
        <v>0.68285828454420994</v>
      </c>
      <c r="AA44"/>
      <c r="AB44" s="22"/>
    </row>
    <row r="45" spans="1:28" x14ac:dyDescent="0.25">
      <c r="A45" s="16"/>
      <c r="B45" s="3" t="s">
        <v>60</v>
      </c>
      <c r="C45" s="3" t="s">
        <v>61</v>
      </c>
      <c r="D45" s="11" t="s">
        <v>19</v>
      </c>
      <c r="E45" s="8">
        <v>567.55939333664844</v>
      </c>
      <c r="F45" s="8">
        <v>567.55939333664844</v>
      </c>
      <c r="G45" s="8">
        <v>567.55939333664844</v>
      </c>
      <c r="H45" s="8">
        <v>567.55939333664844</v>
      </c>
      <c r="I45" s="8">
        <v>567.55939333664844</v>
      </c>
      <c r="J45" s="8">
        <v>567.55939333664844</v>
      </c>
      <c r="K45" s="8">
        <v>567.55939333664844</v>
      </c>
      <c r="L45" s="8">
        <v>567.55939333664844</v>
      </c>
      <c r="M45" s="8">
        <v>567.55939333664844</v>
      </c>
      <c r="N45" s="22"/>
      <c r="O45" s="8">
        <v>52.728699999999996</v>
      </c>
      <c r="P45" s="8">
        <v>75.94619999999999</v>
      </c>
      <c r="Q45" s="8">
        <v>91.408500000000004</v>
      </c>
      <c r="R45" s="8">
        <v>53.938600000000001</v>
      </c>
      <c r="S45" s="8">
        <v>76.567799999999991</v>
      </c>
      <c r="T45" s="8">
        <v>90.735099999999989</v>
      </c>
      <c r="U45" s="8">
        <v>58.360099999999996</v>
      </c>
      <c r="V45" s="8">
        <v>79.117100000000008</v>
      </c>
      <c r="W45" s="8">
        <v>97.587500000000006</v>
      </c>
      <c r="X45" s="22"/>
      <c r="Y45"/>
      <c r="Z45" s="10">
        <f t="shared" si="0"/>
        <v>0.2465509385185406</v>
      </c>
      <c r="AA45"/>
      <c r="AB45" s="22"/>
    </row>
    <row r="46" spans="1:28" x14ac:dyDescent="0.25">
      <c r="A46" s="16"/>
      <c r="B46" s="3" t="s">
        <v>62</v>
      </c>
      <c r="C46" s="3" t="s">
        <v>63</v>
      </c>
      <c r="D46" s="11" t="s">
        <v>19</v>
      </c>
      <c r="E46" s="8">
        <v>1677.7454002983591</v>
      </c>
      <c r="F46" s="8">
        <v>1677.7454002983591</v>
      </c>
      <c r="G46" s="8">
        <v>1677.7454002983591</v>
      </c>
      <c r="H46" s="8">
        <v>1677.7454002983591</v>
      </c>
      <c r="I46" s="8">
        <v>1677.7454002983591</v>
      </c>
      <c r="J46" s="8">
        <v>1677.7454002983591</v>
      </c>
      <c r="K46" s="8">
        <v>1677.7454002983591</v>
      </c>
      <c r="L46" s="8">
        <v>1677.7454002983591</v>
      </c>
      <c r="M46" s="8">
        <v>1677.7454002983591</v>
      </c>
      <c r="N46" s="22"/>
      <c r="O46" s="8">
        <v>155.87</v>
      </c>
      <c r="P46" s="8">
        <v>224.6</v>
      </c>
      <c r="Q46" s="8">
        <v>270.37</v>
      </c>
      <c r="R46" s="8">
        <v>159.44999999999999</v>
      </c>
      <c r="S46" s="8">
        <v>226.44</v>
      </c>
      <c r="T46" s="8">
        <v>268.38</v>
      </c>
      <c r="U46" s="8">
        <v>172.54</v>
      </c>
      <c r="V46" s="8">
        <v>233.98</v>
      </c>
      <c r="W46" s="8">
        <v>288.66000000000003</v>
      </c>
      <c r="X46" s="22"/>
      <c r="Y46"/>
      <c r="Z46" s="10">
        <f t="shared" si="0"/>
        <v>0.72882310367759739</v>
      </c>
      <c r="AA46"/>
      <c r="AB46" s="22"/>
    </row>
    <row r="47" spans="1:28" x14ac:dyDescent="0.25">
      <c r="A47" s="16"/>
      <c r="B47" s="3" t="s">
        <v>64</v>
      </c>
      <c r="C47" s="3" t="s">
        <v>65</v>
      </c>
      <c r="D47" s="11" t="s">
        <v>19</v>
      </c>
      <c r="E47" s="8">
        <v>812.01317752362013</v>
      </c>
      <c r="F47" s="8">
        <v>812.01317752362013</v>
      </c>
      <c r="G47" s="8">
        <v>812.01317752362013</v>
      </c>
      <c r="H47" s="8">
        <v>812.01317752362013</v>
      </c>
      <c r="I47" s="8">
        <v>812.01317752362013</v>
      </c>
      <c r="J47" s="8">
        <v>812.01317752362013</v>
      </c>
      <c r="K47" s="8">
        <v>812.01317752362013</v>
      </c>
      <c r="L47" s="8">
        <v>812.01317752362013</v>
      </c>
      <c r="M47" s="8">
        <v>812.01317752362013</v>
      </c>
      <c r="N47" s="22"/>
      <c r="O47" s="8">
        <v>75.44</v>
      </c>
      <c r="P47" s="8">
        <v>108.69</v>
      </c>
      <c r="Q47" s="8">
        <v>130.82499999999999</v>
      </c>
      <c r="R47" s="8">
        <v>77.17</v>
      </c>
      <c r="S47" s="8">
        <v>109.58</v>
      </c>
      <c r="T47" s="8">
        <v>129.86500000000001</v>
      </c>
      <c r="U47" s="8">
        <v>83.504999999999995</v>
      </c>
      <c r="V47" s="8">
        <v>113.22499999999999</v>
      </c>
      <c r="W47" s="8">
        <v>139.67500000000001</v>
      </c>
      <c r="X47" s="22"/>
      <c r="Y47"/>
      <c r="Z47" s="10">
        <f t="shared" si="0"/>
        <v>0.35274533227329147</v>
      </c>
      <c r="AA47"/>
      <c r="AB47" s="22"/>
    </row>
    <row r="48" spans="1:28" x14ac:dyDescent="0.25">
      <c r="A48" s="16"/>
      <c r="B48" s="3" t="s">
        <v>66</v>
      </c>
      <c r="C48" s="3" t="s">
        <v>67</v>
      </c>
      <c r="D48" s="11" t="s">
        <v>19</v>
      </c>
      <c r="E48" s="8">
        <v>812.01317752362013</v>
      </c>
      <c r="F48" s="8">
        <v>812.01317752362013</v>
      </c>
      <c r="G48" s="8">
        <v>812.01317752362013</v>
      </c>
      <c r="H48" s="8">
        <v>812.01317752362013</v>
      </c>
      <c r="I48" s="8">
        <v>812.01317752362013</v>
      </c>
      <c r="J48" s="8">
        <v>812.01317752362013</v>
      </c>
      <c r="K48" s="8">
        <v>812.01317752362013</v>
      </c>
      <c r="L48" s="8">
        <v>812.01317752362013</v>
      </c>
      <c r="M48" s="8">
        <v>812.01317752362013</v>
      </c>
      <c r="N48" s="22"/>
      <c r="O48" s="8">
        <v>75.44</v>
      </c>
      <c r="P48" s="8">
        <v>108.69</v>
      </c>
      <c r="Q48" s="8">
        <v>130.82499999999999</v>
      </c>
      <c r="R48" s="8">
        <v>77.17</v>
      </c>
      <c r="S48" s="8">
        <v>109.58</v>
      </c>
      <c r="T48" s="8">
        <v>129.86500000000001</v>
      </c>
      <c r="U48" s="8">
        <v>83.504999999999995</v>
      </c>
      <c r="V48" s="8">
        <v>113.22499999999999</v>
      </c>
      <c r="W48" s="8">
        <v>139.67500000000001</v>
      </c>
      <c r="X48" s="22"/>
      <c r="Y48"/>
      <c r="Z48" s="10">
        <f t="shared" si="0"/>
        <v>0.35274533227329147</v>
      </c>
      <c r="AA48"/>
      <c r="AB48" s="22"/>
    </row>
    <row r="49" spans="1:28" x14ac:dyDescent="0.25">
      <c r="A49" s="16"/>
      <c r="B49" s="3" t="s">
        <v>68</v>
      </c>
      <c r="C49" s="3" t="s">
        <v>69</v>
      </c>
      <c r="D49" s="11" t="s">
        <v>19</v>
      </c>
      <c r="E49" s="8">
        <v>2009.9746394828444</v>
      </c>
      <c r="F49" s="8">
        <v>2009.9746394828444</v>
      </c>
      <c r="G49" s="8">
        <v>2009.9746394828444</v>
      </c>
      <c r="H49" s="8">
        <v>2009.9746394828444</v>
      </c>
      <c r="I49" s="8">
        <v>2009.9746394828444</v>
      </c>
      <c r="J49" s="8">
        <v>2009.9746394828444</v>
      </c>
      <c r="K49" s="8">
        <v>2009.9746394828444</v>
      </c>
      <c r="L49" s="8">
        <v>2009.9746394828444</v>
      </c>
      <c r="M49" s="8">
        <v>2009.9746394828444</v>
      </c>
      <c r="N49" s="22"/>
      <c r="O49" s="8">
        <v>186.73</v>
      </c>
      <c r="P49" s="8">
        <v>269.27999999999997</v>
      </c>
      <c r="Q49" s="8">
        <v>324.25</v>
      </c>
      <c r="R49" s="8">
        <v>191.03</v>
      </c>
      <c r="S49" s="8">
        <v>271.49</v>
      </c>
      <c r="T49" s="8">
        <v>321.86</v>
      </c>
      <c r="U49" s="8">
        <v>206.76</v>
      </c>
      <c r="V49" s="8">
        <v>280.55</v>
      </c>
      <c r="W49" s="8">
        <v>346.21</v>
      </c>
      <c r="X49" s="22"/>
      <c r="Y49"/>
      <c r="Z49" s="10">
        <f t="shared" si="0"/>
        <v>0.87311951080847983</v>
      </c>
      <c r="AA49"/>
      <c r="AB49" s="22"/>
    </row>
    <row r="50" spans="1:28" x14ac:dyDescent="0.25">
      <c r="A50" s="16"/>
      <c r="B50" s="3" t="s">
        <v>70</v>
      </c>
      <c r="C50" s="3" t="s">
        <v>71</v>
      </c>
      <c r="D50" s="11" t="s">
        <v>19</v>
      </c>
      <c r="E50" s="8">
        <v>1670.3368224763799</v>
      </c>
      <c r="F50" s="8">
        <v>1670.3368224763799</v>
      </c>
      <c r="G50" s="8">
        <v>1670.3368224763799</v>
      </c>
      <c r="H50" s="8">
        <v>1670.3368224763799</v>
      </c>
      <c r="I50" s="8">
        <v>1670.3368224763799</v>
      </c>
      <c r="J50" s="8">
        <v>1670.3368224763799</v>
      </c>
      <c r="K50" s="8">
        <v>1670.3368224763799</v>
      </c>
      <c r="L50" s="8">
        <v>1670.3368224763799</v>
      </c>
      <c r="M50" s="8">
        <v>1670.3368224763799</v>
      </c>
      <c r="N50" s="22"/>
      <c r="O50" s="8">
        <v>155.17679999999999</v>
      </c>
      <c r="P50" s="8">
        <v>223.78459999999998</v>
      </c>
      <c r="Q50" s="8">
        <v>269.45949999999999</v>
      </c>
      <c r="R50" s="8">
        <v>158.75409999999999</v>
      </c>
      <c r="S50" s="8">
        <v>225.61889999999997</v>
      </c>
      <c r="T50" s="8">
        <v>267.47579999999999</v>
      </c>
      <c r="U50" s="8">
        <v>171.82660000000001</v>
      </c>
      <c r="V50" s="8">
        <v>233.14699999999996</v>
      </c>
      <c r="W50" s="8">
        <v>287.71119999999996</v>
      </c>
      <c r="X50" s="22"/>
      <c r="Y50"/>
      <c r="Z50" s="10">
        <f t="shared" si="0"/>
        <v>0.7255818117325834</v>
      </c>
      <c r="AA50"/>
      <c r="AB50" s="22"/>
    </row>
    <row r="51" spans="1:28" x14ac:dyDescent="0.25">
      <c r="A51" s="16"/>
      <c r="B51" s="3" t="s">
        <v>72</v>
      </c>
      <c r="C51" s="3" t="s">
        <v>73</v>
      </c>
      <c r="D51" s="11" t="s">
        <v>19</v>
      </c>
      <c r="E51" s="8">
        <v>395.70938836399802</v>
      </c>
      <c r="F51" s="8">
        <v>395.70938836399802</v>
      </c>
      <c r="G51" s="8">
        <v>395.70938836399802</v>
      </c>
      <c r="H51" s="8">
        <v>395.70938836399802</v>
      </c>
      <c r="I51" s="8">
        <v>395.70938836399802</v>
      </c>
      <c r="J51" s="8">
        <v>395.70938836399802</v>
      </c>
      <c r="K51" s="8">
        <v>395.70938836399802</v>
      </c>
      <c r="L51" s="8">
        <v>395.70938836399802</v>
      </c>
      <c r="M51" s="8">
        <v>395.70938836399802</v>
      </c>
      <c r="N51" s="22"/>
      <c r="O51" s="4">
        <v>36.763199999999998</v>
      </c>
      <c r="P51" s="4">
        <v>52.836000000000006</v>
      </c>
      <c r="Q51" s="4">
        <v>63.5364</v>
      </c>
      <c r="R51" s="4">
        <v>37.599400000000003</v>
      </c>
      <c r="S51" s="4">
        <v>53.2652</v>
      </c>
      <c r="T51" s="4">
        <v>63.073900000000002</v>
      </c>
      <c r="U51" s="4">
        <v>40.663000000000004</v>
      </c>
      <c r="V51" s="4">
        <v>55.030099999999997</v>
      </c>
      <c r="W51" s="4">
        <v>67.813599999999994</v>
      </c>
      <c r="X51" s="22"/>
      <c r="Y51"/>
      <c r="Z51" s="10">
        <f t="shared" si="0"/>
        <v>0.17189882289805763</v>
      </c>
      <c r="AA51"/>
      <c r="AB51" s="22"/>
    </row>
    <row r="52" spans="1:28" x14ac:dyDescent="0.25">
      <c r="A52" s="16"/>
      <c r="B52" s="3" t="s">
        <v>74</v>
      </c>
      <c r="C52" s="3" t="s">
        <v>75</v>
      </c>
      <c r="D52" s="11" t="s">
        <v>19</v>
      </c>
      <c r="E52" s="8">
        <v>1009.9460467429139</v>
      </c>
      <c r="F52" s="8">
        <v>1009.9460467429139</v>
      </c>
      <c r="G52" s="8">
        <v>1009.9460467429139</v>
      </c>
      <c r="H52" s="8">
        <v>1009.9460467429139</v>
      </c>
      <c r="I52" s="8">
        <v>1009.9460467429139</v>
      </c>
      <c r="J52" s="8">
        <v>1009.9460467429139</v>
      </c>
      <c r="K52" s="8">
        <v>1009.9460467429139</v>
      </c>
      <c r="L52" s="8">
        <v>1009.9460467429139</v>
      </c>
      <c r="M52" s="8">
        <v>1009.9460467429139</v>
      </c>
      <c r="N52" s="22"/>
      <c r="O52" s="4">
        <v>93.825000000000003</v>
      </c>
      <c r="P52" s="4">
        <v>135.31</v>
      </c>
      <c r="Q52" s="4">
        <v>162.92500000000001</v>
      </c>
      <c r="R52" s="4">
        <v>95.984999999999999</v>
      </c>
      <c r="S52" s="4">
        <v>136.41999999999999</v>
      </c>
      <c r="T52" s="4">
        <v>161.72999999999999</v>
      </c>
      <c r="U52" s="4">
        <v>103.89</v>
      </c>
      <c r="V52" s="4">
        <v>140.97</v>
      </c>
      <c r="W52" s="4">
        <v>173.965</v>
      </c>
      <c r="X52" s="22"/>
      <c r="Y52"/>
      <c r="Z52" s="10">
        <f t="shared" si="0"/>
        <v>0.43871064157663803</v>
      </c>
      <c r="AA52"/>
      <c r="AB52" s="22"/>
    </row>
    <row r="53" spans="1:28" x14ac:dyDescent="0.25">
      <c r="A53" s="16"/>
      <c r="B53" s="3" t="s">
        <v>76</v>
      </c>
      <c r="C53" s="3" t="s">
        <v>77</v>
      </c>
      <c r="D53" s="11" t="s">
        <v>19</v>
      </c>
      <c r="E53" s="8">
        <v>944.16529090004985</v>
      </c>
      <c r="F53" s="8">
        <v>944.16529090004985</v>
      </c>
      <c r="G53" s="8">
        <v>944.16529090004985</v>
      </c>
      <c r="H53" s="8">
        <v>944.16529090004985</v>
      </c>
      <c r="I53" s="8">
        <v>944.16529090004985</v>
      </c>
      <c r="J53" s="8">
        <v>944.16529090004985</v>
      </c>
      <c r="K53" s="8">
        <v>944.16529090004985</v>
      </c>
      <c r="L53" s="8">
        <v>944.16529090004985</v>
      </c>
      <c r="M53" s="8">
        <v>944.16529090004985</v>
      </c>
      <c r="N53" s="22"/>
      <c r="O53" s="4">
        <v>87.712800000000001</v>
      </c>
      <c r="P53" s="4">
        <v>126.39760000000001</v>
      </c>
      <c r="Q53" s="4">
        <v>152.1576</v>
      </c>
      <c r="R53" s="4">
        <v>89.728800000000007</v>
      </c>
      <c r="S53" s="4">
        <v>127.43360000000001</v>
      </c>
      <c r="T53" s="4">
        <v>151.0376</v>
      </c>
      <c r="U53" s="4">
        <v>97.104000000000013</v>
      </c>
      <c r="V53" s="4">
        <v>131.67840000000001</v>
      </c>
      <c r="W53" s="4">
        <v>162.4504</v>
      </c>
      <c r="X53" s="22"/>
      <c r="Y53"/>
      <c r="Z53" s="10">
        <f t="shared" si="0"/>
        <v>0.41013097535287329</v>
      </c>
      <c r="AA53"/>
      <c r="AB53" s="22"/>
    </row>
    <row r="54" spans="1:28" x14ac:dyDescent="0.25">
      <c r="A54" s="16"/>
      <c r="B54" s="3" t="s">
        <v>78</v>
      </c>
      <c r="C54" s="3" t="s">
        <v>79</v>
      </c>
      <c r="D54" s="11" t="s">
        <v>19</v>
      </c>
      <c r="E54" s="8">
        <v>265.54594728990548</v>
      </c>
      <c r="F54" s="8">
        <v>265.54594728990548</v>
      </c>
      <c r="G54" s="8">
        <v>265.54594728990548</v>
      </c>
      <c r="H54" s="8">
        <v>265.54594728990548</v>
      </c>
      <c r="I54" s="8">
        <v>265.54594728990548</v>
      </c>
      <c r="J54" s="8">
        <v>265.54594728990548</v>
      </c>
      <c r="K54" s="8">
        <v>265.54594728990548</v>
      </c>
      <c r="L54" s="8">
        <v>265.54594728990548</v>
      </c>
      <c r="M54" s="8">
        <v>265.54594728990548</v>
      </c>
      <c r="N54" s="22"/>
      <c r="O54" s="4">
        <v>24.670500000000001</v>
      </c>
      <c r="P54" s="4">
        <v>35.557499999999997</v>
      </c>
      <c r="Q54" s="4">
        <v>42.806999999999995</v>
      </c>
      <c r="R54" s="4">
        <v>25.237500000000001</v>
      </c>
      <c r="S54" s="4">
        <v>35.848500000000001</v>
      </c>
      <c r="T54" s="4">
        <v>42.491999999999997</v>
      </c>
      <c r="U54" s="4">
        <v>27.312000000000001</v>
      </c>
      <c r="V54" s="4">
        <v>37.043999999999997</v>
      </c>
      <c r="W54" s="4">
        <v>45.703499999999998</v>
      </c>
      <c r="X54" s="22"/>
      <c r="Y54"/>
      <c r="Z54" s="10">
        <f t="shared" si="0"/>
        <v>0.11535529851336476</v>
      </c>
      <c r="AA54"/>
      <c r="AB54" s="22"/>
    </row>
    <row r="55" spans="1:28" x14ac:dyDescent="0.25">
      <c r="A55" s="16"/>
      <c r="B55" s="3" t="s">
        <v>80</v>
      </c>
      <c r="C55" s="3" t="s">
        <v>81</v>
      </c>
      <c r="D55" s="11" t="s">
        <v>19</v>
      </c>
      <c r="E55" s="8">
        <v>1837.2486325211337</v>
      </c>
      <c r="F55" s="8">
        <v>1837.2486325211337</v>
      </c>
      <c r="G55" s="8">
        <v>1837.2486325211337</v>
      </c>
      <c r="H55" s="8">
        <v>1837.2486325211337</v>
      </c>
      <c r="I55" s="8">
        <v>1837.2486325211337</v>
      </c>
      <c r="J55" s="8">
        <v>1837.2486325211337</v>
      </c>
      <c r="K55" s="8">
        <v>1837.2486325211337</v>
      </c>
      <c r="L55" s="8">
        <v>1837.2486325211337</v>
      </c>
      <c r="M55" s="8">
        <v>1837.2486325211337</v>
      </c>
      <c r="N55" s="22"/>
      <c r="O55" s="4">
        <v>170.68</v>
      </c>
      <c r="P55" s="4">
        <v>246.05</v>
      </c>
      <c r="Q55" s="4">
        <v>296.23</v>
      </c>
      <c r="R55" s="4">
        <v>174.61</v>
      </c>
      <c r="S55" s="4">
        <v>248.07</v>
      </c>
      <c r="T55" s="4">
        <v>294.06</v>
      </c>
      <c r="U55" s="4">
        <v>188.97</v>
      </c>
      <c r="V55" s="4">
        <v>256.33999999999997</v>
      </c>
      <c r="W55" s="4">
        <v>316.29000000000002</v>
      </c>
      <c r="X55" s="22"/>
      <c r="Y55"/>
      <c r="Z55" s="10">
        <f t="shared" si="0"/>
        <v>0.79807228674980635</v>
      </c>
      <c r="AA55"/>
      <c r="AB55" s="22"/>
    </row>
    <row r="56" spans="1:28" x14ac:dyDescent="0.25">
      <c r="A56" s="16"/>
      <c r="B56" s="3" t="s">
        <v>82</v>
      </c>
      <c r="C56" s="3" t="s">
        <v>83</v>
      </c>
      <c r="D56" s="11" t="s">
        <v>19</v>
      </c>
      <c r="E56" s="8">
        <v>1785.1517818146938</v>
      </c>
      <c r="F56" s="8">
        <v>2432.3803920661853</v>
      </c>
      <c r="G56" s="8">
        <v>3420.6233810476879</v>
      </c>
      <c r="H56" s="8">
        <v>1653.1489384465935</v>
      </c>
      <c r="I56" s="8">
        <v>2258.4410380955492</v>
      </c>
      <c r="J56" s="8">
        <v>2985.2047706226499</v>
      </c>
      <c r="K56" s="8">
        <v>1982.6374381107653</v>
      </c>
      <c r="L56" s="8">
        <v>2501.4945125720283</v>
      </c>
      <c r="M56" s="8">
        <v>3265.9440472153901</v>
      </c>
      <c r="N56" s="22"/>
      <c r="O56" s="8">
        <v>165.84467778611449</v>
      </c>
      <c r="P56" s="8">
        <v>225.97369393733365</v>
      </c>
      <c r="Q56" s="8">
        <v>317.78372474346304</v>
      </c>
      <c r="R56" s="8">
        <v>153.5813121450264</v>
      </c>
      <c r="S56" s="8">
        <v>209.81433067901125</v>
      </c>
      <c r="T56" s="8">
        <v>277.33234134646631</v>
      </c>
      <c r="U56" s="8">
        <v>184.19154630981362</v>
      </c>
      <c r="V56" s="8">
        <v>232.39455358777204</v>
      </c>
      <c r="W56" s="8">
        <v>303.41366134554232</v>
      </c>
      <c r="X56" s="22"/>
      <c r="Y56"/>
      <c r="Z56" s="10">
        <f t="shared" si="0"/>
        <v>0.77546309612168507</v>
      </c>
      <c r="AA56"/>
      <c r="AB56" s="22"/>
    </row>
    <row r="57" spans="1:28" x14ac:dyDescent="0.25">
      <c r="A57" s="16"/>
      <c r="B57" s="3" t="s">
        <v>82</v>
      </c>
      <c r="C57" s="3" t="s">
        <v>84</v>
      </c>
      <c r="D57" s="11" t="s">
        <v>19</v>
      </c>
      <c r="E57" s="8">
        <v>1785.1517818146938</v>
      </c>
      <c r="F57" s="8">
        <v>2432.3803920661853</v>
      </c>
      <c r="G57" s="8">
        <v>3420.6233810476879</v>
      </c>
      <c r="H57" s="8">
        <v>1653.1489384465935</v>
      </c>
      <c r="I57" s="8">
        <v>2258.4410380955492</v>
      </c>
      <c r="J57" s="8">
        <v>2985.2047706226499</v>
      </c>
      <c r="K57" s="8">
        <v>1982.6374381107653</v>
      </c>
      <c r="L57" s="8">
        <v>2501.4945125720283</v>
      </c>
      <c r="M57" s="8">
        <v>3265.9440472153901</v>
      </c>
      <c r="N57" s="22"/>
      <c r="O57" s="8">
        <v>165.84467778611449</v>
      </c>
      <c r="P57" s="8">
        <v>225.97369393733365</v>
      </c>
      <c r="Q57" s="8">
        <v>317.78372474346304</v>
      </c>
      <c r="R57" s="8">
        <v>153.5813121450264</v>
      </c>
      <c r="S57" s="8">
        <v>209.81433067901125</v>
      </c>
      <c r="T57" s="8">
        <v>277.33234134646631</v>
      </c>
      <c r="U57" s="8">
        <v>184.19154630981362</v>
      </c>
      <c r="V57" s="8">
        <v>232.39455358777204</v>
      </c>
      <c r="W57" s="8">
        <v>303.41366134554232</v>
      </c>
      <c r="X57" s="22"/>
      <c r="Y57"/>
      <c r="Z57" s="10">
        <f t="shared" si="0"/>
        <v>0.77546309612168507</v>
      </c>
      <c r="AA57"/>
      <c r="AB57" s="22"/>
    </row>
    <row r="58" spans="1:28" x14ac:dyDescent="0.25">
      <c r="A58" s="16"/>
      <c r="B58" s="3" t="s">
        <v>85</v>
      </c>
      <c r="C58" s="3" t="s">
        <v>86</v>
      </c>
      <c r="D58" s="11" t="s">
        <v>19</v>
      </c>
      <c r="E58" s="8">
        <v>1069.0142416708104</v>
      </c>
      <c r="F58" s="8">
        <v>1456.5984286424664</v>
      </c>
      <c r="G58" s="8">
        <v>2048.3945101939335</v>
      </c>
      <c r="H58" s="8">
        <v>989.96610641471898</v>
      </c>
      <c r="I58" s="8">
        <v>1352.4371755345601</v>
      </c>
      <c r="J58" s="8">
        <v>1787.6499055196418</v>
      </c>
      <c r="K58" s="8">
        <v>1187.2758826454499</v>
      </c>
      <c r="L58" s="8">
        <v>1497.986494281452</v>
      </c>
      <c r="M58" s="8">
        <v>1955.7668622575832</v>
      </c>
      <c r="N58" s="22"/>
      <c r="O58" s="8">
        <v>99.313864661098364</v>
      </c>
      <c r="P58" s="8">
        <v>135.32132086628721</v>
      </c>
      <c r="Q58" s="8">
        <v>190.30052849434549</v>
      </c>
      <c r="R58" s="8">
        <v>91.970112351245461</v>
      </c>
      <c r="S58" s="8">
        <v>125.6445025500776</v>
      </c>
      <c r="T58" s="8">
        <v>166.07675918397513</v>
      </c>
      <c r="U58" s="8">
        <v>110.30064121516742</v>
      </c>
      <c r="V58" s="8">
        <v>139.16636669376894</v>
      </c>
      <c r="W58" s="8">
        <v>181.69520844112645</v>
      </c>
      <c r="X58" s="22"/>
      <c r="Y58"/>
      <c r="Z58" s="10">
        <f t="shared" si="0"/>
        <v>0.464375691797771</v>
      </c>
      <c r="AA58"/>
      <c r="AB58" s="22"/>
    </row>
    <row r="59" spans="1:28" x14ac:dyDescent="0.25">
      <c r="A59" s="16"/>
      <c r="B59" s="3" t="s">
        <v>85</v>
      </c>
      <c r="C59" s="3" t="s">
        <v>87</v>
      </c>
      <c r="D59" s="11" t="s">
        <v>19</v>
      </c>
      <c r="E59" s="8">
        <v>1069.0142416708104</v>
      </c>
      <c r="F59" s="8">
        <v>1456.5984286424664</v>
      </c>
      <c r="G59" s="8">
        <v>2048.3945101939335</v>
      </c>
      <c r="H59" s="8">
        <v>989.96610641471898</v>
      </c>
      <c r="I59" s="8">
        <v>1352.4371755345601</v>
      </c>
      <c r="J59" s="8">
        <v>1787.6499055196418</v>
      </c>
      <c r="K59" s="8">
        <v>1187.2758826454499</v>
      </c>
      <c r="L59" s="8">
        <v>1497.986494281452</v>
      </c>
      <c r="M59" s="8">
        <v>1955.7668622575832</v>
      </c>
      <c r="N59" s="22"/>
      <c r="O59" s="8">
        <v>99.313864661098364</v>
      </c>
      <c r="P59" s="8">
        <v>135.32132086628721</v>
      </c>
      <c r="Q59" s="8">
        <v>190.30052849434549</v>
      </c>
      <c r="R59" s="8">
        <v>91.970112351245461</v>
      </c>
      <c r="S59" s="8">
        <v>125.6445025500776</v>
      </c>
      <c r="T59" s="8">
        <v>166.07675918397513</v>
      </c>
      <c r="U59" s="8">
        <v>110.30064121516742</v>
      </c>
      <c r="V59" s="8">
        <v>139.16636669376894</v>
      </c>
      <c r="W59" s="8">
        <v>181.69520844112645</v>
      </c>
      <c r="X59" s="22"/>
      <c r="Y59"/>
      <c r="Z59" s="10">
        <f t="shared" si="0"/>
        <v>0.464375691797771</v>
      </c>
      <c r="AA59"/>
      <c r="AB59" s="22"/>
    </row>
    <row r="60" spans="1:28" x14ac:dyDescent="0.25">
      <c r="A60" s="16"/>
      <c r="B60" s="3" t="s">
        <v>85</v>
      </c>
      <c r="C60" s="3" t="s">
        <v>88</v>
      </c>
      <c r="D60" s="11" t="s">
        <v>19</v>
      </c>
      <c r="E60" s="8">
        <v>1272.9257684803531</v>
      </c>
      <c r="F60" s="8">
        <v>1734.4405732603382</v>
      </c>
      <c r="G60" s="8">
        <v>2439.1201299285231</v>
      </c>
      <c r="H60" s="8">
        <v>1178.7994188065343</v>
      </c>
      <c r="I60" s="8">
        <v>1610.4108475655444</v>
      </c>
      <c r="J60" s="8">
        <v>2128.6392089602737</v>
      </c>
      <c r="K60" s="8">
        <v>1413.7454922513923</v>
      </c>
      <c r="L60" s="8">
        <v>1783.7232986027798</v>
      </c>
      <c r="M60" s="8">
        <v>2328.8240128743464</v>
      </c>
      <c r="N60" s="22"/>
      <c r="O60" s="8">
        <v>118.25771123207508</v>
      </c>
      <c r="P60" s="8">
        <v>161.13349068789915</v>
      </c>
      <c r="Q60" s="8">
        <v>226.59983097818855</v>
      </c>
      <c r="R60" s="8">
        <v>109.51315836443656</v>
      </c>
      <c r="S60" s="8">
        <v>149.61084588912291</v>
      </c>
      <c r="T60" s="8">
        <v>197.75544428723066</v>
      </c>
      <c r="U60" s="8">
        <v>131.34018520019728</v>
      </c>
      <c r="V60" s="8">
        <v>165.71196843309698</v>
      </c>
      <c r="W60" s="8">
        <v>216.35306978944811</v>
      </c>
      <c r="X60" s="22"/>
      <c r="Y60"/>
      <c r="Z60" s="10">
        <f t="shared" si="0"/>
        <v>0.55295407797504348</v>
      </c>
      <c r="AA60"/>
      <c r="AB60" s="22"/>
    </row>
    <row r="61" spans="1:28" x14ac:dyDescent="0.25">
      <c r="A61" s="16"/>
      <c r="B61" s="3" t="s">
        <v>91</v>
      </c>
      <c r="C61" s="3" t="s">
        <v>90</v>
      </c>
      <c r="D61" s="11" t="s">
        <v>19</v>
      </c>
      <c r="E61" s="8">
        <v>1272.9257684803531</v>
      </c>
      <c r="F61" s="8">
        <v>1734.4405732603382</v>
      </c>
      <c r="G61" s="8">
        <v>2439.1201299285231</v>
      </c>
      <c r="H61" s="8">
        <v>1178.7994188065343</v>
      </c>
      <c r="I61" s="8">
        <v>1610.4108475655444</v>
      </c>
      <c r="J61" s="8">
        <v>2128.6392089602737</v>
      </c>
      <c r="K61" s="8">
        <v>1413.7454922513923</v>
      </c>
      <c r="L61" s="8">
        <v>1783.7232986027798</v>
      </c>
      <c r="M61" s="8">
        <v>2328.8240128743464</v>
      </c>
      <c r="N61" s="22"/>
      <c r="O61" s="8">
        <v>118.25771123207508</v>
      </c>
      <c r="P61" s="8">
        <v>161.13349068789915</v>
      </c>
      <c r="Q61" s="8">
        <v>226.59983097818855</v>
      </c>
      <c r="R61" s="8">
        <v>109.51315836443656</v>
      </c>
      <c r="S61" s="8">
        <v>149.61084588912291</v>
      </c>
      <c r="T61" s="8">
        <v>197.75544428723066</v>
      </c>
      <c r="U61" s="8">
        <v>131.34018520019728</v>
      </c>
      <c r="V61" s="8">
        <v>165.71196843309698</v>
      </c>
      <c r="W61" s="8">
        <v>216.35306978944811</v>
      </c>
      <c r="X61" s="22"/>
      <c r="Y61"/>
      <c r="Z61" s="10">
        <f t="shared" si="0"/>
        <v>0.55295407797504348</v>
      </c>
      <c r="AA61"/>
      <c r="AB61" s="22"/>
    </row>
    <row r="62" spans="1:28" x14ac:dyDescent="0.25">
      <c r="A62" s="16"/>
      <c r="B62" s="3" t="s">
        <v>91</v>
      </c>
      <c r="C62" s="3" t="s">
        <v>92</v>
      </c>
      <c r="D62" s="11" t="s">
        <v>19</v>
      </c>
      <c r="E62" s="8">
        <v>1272.9257684803531</v>
      </c>
      <c r="F62" s="8">
        <v>1734.4405732603382</v>
      </c>
      <c r="G62" s="8">
        <v>2439.1201299285231</v>
      </c>
      <c r="H62" s="8">
        <v>1178.7994188065343</v>
      </c>
      <c r="I62" s="8">
        <v>1610.4108475655444</v>
      </c>
      <c r="J62" s="8">
        <v>2128.6392089602737</v>
      </c>
      <c r="K62" s="8">
        <v>1413.7454922513923</v>
      </c>
      <c r="L62" s="8">
        <v>1783.7232986027798</v>
      </c>
      <c r="M62" s="8">
        <v>2328.8240128743464</v>
      </c>
      <c r="N62" s="22"/>
      <c r="O62" s="8">
        <v>118.25771123207508</v>
      </c>
      <c r="P62" s="8">
        <v>161.13349068789915</v>
      </c>
      <c r="Q62" s="8">
        <v>226.59983097818855</v>
      </c>
      <c r="R62" s="8">
        <v>109.51315836443656</v>
      </c>
      <c r="S62" s="8">
        <v>149.61084588912291</v>
      </c>
      <c r="T62" s="8">
        <v>197.75544428723066</v>
      </c>
      <c r="U62" s="8">
        <v>131.34018520019728</v>
      </c>
      <c r="V62" s="8">
        <v>165.71196843309698</v>
      </c>
      <c r="W62" s="8">
        <v>216.35306978944811</v>
      </c>
      <c r="X62" s="22"/>
      <c r="Y62"/>
      <c r="Z62" s="10">
        <f t="shared" si="0"/>
        <v>0.55295407797504348</v>
      </c>
      <c r="AA62"/>
      <c r="AB62" s="22"/>
    </row>
    <row r="63" spans="1:28" x14ac:dyDescent="0.25">
      <c r="A63" s="16"/>
      <c r="B63" s="3" t="s">
        <v>93</v>
      </c>
      <c r="C63" s="3" t="s">
        <v>53</v>
      </c>
      <c r="D63" s="11" t="s">
        <v>19</v>
      </c>
      <c r="E63" s="8">
        <v>1538.9206537130081</v>
      </c>
      <c r="F63" s="8">
        <v>2096.8751571544303</v>
      </c>
      <c r="G63" s="8">
        <v>2948.8069436407955</v>
      </c>
      <c r="H63" s="8">
        <v>1425.1253428170858</v>
      </c>
      <c r="I63" s="8">
        <v>1946.9277593780901</v>
      </c>
      <c r="J63" s="8">
        <v>2573.4468765472598</v>
      </c>
      <c r="K63" s="8">
        <v>1709.1665445005963</v>
      </c>
      <c r="L63" s="8">
        <v>2156.4561679083336</v>
      </c>
      <c r="M63" s="8">
        <v>2815.4629759390054</v>
      </c>
      <c r="N63" s="22"/>
      <c r="O63" s="8">
        <v>142.96924359786661</v>
      </c>
      <c r="P63" s="8">
        <v>194.80449132592761</v>
      </c>
      <c r="Q63" s="8">
        <v>273.95090008785013</v>
      </c>
      <c r="R63" s="8">
        <v>132.39739930913035</v>
      </c>
      <c r="S63" s="8">
        <v>180.87403559526476</v>
      </c>
      <c r="T63" s="8">
        <v>239.07909253901522</v>
      </c>
      <c r="U63" s="8">
        <v>158.78547569067834</v>
      </c>
      <c r="V63" s="8">
        <v>200.3397033069545</v>
      </c>
      <c r="W63" s="8">
        <v>261.56294093305763</v>
      </c>
      <c r="X63" s="22"/>
      <c r="Y63"/>
      <c r="Z63" s="10">
        <f t="shared" si="0"/>
        <v>0.66850123724536858</v>
      </c>
      <c r="AA63"/>
      <c r="AB63" s="22"/>
    </row>
    <row r="64" spans="1:28" x14ac:dyDescent="0.25">
      <c r="A64" s="16"/>
      <c r="B64" s="3" t="s">
        <v>94</v>
      </c>
      <c r="C64" s="3" t="s">
        <v>95</v>
      </c>
      <c r="D64" s="11" t="s">
        <v>19</v>
      </c>
      <c r="E64" s="8">
        <v>1115.0524853607656</v>
      </c>
      <c r="F64" s="8">
        <v>1519.3284006131278</v>
      </c>
      <c r="G64" s="8">
        <v>2136.610814483839</v>
      </c>
      <c r="H64" s="8">
        <v>1032.6000574654399</v>
      </c>
      <c r="I64" s="8">
        <v>1410.6813315387865</v>
      </c>
      <c r="J64" s="8">
        <v>1864.6369640400296</v>
      </c>
      <c r="K64" s="8">
        <v>1238.407190612879</v>
      </c>
      <c r="L64" s="8">
        <v>1562.4988876432124</v>
      </c>
      <c r="M64" s="8">
        <v>2039.9940576452013</v>
      </c>
      <c r="N64" s="22"/>
      <c r="O64" s="8">
        <v>103.59092265044072</v>
      </c>
      <c r="P64" s="8">
        <v>141.14907853652338</v>
      </c>
      <c r="Q64" s="8">
        <v>198.49602464737785</v>
      </c>
      <c r="R64" s="8">
        <v>95.930903779057928</v>
      </c>
      <c r="S64" s="8">
        <v>131.05551767150655</v>
      </c>
      <c r="T64" s="8">
        <v>173.22903275761786</v>
      </c>
      <c r="U64" s="8">
        <v>115.05085650835703</v>
      </c>
      <c r="V64" s="8">
        <v>145.15971538225753</v>
      </c>
      <c r="W64" s="8">
        <v>189.52010726608117</v>
      </c>
      <c r="X64" s="22"/>
      <c r="Y64"/>
      <c r="Z64" s="10">
        <f t="shared" si="0"/>
        <v>0.48437452851042612</v>
      </c>
      <c r="AA64"/>
      <c r="AB64" s="22"/>
    </row>
    <row r="65" spans="1:28" x14ac:dyDescent="0.25">
      <c r="A65" s="16"/>
      <c r="B65" s="3" t="s">
        <v>94</v>
      </c>
      <c r="C65" s="3" t="s">
        <v>96</v>
      </c>
      <c r="D65" s="11" t="s">
        <v>19</v>
      </c>
      <c r="E65" s="8">
        <v>1115.0524853607656</v>
      </c>
      <c r="F65" s="8">
        <v>1519.3284006131278</v>
      </c>
      <c r="G65" s="8">
        <v>2136.610814483839</v>
      </c>
      <c r="H65" s="8">
        <v>1032.6000574654399</v>
      </c>
      <c r="I65" s="8">
        <v>1410.6813315387865</v>
      </c>
      <c r="J65" s="8">
        <v>1864.6369640400296</v>
      </c>
      <c r="K65" s="8">
        <v>1238.407190612879</v>
      </c>
      <c r="L65" s="8">
        <v>1562.4988876432124</v>
      </c>
      <c r="M65" s="8">
        <v>2039.9940576452013</v>
      </c>
      <c r="N65" s="22"/>
      <c r="O65" s="8">
        <v>103.59092265044072</v>
      </c>
      <c r="P65" s="8">
        <v>141.14907853652338</v>
      </c>
      <c r="Q65" s="8">
        <v>198.49602464737785</v>
      </c>
      <c r="R65" s="8">
        <v>95.930903779057928</v>
      </c>
      <c r="S65" s="8">
        <v>131.05551767150655</v>
      </c>
      <c r="T65" s="8">
        <v>173.22903275761786</v>
      </c>
      <c r="U65" s="8">
        <v>115.05085650835703</v>
      </c>
      <c r="V65" s="8">
        <v>145.15971538225753</v>
      </c>
      <c r="W65" s="8">
        <v>189.52010726608117</v>
      </c>
      <c r="X65" s="22"/>
      <c r="Y65"/>
      <c r="Z65" s="10">
        <f t="shared" si="0"/>
        <v>0.48437452851042612</v>
      </c>
      <c r="AA65"/>
      <c r="AB65" s="22"/>
    </row>
    <row r="66" spans="1:28" x14ac:dyDescent="0.25">
      <c r="A66" s="16"/>
      <c r="B66" s="3" t="s">
        <v>94</v>
      </c>
      <c r="C66" s="3" t="s">
        <v>97</v>
      </c>
      <c r="D66" s="11" t="s">
        <v>19</v>
      </c>
      <c r="E66" s="8">
        <v>1115.0524853607656</v>
      </c>
      <c r="F66" s="8">
        <v>1519.3284006131278</v>
      </c>
      <c r="G66" s="8">
        <v>2136.610814483839</v>
      </c>
      <c r="H66" s="8">
        <v>1032.6000574654399</v>
      </c>
      <c r="I66" s="8">
        <v>1410.6813315387865</v>
      </c>
      <c r="J66" s="8">
        <v>1864.6369640400296</v>
      </c>
      <c r="K66" s="8">
        <v>1238.407190612879</v>
      </c>
      <c r="L66" s="8">
        <v>1562.4988876432124</v>
      </c>
      <c r="M66" s="8">
        <v>2039.9940576452013</v>
      </c>
      <c r="N66" s="22"/>
      <c r="O66" s="8">
        <v>103.59092265044072</v>
      </c>
      <c r="P66" s="8">
        <v>141.14907853652338</v>
      </c>
      <c r="Q66" s="8">
        <v>198.49602464737785</v>
      </c>
      <c r="R66" s="8">
        <v>95.930903779057928</v>
      </c>
      <c r="S66" s="8">
        <v>131.05551767150655</v>
      </c>
      <c r="T66" s="8">
        <v>173.22903275761786</v>
      </c>
      <c r="U66" s="8">
        <v>115.05085650835703</v>
      </c>
      <c r="V66" s="8">
        <v>145.15971538225753</v>
      </c>
      <c r="W66" s="8">
        <v>189.52010726608117</v>
      </c>
      <c r="X66" s="22"/>
      <c r="Y66"/>
      <c r="Z66" s="10">
        <f t="shared" si="0"/>
        <v>0.48437452851042612</v>
      </c>
      <c r="AA66"/>
      <c r="AB66" s="22"/>
    </row>
    <row r="67" spans="1:28" x14ac:dyDescent="0.25">
      <c r="A67" s="16"/>
      <c r="B67" s="3" t="s">
        <v>94</v>
      </c>
      <c r="C67" s="3" t="s">
        <v>98</v>
      </c>
      <c r="D67" s="11" t="s">
        <v>19</v>
      </c>
      <c r="E67" s="9">
        <v>1115.0524853607656</v>
      </c>
      <c r="F67" s="9">
        <v>1519.3284006131278</v>
      </c>
      <c r="G67" s="9">
        <v>2136.610814483839</v>
      </c>
      <c r="H67" s="9">
        <v>1032.6000574654399</v>
      </c>
      <c r="I67" s="9">
        <v>1410.6813315387865</v>
      </c>
      <c r="J67" s="9">
        <v>1864.6369640400296</v>
      </c>
      <c r="K67" s="9">
        <v>1238.407190612879</v>
      </c>
      <c r="L67" s="9">
        <v>1562.4988876432124</v>
      </c>
      <c r="M67" s="9">
        <v>2039.9940576452013</v>
      </c>
      <c r="N67" s="22"/>
      <c r="O67" s="9">
        <v>103.59092265044072</v>
      </c>
      <c r="P67" s="9">
        <v>141.14907853652338</v>
      </c>
      <c r="Q67" s="9">
        <v>198.49602464737785</v>
      </c>
      <c r="R67" s="9">
        <v>95.930903779057928</v>
      </c>
      <c r="S67" s="9">
        <v>131.05551767150655</v>
      </c>
      <c r="T67" s="9">
        <v>173.22903275761786</v>
      </c>
      <c r="U67" s="9">
        <v>115.05085650835703</v>
      </c>
      <c r="V67" s="9">
        <v>145.15971538225753</v>
      </c>
      <c r="W67" s="9">
        <v>189.52010726608117</v>
      </c>
      <c r="X67" s="22"/>
      <c r="Y67"/>
      <c r="Z67" s="10">
        <f t="shared" si="0"/>
        <v>0.48437452851042612</v>
      </c>
      <c r="AA67"/>
      <c r="AB67" s="22"/>
    </row>
    <row r="68" spans="1:28" x14ac:dyDescent="0.25">
      <c r="A68" s="16"/>
      <c r="B68" s="3" t="s">
        <v>101</v>
      </c>
      <c r="C68" s="3" t="s">
        <v>102</v>
      </c>
      <c r="D68" s="11" t="s">
        <v>6</v>
      </c>
      <c r="E68" s="8">
        <v>873.74731476877184</v>
      </c>
      <c r="F68" s="8">
        <v>1173.3920089507708</v>
      </c>
      <c r="G68" s="8">
        <v>1411.0910989557435</v>
      </c>
      <c r="H68" s="8">
        <v>771.91800596718053</v>
      </c>
      <c r="I68" s="8">
        <v>1008.6306315266038</v>
      </c>
      <c r="J68" s="8">
        <v>1222.5923222277474</v>
      </c>
      <c r="K68" s="8">
        <v>941.60585280954751</v>
      </c>
      <c r="L68" s="8">
        <v>1144.7536797613127</v>
      </c>
      <c r="M68" s="8">
        <v>1626.1950452511189</v>
      </c>
      <c r="N68" s="22"/>
      <c r="O68" s="8">
        <v>81.173121165644176</v>
      </c>
      <c r="P68" s="8">
        <v>109.01079763840639</v>
      </c>
      <c r="Q68" s="8">
        <v>131.09358600044348</v>
      </c>
      <c r="R68" s="8">
        <v>71.712945801611355</v>
      </c>
      <c r="S68" s="8">
        <v>93.704089363589333</v>
      </c>
      <c r="T68" s="8">
        <v>113.5816191144948</v>
      </c>
      <c r="U68" s="8">
        <v>87.47733433734939</v>
      </c>
      <c r="V68" s="8">
        <v>106.35023144726144</v>
      </c>
      <c r="W68" s="8">
        <v>151.07723390494493</v>
      </c>
      <c r="X68" s="22"/>
      <c r="Y68" s="24">
        <f>O68/$Y$3</f>
        <v>0.55818291281517851</v>
      </c>
      <c r="AB68" s="22"/>
    </row>
    <row r="69" spans="1:28" x14ac:dyDescent="0.25">
      <c r="A69" s="16"/>
      <c r="B69" s="3" t="s">
        <v>103</v>
      </c>
      <c r="C69" s="3" t="s">
        <v>104</v>
      </c>
      <c r="D69" s="11" t="s">
        <v>6</v>
      </c>
      <c r="E69" s="8">
        <v>913.27346593734467</v>
      </c>
      <c r="F69" s="8">
        <v>1302.7311188463452</v>
      </c>
      <c r="G69" s="8">
        <v>1620.4620586772751</v>
      </c>
      <c r="H69" s="8">
        <v>889.69409249129785</v>
      </c>
      <c r="I69" s="8">
        <v>1329.3587419194432</v>
      </c>
      <c r="J69" s="8">
        <v>1563.1098458478371</v>
      </c>
      <c r="K69" s="8">
        <v>1140.8467165589259</v>
      </c>
      <c r="L69" s="8">
        <v>1500.9848264545003</v>
      </c>
      <c r="M69" s="8">
        <v>1928.0522078567878</v>
      </c>
      <c r="N69" s="22"/>
      <c r="O69" s="8">
        <v>84.845190886244367</v>
      </c>
      <c r="P69" s="8">
        <v>121.02669635597606</v>
      </c>
      <c r="Q69" s="8">
        <v>150.54462635819351</v>
      </c>
      <c r="R69" s="8">
        <v>82.65461323822899</v>
      </c>
      <c r="S69" s="8">
        <v>123.50046335649347</v>
      </c>
      <c r="T69" s="8">
        <v>145.21647479488507</v>
      </c>
      <c r="U69" s="8">
        <v>105.98726564232391</v>
      </c>
      <c r="V69" s="8">
        <v>139.4449186007835</v>
      </c>
      <c r="W69" s="8">
        <v>179.12045374750537</v>
      </c>
      <c r="X69" s="22"/>
      <c r="Y69" s="24">
        <f>O69/$Y$3</f>
        <v>0.58343371681620226</v>
      </c>
      <c r="AB69" s="22"/>
    </row>
    <row r="70" spans="1:28" x14ac:dyDescent="0.25">
      <c r="A70" s="16"/>
      <c r="B70" s="3" t="s">
        <v>105</v>
      </c>
      <c r="C70" s="3" t="s">
        <v>106</v>
      </c>
      <c r="D70" s="11" t="s">
        <v>6</v>
      </c>
      <c r="E70" s="8">
        <v>860.94069169567365</v>
      </c>
      <c r="F70" s="8">
        <v>1268.7336111387367</v>
      </c>
      <c r="G70" s="8">
        <v>1716.5761964196915</v>
      </c>
      <c r="H70" s="8">
        <v>887.75782794629538</v>
      </c>
      <c r="I70" s="8">
        <v>1222.5156086524119</v>
      </c>
      <c r="J70" s="8">
        <v>1554.3876931874688</v>
      </c>
      <c r="K70" s="8">
        <v>1150.2660094480357</v>
      </c>
      <c r="L70" s="8">
        <v>1432.9167821979115</v>
      </c>
      <c r="M70" s="8">
        <v>1944.1945887618099</v>
      </c>
      <c r="N70" s="22"/>
      <c r="O70" s="8">
        <v>79.983356632049663</v>
      </c>
      <c r="P70" s="8">
        <v>117.8682502402247</v>
      </c>
      <c r="Q70" s="8">
        <v>159.473849277478</v>
      </c>
      <c r="R70" s="8">
        <v>82.47472983960381</v>
      </c>
      <c r="S70" s="8">
        <v>113.57449224813362</v>
      </c>
      <c r="T70" s="8">
        <v>144.40616689149235</v>
      </c>
      <c r="U70" s="8">
        <v>106.86233946522285</v>
      </c>
      <c r="V70" s="8">
        <v>133.1212418231207</v>
      </c>
      <c r="W70" s="8">
        <v>180.62011780249833</v>
      </c>
      <c r="X70" s="22"/>
      <c r="Y70" s="24">
        <f t="shared" ref="Y70:Y79" si="1">O70/$Y$3</f>
        <v>0.55000155643280191</v>
      </c>
      <c r="AB70" s="22"/>
    </row>
    <row r="71" spans="1:28" x14ac:dyDescent="0.25">
      <c r="A71" s="16"/>
      <c r="B71" s="3" t="s">
        <v>107</v>
      </c>
      <c r="C71" s="3" t="s">
        <v>108</v>
      </c>
      <c r="D71" s="11" t="s">
        <v>6</v>
      </c>
      <c r="E71" s="8">
        <v>967.29903033316759</v>
      </c>
      <c r="F71" s="8">
        <v>967.29903033316759</v>
      </c>
      <c r="G71" s="8">
        <v>967.29903033316759</v>
      </c>
      <c r="H71" s="8">
        <v>967.29903033316759</v>
      </c>
      <c r="I71" s="8">
        <v>967.29903033316759</v>
      </c>
      <c r="J71" s="8">
        <v>967.29903033316759</v>
      </c>
      <c r="K71" s="8">
        <v>967.29903033316759</v>
      </c>
      <c r="L71" s="8">
        <v>967.29903033316759</v>
      </c>
      <c r="M71" s="8">
        <v>967.29903033316759</v>
      </c>
      <c r="N71" s="22"/>
      <c r="O71" s="8">
        <v>89.864500000000007</v>
      </c>
      <c r="P71" s="8">
        <v>150.76600000000002</v>
      </c>
      <c r="Q71" s="8">
        <v>188.79300000000001</v>
      </c>
      <c r="R71" s="8">
        <v>90.2</v>
      </c>
      <c r="S71" s="8">
        <v>151.11250000000001</v>
      </c>
      <c r="T71" s="8">
        <v>175.16400000000002</v>
      </c>
      <c r="U71" s="8">
        <v>97.476500000000001</v>
      </c>
      <c r="V71" s="8">
        <v>150.73850000000002</v>
      </c>
      <c r="W71" s="8">
        <v>172.86500000000001</v>
      </c>
      <c r="X71" s="22"/>
      <c r="Y71" s="24">
        <f t="shared" si="1"/>
        <v>0.61794874520495524</v>
      </c>
      <c r="AB71" s="22"/>
    </row>
    <row r="72" spans="1:28" x14ac:dyDescent="0.25">
      <c r="A72" s="16"/>
      <c r="B72" s="3" t="s">
        <v>109</v>
      </c>
      <c r="C72" s="3" t="s">
        <v>110</v>
      </c>
      <c r="D72" s="11" t="s">
        <v>6</v>
      </c>
      <c r="E72" s="8">
        <v>1058.3843013426156</v>
      </c>
      <c r="F72" s="8">
        <v>1058.3843013426156</v>
      </c>
      <c r="G72" s="8">
        <v>1058.3843013426156</v>
      </c>
      <c r="H72" s="8">
        <v>1058.3843013426156</v>
      </c>
      <c r="I72" s="8">
        <v>1058.3843013426156</v>
      </c>
      <c r="J72" s="8">
        <v>1058.3843013426156</v>
      </c>
      <c r="K72" s="8">
        <v>1058.3843013426156</v>
      </c>
      <c r="L72" s="8">
        <v>1058.3843013426156</v>
      </c>
      <c r="M72" s="8">
        <v>1058.3843013426156</v>
      </c>
      <c r="N72" s="22"/>
      <c r="O72" s="8">
        <v>98.322300000000013</v>
      </c>
      <c r="P72" s="8">
        <v>164.96189999999999</v>
      </c>
      <c r="Q72" s="8">
        <v>206.57420000000002</v>
      </c>
      <c r="R72" s="8">
        <v>98.68610000000001</v>
      </c>
      <c r="S72" s="8">
        <v>165.34710000000001</v>
      </c>
      <c r="T72" s="8">
        <v>191.65840000000003</v>
      </c>
      <c r="U72" s="8">
        <v>106.65760000000002</v>
      </c>
      <c r="V72" s="8">
        <v>164.9298</v>
      </c>
      <c r="W72" s="8">
        <v>191.7654</v>
      </c>
      <c r="X72" s="22"/>
      <c r="Y72" s="24">
        <f t="shared" si="1"/>
        <v>0.67610838440836118</v>
      </c>
      <c r="AB72" s="22"/>
    </row>
    <row r="73" spans="1:28" x14ac:dyDescent="0.25">
      <c r="A73" s="16"/>
      <c r="B73" s="3" t="s">
        <v>111</v>
      </c>
      <c r="C73" s="3" t="s">
        <v>112</v>
      </c>
      <c r="D73" s="11" t="s">
        <v>6</v>
      </c>
      <c r="E73" s="8">
        <v>504.76085629040273</v>
      </c>
      <c r="F73" s="8">
        <v>844.20454549975136</v>
      </c>
      <c r="G73" s="8">
        <v>1154.8402232720039</v>
      </c>
      <c r="H73" s="8">
        <v>540.41963799104917</v>
      </c>
      <c r="I73" s="8">
        <v>871.09930283441076</v>
      </c>
      <c r="J73" s="8">
        <v>1113.611070611636</v>
      </c>
      <c r="K73" s="8">
        <v>649.62988761810038</v>
      </c>
      <c r="L73" s="8">
        <v>927.69384584783677</v>
      </c>
      <c r="M73" s="8">
        <v>1298.2303838886126</v>
      </c>
      <c r="N73" s="22"/>
      <c r="O73" s="8">
        <v>46.89343641436912</v>
      </c>
      <c r="P73" s="8">
        <v>78.428530425382505</v>
      </c>
      <c r="Q73" s="8">
        <v>107.28729437689405</v>
      </c>
      <c r="R73" s="8">
        <v>50.206218678394549</v>
      </c>
      <c r="S73" s="8">
        <v>80.927114808928962</v>
      </c>
      <c r="T73" s="8">
        <v>103.45701192808041</v>
      </c>
      <c r="U73" s="8">
        <v>60.352100303052687</v>
      </c>
      <c r="V73" s="8">
        <v>86.184877115825245</v>
      </c>
      <c r="W73" s="8">
        <v>120.60856779880255</v>
      </c>
      <c r="X73" s="22"/>
      <c r="Y73" s="24">
        <f t="shared" si="1"/>
        <v>0.32246037301278874</v>
      </c>
      <c r="AB73" s="22"/>
    </row>
    <row r="74" spans="1:28" x14ac:dyDescent="0.25">
      <c r="A74" s="16"/>
      <c r="B74" s="3" t="s">
        <v>113</v>
      </c>
      <c r="C74" s="3" t="s">
        <v>114</v>
      </c>
      <c r="D74" s="11" t="s">
        <v>6</v>
      </c>
      <c r="E74" s="8">
        <v>1346.741596384883</v>
      </c>
      <c r="F74" s="8">
        <v>1835.0192323122824</v>
      </c>
      <c r="G74" s="8">
        <v>2580.5625268125318</v>
      </c>
      <c r="H74" s="8">
        <v>1247.156943799105</v>
      </c>
      <c r="I74" s="8">
        <v>1703.7971336499254</v>
      </c>
      <c r="J74" s="8">
        <v>2252.0770946643461</v>
      </c>
      <c r="K74" s="8">
        <v>1495.7273301093981</v>
      </c>
      <c r="L74" s="8">
        <v>1887.1598188612627</v>
      </c>
      <c r="M74" s="8">
        <v>2463.8704364843366</v>
      </c>
      <c r="N74" s="22"/>
      <c r="O74" s="8">
        <v>125.1153702384692</v>
      </c>
      <c r="P74" s="8">
        <v>170.47747783372756</v>
      </c>
      <c r="Q74" s="8">
        <v>239.74015270068003</v>
      </c>
      <c r="R74" s="8">
        <v>115.86372856364105</v>
      </c>
      <c r="S74" s="8">
        <v>158.28664515901028</v>
      </c>
      <c r="T74" s="8">
        <v>209.22310579911667</v>
      </c>
      <c r="U74" s="8">
        <v>138.95648518229359</v>
      </c>
      <c r="V74" s="8">
        <v>175.32145741231798</v>
      </c>
      <c r="W74" s="8">
        <v>228.89919098649193</v>
      </c>
      <c r="X74" s="22"/>
      <c r="Y74" s="24">
        <f t="shared" si="1"/>
        <v>0.86034959349593487</v>
      </c>
      <c r="AB74" s="22"/>
    </row>
    <row r="75" spans="1:28" x14ac:dyDescent="0.25">
      <c r="A75" s="16"/>
      <c r="B75" s="3" t="s">
        <v>115</v>
      </c>
      <c r="C75" s="3" t="s">
        <v>116</v>
      </c>
      <c r="D75" s="11" t="s">
        <v>6</v>
      </c>
      <c r="E75" s="8">
        <v>828.67683043262048</v>
      </c>
      <c r="F75" s="8">
        <v>1147.6344226752858</v>
      </c>
      <c r="G75" s="8">
        <v>1833.9745211337643</v>
      </c>
      <c r="H75" s="8">
        <v>1016.1419254102436</v>
      </c>
      <c r="I75" s="8">
        <v>1304.4877384385877</v>
      </c>
      <c r="J75" s="8">
        <v>1843.1820537046244</v>
      </c>
      <c r="K75" s="8">
        <v>1158.1098498259571</v>
      </c>
      <c r="L75" s="8">
        <v>1385.1916737941322</v>
      </c>
      <c r="M75" s="8">
        <v>2090.2599801093984</v>
      </c>
      <c r="N75" s="22"/>
      <c r="O75" s="8">
        <v>76.985970230615706</v>
      </c>
      <c r="P75" s="8">
        <v>106.6178590435361</v>
      </c>
      <c r="Q75" s="8">
        <v>170.3804217791411</v>
      </c>
      <c r="R75" s="8">
        <v>94.401905721043661</v>
      </c>
      <c r="S75" s="8">
        <v>121.18989032818388</v>
      </c>
      <c r="T75" s="8">
        <v>171.23582258481778</v>
      </c>
      <c r="U75" s="8">
        <v>107.59105015152635</v>
      </c>
      <c r="V75" s="8">
        <v>128.6874702490945</v>
      </c>
      <c r="W75" s="8">
        <v>194.18992626949515</v>
      </c>
      <c r="X75" s="22"/>
      <c r="Y75" s="24">
        <f t="shared" si="1"/>
        <v>0.529390178573241</v>
      </c>
      <c r="AB75" s="22"/>
    </row>
    <row r="76" spans="1:28" x14ac:dyDescent="0.25">
      <c r="A76" s="16"/>
      <c r="B76" s="3" t="s">
        <v>117</v>
      </c>
      <c r="C76" s="3" t="s">
        <v>118</v>
      </c>
      <c r="D76" s="11" t="s">
        <v>6</v>
      </c>
      <c r="E76" s="8">
        <v>1237.1230943535554</v>
      </c>
      <c r="F76" s="8">
        <v>1685.6572017752362</v>
      </c>
      <c r="G76" s="8">
        <v>2370.5167397463952</v>
      </c>
      <c r="H76" s="8">
        <v>1145.6441693038291</v>
      </c>
      <c r="I76" s="8">
        <v>1565.1159716086522</v>
      </c>
      <c r="J76" s="8">
        <v>2068.7684939358528</v>
      </c>
      <c r="K76" s="8">
        <v>1373.9820823097959</v>
      </c>
      <c r="L76" s="8">
        <v>1733.5537870934857</v>
      </c>
      <c r="M76" s="8">
        <v>2263.3228428170064</v>
      </c>
      <c r="N76" s="22"/>
      <c r="O76" s="8">
        <v>114.93156103301241</v>
      </c>
      <c r="P76" s="8">
        <v>156.60140405656367</v>
      </c>
      <c r="Q76" s="8">
        <v>220.22641934132233</v>
      </c>
      <c r="R76" s="8">
        <v>106.43295995962376</v>
      </c>
      <c r="S76" s="8">
        <v>145.40284846002109</v>
      </c>
      <c r="T76" s="8">
        <v>192.19331811779324</v>
      </c>
      <c r="U76" s="8">
        <v>127.6460735976883</v>
      </c>
      <c r="V76" s="8">
        <v>161.05110622759443</v>
      </c>
      <c r="W76" s="8">
        <v>210.26786148759149</v>
      </c>
      <c r="X76" s="22"/>
      <c r="Y76" s="24">
        <f t="shared" si="1"/>
        <v>0.79032113821138217</v>
      </c>
      <c r="AB76" s="22"/>
    </row>
    <row r="77" spans="1:28" x14ac:dyDescent="0.25">
      <c r="A77" s="16"/>
      <c r="B77" s="3" t="s">
        <v>119</v>
      </c>
      <c r="C77" s="3" t="s">
        <v>120</v>
      </c>
      <c r="D77" s="11" t="s">
        <v>6</v>
      </c>
      <c r="E77" s="8">
        <v>1315.4220243759321</v>
      </c>
      <c r="F77" s="8">
        <v>1792.3443664445549</v>
      </c>
      <c r="G77" s="8">
        <v>2520.5494447936353</v>
      </c>
      <c r="H77" s="8">
        <v>1218.1532939433118</v>
      </c>
      <c r="I77" s="8">
        <v>1664.1739444952757</v>
      </c>
      <c r="J77" s="8">
        <v>2199.7032087419193</v>
      </c>
      <c r="K77" s="8">
        <v>1460.942973595226</v>
      </c>
      <c r="L77" s="8">
        <v>1843.2723812133265</v>
      </c>
      <c r="M77" s="8">
        <v>2406.5711240079563</v>
      </c>
      <c r="N77" s="22"/>
      <c r="O77" s="8">
        <v>122.20571046548156</v>
      </c>
      <c r="P77" s="8">
        <v>166.51288532596644</v>
      </c>
      <c r="Q77" s="8">
        <v>234.16480031229207</v>
      </c>
      <c r="R77" s="8">
        <v>113.16922324820754</v>
      </c>
      <c r="S77" s="8">
        <v>154.6055603878705</v>
      </c>
      <c r="T77" s="8">
        <v>204.35745217588143</v>
      </c>
      <c r="U77" s="8">
        <v>135.72493901526352</v>
      </c>
      <c r="V77" s="8">
        <v>171.24421421668268</v>
      </c>
      <c r="W77" s="8">
        <v>223.5759539868061</v>
      </c>
      <c r="X77" s="22"/>
      <c r="Y77" s="24">
        <f t="shared" si="1"/>
        <v>0.84034146341463423</v>
      </c>
      <c r="AB77" s="22"/>
    </row>
    <row r="78" spans="1:28" x14ac:dyDescent="0.25">
      <c r="A78" s="21" t="s">
        <v>121</v>
      </c>
      <c r="B78" s="18" t="s">
        <v>122</v>
      </c>
      <c r="C78" s="18" t="s">
        <v>123</v>
      </c>
      <c r="D78" s="19" t="s">
        <v>6</v>
      </c>
      <c r="E78" s="8"/>
      <c r="F78" s="8"/>
      <c r="G78" s="8"/>
      <c r="H78" s="8"/>
      <c r="I78" s="8"/>
      <c r="J78" s="8"/>
      <c r="K78" s="8"/>
      <c r="L78" s="8"/>
      <c r="M78" s="8"/>
      <c r="N78" s="22"/>
      <c r="X78" s="22"/>
      <c r="AB78" s="22"/>
    </row>
    <row r="79" spans="1:28" x14ac:dyDescent="0.25">
      <c r="A79" s="16"/>
      <c r="B79" s="3" t="s">
        <v>122</v>
      </c>
      <c r="C79" s="3" t="s">
        <v>124</v>
      </c>
      <c r="D79" s="11" t="s">
        <v>6</v>
      </c>
      <c r="E79" s="8">
        <v>1218.5937891596222</v>
      </c>
      <c r="F79" s="8">
        <v>1429.124669318747</v>
      </c>
      <c r="G79" s="8">
        <v>1720.9361760318252</v>
      </c>
      <c r="H79" s="8">
        <v>1056.8764047737445</v>
      </c>
      <c r="I79" s="8">
        <v>1265.5226802585778</v>
      </c>
      <c r="J79" s="8">
        <v>1546.8560616608654</v>
      </c>
      <c r="K79" s="8">
        <v>1228.1855862754851</v>
      </c>
      <c r="L79" s="8">
        <v>1438.0752113376432</v>
      </c>
      <c r="M79" s="8">
        <v>1726.6877851815018</v>
      </c>
      <c r="N79" s="22"/>
      <c r="O79" s="8">
        <v>113.21014625988617</v>
      </c>
      <c r="P79" s="8">
        <v>132.76894587552664</v>
      </c>
      <c r="Q79" s="8">
        <v>159.87890134156257</v>
      </c>
      <c r="R79" s="8">
        <v>98.186231890753191</v>
      </c>
      <c r="S79" s="8">
        <v>117.56994742774779</v>
      </c>
      <c r="T79" s="8">
        <v>143.70646112055584</v>
      </c>
      <c r="U79" s="8">
        <v>114.10124611944713</v>
      </c>
      <c r="V79" s="8">
        <v>133.60047167196393</v>
      </c>
      <c r="W79" s="8">
        <v>160.41323896814251</v>
      </c>
      <c r="X79" s="22"/>
      <c r="Y79" s="24">
        <f t="shared" si="1"/>
        <v>0.77848391551464835</v>
      </c>
      <c r="AB79" s="22"/>
    </row>
    <row r="80" spans="1:28" x14ac:dyDescent="0.25">
      <c r="A80" s="21" t="s">
        <v>121</v>
      </c>
      <c r="B80" s="18" t="s">
        <v>122</v>
      </c>
      <c r="C80" s="18" t="s">
        <v>125</v>
      </c>
      <c r="D80" s="19" t="s">
        <v>6</v>
      </c>
      <c r="E80" s="8"/>
      <c r="F80" s="8"/>
      <c r="G80" s="8"/>
      <c r="H80" s="8"/>
      <c r="I80" s="8"/>
      <c r="J80" s="8"/>
      <c r="K80" s="8"/>
      <c r="L80" s="8"/>
      <c r="M80" s="8"/>
      <c r="N80" s="22"/>
      <c r="X80" s="22"/>
      <c r="AB80" s="22"/>
    </row>
    <row r="81" spans="1:28" x14ac:dyDescent="0.25">
      <c r="A81" s="21" t="s">
        <v>121</v>
      </c>
      <c r="B81" s="18" t="s">
        <v>122</v>
      </c>
      <c r="C81" s="18" t="s">
        <v>126</v>
      </c>
      <c r="D81" s="19" t="s">
        <v>6</v>
      </c>
      <c r="E81" s="8"/>
      <c r="F81" s="8"/>
      <c r="G81" s="8"/>
      <c r="H81" s="8"/>
      <c r="I81" s="8"/>
      <c r="J81" s="8"/>
      <c r="K81" s="8"/>
      <c r="L81" s="8"/>
      <c r="M81" s="8"/>
      <c r="N81" s="22"/>
      <c r="X81" s="22"/>
      <c r="AB81" s="22"/>
    </row>
    <row r="82" spans="1:28" x14ac:dyDescent="0.25">
      <c r="A82" s="21" t="s">
        <v>121</v>
      </c>
      <c r="B82" s="18" t="s">
        <v>122</v>
      </c>
      <c r="C82" s="18" t="s">
        <v>127</v>
      </c>
      <c r="D82" s="19" t="s">
        <v>6</v>
      </c>
      <c r="E82" s="8"/>
      <c r="F82" s="8"/>
      <c r="G82" s="8"/>
      <c r="H82" s="8"/>
      <c r="I82" s="8"/>
      <c r="J82" s="8"/>
      <c r="K82" s="8"/>
      <c r="L82" s="8"/>
      <c r="M82" s="8"/>
      <c r="N82" s="22"/>
      <c r="X82" s="22"/>
      <c r="AB82" s="22"/>
    </row>
    <row r="83" spans="1:28" x14ac:dyDescent="0.25">
      <c r="A83" s="21" t="s">
        <v>121</v>
      </c>
      <c r="B83" s="18" t="s">
        <v>122</v>
      </c>
      <c r="C83" s="18" t="s">
        <v>128</v>
      </c>
      <c r="D83" s="19" t="s">
        <v>6</v>
      </c>
      <c r="E83" s="8"/>
      <c r="F83" s="8"/>
      <c r="G83" s="8"/>
      <c r="H83" s="8"/>
      <c r="I83" s="8"/>
      <c r="J83" s="8"/>
      <c r="K83" s="8"/>
      <c r="L83" s="8"/>
      <c r="M83" s="8"/>
      <c r="N83" s="22"/>
      <c r="X83" s="22"/>
      <c r="AB83" s="22"/>
    </row>
    <row r="84" spans="1:28" x14ac:dyDescent="0.25">
      <c r="A84" s="21"/>
      <c r="B84" s="3" t="s">
        <v>129</v>
      </c>
      <c r="C84" s="3" t="s">
        <v>130</v>
      </c>
      <c r="D84" s="11" t="s">
        <v>6</v>
      </c>
      <c r="E84" s="8">
        <v>954.49575932371965</v>
      </c>
      <c r="F84" s="8">
        <v>1403.1196260566883</v>
      </c>
      <c r="G84" s="8">
        <v>1891.0941720537048</v>
      </c>
      <c r="H84" s="8">
        <v>934.80283441074096</v>
      </c>
      <c r="I84" s="8">
        <v>1306.9535355544506</v>
      </c>
      <c r="J84" s="8">
        <v>1665.6792739930384</v>
      </c>
      <c r="K84" s="8">
        <v>1264.8225022376928</v>
      </c>
      <c r="L84" s="8">
        <v>1580.0541183490802</v>
      </c>
      <c r="M84" s="8">
        <v>2164.7676340129287</v>
      </c>
      <c r="N84" s="22"/>
      <c r="O84" s="8">
        <v>88.674836092837609</v>
      </c>
      <c r="P84" s="8">
        <v>130.35301796141621</v>
      </c>
      <c r="Q84" s="8">
        <v>175.68696780988986</v>
      </c>
      <c r="R84" s="8">
        <v>86.845318390124916</v>
      </c>
      <c r="S84" s="8">
        <v>121.41896851208514</v>
      </c>
      <c r="T84" s="8">
        <v>154.74540893635893</v>
      </c>
      <c r="U84" s="8">
        <v>117.50489929041318</v>
      </c>
      <c r="V84" s="8">
        <v>146.79063641067339</v>
      </c>
      <c r="W84" s="8">
        <v>201.11185749131494</v>
      </c>
      <c r="X84" s="22"/>
      <c r="Y84" s="24">
        <f t="shared" ref="Y84:Y111" si="2">O84/$Y$3</f>
        <v>0.60976808077521238</v>
      </c>
      <c r="AB84" s="22"/>
    </row>
    <row r="85" spans="1:28" x14ac:dyDescent="0.25">
      <c r="A85" s="21"/>
      <c r="B85" s="3" t="s">
        <v>131</v>
      </c>
      <c r="C85" s="3" t="s">
        <v>132</v>
      </c>
      <c r="D85" s="11" t="s">
        <v>6</v>
      </c>
      <c r="E85" s="8">
        <v>971.50637056190953</v>
      </c>
      <c r="F85" s="8">
        <v>1262.3664107409249</v>
      </c>
      <c r="G85" s="8">
        <v>1412.3895224266535</v>
      </c>
      <c r="H85" s="8">
        <v>947.13959542516159</v>
      </c>
      <c r="I85" s="8">
        <v>1152.0544320238687</v>
      </c>
      <c r="J85" s="8">
        <v>1234.1369499751368</v>
      </c>
      <c r="K85" s="8">
        <v>1024.0751564395823</v>
      </c>
      <c r="L85" s="8">
        <v>1231.2371560815516</v>
      </c>
      <c r="M85" s="8">
        <v>1475.2084022476381</v>
      </c>
      <c r="N85" s="22"/>
      <c r="O85" s="8">
        <v>90.255160728804782</v>
      </c>
      <c r="P85" s="8">
        <v>117.27672278069331</v>
      </c>
      <c r="Q85" s="8">
        <v>131.21421250646756</v>
      </c>
      <c r="R85" s="8">
        <v>87.991431665311538</v>
      </c>
      <c r="S85" s="8">
        <v>107.02848800724368</v>
      </c>
      <c r="T85" s="8">
        <v>114.65414139995565</v>
      </c>
      <c r="U85" s="8">
        <v>95.138921003030518</v>
      </c>
      <c r="V85" s="8">
        <v>114.38474392416289</v>
      </c>
      <c r="W85" s="8">
        <v>137.05022991906273</v>
      </c>
      <c r="X85" s="22"/>
      <c r="Y85" s="24">
        <f t="shared" si="2"/>
        <v>0.62063510419171608</v>
      </c>
      <c r="AB85" s="22"/>
    </row>
    <row r="86" spans="1:28" x14ac:dyDescent="0.25">
      <c r="A86" s="21"/>
      <c r="B86" s="3" t="s">
        <v>133</v>
      </c>
      <c r="C86" s="3" t="s">
        <v>134</v>
      </c>
      <c r="D86" s="11" t="s">
        <v>6</v>
      </c>
      <c r="E86" s="8">
        <v>1152.6033615116858</v>
      </c>
      <c r="F86" s="8">
        <v>1576.4909646941821</v>
      </c>
      <c r="G86" s="8">
        <v>2005.5599005469915</v>
      </c>
      <c r="H86" s="8">
        <v>1141.8405768274492</v>
      </c>
      <c r="I86" s="8">
        <v>1532.6268175037296</v>
      </c>
      <c r="J86" s="8">
        <v>1918.8994778717058</v>
      </c>
      <c r="K86" s="8">
        <v>1355.8854838388861</v>
      </c>
      <c r="L86" s="8">
        <v>1678.3695967180511</v>
      </c>
      <c r="M86" s="8">
        <v>2447.6861884634513</v>
      </c>
      <c r="N86" s="22"/>
      <c r="O86" s="8">
        <v>107.07948481040727</v>
      </c>
      <c r="P86" s="8">
        <v>146.45961129795253</v>
      </c>
      <c r="Q86" s="8">
        <v>186.32109542464335</v>
      </c>
      <c r="R86" s="8">
        <v>106.07959753122921</v>
      </c>
      <c r="S86" s="8">
        <v>142.38453183901248</v>
      </c>
      <c r="T86" s="8">
        <v>178.27014422721561</v>
      </c>
      <c r="U86" s="8">
        <v>125.96485826742553</v>
      </c>
      <c r="V86" s="8">
        <v>155.92436890198832</v>
      </c>
      <c r="W86" s="8">
        <v>227.39563738081159</v>
      </c>
      <c r="X86" s="22"/>
      <c r="Y86" s="24">
        <f t="shared" si="2"/>
        <v>0.73632672830521761</v>
      </c>
      <c r="AB86" s="22"/>
    </row>
    <row r="87" spans="1:28" x14ac:dyDescent="0.25">
      <c r="A87" s="21"/>
      <c r="B87" s="3" t="s">
        <v>135</v>
      </c>
      <c r="C87" s="3" t="s">
        <v>136</v>
      </c>
      <c r="D87" s="11" t="s">
        <v>6</v>
      </c>
      <c r="E87" s="8">
        <v>1170.9677274987569</v>
      </c>
      <c r="F87" s="8">
        <v>1170.9677274987569</v>
      </c>
      <c r="G87" s="8">
        <v>1170.9677274987569</v>
      </c>
      <c r="H87" s="8">
        <v>1170.9677274987569</v>
      </c>
      <c r="I87" s="8">
        <v>1170.9677274987569</v>
      </c>
      <c r="J87" s="8">
        <v>1170.9677274987569</v>
      </c>
      <c r="K87" s="8">
        <v>1170.9677274987569</v>
      </c>
      <c r="L87" s="8">
        <v>1170.9677274987569</v>
      </c>
      <c r="M87" s="8">
        <v>1170.9677274987569</v>
      </c>
      <c r="N87" s="22"/>
      <c r="O87" s="8">
        <v>108.78660000000001</v>
      </c>
      <c r="P87" s="8">
        <v>146.8246</v>
      </c>
      <c r="Q87" s="8">
        <v>157.53919999999999</v>
      </c>
      <c r="R87" s="8">
        <v>98.378799999999998</v>
      </c>
      <c r="S87" s="8">
        <v>127.9902</v>
      </c>
      <c r="T87" s="8">
        <v>141.60380000000001</v>
      </c>
      <c r="U87" s="8">
        <v>107.3254</v>
      </c>
      <c r="V87" s="8">
        <v>131.8434</v>
      </c>
      <c r="W87" s="8">
        <v>145.06960000000001</v>
      </c>
      <c r="X87" s="22"/>
      <c r="Y87" s="24">
        <f t="shared" si="2"/>
        <v>0.74806562063009741</v>
      </c>
      <c r="AB87" s="22"/>
    </row>
    <row r="88" spans="1:28" x14ac:dyDescent="0.25">
      <c r="A88" s="21"/>
      <c r="B88" s="3" t="s">
        <v>137</v>
      </c>
      <c r="C88" s="3" t="s">
        <v>138</v>
      </c>
      <c r="D88" s="11" t="s">
        <v>6</v>
      </c>
      <c r="E88" s="8">
        <v>686.05941819990062</v>
      </c>
      <c r="F88" s="8">
        <v>1162.8963252113376</v>
      </c>
      <c r="G88" s="8">
        <v>1660.5452909000498</v>
      </c>
      <c r="H88" s="8">
        <v>681.51125310790655</v>
      </c>
      <c r="I88" s="8">
        <v>947.87421183490801</v>
      </c>
      <c r="J88" s="8">
        <v>1253.1269617105918</v>
      </c>
      <c r="K88" s="8">
        <v>858.10036051715565</v>
      </c>
      <c r="L88" s="8">
        <v>1039.1328677274989</v>
      </c>
      <c r="M88" s="8">
        <v>1443.1224082545996</v>
      </c>
      <c r="N88" s="22"/>
      <c r="O88" s="8">
        <v>71.145825633823634</v>
      </c>
      <c r="P88" s="8">
        <v>119.5462917621406</v>
      </c>
      <c r="Q88" s="8">
        <v>140.78529547638405</v>
      </c>
      <c r="R88" s="8">
        <v>71.661784869539503</v>
      </c>
      <c r="S88" s="8">
        <v>114.98585076502329</v>
      </c>
      <c r="T88" s="8">
        <v>128.94102067780324</v>
      </c>
      <c r="U88" s="8">
        <v>76.484921187818756</v>
      </c>
      <c r="V88" s="8">
        <v>105.58739970618672</v>
      </c>
      <c r="W88" s="8">
        <v>132.36847193990687</v>
      </c>
      <c r="X88" s="22"/>
      <c r="Y88" s="24">
        <f t="shared" si="2"/>
        <v>0.48923071598898177</v>
      </c>
      <c r="AB88" s="22"/>
    </row>
    <row r="89" spans="1:28" x14ac:dyDescent="0.25">
      <c r="A89" s="16"/>
      <c r="B89" s="3" t="s">
        <v>139</v>
      </c>
      <c r="C89" s="3" t="s">
        <v>140</v>
      </c>
      <c r="D89" s="11" t="s">
        <v>6</v>
      </c>
      <c r="E89" s="8">
        <v>746.2023440079563</v>
      </c>
      <c r="F89" s="8">
        <v>1095.9434756837395</v>
      </c>
      <c r="G89" s="8">
        <v>1467.9147628045748</v>
      </c>
      <c r="H89" s="8">
        <v>731.07117941322724</v>
      </c>
      <c r="I89" s="8">
        <v>1020.2901305818002</v>
      </c>
      <c r="J89" s="8">
        <v>1294.1182460467428</v>
      </c>
      <c r="K89" s="8">
        <v>1012.6319152660368</v>
      </c>
      <c r="L89" s="8">
        <v>1257.4741828940826</v>
      </c>
      <c r="M89" s="8">
        <v>1700.9926338140228</v>
      </c>
      <c r="N89" s="22"/>
      <c r="O89" s="4">
        <v>69.323902071476084</v>
      </c>
      <c r="P89" s="4">
        <v>101.81565200680021</v>
      </c>
      <c r="Q89" s="4">
        <v>136.37263415625694</v>
      </c>
      <c r="R89" s="4">
        <v>67.918182321309772</v>
      </c>
      <c r="S89" s="4">
        <v>94.787283455909531</v>
      </c>
      <c r="T89" s="4">
        <v>120.22654080124177</v>
      </c>
      <c r="U89" s="4">
        <v>94.075817761844917</v>
      </c>
      <c r="V89" s="4">
        <v>116.82222363995859</v>
      </c>
      <c r="W89" s="4">
        <v>158.02610071882623</v>
      </c>
      <c r="X89" s="22"/>
      <c r="Y89" s="24">
        <f t="shared" si="2"/>
        <v>0.47670234962393204</v>
      </c>
      <c r="AB89" s="22"/>
    </row>
    <row r="90" spans="1:28" x14ac:dyDescent="0.25">
      <c r="A90" s="16"/>
      <c r="B90" s="3" t="s">
        <v>141</v>
      </c>
      <c r="C90" s="3" t="s">
        <v>141</v>
      </c>
      <c r="D90" s="11" t="s">
        <v>6</v>
      </c>
      <c r="E90" s="8">
        <v>1009.3823968175037</v>
      </c>
      <c r="F90" s="8">
        <v>1402.8199900546992</v>
      </c>
      <c r="G90" s="8">
        <v>1669.17105917454</v>
      </c>
      <c r="H90" s="8">
        <v>972.71954251616114</v>
      </c>
      <c r="I90" s="8">
        <v>1430.9517652909001</v>
      </c>
      <c r="J90" s="8">
        <v>1594.3575335653904</v>
      </c>
      <c r="K90" s="8">
        <v>1228.1882645450025</v>
      </c>
      <c r="L90" s="8">
        <v>1659.8113376429637</v>
      </c>
      <c r="M90" s="8">
        <v>1947.8415713575334</v>
      </c>
      <c r="N90" s="22"/>
      <c r="O90" s="8">
        <v>93.773930076132743</v>
      </c>
      <c r="P90" s="8">
        <v>130.32518109246803</v>
      </c>
      <c r="Q90" s="8">
        <v>155.06980375489687</v>
      </c>
      <c r="R90" s="8">
        <v>90.367867174218333</v>
      </c>
      <c r="S90" s="8">
        <v>132.93868726439499</v>
      </c>
      <c r="T90" s="8">
        <v>148.11945635301942</v>
      </c>
      <c r="U90" s="8">
        <v>114.10149493680242</v>
      </c>
      <c r="V90" s="8">
        <v>154.20026424717273</v>
      </c>
      <c r="W90" s="8">
        <v>180.95893081528567</v>
      </c>
      <c r="X90" s="22"/>
      <c r="Y90" s="24">
        <f t="shared" si="2"/>
        <v>0.6448317458338213</v>
      </c>
      <c r="AB90" s="22"/>
    </row>
    <row r="91" spans="1:28" x14ac:dyDescent="0.25">
      <c r="A91" s="16"/>
      <c r="B91" s="3" t="s">
        <v>142</v>
      </c>
      <c r="C91" s="3" t="s">
        <v>143</v>
      </c>
      <c r="D91" s="11" t="s">
        <v>6</v>
      </c>
      <c r="E91" s="8">
        <v>1234.5493153031327</v>
      </c>
      <c r="F91" s="8">
        <v>1682.1502676537048</v>
      </c>
      <c r="G91" s="8">
        <v>2365.584986106614</v>
      </c>
      <c r="H91" s="8">
        <v>1143.2607080495277</v>
      </c>
      <c r="I91" s="8">
        <v>1561.859818104127</v>
      </c>
      <c r="J91" s="8">
        <v>2064.4645139728495</v>
      </c>
      <c r="K91" s="8">
        <v>1371.1235742799602</v>
      </c>
      <c r="L91" s="8">
        <v>1729.9472062767777</v>
      </c>
      <c r="M91" s="8">
        <v>2258.6141012667331</v>
      </c>
      <c r="N91" s="22"/>
      <c r="O91" s="8">
        <v>114.6924510807617</v>
      </c>
      <c r="P91" s="8">
        <v>156.27560186689703</v>
      </c>
      <c r="Q91" s="8">
        <v>219.76824816414737</v>
      </c>
      <c r="R91" s="8">
        <v>106.21153096531525</v>
      </c>
      <c r="S91" s="8">
        <v>145.10034436245289</v>
      </c>
      <c r="T91" s="8">
        <v>191.79346854901507</v>
      </c>
      <c r="U91" s="8">
        <v>127.38051167293408</v>
      </c>
      <c r="V91" s="8">
        <v>160.71604663235456</v>
      </c>
      <c r="W91" s="8">
        <v>209.83040864288751</v>
      </c>
      <c r="X91" s="22"/>
      <c r="Y91" s="24">
        <f t="shared" si="2"/>
        <v>0.78867691056910572</v>
      </c>
      <c r="AB91" s="22"/>
    </row>
    <row r="92" spans="1:28" x14ac:dyDescent="0.25">
      <c r="A92" s="16"/>
      <c r="B92" s="3" t="s">
        <v>144</v>
      </c>
      <c r="C92" s="3" t="s">
        <v>145</v>
      </c>
      <c r="D92" s="11" t="s">
        <v>6</v>
      </c>
      <c r="E92" s="8">
        <v>752.06740427647935</v>
      </c>
      <c r="F92" s="8">
        <v>1066.1323570363004</v>
      </c>
      <c r="G92" s="8">
        <v>1396.1472799602188</v>
      </c>
      <c r="H92" s="8">
        <v>778.28000994530089</v>
      </c>
      <c r="I92" s="8">
        <v>974.37520139234221</v>
      </c>
      <c r="J92" s="8">
        <v>1199.1065937344606</v>
      </c>
      <c r="K92" s="8">
        <v>742.82315763301847</v>
      </c>
      <c r="L92" s="8">
        <v>906.49325211337646</v>
      </c>
      <c r="M92" s="8">
        <v>1185.0784733963203</v>
      </c>
      <c r="N92" s="22"/>
      <c r="O92" s="8">
        <v>69.868779566117226</v>
      </c>
      <c r="P92" s="8">
        <v>99.046130996378139</v>
      </c>
      <c r="Q92" s="8">
        <v>129.70527108433734</v>
      </c>
      <c r="R92" s="8">
        <v>72.30399050188484</v>
      </c>
      <c r="S92" s="8">
        <v>90.521681665311561</v>
      </c>
      <c r="T92" s="8">
        <v>111.39974129647423</v>
      </c>
      <c r="U92" s="8">
        <v>69.009967939241633</v>
      </c>
      <c r="V92" s="8">
        <v>84.215293536107623</v>
      </c>
      <c r="W92" s="8">
        <v>110.09649687707886</v>
      </c>
      <c r="X92" s="22"/>
      <c r="Y92" s="24">
        <f t="shared" si="2"/>
        <v>0.48044917249730157</v>
      </c>
      <c r="AB92" s="22"/>
    </row>
    <row r="93" spans="1:28" x14ac:dyDescent="0.25">
      <c r="A93" s="16"/>
      <c r="B93" s="3" t="s">
        <v>146</v>
      </c>
      <c r="C93" s="3" t="s">
        <v>147</v>
      </c>
      <c r="D93" s="11" t="s">
        <v>6</v>
      </c>
      <c r="E93" s="8">
        <v>963.33580009945297</v>
      </c>
      <c r="F93" s="8">
        <v>1403.5290337145698</v>
      </c>
      <c r="G93" s="8">
        <v>1992.8350245648928</v>
      </c>
      <c r="H93" s="8">
        <v>939.43483262058669</v>
      </c>
      <c r="I93" s="8">
        <v>1316.8858406762804</v>
      </c>
      <c r="J93" s="8">
        <v>1755.0051246146195</v>
      </c>
      <c r="K93" s="8">
        <v>1212.2018458478367</v>
      </c>
      <c r="L93" s="8">
        <v>1535.4781294878167</v>
      </c>
      <c r="M93" s="8">
        <v>2170.2963180507209</v>
      </c>
      <c r="N93" s="22"/>
      <c r="O93" s="8">
        <v>89.496096071402164</v>
      </c>
      <c r="P93" s="8">
        <v>130.39105286791334</v>
      </c>
      <c r="Q93" s="8">
        <v>185.13892538251162</v>
      </c>
      <c r="R93" s="8">
        <v>87.275641603222695</v>
      </c>
      <c r="S93" s="8">
        <v>122.34170234311478</v>
      </c>
      <c r="T93" s="8">
        <v>163.04398447778843</v>
      </c>
      <c r="U93" s="8">
        <v>112.61632012713429</v>
      </c>
      <c r="V93" s="8">
        <v>142.64942523468102</v>
      </c>
      <c r="W93" s="8">
        <v>201.6254848658437</v>
      </c>
      <c r="X93" s="22"/>
      <c r="Y93" s="24">
        <f t="shared" si="2"/>
        <v>0.61541543399301268</v>
      </c>
      <c r="AB93" s="22"/>
    </row>
    <row r="94" spans="1:28" x14ac:dyDescent="0.25">
      <c r="A94" s="16"/>
      <c r="B94" s="3" t="s">
        <v>148</v>
      </c>
      <c r="C94" s="3" t="s">
        <v>149</v>
      </c>
      <c r="D94" s="11" t="s">
        <v>6</v>
      </c>
      <c r="E94" s="8">
        <v>1248.914066911984</v>
      </c>
      <c r="F94" s="8">
        <v>1701.723135634013</v>
      </c>
      <c r="G94" s="8">
        <v>2393.1100434808554</v>
      </c>
      <c r="H94" s="8">
        <v>1156.5632597513677</v>
      </c>
      <c r="I94" s="8">
        <v>1580.0330316459474</v>
      </c>
      <c r="J94" s="8">
        <v>2088.4858467628046</v>
      </c>
      <c r="K94" s="8">
        <v>1387.0774526106416</v>
      </c>
      <c r="L94" s="8">
        <v>1750.0762214619592</v>
      </c>
      <c r="M94" s="8">
        <v>2284.8944856489311</v>
      </c>
      <c r="N94" s="22"/>
      <c r="O94" s="8">
        <v>116.02696931406608</v>
      </c>
      <c r="P94" s="8">
        <v>158.09396600635671</v>
      </c>
      <c r="Q94" s="8">
        <v>222.32538886096532</v>
      </c>
      <c r="R94" s="8">
        <v>107.4473684012122</v>
      </c>
      <c r="S94" s="8">
        <v>146.78867740779069</v>
      </c>
      <c r="T94" s="8">
        <v>194.02510522950701</v>
      </c>
      <c r="U94" s="8">
        <v>128.86266340823417</v>
      </c>
      <c r="V94" s="8">
        <v>162.5860781173775</v>
      </c>
      <c r="W94" s="8">
        <v>212.27191637593316</v>
      </c>
      <c r="X94" s="22"/>
      <c r="Y94" s="24">
        <f t="shared" si="2"/>
        <v>0.79785365853658541</v>
      </c>
      <c r="AB94" s="22"/>
    </row>
    <row r="95" spans="1:28" x14ac:dyDescent="0.25">
      <c r="A95" s="16"/>
      <c r="B95" s="3" t="s">
        <v>99</v>
      </c>
      <c r="C95" s="3" t="s">
        <v>100</v>
      </c>
      <c r="D95" s="11" t="s">
        <v>6</v>
      </c>
      <c r="E95" s="4">
        <v>1754.455992342118</v>
      </c>
      <c r="F95" s="4">
        <v>2390.5554687220283</v>
      </c>
      <c r="G95" s="4">
        <v>3361.8055616111387</v>
      </c>
      <c r="H95" s="4">
        <v>1624.7229455992042</v>
      </c>
      <c r="I95" s="4">
        <v>2219.6070121332668</v>
      </c>
      <c r="J95" s="4">
        <v>2933.8739997016405</v>
      </c>
      <c r="K95" s="4">
        <v>1948.5458712083537</v>
      </c>
      <c r="L95" s="4">
        <v>2458.4811678766778</v>
      </c>
      <c r="M95" s="4">
        <v>3209.7859479860763</v>
      </c>
      <c r="N95" s="22"/>
      <c r="O95" s="8">
        <v>162.99296883546452</v>
      </c>
      <c r="P95" s="8">
        <v>222.08806303126613</v>
      </c>
      <c r="Q95" s="8">
        <v>312.31941497893411</v>
      </c>
      <c r="R95" s="8">
        <v>150.94047248503213</v>
      </c>
      <c r="S95" s="8">
        <v>206.20656097087735</v>
      </c>
      <c r="T95" s="8">
        <v>272.5635954893192</v>
      </c>
      <c r="U95" s="8">
        <v>181.02436188003546</v>
      </c>
      <c r="V95" s="8">
        <v>228.39851562384504</v>
      </c>
      <c r="W95" s="8">
        <v>298.19644566302009</v>
      </c>
      <c r="X95" s="22"/>
      <c r="Y95" s="24">
        <f t="shared" si="2"/>
        <v>1.1208130081300811</v>
      </c>
      <c r="AB95" s="22"/>
    </row>
    <row r="96" spans="1:28" x14ac:dyDescent="0.25">
      <c r="A96" s="16"/>
      <c r="B96" s="3" t="s">
        <v>150</v>
      </c>
      <c r="C96" s="3" t="s">
        <v>151</v>
      </c>
      <c r="D96" s="11" t="s">
        <v>6</v>
      </c>
      <c r="E96" s="8">
        <v>1002.5789358528094</v>
      </c>
      <c r="F96" s="8">
        <v>1381.4179214321232</v>
      </c>
      <c r="G96" s="8">
        <v>1639.8664147190452</v>
      </c>
      <c r="H96" s="8">
        <v>952.93867727498753</v>
      </c>
      <c r="I96" s="8">
        <v>1288.2369368473394</v>
      </c>
      <c r="J96" s="8">
        <v>1490.6664942814518</v>
      </c>
      <c r="K96" s="8">
        <v>935.20507608155151</v>
      </c>
      <c r="L96" s="8">
        <v>1167.1389159622076</v>
      </c>
      <c r="M96" s="8">
        <v>1435.5876877175535</v>
      </c>
      <c r="N96" s="22"/>
      <c r="O96" s="8">
        <v>93.141873013526478</v>
      </c>
      <c r="P96" s="8">
        <v>128.33688003547934</v>
      </c>
      <c r="Q96" s="8">
        <v>152.34733535368466</v>
      </c>
      <c r="R96" s="8">
        <v>88.530179614162165</v>
      </c>
      <c r="S96" s="8">
        <v>119.68015374380958</v>
      </c>
      <c r="T96" s="8">
        <v>138.48632197501661</v>
      </c>
      <c r="U96" s="8">
        <v>86.882687560056169</v>
      </c>
      <c r="V96" s="8">
        <v>108.42987101781358</v>
      </c>
      <c r="W96" s="8">
        <v>133.36937504619704</v>
      </c>
      <c r="X96" s="22"/>
      <c r="Y96" s="24">
        <f t="shared" si="2"/>
        <v>0.64048543701626304</v>
      </c>
      <c r="AB96" s="22"/>
    </row>
    <row r="97" spans="1:28" x14ac:dyDescent="0.25">
      <c r="A97" s="16"/>
      <c r="B97" s="3" t="s">
        <v>152</v>
      </c>
      <c r="C97" s="3" t="s">
        <v>153</v>
      </c>
      <c r="D97" s="11" t="s">
        <v>6</v>
      </c>
      <c r="E97" s="8">
        <v>791.21266036797613</v>
      </c>
      <c r="F97" s="8">
        <v>1361.37093983093</v>
      </c>
      <c r="G97" s="8">
        <v>1695.3626653406266</v>
      </c>
      <c r="H97" s="8">
        <v>760.85922426653406</v>
      </c>
      <c r="I97" s="8">
        <v>1340.9206762804574</v>
      </c>
      <c r="J97" s="8">
        <v>1581.3148184982595</v>
      </c>
      <c r="K97" s="8">
        <v>840.83376429636996</v>
      </c>
      <c r="L97" s="8">
        <v>1340.9766882148185</v>
      </c>
      <c r="M97" s="8">
        <v>1571.3847120835405</v>
      </c>
      <c r="N97" s="22"/>
      <c r="O97" s="8">
        <v>73.505463264099333</v>
      </c>
      <c r="P97" s="8">
        <v>126.47446965777219</v>
      </c>
      <c r="Q97" s="8">
        <v>157.50306378889789</v>
      </c>
      <c r="R97" s="8">
        <v>70.685559723556807</v>
      </c>
      <c r="S97" s="8">
        <v>124.5745934658881</v>
      </c>
      <c r="T97" s="8">
        <v>146.90775833394926</v>
      </c>
      <c r="U97" s="8">
        <v>78.115377152782912</v>
      </c>
      <c r="V97" s="8">
        <v>124.57979710252052</v>
      </c>
      <c r="W97" s="8">
        <v>145.98522876783204</v>
      </c>
      <c r="X97" s="22"/>
      <c r="Y97" s="24">
        <f t="shared" si="2"/>
        <v>0.50545664628144726</v>
      </c>
      <c r="AB97" s="22"/>
    </row>
    <row r="98" spans="1:28" x14ac:dyDescent="0.25">
      <c r="A98" s="16"/>
      <c r="B98" s="3" t="s">
        <v>154</v>
      </c>
      <c r="C98" s="3" t="s">
        <v>155</v>
      </c>
      <c r="D98" s="11" t="s">
        <v>6</v>
      </c>
      <c r="E98" s="8">
        <v>825.60973717056186</v>
      </c>
      <c r="F98" s="8">
        <v>1270.6612336051714</v>
      </c>
      <c r="G98" s="8">
        <v>1716.0124070810539</v>
      </c>
      <c r="H98" s="8">
        <v>866.77743454997506</v>
      </c>
      <c r="I98" s="8">
        <v>1236.1546660815513</v>
      </c>
      <c r="J98" s="8">
        <v>1577.309375743411</v>
      </c>
      <c r="K98" s="8">
        <v>1078.8648354152162</v>
      </c>
      <c r="L98" s="8">
        <v>1395.1896568523121</v>
      </c>
      <c r="M98" s="8">
        <v>1903.0768497165586</v>
      </c>
      <c r="N98" s="22"/>
      <c r="O98" s="8">
        <v>76.70103026138294</v>
      </c>
      <c r="P98" s="8">
        <v>118.04733077001255</v>
      </c>
      <c r="Q98" s="8">
        <v>159.42147196023353</v>
      </c>
      <c r="R98" s="8">
        <v>80.525603374233128</v>
      </c>
      <c r="S98" s="8">
        <v>114.84159183466994</v>
      </c>
      <c r="T98" s="8">
        <v>146.53564355366248</v>
      </c>
      <c r="U98" s="8">
        <v>100.22900731853795</v>
      </c>
      <c r="V98" s="8">
        <v>129.61630571041835</v>
      </c>
      <c r="W98" s="8">
        <v>176.80018593299576</v>
      </c>
      <c r="X98" s="22"/>
      <c r="Y98" s="24">
        <f t="shared" si="2"/>
        <v>0.52743080310855661</v>
      </c>
      <c r="AB98" s="22"/>
    </row>
    <row r="99" spans="1:28" x14ac:dyDescent="0.25">
      <c r="A99" s="16"/>
      <c r="B99" s="3" t="s">
        <v>156</v>
      </c>
      <c r="C99" s="3" t="s">
        <v>157</v>
      </c>
      <c r="D99" s="11" t="s">
        <v>6</v>
      </c>
      <c r="E99" s="8">
        <v>960.78473754351069</v>
      </c>
      <c r="F99" s="8">
        <v>1330.5906227747391</v>
      </c>
      <c r="G99" s="8">
        <v>2126.3472731974143</v>
      </c>
      <c r="H99" s="8">
        <v>962.629915464943</v>
      </c>
      <c r="I99" s="8">
        <v>1296.9146542018896</v>
      </c>
      <c r="J99" s="8">
        <v>1922.9498120338144</v>
      </c>
      <c r="K99" s="8">
        <v>1222.4189525609152</v>
      </c>
      <c r="L99" s="8">
        <v>1490.3509609149678</v>
      </c>
      <c r="M99" s="8">
        <v>2307.8214762804578</v>
      </c>
      <c r="N99" s="22"/>
      <c r="O99" s="8">
        <v>89.259096533372755</v>
      </c>
      <c r="P99" s="8">
        <v>123.61490790154483</v>
      </c>
      <c r="Q99" s="8">
        <v>197.54251822011975</v>
      </c>
      <c r="R99" s="8">
        <v>89.43051777662798</v>
      </c>
      <c r="S99" s="8">
        <v>120.48633350580235</v>
      </c>
      <c r="T99" s="8">
        <v>178.64642952176806</v>
      </c>
      <c r="U99" s="8">
        <v>113.56551267647276</v>
      </c>
      <c r="V99" s="8">
        <v>138.45700820459751</v>
      </c>
      <c r="W99" s="8">
        <v>214.40188617044865</v>
      </c>
      <c r="X99" s="22"/>
      <c r="Y99" s="24">
        <f t="shared" si="2"/>
        <v>0.61378571850870656</v>
      </c>
      <c r="AB99" s="22"/>
    </row>
    <row r="100" spans="1:28" x14ac:dyDescent="0.25">
      <c r="A100" s="16"/>
      <c r="B100" s="3" t="s">
        <v>158</v>
      </c>
      <c r="C100" s="3" t="s">
        <v>159</v>
      </c>
      <c r="D100" s="11" t="s">
        <v>6</v>
      </c>
      <c r="E100" s="8">
        <v>925.81870059671814</v>
      </c>
      <c r="F100" s="8">
        <v>925.81870059671814</v>
      </c>
      <c r="G100" s="8">
        <v>925.81870059671814</v>
      </c>
      <c r="H100" s="8">
        <v>925.81870059671814</v>
      </c>
      <c r="I100" s="8">
        <v>925.81870059671814</v>
      </c>
      <c r="J100" s="8">
        <v>925.81870059671814</v>
      </c>
      <c r="K100" s="8">
        <v>925.81870059671814</v>
      </c>
      <c r="L100" s="8">
        <v>925.81870059671814</v>
      </c>
      <c r="M100" s="8">
        <v>925.81870059671814</v>
      </c>
      <c r="N100" s="22"/>
      <c r="O100" s="8">
        <v>86.010651999999993</v>
      </c>
      <c r="P100" s="8">
        <v>146.28104400000001</v>
      </c>
      <c r="Q100" s="8">
        <v>182.81608800000001</v>
      </c>
      <c r="R100" s="8">
        <v>86.46601600000001</v>
      </c>
      <c r="S100" s="8">
        <v>152.11969500000001</v>
      </c>
      <c r="T100" s="8">
        <v>173.39877100000001</v>
      </c>
      <c r="U100" s="8">
        <v>93.311582000000016</v>
      </c>
      <c r="V100" s="8">
        <v>149.59726599999999</v>
      </c>
      <c r="W100" s="8">
        <v>167.76177600000003</v>
      </c>
      <c r="X100" s="22"/>
      <c r="Y100" s="24">
        <f t="shared" si="2"/>
        <v>0.59144795194609734</v>
      </c>
      <c r="AB100" s="22"/>
    </row>
    <row r="101" spans="1:28" x14ac:dyDescent="0.25">
      <c r="A101" s="16"/>
      <c r="B101" s="3" t="s">
        <v>160</v>
      </c>
      <c r="C101" s="3" t="s">
        <v>161</v>
      </c>
      <c r="D101" s="11" t="s">
        <v>6</v>
      </c>
      <c r="E101" s="8">
        <v>1442.5164296369965</v>
      </c>
      <c r="F101" s="8">
        <v>1664.3682396817503</v>
      </c>
      <c r="G101" s="8">
        <v>1801.1297762307311</v>
      </c>
      <c r="H101" s="8">
        <v>1440.09070611636</v>
      </c>
      <c r="I101" s="8">
        <v>1682.1240676280459</v>
      </c>
      <c r="J101" s="8">
        <v>1781.2898160119344</v>
      </c>
      <c r="K101" s="8">
        <v>1446.8076031824962</v>
      </c>
      <c r="L101" s="8">
        <v>1742.8634609646942</v>
      </c>
      <c r="M101" s="8">
        <v>1939.8408304326208</v>
      </c>
      <c r="N101" s="22"/>
      <c r="O101" s="8">
        <v>134.013070995639</v>
      </c>
      <c r="P101" s="8">
        <v>154.62361085446079</v>
      </c>
      <c r="Q101" s="8">
        <v>167.32906996082491</v>
      </c>
      <c r="R101" s="8">
        <v>133.78771574026166</v>
      </c>
      <c r="S101" s="8">
        <v>156.27316782467292</v>
      </c>
      <c r="T101" s="8">
        <v>165.48589234237565</v>
      </c>
      <c r="U101" s="8">
        <v>134.41173081898145</v>
      </c>
      <c r="V101" s="8">
        <v>161.91599619336242</v>
      </c>
      <c r="W101" s="8">
        <v>180.21564370980857</v>
      </c>
      <c r="X101" s="22"/>
      <c r="Y101" s="24">
        <f t="shared" si="2"/>
        <v>0.92153418828144262</v>
      </c>
      <c r="AB101" s="22"/>
    </row>
    <row r="102" spans="1:28" x14ac:dyDescent="0.25">
      <c r="A102" s="16"/>
      <c r="B102" s="3" t="s">
        <v>162</v>
      </c>
      <c r="C102" s="3" t="s">
        <v>163</v>
      </c>
      <c r="D102" s="11" t="s">
        <v>6</v>
      </c>
      <c r="E102" s="8">
        <v>1137.7632968672301</v>
      </c>
      <c r="F102" s="8">
        <v>1137.7632968672301</v>
      </c>
      <c r="G102" s="8">
        <v>1137.7632968672301</v>
      </c>
      <c r="H102" s="8">
        <v>1137.7632968672301</v>
      </c>
      <c r="I102" s="8">
        <v>1137.7632968672301</v>
      </c>
      <c r="J102" s="8">
        <v>1137.7632968672301</v>
      </c>
      <c r="K102" s="8">
        <v>1137.7632968672301</v>
      </c>
      <c r="L102" s="8">
        <v>1137.7632968672301</v>
      </c>
      <c r="M102" s="8">
        <v>1137.7632968672301</v>
      </c>
      <c r="N102" s="22"/>
      <c r="O102" s="8">
        <v>105.70530000000001</v>
      </c>
      <c r="P102" s="8">
        <v>177.33109999999999</v>
      </c>
      <c r="Q102" s="8">
        <v>222.06780000000001</v>
      </c>
      <c r="R102" s="8">
        <v>106.09050000000001</v>
      </c>
      <c r="S102" s="8">
        <v>177.73770000000002</v>
      </c>
      <c r="T102" s="8">
        <v>206.02850000000004</v>
      </c>
      <c r="U102" s="8">
        <v>114.65050000000001</v>
      </c>
      <c r="V102" s="8">
        <v>177.29900000000001</v>
      </c>
      <c r="W102" s="8">
        <v>205.69680000000002</v>
      </c>
      <c r="X102" s="22"/>
      <c r="Y102" s="24">
        <f t="shared" si="2"/>
        <v>0.72687721510177383</v>
      </c>
      <c r="AB102" s="22"/>
    </row>
    <row r="103" spans="1:28" x14ac:dyDescent="0.25">
      <c r="A103" s="16"/>
      <c r="B103" s="3" t="s">
        <v>164</v>
      </c>
      <c r="C103" s="3" t="s">
        <v>165</v>
      </c>
      <c r="D103" s="11" t="s">
        <v>6</v>
      </c>
      <c r="E103" s="8">
        <v>767.68974042764796</v>
      </c>
      <c r="F103" s="8">
        <v>1088.4362526106415</v>
      </c>
      <c r="G103" s="8">
        <v>1356.5160243659871</v>
      </c>
      <c r="H103" s="8">
        <v>789.99886623570353</v>
      </c>
      <c r="I103" s="8">
        <v>1107.3345609149676</v>
      </c>
      <c r="J103" s="8">
        <v>1324.5906534062653</v>
      </c>
      <c r="K103" s="8">
        <v>870.900401292889</v>
      </c>
      <c r="L103" s="8">
        <v>1128.3439085032321</v>
      </c>
      <c r="M103" s="8">
        <v>1448.0780706116359</v>
      </c>
      <c r="N103" s="22"/>
      <c r="O103" s="8">
        <v>71.320130275704031</v>
      </c>
      <c r="P103" s="8">
        <v>101.11821383694284</v>
      </c>
      <c r="Q103" s="8">
        <v>126.02343692253677</v>
      </c>
      <c r="R103" s="8">
        <v>73.392699016926599</v>
      </c>
      <c r="S103" s="8">
        <v>102.87390984182126</v>
      </c>
      <c r="T103" s="8">
        <v>123.05749704338827</v>
      </c>
      <c r="U103" s="8">
        <v>80.908636401433938</v>
      </c>
      <c r="V103" s="8">
        <v>104.82572621775444</v>
      </c>
      <c r="W103" s="8">
        <v>134.52976014487396</v>
      </c>
      <c r="X103" s="22"/>
      <c r="Y103" s="24">
        <f t="shared" si="2"/>
        <v>0.49042931315174781</v>
      </c>
      <c r="AB103" s="22"/>
    </row>
    <row r="104" spans="1:28" x14ac:dyDescent="0.25">
      <c r="A104" s="16"/>
      <c r="B104" s="3" t="s">
        <v>166</v>
      </c>
      <c r="C104" s="3" t="s">
        <v>167</v>
      </c>
      <c r="D104" s="11" t="s">
        <v>6</v>
      </c>
      <c r="E104" s="8">
        <v>686.05941819990062</v>
      </c>
      <c r="F104" s="8">
        <v>1162.8963252113376</v>
      </c>
      <c r="G104" s="8">
        <v>1660.5452909000498</v>
      </c>
      <c r="H104" s="8">
        <v>681.51125310790655</v>
      </c>
      <c r="I104" s="8">
        <v>947.87421183490801</v>
      </c>
      <c r="J104" s="8">
        <v>1253.1269617105918</v>
      </c>
      <c r="K104" s="8">
        <v>858.10036051715565</v>
      </c>
      <c r="L104" s="8">
        <v>1039.1328677274989</v>
      </c>
      <c r="M104" s="8">
        <v>1443.1224082545996</v>
      </c>
      <c r="N104" s="22"/>
      <c r="O104" s="8">
        <v>63.7364868985143</v>
      </c>
      <c r="P104" s="8">
        <v>108.03572464705447</v>
      </c>
      <c r="Q104" s="8">
        <v>154.26845018109245</v>
      </c>
      <c r="R104" s="8">
        <v>63.31395197353833</v>
      </c>
      <c r="S104" s="8">
        <v>88.059679207628051</v>
      </c>
      <c r="T104" s="8">
        <v>116.41835686303496</v>
      </c>
      <c r="U104" s="8">
        <v>79.719483378298463</v>
      </c>
      <c r="V104" s="8">
        <v>96.537816773227888</v>
      </c>
      <c r="W104" s="8">
        <v>134.06936779325892</v>
      </c>
      <c r="X104" s="22"/>
      <c r="Y104" s="24">
        <f t="shared" si="2"/>
        <v>0.43828076829792612</v>
      </c>
      <c r="AB104" s="22"/>
    </row>
    <row r="105" spans="1:28" x14ac:dyDescent="0.25">
      <c r="A105" s="16"/>
      <c r="B105" s="3" t="s">
        <v>168</v>
      </c>
      <c r="C105" s="3" t="s">
        <v>169</v>
      </c>
      <c r="D105" s="11" t="s">
        <v>6</v>
      </c>
      <c r="E105" s="8">
        <v>1247.6312498219791</v>
      </c>
      <c r="F105" s="8">
        <v>1699.975217519642</v>
      </c>
      <c r="G105" s="8">
        <v>2390.6519700686231</v>
      </c>
      <c r="H105" s="8">
        <v>1155.3753004236698</v>
      </c>
      <c r="I105" s="8">
        <v>1578.4101070353058</v>
      </c>
      <c r="J105" s="8">
        <v>2086.3406668761809</v>
      </c>
      <c r="K105" s="8">
        <v>1385.652721551467</v>
      </c>
      <c r="L105" s="8">
        <v>1748.2786376688214</v>
      </c>
      <c r="M105" s="8">
        <v>2282.5475654142224</v>
      </c>
      <c r="N105" s="22"/>
      <c r="O105" s="8">
        <v>115.90779267647275</v>
      </c>
      <c r="P105" s="8">
        <v>157.93158042131719</v>
      </c>
      <c r="Q105" s="8">
        <v>222.09702822677215</v>
      </c>
      <c r="R105" s="8">
        <v>107.33700426639071</v>
      </c>
      <c r="S105" s="8">
        <v>146.63790400473059</v>
      </c>
      <c r="T105" s="8">
        <v>193.82581311848622</v>
      </c>
      <c r="U105" s="8">
        <v>128.73030263877595</v>
      </c>
      <c r="V105" s="8">
        <v>162.41907847734495</v>
      </c>
      <c r="W105" s="8">
        <v>212.05388212580385</v>
      </c>
      <c r="X105" s="22"/>
      <c r="Y105" s="24">
        <f t="shared" si="2"/>
        <v>0.79703414634146341</v>
      </c>
      <c r="AB105" s="22"/>
    </row>
    <row r="106" spans="1:28" x14ac:dyDescent="0.25">
      <c r="A106" s="16"/>
      <c r="B106" s="3" t="s">
        <v>170</v>
      </c>
      <c r="C106" s="3" t="s">
        <v>171</v>
      </c>
      <c r="D106" s="11" t="s">
        <v>6</v>
      </c>
      <c r="E106" s="8">
        <v>1298.5023968175039</v>
      </c>
      <c r="F106" s="8">
        <v>1781.9915713575338</v>
      </c>
      <c r="G106" s="8">
        <v>2194.8238090502241</v>
      </c>
      <c r="H106" s="8">
        <v>1192.5263749378419</v>
      </c>
      <c r="I106" s="8">
        <v>1626.9779462953757</v>
      </c>
      <c r="J106" s="8">
        <v>1914.6340875186477</v>
      </c>
      <c r="K106" s="8">
        <v>1475.5609199403282</v>
      </c>
      <c r="L106" s="8">
        <v>1923.5797712580807</v>
      </c>
      <c r="M106" s="8">
        <v>2522.8467478866237</v>
      </c>
      <c r="N106" s="22"/>
      <c r="O106" s="8">
        <v>120.63383842116934</v>
      </c>
      <c r="P106" s="8">
        <v>165.55108701677878</v>
      </c>
      <c r="Q106" s="8">
        <v>203.90414480005916</v>
      </c>
      <c r="R106" s="8">
        <v>110.78842394116343</v>
      </c>
      <c r="S106" s="8">
        <v>151.1499672000887</v>
      </c>
      <c r="T106" s="8">
        <v>177.87387972133934</v>
      </c>
      <c r="U106" s="8">
        <v>137.08297961785794</v>
      </c>
      <c r="V106" s="8">
        <v>178.70495417251828</v>
      </c>
      <c r="W106" s="8">
        <v>234.37822501663095</v>
      </c>
      <c r="X106" s="22"/>
      <c r="Y106" s="24">
        <f t="shared" si="2"/>
        <v>0.82953256382240947</v>
      </c>
      <c r="AB106" s="22"/>
    </row>
    <row r="107" spans="1:28" x14ac:dyDescent="0.25">
      <c r="A107" s="16"/>
      <c r="B107" s="3" t="s">
        <v>170</v>
      </c>
      <c r="C107" s="23" t="s">
        <v>121</v>
      </c>
      <c r="D107" s="11" t="s">
        <v>6</v>
      </c>
      <c r="E107" s="8">
        <v>2004.5162403729491</v>
      </c>
      <c r="F107" s="8">
        <v>2731.2781178219798</v>
      </c>
      <c r="G107" s="8">
        <v>3840.959177454004</v>
      </c>
      <c r="H107" s="8">
        <v>1856.2925173247145</v>
      </c>
      <c r="I107" s="8">
        <v>2535.9646081103933</v>
      </c>
      <c r="J107" s="8">
        <v>3352.0351067677784</v>
      </c>
      <c r="K107" s="8">
        <v>2226.2694880905028</v>
      </c>
      <c r="L107" s="8">
        <v>2808.8851753306822</v>
      </c>
      <c r="M107" s="8">
        <v>3667.2724131824975</v>
      </c>
      <c r="N107" s="22"/>
      <c r="O107" s="8">
        <v>186.22413701077318</v>
      </c>
      <c r="P107" s="8">
        <v>253.74197533723856</v>
      </c>
      <c r="Q107" s="8">
        <v>356.83388026923654</v>
      </c>
      <c r="R107" s="8">
        <v>172.45381459919435</v>
      </c>
      <c r="S107" s="8">
        <v>235.59690419238308</v>
      </c>
      <c r="T107" s="8">
        <v>311.41171740843748</v>
      </c>
      <c r="U107" s="8">
        <v>206.82552020428341</v>
      </c>
      <c r="V107" s="8">
        <v>260.95184823296262</v>
      </c>
      <c r="W107" s="8">
        <v>340.69798317087367</v>
      </c>
      <c r="X107" s="22"/>
      <c r="Y107" s="24">
        <f t="shared" si="2"/>
        <v>1.2805609756097562</v>
      </c>
      <c r="AB107" s="22"/>
    </row>
    <row r="108" spans="1:28" x14ac:dyDescent="0.25">
      <c r="A108" s="16"/>
      <c r="B108" s="3" t="s">
        <v>173</v>
      </c>
      <c r="C108" s="3" t="s">
        <v>174</v>
      </c>
      <c r="D108" s="11" t="s">
        <v>6</v>
      </c>
      <c r="E108" s="8">
        <v>1091.5971675261062</v>
      </c>
      <c r="F108" s="8">
        <v>1487.3690704475384</v>
      </c>
      <c r="G108" s="8">
        <v>2091.6668442217801</v>
      </c>
      <c r="H108" s="8">
        <v>1010.8791404127301</v>
      </c>
      <c r="I108" s="8">
        <v>1381.0074108677277</v>
      </c>
      <c r="J108" s="8">
        <v>1825.4140097737445</v>
      </c>
      <c r="K108" s="8">
        <v>1212.3570856663353</v>
      </c>
      <c r="L108" s="8">
        <v>1529.6314589731476</v>
      </c>
      <c r="M108" s="8">
        <v>1997.0824372227748</v>
      </c>
      <c r="N108" s="22"/>
      <c r="O108" s="8">
        <v>101.41187005206409</v>
      </c>
      <c r="P108" s="8">
        <v>138.17998376958752</v>
      </c>
      <c r="Q108" s="8">
        <v>194.32062715878851</v>
      </c>
      <c r="R108" s="8">
        <v>93.912980974665516</v>
      </c>
      <c r="S108" s="8">
        <v>128.29874266644799</v>
      </c>
      <c r="T108" s="8">
        <v>169.58513072173662</v>
      </c>
      <c r="U108" s="8">
        <v>112.63074226083782</v>
      </c>
      <c r="V108" s="8">
        <v>142.1062561901748</v>
      </c>
      <c r="W108" s="8">
        <v>185.53351971944525</v>
      </c>
      <c r="X108" s="22"/>
      <c r="Y108" s="24">
        <f t="shared" si="2"/>
        <v>0.69735365853658537</v>
      </c>
      <c r="AB108" s="22"/>
    </row>
    <row r="109" spans="1:28" x14ac:dyDescent="0.25">
      <c r="A109" s="16"/>
      <c r="B109" s="3" t="s">
        <v>175</v>
      </c>
      <c r="C109" s="3" t="s">
        <v>176</v>
      </c>
      <c r="D109" s="11" t="s">
        <v>6</v>
      </c>
      <c r="E109" s="8">
        <v>1499.8651601442068</v>
      </c>
      <c r="F109" s="8">
        <v>2043.6596167578318</v>
      </c>
      <c r="G109" s="8">
        <v>2873.9706547488813</v>
      </c>
      <c r="H109" s="8">
        <v>1388.9578032322227</v>
      </c>
      <c r="I109" s="8">
        <v>1897.5176586026853</v>
      </c>
      <c r="J109" s="8">
        <v>2508.1366620835406</v>
      </c>
      <c r="K109" s="8">
        <v>1665.7904660616607</v>
      </c>
      <c r="L109" s="8">
        <v>2101.7285509945305</v>
      </c>
      <c r="M109" s="8">
        <v>2744.0107565638991</v>
      </c>
      <c r="N109" s="22"/>
      <c r="O109" s="8">
        <v>139.3408990432589</v>
      </c>
      <c r="P109" s="8">
        <v>189.86064607971764</v>
      </c>
      <c r="Q109" s="8">
        <v>266.99843792501292</v>
      </c>
      <c r="R109" s="8">
        <v>129.03735227566708</v>
      </c>
      <c r="S109" s="8">
        <v>176.28372438142139</v>
      </c>
      <c r="T109" s="8">
        <v>233.01162444794517</v>
      </c>
      <c r="U109" s="8">
        <v>154.75573893349471</v>
      </c>
      <c r="V109" s="8">
        <v>195.25538269873974</v>
      </c>
      <c r="W109" s="8">
        <v>254.92486655748763</v>
      </c>
      <c r="X109" s="22"/>
      <c r="Y109" s="24">
        <f t="shared" si="2"/>
        <v>0.95817073170731692</v>
      </c>
      <c r="AB109" s="22"/>
    </row>
    <row r="110" spans="1:28" x14ac:dyDescent="0.25">
      <c r="A110" s="16"/>
      <c r="B110" s="3" t="s">
        <v>175</v>
      </c>
      <c r="C110" s="3" t="s">
        <v>177</v>
      </c>
      <c r="D110" s="11" t="s">
        <v>6</v>
      </c>
      <c r="E110" s="8">
        <v>1499.8651601442068</v>
      </c>
      <c r="F110" s="8">
        <v>2043.6596167578318</v>
      </c>
      <c r="G110" s="8">
        <v>2873.9706547488813</v>
      </c>
      <c r="H110" s="8">
        <v>1388.9578032322227</v>
      </c>
      <c r="I110" s="8">
        <v>1897.5176586026853</v>
      </c>
      <c r="J110" s="8">
        <v>2508.1366620835406</v>
      </c>
      <c r="K110" s="8">
        <v>1665.7904660616607</v>
      </c>
      <c r="L110" s="8">
        <v>2101.7285509945305</v>
      </c>
      <c r="M110" s="8">
        <v>2744.0107565638991</v>
      </c>
      <c r="N110" s="22"/>
      <c r="O110" s="9">
        <v>139.3408990432589</v>
      </c>
      <c r="P110" s="9">
        <v>189.86064607971764</v>
      </c>
      <c r="Q110" s="9">
        <v>266.99843792501292</v>
      </c>
      <c r="R110" s="9">
        <v>129.03735227566708</v>
      </c>
      <c r="S110" s="9">
        <v>176.28372438142139</v>
      </c>
      <c r="T110" s="9">
        <v>233.01162444794517</v>
      </c>
      <c r="U110" s="9">
        <v>154.75573893349471</v>
      </c>
      <c r="V110" s="9">
        <v>195.25538269873974</v>
      </c>
      <c r="W110" s="9">
        <v>254.92486655748763</v>
      </c>
      <c r="X110" s="22"/>
      <c r="Y110" s="24">
        <f t="shared" si="2"/>
        <v>0.95817073170731692</v>
      </c>
      <c r="AB110" s="22"/>
    </row>
    <row r="111" spans="1:28" x14ac:dyDescent="0.25">
      <c r="A111" s="16"/>
      <c r="B111" s="3" t="s">
        <v>178</v>
      </c>
      <c r="C111" s="3" t="s">
        <v>179</v>
      </c>
      <c r="D111" s="11" t="s">
        <v>6</v>
      </c>
      <c r="E111" s="8">
        <v>945.77247523620088</v>
      </c>
      <c r="F111" s="8">
        <v>1309.8001442715067</v>
      </c>
      <c r="G111" s="8">
        <v>2093.1230970313277</v>
      </c>
      <c r="H111" s="8">
        <v>932.79404394331186</v>
      </c>
      <c r="I111" s="8">
        <v>1261.8555845101939</v>
      </c>
      <c r="J111" s="8">
        <v>1878.1089415464944</v>
      </c>
      <c r="K111" s="8">
        <v>1195.1703760367977</v>
      </c>
      <c r="L111" s="8">
        <v>1454.3398449577326</v>
      </c>
      <c r="M111" s="8">
        <v>2259.037383431129</v>
      </c>
      <c r="N111" s="22"/>
      <c r="O111" s="8">
        <v>87.864423077278431</v>
      </c>
      <c r="P111" s="8">
        <v>121.68342496350432</v>
      </c>
      <c r="Q111" s="8">
        <v>194.4559163708515</v>
      </c>
      <c r="R111" s="8">
        <v>86.65869716765836</v>
      </c>
      <c r="S111" s="8">
        <v>117.22926585714022</v>
      </c>
      <c r="T111" s="8">
        <v>174.48061023773005</v>
      </c>
      <c r="U111" s="8">
        <v>111.0340576821088</v>
      </c>
      <c r="V111" s="8">
        <v>135.11149328340971</v>
      </c>
      <c r="W111" s="8">
        <v>209.86973252272895</v>
      </c>
      <c r="X111" s="22"/>
      <c r="Y111" s="24">
        <f t="shared" si="2"/>
        <v>0.60419531615667499</v>
      </c>
      <c r="AB111" s="22"/>
    </row>
    <row r="112" spans="1:28" x14ac:dyDescent="0.25">
      <c r="A112" s="16"/>
      <c r="B112" s="3" t="s">
        <v>180</v>
      </c>
      <c r="C112" s="3" t="s">
        <v>181</v>
      </c>
      <c r="D112" s="11" t="s">
        <v>8</v>
      </c>
      <c r="E112" s="8">
        <v>858.66512680258586</v>
      </c>
      <c r="F112" s="8">
        <v>1293.1432918945798</v>
      </c>
      <c r="G112" s="8">
        <v>1676.0896767777226</v>
      </c>
      <c r="H112" s="8">
        <v>847.24645947289912</v>
      </c>
      <c r="I112" s="8">
        <v>1165.7534410740925</v>
      </c>
      <c r="J112" s="8">
        <v>1666.1783242168076</v>
      </c>
      <c r="K112" s="8">
        <v>859.0517006464446</v>
      </c>
      <c r="L112" s="8">
        <v>1159.5601143709598</v>
      </c>
      <c r="M112" s="8">
        <v>1643.2502287419195</v>
      </c>
      <c r="N112" s="22"/>
      <c r="O112" s="8">
        <v>79.771951456131276</v>
      </c>
      <c r="P112" s="8">
        <v>120.13596533372755</v>
      </c>
      <c r="Q112" s="8">
        <v>155.71255913223445</v>
      </c>
      <c r="R112" s="8">
        <v>78.71113118116638</v>
      </c>
      <c r="S112" s="8">
        <v>108.30115723630719</v>
      </c>
      <c r="T112" s="8">
        <v>154.79177184196911</v>
      </c>
      <c r="U112" s="8">
        <v>79.807865049153676</v>
      </c>
      <c r="V112" s="8">
        <v>107.72578304013599</v>
      </c>
      <c r="W112" s="8">
        <v>152.6616994049819</v>
      </c>
      <c r="X112" s="22"/>
      <c r="AA112" s="24">
        <f>O112/$AA$3</f>
        <v>0.51916579915824801</v>
      </c>
      <c r="AB112" s="22"/>
    </row>
    <row r="113" spans="1:28" x14ac:dyDescent="0.25">
      <c r="A113" s="16"/>
      <c r="B113" s="3" t="s">
        <v>182</v>
      </c>
      <c r="C113" s="3" t="s">
        <v>183</v>
      </c>
      <c r="D113" s="11" t="s">
        <v>8</v>
      </c>
      <c r="E113" s="8">
        <v>1240.5316360019892</v>
      </c>
      <c r="F113" s="8">
        <v>1794.1551864743908</v>
      </c>
      <c r="G113" s="8">
        <v>2201.2012332173049</v>
      </c>
      <c r="H113" s="8">
        <v>1138.3512282446543</v>
      </c>
      <c r="I113" s="8">
        <v>1628.4400596718051</v>
      </c>
      <c r="J113" s="8">
        <v>2066.7633615116856</v>
      </c>
      <c r="K113" s="8">
        <v>1029.7733664843361</v>
      </c>
      <c r="L113" s="8">
        <v>1365.7991447041275</v>
      </c>
      <c r="M113" s="8">
        <v>1931.4582595723521</v>
      </c>
      <c r="N113" s="22"/>
      <c r="O113" s="8">
        <v>115.24822233720155</v>
      </c>
      <c r="P113" s="8">
        <v>166.68111464261955</v>
      </c>
      <c r="Q113" s="8">
        <v>204.49662207110651</v>
      </c>
      <c r="R113" s="8">
        <v>105.75542907827628</v>
      </c>
      <c r="S113" s="8">
        <v>151.28580087220047</v>
      </c>
      <c r="T113" s="8">
        <v>192.00703673590067</v>
      </c>
      <c r="U113" s="8">
        <v>95.668297730800504</v>
      </c>
      <c r="V113" s="8">
        <v>126.88586000443492</v>
      </c>
      <c r="W113" s="8">
        <v>179.436883731244</v>
      </c>
      <c r="X113" s="22"/>
      <c r="AA113" s="24">
        <f>O113/$AA$3</f>
        <v>0.75004979017173001</v>
      </c>
      <c r="AB113" s="22"/>
    </row>
    <row r="114" spans="1:28" x14ac:dyDescent="0.25">
      <c r="A114" s="21">
        <v>0.02</v>
      </c>
      <c r="B114" s="18" t="s">
        <v>182</v>
      </c>
      <c r="C114" s="18" t="s">
        <v>184</v>
      </c>
      <c r="D114" s="19" t="s">
        <v>8</v>
      </c>
      <c r="E114" s="25">
        <f>E113*1.02</f>
        <v>1265.3422687220291</v>
      </c>
      <c r="F114" s="25">
        <f>F113*1.02</f>
        <v>1830.0382902038787</v>
      </c>
      <c r="G114" s="25">
        <f t="shared" ref="G114:W114" si="3">G113*1.02</f>
        <v>2245.225257881651</v>
      </c>
      <c r="H114" s="25">
        <f t="shared" si="3"/>
        <v>1161.1182528095474</v>
      </c>
      <c r="I114" s="25">
        <f t="shared" si="3"/>
        <v>1661.0088608652413</v>
      </c>
      <c r="J114" s="25">
        <f t="shared" si="3"/>
        <v>2108.0986287419196</v>
      </c>
      <c r="K114" s="25">
        <f t="shared" si="3"/>
        <v>1050.3688338140228</v>
      </c>
      <c r="L114" s="25">
        <f t="shared" si="3"/>
        <v>1393.1151275982099</v>
      </c>
      <c r="M114" s="25">
        <f t="shared" si="3"/>
        <v>1970.0874247637992</v>
      </c>
      <c r="N114" s="22"/>
      <c r="O114" s="25">
        <f t="shared" si="3"/>
        <v>117.55318678394559</v>
      </c>
      <c r="P114" s="25">
        <f t="shared" si="3"/>
        <v>170.01473693547194</v>
      </c>
      <c r="Q114" s="25">
        <f t="shared" si="3"/>
        <v>208.58655451252864</v>
      </c>
      <c r="R114" s="25">
        <f t="shared" si="3"/>
        <v>107.8705376598418</v>
      </c>
      <c r="S114" s="25">
        <f t="shared" si="3"/>
        <v>154.31151688964448</v>
      </c>
      <c r="T114" s="25">
        <f t="shared" si="3"/>
        <v>195.84717747061867</v>
      </c>
      <c r="U114" s="25">
        <f t="shared" si="3"/>
        <v>97.581663685416515</v>
      </c>
      <c r="V114" s="25">
        <f t="shared" si="3"/>
        <v>129.42357720452361</v>
      </c>
      <c r="W114" s="25">
        <f t="shared" si="3"/>
        <v>183.02562140586889</v>
      </c>
      <c r="X114" s="22"/>
      <c r="AA114" s="26">
        <f t="shared" ref="AA114:AA126" si="4">O114/$AA$3</f>
        <v>0.76505078597516463</v>
      </c>
      <c r="AB114" s="22"/>
    </row>
    <row r="115" spans="1:28" x14ac:dyDescent="0.25">
      <c r="A115" s="21">
        <v>0.04</v>
      </c>
      <c r="B115" s="18" t="s">
        <v>182</v>
      </c>
      <c r="C115" s="18" t="s">
        <v>185</v>
      </c>
      <c r="D115" s="19" t="s">
        <v>8</v>
      </c>
      <c r="E115" s="25">
        <f>E113*1.04</f>
        <v>1290.1529014420689</v>
      </c>
      <c r="F115" s="25">
        <f t="shared" ref="F115:M115" si="5">F113*1.04</f>
        <v>1865.9213939333665</v>
      </c>
      <c r="G115" s="25">
        <f t="shared" si="5"/>
        <v>2289.2492825459972</v>
      </c>
      <c r="H115" s="25">
        <f t="shared" si="5"/>
        <v>1183.8852773744404</v>
      </c>
      <c r="I115" s="25">
        <f t="shared" si="5"/>
        <v>1693.5776620586773</v>
      </c>
      <c r="J115" s="25">
        <f t="shared" si="5"/>
        <v>2149.4338959721531</v>
      </c>
      <c r="K115" s="25">
        <f t="shared" si="5"/>
        <v>1070.9643011437095</v>
      </c>
      <c r="L115" s="25">
        <f t="shared" si="5"/>
        <v>1420.4311104922926</v>
      </c>
      <c r="M115" s="25">
        <f t="shared" si="5"/>
        <v>2008.7165899552463</v>
      </c>
      <c r="N115" s="22"/>
      <c r="O115" s="25">
        <f t="shared" ref="O115:W115" si="6">O113*1.04</f>
        <v>119.85815123068961</v>
      </c>
      <c r="P115" s="25">
        <f t="shared" si="6"/>
        <v>173.34835922832434</v>
      </c>
      <c r="Q115" s="25">
        <f t="shared" si="6"/>
        <v>212.67648695395079</v>
      </c>
      <c r="R115" s="25">
        <f t="shared" si="6"/>
        <v>109.98564624140734</v>
      </c>
      <c r="S115" s="25">
        <f t="shared" si="6"/>
        <v>157.33723290708849</v>
      </c>
      <c r="T115" s="25">
        <f t="shared" si="6"/>
        <v>199.68731820533671</v>
      </c>
      <c r="U115" s="25">
        <f t="shared" si="6"/>
        <v>99.495029640032527</v>
      </c>
      <c r="V115" s="25">
        <f t="shared" si="6"/>
        <v>131.96129440461232</v>
      </c>
      <c r="W115" s="25">
        <f t="shared" si="6"/>
        <v>186.61435908049376</v>
      </c>
      <c r="X115" s="22"/>
      <c r="AA115" s="26">
        <f t="shared" si="4"/>
        <v>0.78005178177859913</v>
      </c>
      <c r="AB115" s="22"/>
    </row>
    <row r="116" spans="1:28" x14ac:dyDescent="0.25">
      <c r="A116" s="21">
        <v>0.03</v>
      </c>
      <c r="B116" s="18" t="s">
        <v>182</v>
      </c>
      <c r="C116" s="18" t="s">
        <v>186</v>
      </c>
      <c r="D116" s="19" t="s">
        <v>8</v>
      </c>
      <c r="E116" s="25">
        <f>E113*1.03</f>
        <v>1277.747585082049</v>
      </c>
      <c r="F116" s="25">
        <f t="shared" ref="F116:M116" si="7">F113*1.03</f>
        <v>1847.9798420686225</v>
      </c>
      <c r="G116" s="25">
        <f t="shared" si="7"/>
        <v>2267.2372702138241</v>
      </c>
      <c r="H116" s="25">
        <f t="shared" si="7"/>
        <v>1172.501765091994</v>
      </c>
      <c r="I116" s="25">
        <f t="shared" si="7"/>
        <v>1677.2932614619592</v>
      </c>
      <c r="J116" s="25">
        <f t="shared" si="7"/>
        <v>2128.7662623570363</v>
      </c>
      <c r="K116" s="25">
        <f t="shared" si="7"/>
        <v>1060.6665674788662</v>
      </c>
      <c r="L116" s="25">
        <f t="shared" si="7"/>
        <v>1406.7731190452514</v>
      </c>
      <c r="M116" s="25">
        <f t="shared" si="7"/>
        <v>1989.4020073595227</v>
      </c>
      <c r="N116" s="22"/>
      <c r="O116" s="25">
        <f t="shared" ref="O116:W116" si="8">O113*1.03</f>
        <v>118.70566900731761</v>
      </c>
      <c r="P116" s="25">
        <f t="shared" si="8"/>
        <v>171.68154808189814</v>
      </c>
      <c r="Q116" s="25">
        <f t="shared" si="8"/>
        <v>210.63152073323971</v>
      </c>
      <c r="R116" s="25">
        <f t="shared" si="8"/>
        <v>108.92809195062458</v>
      </c>
      <c r="S116" s="25">
        <f t="shared" si="8"/>
        <v>155.8243748983665</v>
      </c>
      <c r="T116" s="25">
        <f t="shared" si="8"/>
        <v>197.76724783797769</v>
      </c>
      <c r="U116" s="25">
        <f t="shared" si="8"/>
        <v>98.538346662724521</v>
      </c>
      <c r="V116" s="25">
        <f t="shared" si="8"/>
        <v>130.69243580456796</v>
      </c>
      <c r="W116" s="25">
        <f t="shared" si="8"/>
        <v>184.81999024318131</v>
      </c>
      <c r="X116" s="22"/>
      <c r="AA116" s="26">
        <f t="shared" si="4"/>
        <v>0.77255128387688199</v>
      </c>
      <c r="AB116" s="22"/>
    </row>
    <row r="117" spans="1:28" x14ac:dyDescent="0.25">
      <c r="A117" s="16"/>
      <c r="B117" s="3" t="s">
        <v>180</v>
      </c>
      <c r="C117" s="3" t="s">
        <v>187</v>
      </c>
      <c r="D117" s="11" t="s">
        <v>8</v>
      </c>
      <c r="E117" s="8">
        <v>706.31242143212341</v>
      </c>
      <c r="F117" s="8">
        <v>1060.3812488811539</v>
      </c>
      <c r="G117" s="8">
        <v>1441.8756722028845</v>
      </c>
      <c r="H117" s="8">
        <v>727.53454977623085</v>
      </c>
      <c r="I117" s="8">
        <v>1142.4971019393338</v>
      </c>
      <c r="J117" s="8">
        <v>1487.0748163102933</v>
      </c>
      <c r="K117" s="8">
        <v>781.90242128294392</v>
      </c>
      <c r="L117" s="8">
        <v>1110.1245977125809</v>
      </c>
      <c r="M117" s="8">
        <v>1687.5243240179016</v>
      </c>
      <c r="N117" s="22"/>
      <c r="O117" s="8">
        <v>65.618037156293894</v>
      </c>
      <c r="P117" s="8">
        <v>98.511839913334313</v>
      </c>
      <c r="Q117" s="8">
        <v>133.95354316653115</v>
      </c>
      <c r="R117" s="8">
        <v>67.589621350432409</v>
      </c>
      <c r="S117" s="8">
        <v>106.14059021361521</v>
      </c>
      <c r="T117" s="8">
        <v>138.15264688816617</v>
      </c>
      <c r="U117" s="8">
        <v>72.640520788676184</v>
      </c>
      <c r="V117" s="8">
        <v>103.13311063271492</v>
      </c>
      <c r="W117" s="8">
        <v>156.7748639773819</v>
      </c>
      <c r="X117" s="22"/>
      <c r="AA117" s="24">
        <f t="shared" si="4"/>
        <v>0.42705036140650371</v>
      </c>
      <c r="AB117" s="22"/>
    </row>
    <row r="118" spans="1:28" x14ac:dyDescent="0.25">
      <c r="A118" s="16"/>
      <c r="B118" s="3" t="s">
        <v>180</v>
      </c>
      <c r="C118" s="3" t="s">
        <v>188</v>
      </c>
      <c r="D118" s="11" t="s">
        <v>8</v>
      </c>
      <c r="E118" s="8">
        <v>671.2454696171061</v>
      </c>
      <c r="F118" s="8">
        <v>1009.3178845350573</v>
      </c>
      <c r="G118" s="8">
        <v>1372.9684881153657</v>
      </c>
      <c r="H118" s="8">
        <v>700.71857593237212</v>
      </c>
      <c r="I118" s="8">
        <v>1098.1012153157633</v>
      </c>
      <c r="J118" s="8">
        <v>1426.1324257583294</v>
      </c>
      <c r="K118" s="8">
        <v>749.91343978120346</v>
      </c>
      <c r="L118" s="8">
        <v>1063.5763485827947</v>
      </c>
      <c r="M118" s="8">
        <v>1614.5361900546993</v>
      </c>
      <c r="N118" s="22"/>
      <c r="O118" s="8">
        <v>62.360237240372541</v>
      </c>
      <c r="P118" s="8">
        <v>93.767936737748556</v>
      </c>
      <c r="Q118" s="8">
        <v>127.55190838199424</v>
      </c>
      <c r="R118" s="8">
        <v>65.098356133121442</v>
      </c>
      <c r="S118" s="8">
        <v>102.01611094685489</v>
      </c>
      <c r="T118" s="8">
        <v>132.49095961453173</v>
      </c>
      <c r="U118" s="8">
        <v>69.668671344888764</v>
      </c>
      <c r="V118" s="8">
        <v>98.808671973168757</v>
      </c>
      <c r="W118" s="8">
        <v>149.99409962857567</v>
      </c>
      <c r="X118" s="22"/>
      <c r="AA118" s="24">
        <f t="shared" si="4"/>
        <v>0.40584819365237657</v>
      </c>
      <c r="AB118" s="22"/>
    </row>
    <row r="119" spans="1:28" x14ac:dyDescent="0.25">
      <c r="A119" s="16"/>
      <c r="B119" s="3" t="s">
        <v>180</v>
      </c>
      <c r="C119" s="3" t="s">
        <v>189</v>
      </c>
      <c r="D119" s="11" t="s">
        <v>8</v>
      </c>
      <c r="E119" s="8">
        <v>703.81499303828957</v>
      </c>
      <c r="F119" s="8">
        <v>1057.9676116360022</v>
      </c>
      <c r="G119" s="8">
        <v>1439.7677692690208</v>
      </c>
      <c r="H119" s="8">
        <v>715.66596867230237</v>
      </c>
      <c r="I119" s="8">
        <v>1036.7676678269518</v>
      </c>
      <c r="J119" s="8">
        <v>1382.9261576330184</v>
      </c>
      <c r="K119" s="8">
        <v>597.48119890601697</v>
      </c>
      <c r="L119" s="8">
        <v>837.91658627548486</v>
      </c>
      <c r="M119" s="8">
        <v>1331.0062421680757</v>
      </c>
      <c r="N119" s="22"/>
      <c r="O119" s="8">
        <v>65.386020354423835</v>
      </c>
      <c r="P119" s="8">
        <v>98.287607500554373</v>
      </c>
      <c r="Q119" s="8">
        <v>133.75771416956169</v>
      </c>
      <c r="R119" s="8">
        <v>66.48700305824525</v>
      </c>
      <c r="S119" s="8">
        <v>96.318084300391746</v>
      </c>
      <c r="T119" s="8">
        <v>128.47699862332766</v>
      </c>
      <c r="U119" s="8">
        <v>55.507368015004815</v>
      </c>
      <c r="V119" s="8">
        <v>77.844364651858967</v>
      </c>
      <c r="W119" s="8">
        <v>123.65351989245325</v>
      </c>
      <c r="X119" s="22"/>
      <c r="AA119" s="24">
        <f t="shared" si="4"/>
        <v>0.42554036715210403</v>
      </c>
      <c r="AB119" s="22"/>
    </row>
    <row r="120" spans="1:28" x14ac:dyDescent="0.25">
      <c r="A120" s="16"/>
      <c r="B120" s="3" t="s">
        <v>190</v>
      </c>
      <c r="C120" s="3" t="s">
        <v>191</v>
      </c>
      <c r="D120" s="11" t="s">
        <v>8</v>
      </c>
      <c r="E120" s="8">
        <v>453.57549875683736</v>
      </c>
      <c r="F120" s="8">
        <v>562.75089010442571</v>
      </c>
      <c r="G120" s="8">
        <v>758.58851516658387</v>
      </c>
      <c r="H120" s="8">
        <v>416.57961810044759</v>
      </c>
      <c r="I120" s="8">
        <v>578.66105818000995</v>
      </c>
      <c r="J120" s="8">
        <v>702.95440278468425</v>
      </c>
      <c r="K120" s="8">
        <v>518.40874191944306</v>
      </c>
      <c r="L120" s="8">
        <v>638.70439184485326</v>
      </c>
      <c r="M120" s="8">
        <v>986.48250820487317</v>
      </c>
      <c r="N120" s="22"/>
      <c r="O120" s="8">
        <v>42.138199793037174</v>
      </c>
      <c r="P120" s="8">
        <v>52.280843003917504</v>
      </c>
      <c r="Q120" s="8">
        <v>70.474605661911454</v>
      </c>
      <c r="R120" s="8">
        <v>38.701197982112497</v>
      </c>
      <c r="S120" s="8">
        <v>53.758933956685631</v>
      </c>
      <c r="T120" s="8">
        <v>65.306069554290772</v>
      </c>
      <c r="U120" s="8">
        <v>48.161356160839674</v>
      </c>
      <c r="V120" s="8">
        <v>59.337096792076281</v>
      </c>
      <c r="W120" s="8">
        <v>91.646478121073244</v>
      </c>
      <c r="X120" s="22"/>
      <c r="AA120" s="24">
        <f t="shared" si="4"/>
        <v>0.27424065440686446</v>
      </c>
      <c r="AB120" s="22"/>
    </row>
    <row r="121" spans="1:28" x14ac:dyDescent="0.25">
      <c r="A121" s="21">
        <v>-0.01</v>
      </c>
      <c r="B121" s="18" t="s">
        <v>190</v>
      </c>
      <c r="C121" s="18" t="s">
        <v>192</v>
      </c>
      <c r="D121" s="19" t="s">
        <v>8</v>
      </c>
      <c r="E121" s="25">
        <f>E120/1.01</f>
        <v>449.08465223449241</v>
      </c>
      <c r="F121" s="25">
        <f t="shared" ref="F121:W121" si="9">F120/1.01</f>
        <v>557.17909911329275</v>
      </c>
      <c r="G121" s="25">
        <f t="shared" si="9"/>
        <v>751.07773778869694</v>
      </c>
      <c r="H121" s="25">
        <f t="shared" si="9"/>
        <v>412.45506742618574</v>
      </c>
      <c r="I121" s="25">
        <f t="shared" si="9"/>
        <v>572.93174077228707</v>
      </c>
      <c r="J121" s="25">
        <f t="shared" si="9"/>
        <v>695.99445820265771</v>
      </c>
      <c r="K121" s="25">
        <f t="shared" si="9"/>
        <v>513.27598209845848</v>
      </c>
      <c r="L121" s="25">
        <f t="shared" si="9"/>
        <v>632.38058598500322</v>
      </c>
      <c r="M121" s="25">
        <f t="shared" si="9"/>
        <v>976.71535465829027</v>
      </c>
      <c r="N121" s="22"/>
      <c r="O121" s="25">
        <f t="shared" si="9"/>
        <v>41.720989894096213</v>
      </c>
      <c r="P121" s="25">
        <f t="shared" si="9"/>
        <v>51.763210894967827</v>
      </c>
      <c r="Q121" s="25">
        <f t="shared" si="9"/>
        <v>69.776837289021245</v>
      </c>
      <c r="R121" s="25">
        <f t="shared" si="9"/>
        <v>38.318017804071779</v>
      </c>
      <c r="S121" s="25">
        <f t="shared" si="9"/>
        <v>53.226667283847156</v>
      </c>
      <c r="T121" s="25">
        <f t="shared" si="9"/>
        <v>64.659474806228488</v>
      </c>
      <c r="U121" s="25">
        <f t="shared" si="9"/>
        <v>47.684511050336312</v>
      </c>
      <c r="V121" s="25">
        <f t="shared" si="9"/>
        <v>58.749600784233941</v>
      </c>
      <c r="W121" s="25">
        <f t="shared" si="9"/>
        <v>90.739087248587367</v>
      </c>
      <c r="X121" s="22"/>
      <c r="AA121" s="26">
        <f t="shared" si="4"/>
        <v>0.27152540040283613</v>
      </c>
      <c r="AB121" s="22"/>
    </row>
    <row r="122" spans="1:28" x14ac:dyDescent="0.25">
      <c r="A122" s="21">
        <v>-0.01</v>
      </c>
      <c r="B122" s="18" t="s">
        <v>190</v>
      </c>
      <c r="C122" s="18" t="s">
        <v>193</v>
      </c>
      <c r="D122" s="19" t="s">
        <v>8</v>
      </c>
      <c r="E122" s="25">
        <f>E120/1.01</f>
        <v>449.08465223449241</v>
      </c>
      <c r="F122" s="25">
        <f t="shared" ref="F122:M122" si="10">F120/1.01</f>
        <v>557.17909911329275</v>
      </c>
      <c r="G122" s="25">
        <f t="shared" si="10"/>
        <v>751.07773778869694</v>
      </c>
      <c r="H122" s="25">
        <f t="shared" si="10"/>
        <v>412.45506742618574</v>
      </c>
      <c r="I122" s="25">
        <f t="shared" si="10"/>
        <v>572.93174077228707</v>
      </c>
      <c r="J122" s="25">
        <f t="shared" si="10"/>
        <v>695.99445820265771</v>
      </c>
      <c r="K122" s="25">
        <f t="shared" si="10"/>
        <v>513.27598209845848</v>
      </c>
      <c r="L122" s="25">
        <f t="shared" si="10"/>
        <v>632.38058598500322</v>
      </c>
      <c r="M122" s="25">
        <f t="shared" si="10"/>
        <v>976.71535465829027</v>
      </c>
      <c r="N122" s="22"/>
      <c r="O122" s="25">
        <f t="shared" ref="O122:W122" si="11">O120/1.01</f>
        <v>41.720989894096213</v>
      </c>
      <c r="P122" s="25">
        <f t="shared" si="11"/>
        <v>51.763210894967827</v>
      </c>
      <c r="Q122" s="25">
        <f t="shared" si="11"/>
        <v>69.776837289021245</v>
      </c>
      <c r="R122" s="25">
        <f t="shared" si="11"/>
        <v>38.318017804071779</v>
      </c>
      <c r="S122" s="25">
        <f t="shared" si="11"/>
        <v>53.226667283847156</v>
      </c>
      <c r="T122" s="25">
        <f t="shared" si="11"/>
        <v>64.659474806228488</v>
      </c>
      <c r="U122" s="25">
        <f t="shared" si="11"/>
        <v>47.684511050336312</v>
      </c>
      <c r="V122" s="25">
        <f t="shared" si="11"/>
        <v>58.749600784233941</v>
      </c>
      <c r="W122" s="25">
        <f t="shared" si="11"/>
        <v>90.739087248587367</v>
      </c>
      <c r="X122" s="22"/>
      <c r="AA122" s="26">
        <f t="shared" si="4"/>
        <v>0.27152540040283613</v>
      </c>
      <c r="AB122" s="22"/>
    </row>
    <row r="123" spans="1:28" x14ac:dyDescent="0.25">
      <c r="A123" s="21">
        <v>-0.02</v>
      </c>
      <c r="B123" s="18" t="s">
        <v>190</v>
      </c>
      <c r="C123" s="18" t="s">
        <v>194</v>
      </c>
      <c r="D123" s="19" t="s">
        <v>8</v>
      </c>
      <c r="E123" s="25">
        <f>E120/1.02</f>
        <v>444.68186152631114</v>
      </c>
      <c r="F123" s="25">
        <f t="shared" ref="F123:M123" si="12">F120/1.02</f>
        <v>551.71655892590752</v>
      </c>
      <c r="G123" s="25">
        <f t="shared" si="12"/>
        <v>743.71423055547439</v>
      </c>
      <c r="H123" s="25">
        <f t="shared" si="12"/>
        <v>408.41139029455644</v>
      </c>
      <c r="I123" s="25">
        <f t="shared" si="12"/>
        <v>567.31476292157834</v>
      </c>
      <c r="J123" s="25">
        <f t="shared" si="12"/>
        <v>689.17098312223948</v>
      </c>
      <c r="K123" s="25">
        <f t="shared" si="12"/>
        <v>508.24386462690495</v>
      </c>
      <c r="L123" s="25">
        <f t="shared" si="12"/>
        <v>626.18077631848359</v>
      </c>
      <c r="M123" s="25">
        <f t="shared" si="12"/>
        <v>967.13971392634619</v>
      </c>
      <c r="N123" s="22"/>
      <c r="O123" s="25">
        <f t="shared" ref="O123:W123" si="13">O120/1.02</f>
        <v>41.311960581408997</v>
      </c>
      <c r="P123" s="25">
        <f t="shared" si="13"/>
        <v>51.255728435213236</v>
      </c>
      <c r="Q123" s="25">
        <f t="shared" si="13"/>
        <v>69.092750648932793</v>
      </c>
      <c r="R123" s="25">
        <f t="shared" si="13"/>
        <v>37.942350962855386</v>
      </c>
      <c r="S123" s="25">
        <f t="shared" si="13"/>
        <v>52.704837212436892</v>
      </c>
      <c r="T123" s="25">
        <f t="shared" si="13"/>
        <v>64.025558386559581</v>
      </c>
      <c r="U123" s="25">
        <f t="shared" si="13"/>
        <v>47.217015843960461</v>
      </c>
      <c r="V123" s="25">
        <f t="shared" si="13"/>
        <v>58.173624305957134</v>
      </c>
      <c r="W123" s="25">
        <f t="shared" si="13"/>
        <v>89.84948835399338</v>
      </c>
      <c r="X123" s="22"/>
      <c r="AA123" s="26">
        <f t="shared" si="4"/>
        <v>0.26886338667339654</v>
      </c>
      <c r="AB123" s="22"/>
    </row>
    <row r="124" spans="1:28" x14ac:dyDescent="0.25">
      <c r="A124" s="21">
        <v>0.08</v>
      </c>
      <c r="B124" s="18" t="s">
        <v>190</v>
      </c>
      <c r="C124" s="18" t="s">
        <v>195</v>
      </c>
      <c r="D124" s="19" t="s">
        <v>8</v>
      </c>
      <c r="E124" s="25">
        <f>E120*1.08</f>
        <v>489.86153865738436</v>
      </c>
      <c r="F124" s="25">
        <f t="shared" ref="F124:M124" si="14">F120*1.08</f>
        <v>607.77096131277983</v>
      </c>
      <c r="G124" s="25">
        <f t="shared" si="14"/>
        <v>819.27559637991067</v>
      </c>
      <c r="H124" s="25">
        <f t="shared" si="14"/>
        <v>449.90598754848344</v>
      </c>
      <c r="I124" s="25">
        <f t="shared" si="14"/>
        <v>624.95394283441078</v>
      </c>
      <c r="J124" s="25">
        <f t="shared" si="14"/>
        <v>759.19075500745907</v>
      </c>
      <c r="K124" s="25">
        <f t="shared" si="14"/>
        <v>559.88144127299859</v>
      </c>
      <c r="L124" s="25">
        <f t="shared" si="14"/>
        <v>689.80074319244159</v>
      </c>
      <c r="M124" s="25">
        <f t="shared" si="14"/>
        <v>1065.4011088612631</v>
      </c>
      <c r="N124" s="22"/>
      <c r="O124" s="25">
        <f t="shared" ref="O124:W124" si="15">O120*1.08</f>
        <v>45.509255776480153</v>
      </c>
      <c r="P124" s="25">
        <f t="shared" si="15"/>
        <v>56.463310444230906</v>
      </c>
      <c r="Q124" s="25">
        <f t="shared" si="15"/>
        <v>76.112574114864373</v>
      </c>
      <c r="R124" s="25">
        <f t="shared" si="15"/>
        <v>41.797293820681496</v>
      </c>
      <c r="S124" s="25">
        <f t="shared" si="15"/>
        <v>58.059648673220487</v>
      </c>
      <c r="T124" s="25">
        <f t="shared" si="15"/>
        <v>70.530555118634041</v>
      </c>
      <c r="U124" s="25">
        <f t="shared" si="15"/>
        <v>52.014264653706853</v>
      </c>
      <c r="V124" s="25">
        <f t="shared" si="15"/>
        <v>64.084064535442394</v>
      </c>
      <c r="W124" s="25">
        <f t="shared" si="15"/>
        <v>98.978196370759107</v>
      </c>
      <c r="X124" s="22"/>
      <c r="AA124" s="26">
        <f t="shared" si="4"/>
        <v>0.29617990675941364</v>
      </c>
      <c r="AB124" s="22"/>
    </row>
    <row r="125" spans="1:28" x14ac:dyDescent="0.25">
      <c r="A125" s="21">
        <v>0.05</v>
      </c>
      <c r="B125" s="18" t="s">
        <v>190</v>
      </c>
      <c r="C125" s="18" t="s">
        <v>196</v>
      </c>
      <c r="D125" s="19" t="s">
        <v>8</v>
      </c>
      <c r="E125" s="25">
        <f>E120*1.05</f>
        <v>476.25427369467923</v>
      </c>
      <c r="F125" s="25">
        <f t="shared" ref="F125:M125" si="16">F120*1.05</f>
        <v>590.88843460964699</v>
      </c>
      <c r="G125" s="25">
        <f t="shared" si="16"/>
        <v>796.51794092491309</v>
      </c>
      <c r="H125" s="25">
        <f t="shared" si="16"/>
        <v>437.40859900546997</v>
      </c>
      <c r="I125" s="25">
        <f t="shared" si="16"/>
        <v>607.59411108901043</v>
      </c>
      <c r="J125" s="25">
        <f t="shared" si="16"/>
        <v>738.1021229239185</v>
      </c>
      <c r="K125" s="25">
        <f t="shared" si="16"/>
        <v>544.32917901541521</v>
      </c>
      <c r="L125" s="25">
        <f t="shared" si="16"/>
        <v>670.63961143709594</v>
      </c>
      <c r="M125" s="25">
        <f t="shared" si="16"/>
        <v>1035.8066336151169</v>
      </c>
      <c r="N125" s="22"/>
      <c r="O125" s="25">
        <f t="shared" ref="O125:W125" si="17">O120*1.05</f>
        <v>44.245109782689035</v>
      </c>
      <c r="P125" s="25">
        <f t="shared" si="17"/>
        <v>54.894885154113382</v>
      </c>
      <c r="Q125" s="25">
        <f t="shared" si="17"/>
        <v>73.998335945007028</v>
      </c>
      <c r="R125" s="25">
        <f t="shared" si="17"/>
        <v>40.636257881218121</v>
      </c>
      <c r="S125" s="25">
        <f t="shared" si="17"/>
        <v>56.446880654519916</v>
      </c>
      <c r="T125" s="25">
        <f t="shared" si="17"/>
        <v>68.571373032005312</v>
      </c>
      <c r="U125" s="25">
        <f t="shared" si="17"/>
        <v>50.569423968881658</v>
      </c>
      <c r="V125" s="25">
        <f t="shared" si="17"/>
        <v>62.3039516316801</v>
      </c>
      <c r="W125" s="25">
        <f t="shared" si="17"/>
        <v>96.228802027126903</v>
      </c>
      <c r="X125" s="22"/>
      <c r="AA125" s="26">
        <f t="shared" si="4"/>
        <v>0.28795268712720767</v>
      </c>
      <c r="AB125" s="22"/>
    </row>
    <row r="126" spans="1:28" x14ac:dyDescent="0.25">
      <c r="A126" s="21">
        <v>-0.01</v>
      </c>
      <c r="B126" s="18" t="s">
        <v>190</v>
      </c>
      <c r="C126" s="18" t="s">
        <v>197</v>
      </c>
      <c r="D126" s="19" t="s">
        <v>8</v>
      </c>
      <c r="E126" s="25">
        <f>E120/1.01</f>
        <v>449.08465223449241</v>
      </c>
      <c r="F126" s="25">
        <f t="shared" ref="F126:M126" si="18">F120/1.01</f>
        <v>557.17909911329275</v>
      </c>
      <c r="G126" s="25">
        <f t="shared" si="18"/>
        <v>751.07773778869694</v>
      </c>
      <c r="H126" s="25">
        <f t="shared" si="18"/>
        <v>412.45506742618574</v>
      </c>
      <c r="I126" s="25">
        <f t="shared" si="18"/>
        <v>572.93174077228707</v>
      </c>
      <c r="J126" s="25">
        <f t="shared" si="18"/>
        <v>695.99445820265771</v>
      </c>
      <c r="K126" s="25">
        <f t="shared" si="18"/>
        <v>513.27598209845848</v>
      </c>
      <c r="L126" s="25">
        <f t="shared" si="18"/>
        <v>632.38058598500322</v>
      </c>
      <c r="M126" s="25">
        <f t="shared" si="18"/>
        <v>976.71535465829027</v>
      </c>
      <c r="N126" s="22"/>
      <c r="O126" s="25">
        <f t="shared" ref="O126:W126" si="19">O120/1.01</f>
        <v>41.720989894096213</v>
      </c>
      <c r="P126" s="25">
        <f t="shared" si="19"/>
        <v>51.763210894967827</v>
      </c>
      <c r="Q126" s="25">
        <f t="shared" si="19"/>
        <v>69.776837289021245</v>
      </c>
      <c r="R126" s="25">
        <f t="shared" si="19"/>
        <v>38.318017804071779</v>
      </c>
      <c r="S126" s="25">
        <f t="shared" si="19"/>
        <v>53.226667283847156</v>
      </c>
      <c r="T126" s="25">
        <f t="shared" si="19"/>
        <v>64.659474806228488</v>
      </c>
      <c r="U126" s="25">
        <f t="shared" si="19"/>
        <v>47.684511050336312</v>
      </c>
      <c r="V126" s="25">
        <f t="shared" si="19"/>
        <v>58.749600784233941</v>
      </c>
      <c r="W126" s="25">
        <f t="shared" si="19"/>
        <v>90.739087248587367</v>
      </c>
      <c r="X126" s="22"/>
      <c r="AA126" s="26">
        <f t="shared" si="4"/>
        <v>0.27152540040283613</v>
      </c>
      <c r="AB126" s="22"/>
    </row>
    <row r="127" spans="1:28" x14ac:dyDescent="0.25">
      <c r="A127" s="16"/>
      <c r="B127" s="3" t="s">
        <v>198</v>
      </c>
      <c r="C127" s="3" t="s">
        <v>199</v>
      </c>
      <c r="D127" s="11" t="s">
        <v>8</v>
      </c>
      <c r="E127" s="8">
        <v>889.68147572352063</v>
      </c>
      <c r="F127" s="8">
        <v>1134.469468928891</v>
      </c>
      <c r="G127" s="8">
        <v>1426.1232788622574</v>
      </c>
      <c r="H127" s="8">
        <v>801.72357893983087</v>
      </c>
      <c r="I127" s="8">
        <v>922.2261332272501</v>
      </c>
      <c r="J127" s="8">
        <v>1230.3472568393834</v>
      </c>
      <c r="K127" s="8">
        <v>1130.0591460248631</v>
      </c>
      <c r="L127" s="8">
        <v>1223.0162798050719</v>
      </c>
      <c r="M127" s="8">
        <v>1634.5688191427148</v>
      </c>
      <c r="N127" s="22"/>
      <c r="O127" s="8">
        <v>82.653441111686007</v>
      </c>
      <c r="P127" s="8">
        <v>105.39480477197131</v>
      </c>
      <c r="Q127" s="8">
        <v>132.49010984699532</v>
      </c>
      <c r="R127" s="8">
        <v>74.481951606179308</v>
      </c>
      <c r="S127" s="8">
        <v>85.676914125212505</v>
      </c>
      <c r="T127" s="8">
        <v>114.30207025205114</v>
      </c>
      <c r="U127" s="8">
        <v>104.98507570108654</v>
      </c>
      <c r="V127" s="8">
        <v>113.62100574173995</v>
      </c>
      <c r="W127" s="8">
        <v>151.8551766250277</v>
      </c>
      <c r="X127" s="22"/>
      <c r="AA127" s="24">
        <f>O127/$AA$3</f>
        <v>0.53791889285202543</v>
      </c>
      <c r="AB127" s="22"/>
    </row>
    <row r="128" spans="1:28" x14ac:dyDescent="0.25">
      <c r="A128" s="16"/>
      <c r="B128" s="3" t="s">
        <v>200</v>
      </c>
      <c r="C128" s="3" t="s">
        <v>201</v>
      </c>
      <c r="D128" s="11" t="s">
        <v>8</v>
      </c>
      <c r="E128" s="8">
        <v>1776.8153242168075</v>
      </c>
      <c r="F128" s="8">
        <v>2284.4697821979116</v>
      </c>
      <c r="G128" s="8">
        <v>2721.0351150671308</v>
      </c>
      <c r="H128" s="8">
        <v>1561.5775945300845</v>
      </c>
      <c r="I128" s="8">
        <v>2098.6411864743909</v>
      </c>
      <c r="J128" s="8">
        <v>2413.9908766782696</v>
      </c>
      <c r="K128" s="8">
        <v>1441.4861540527099</v>
      </c>
      <c r="L128" s="8">
        <v>1763.3797524614617</v>
      </c>
      <c r="M128" s="8">
        <v>2482.5079315763301</v>
      </c>
      <c r="N128" s="22"/>
      <c r="O128" s="8">
        <v>165.07020183494714</v>
      </c>
      <c r="P128" s="8">
        <v>212.23246045531818</v>
      </c>
      <c r="Q128" s="8">
        <v>252.79037698647349</v>
      </c>
      <c r="R128" s="8">
        <v>145.07412514783056</v>
      </c>
      <c r="S128" s="8">
        <v>194.96855948333209</v>
      </c>
      <c r="T128" s="8">
        <v>224.26526595646391</v>
      </c>
      <c r="U128" s="8">
        <v>133.9173560407273</v>
      </c>
      <c r="V128" s="8">
        <v>163.822006532264</v>
      </c>
      <c r="W128" s="8">
        <v>230.63065684825187</v>
      </c>
      <c r="X128" s="22"/>
      <c r="AA128" s="24">
        <f>O128/$AA$3</f>
        <v>1.0742974402472991</v>
      </c>
      <c r="AB128" s="22"/>
    </row>
    <row r="129" spans="1:28" x14ac:dyDescent="0.25">
      <c r="A129" s="16"/>
      <c r="B129" s="3" t="s">
        <v>202</v>
      </c>
      <c r="C129" s="3" t="s">
        <v>203</v>
      </c>
      <c r="D129" s="11" t="s">
        <v>8</v>
      </c>
      <c r="E129" s="8">
        <v>775.03335156638479</v>
      </c>
      <c r="F129" s="8">
        <v>1050.0586872202884</v>
      </c>
      <c r="G129" s="8">
        <v>1484.9770412729983</v>
      </c>
      <c r="H129" s="8">
        <v>689.8920835405271</v>
      </c>
      <c r="I129" s="8">
        <v>983.19264047737431</v>
      </c>
      <c r="J129" s="8">
        <v>1177.3131526603679</v>
      </c>
      <c r="K129" s="8">
        <v>938.79304326205863</v>
      </c>
      <c r="L129" s="8">
        <v>1105.2009696668324</v>
      </c>
      <c r="M129" s="8">
        <v>1538.5297563401293</v>
      </c>
      <c r="N129" s="22"/>
      <c r="O129" s="8">
        <v>72.002368523172436</v>
      </c>
      <c r="P129" s="8">
        <v>97.552850358489152</v>
      </c>
      <c r="Q129" s="8">
        <v>137.95775879591986</v>
      </c>
      <c r="R129" s="8">
        <v>64.092550262399286</v>
      </c>
      <c r="S129" s="8">
        <v>91.340841895188106</v>
      </c>
      <c r="T129" s="8">
        <v>109.37508084485179</v>
      </c>
      <c r="U129" s="8">
        <v>87.21601790597974</v>
      </c>
      <c r="V129" s="8">
        <v>102.67569434178429</v>
      </c>
      <c r="W129" s="8">
        <v>142.93292833912335</v>
      </c>
      <c r="X129" s="22"/>
      <c r="AA129" s="24">
        <f t="shared" ref="AA129:AA137" si="20">O129/$AA$3</f>
        <v>0.46860038538954885</v>
      </c>
      <c r="AB129" s="22"/>
    </row>
    <row r="130" spans="1:28" x14ac:dyDescent="0.25">
      <c r="A130" s="16"/>
      <c r="B130" s="3" t="s">
        <v>204</v>
      </c>
      <c r="C130" s="3" t="s">
        <v>205</v>
      </c>
      <c r="D130" s="11" t="s">
        <v>8</v>
      </c>
      <c r="E130" s="8">
        <v>1048.590775733466</v>
      </c>
      <c r="F130" s="8">
        <v>1495.5901491795128</v>
      </c>
      <c r="G130" s="8">
        <v>1911.2608453505718</v>
      </c>
      <c r="H130" s="8">
        <v>741.19373446046734</v>
      </c>
      <c r="I130" s="8">
        <v>1057.8186573843857</v>
      </c>
      <c r="J130" s="8">
        <v>1359.4351069119841</v>
      </c>
      <c r="K130" s="8">
        <v>814.14249627051208</v>
      </c>
      <c r="L130" s="8">
        <v>1093.3321979114869</v>
      </c>
      <c r="M130" s="8">
        <v>1553.6275484833416</v>
      </c>
      <c r="N130" s="22"/>
      <c r="O130" s="8">
        <v>97.416478028679123</v>
      </c>
      <c r="P130" s="8">
        <v>138.94374076058835</v>
      </c>
      <c r="Q130" s="8">
        <v>177.56049781949881</v>
      </c>
      <c r="R130" s="8">
        <v>68.858590804937535</v>
      </c>
      <c r="S130" s="8">
        <v>98.273769310370298</v>
      </c>
      <c r="T130" s="8">
        <v>126.29462635819348</v>
      </c>
      <c r="U130" s="8">
        <v>75.635697390790156</v>
      </c>
      <c r="V130" s="8">
        <v>101.57305833764505</v>
      </c>
      <c r="W130" s="8">
        <v>144.33554771232164</v>
      </c>
      <c r="X130" s="22"/>
      <c r="AA130" s="24">
        <f t="shared" si="20"/>
        <v>0.63399857648905344</v>
      </c>
      <c r="AB130" s="22"/>
    </row>
    <row r="131" spans="1:28" x14ac:dyDescent="0.25">
      <c r="A131" s="16"/>
      <c r="B131" s="3" t="s">
        <v>206</v>
      </c>
      <c r="C131" s="3" t="s">
        <v>207</v>
      </c>
      <c r="D131" s="11" t="s">
        <v>8</v>
      </c>
      <c r="E131" s="8">
        <v>1042.1951409746393</v>
      </c>
      <c r="F131" s="8">
        <v>1116.4058376429637</v>
      </c>
      <c r="G131" s="8">
        <v>1188.604349328692</v>
      </c>
      <c r="H131" s="8">
        <v>993.04847339632022</v>
      </c>
      <c r="I131" s="8">
        <v>1028.5983197414221</v>
      </c>
      <c r="J131" s="8">
        <v>1116.5933078070611</v>
      </c>
      <c r="K131" s="8">
        <v>1015.0962073595227</v>
      </c>
      <c r="L131" s="8">
        <v>1305.4562108403779</v>
      </c>
      <c r="M131" s="8">
        <v>1452.7372725012433</v>
      </c>
      <c r="N131" s="22"/>
      <c r="O131" s="8">
        <v>96.822308952065924</v>
      </c>
      <c r="P131" s="8">
        <v>103.7166521684899</v>
      </c>
      <c r="Q131" s="8">
        <v>110.42405880423533</v>
      </c>
      <c r="R131" s="8">
        <v>92.256471283908638</v>
      </c>
      <c r="S131" s="8">
        <v>95.559133204597529</v>
      </c>
      <c r="T131" s="8">
        <v>103.73406857491314</v>
      </c>
      <c r="U131" s="8">
        <v>94.304756125729909</v>
      </c>
      <c r="V131" s="8">
        <v>121.27986362628428</v>
      </c>
      <c r="W131" s="8">
        <v>134.96261064195431</v>
      </c>
      <c r="X131" s="22"/>
      <c r="AA131" s="24">
        <f t="shared" si="20"/>
        <v>0.6301316501087374</v>
      </c>
      <c r="AB131" s="22"/>
    </row>
    <row r="132" spans="1:28" x14ac:dyDescent="0.25">
      <c r="A132" s="16"/>
      <c r="B132" s="3" t="s">
        <v>208</v>
      </c>
      <c r="C132" s="3" t="s">
        <v>209</v>
      </c>
      <c r="D132" s="11" t="s">
        <v>8</v>
      </c>
      <c r="E132" s="8">
        <v>975.26674490303321</v>
      </c>
      <c r="F132" s="8">
        <v>1416.9142973644953</v>
      </c>
      <c r="G132" s="8">
        <v>1820.1557573346593</v>
      </c>
      <c r="H132" s="8">
        <v>999.22151367478864</v>
      </c>
      <c r="I132" s="8">
        <v>1189.273247140726</v>
      </c>
      <c r="J132" s="8">
        <v>1506.1323311785181</v>
      </c>
      <c r="K132" s="8">
        <v>847.70146096469409</v>
      </c>
      <c r="L132" s="8">
        <v>907.38149477871696</v>
      </c>
      <c r="M132" s="8">
        <v>1178.5739522625558</v>
      </c>
      <c r="N132" s="22"/>
      <c r="O132" s="8">
        <v>90.60450809372459</v>
      </c>
      <c r="P132" s="8">
        <v>131.63457443270011</v>
      </c>
      <c r="Q132" s="8">
        <v>169.09662706038876</v>
      </c>
      <c r="R132" s="8">
        <v>92.829960824894656</v>
      </c>
      <c r="S132" s="8">
        <v>110.4862009387242</v>
      </c>
      <c r="T132" s="8">
        <v>139.92313354645574</v>
      </c>
      <c r="U132" s="8">
        <v>78.75340185896961</v>
      </c>
      <c r="V132" s="8">
        <v>84.297813308448511</v>
      </c>
      <c r="W132" s="8">
        <v>109.49221200753935</v>
      </c>
      <c r="X132" s="22"/>
      <c r="AA132" s="24">
        <f t="shared" si="20"/>
        <v>0.58966542742390282</v>
      </c>
      <c r="AB132" s="22"/>
    </row>
    <row r="133" spans="1:28" x14ac:dyDescent="0.25">
      <c r="A133" s="16"/>
      <c r="B133" s="3" t="s">
        <v>210</v>
      </c>
      <c r="C133" s="3" t="s">
        <v>210</v>
      </c>
      <c r="D133" s="11" t="s">
        <v>8</v>
      </c>
      <c r="E133" s="8">
        <v>1653.9323818995526</v>
      </c>
      <c r="F133" s="8">
        <v>2530.760626553953</v>
      </c>
      <c r="G133" s="8">
        <v>3000.366245648931</v>
      </c>
      <c r="H133" s="8">
        <v>1435.6312779711586</v>
      </c>
      <c r="I133" s="8">
        <v>2243.6836797613128</v>
      </c>
      <c r="J133" s="8">
        <v>2609.2484634510192</v>
      </c>
      <c r="K133" s="8">
        <v>1541.4376628543014</v>
      </c>
      <c r="L133" s="8">
        <v>2040.3617802088513</v>
      </c>
      <c r="M133" s="8">
        <v>2405.6193038289407</v>
      </c>
      <c r="N133" s="22"/>
      <c r="O133" s="8">
        <v>153.65409583117747</v>
      </c>
      <c r="P133" s="8">
        <v>235.11344241998668</v>
      </c>
      <c r="Q133" s="8">
        <v>278.74087700495227</v>
      </c>
      <c r="R133" s="8">
        <v>133.37342468031633</v>
      </c>
      <c r="S133" s="8">
        <v>208.44333838421167</v>
      </c>
      <c r="T133" s="8">
        <v>242.40514173257444</v>
      </c>
      <c r="U133" s="8">
        <v>143.2030794958977</v>
      </c>
      <c r="V133" s="8">
        <v>189.55426953211617</v>
      </c>
      <c r="W133" s="8">
        <v>223.48752771823487</v>
      </c>
      <c r="X133" s="22"/>
      <c r="AA133" s="24">
        <f t="shared" si="20"/>
        <v>1</v>
      </c>
      <c r="AB133" s="22"/>
    </row>
    <row r="134" spans="1:28" x14ac:dyDescent="0.25">
      <c r="A134" s="16"/>
      <c r="B134" s="3" t="s">
        <v>211</v>
      </c>
      <c r="C134" s="3" t="s">
        <v>212</v>
      </c>
      <c r="D134" s="11" t="s">
        <v>8</v>
      </c>
      <c r="E134" s="8">
        <v>680.40642257583295</v>
      </c>
      <c r="F134" s="8">
        <v>1161.1269618498261</v>
      </c>
      <c r="G134" s="8">
        <v>1132.7642059075088</v>
      </c>
      <c r="H134" s="8">
        <v>688.02264674291393</v>
      </c>
      <c r="I134" s="8">
        <v>956.28510287419203</v>
      </c>
      <c r="J134" s="8">
        <v>1019.1874907608156</v>
      </c>
      <c r="K134" s="8">
        <v>822.08332254599702</v>
      </c>
      <c r="L134" s="8">
        <v>1182.5887462158132</v>
      </c>
      <c r="M134" s="8">
        <v>1265.9610693386376</v>
      </c>
      <c r="N134" s="22"/>
      <c r="O134" s="8">
        <v>63.211310693695026</v>
      </c>
      <c r="P134" s="8">
        <v>107.87134674957498</v>
      </c>
      <c r="Q134" s="8">
        <v>105.23638194249391</v>
      </c>
      <c r="R134" s="8">
        <v>63.918875314140003</v>
      </c>
      <c r="S134" s="8">
        <v>88.841070195505949</v>
      </c>
      <c r="T134" s="8">
        <v>94.684845698129948</v>
      </c>
      <c r="U134" s="8">
        <v>76.373418288491393</v>
      </c>
      <c r="V134" s="8">
        <v>109.86519553551629</v>
      </c>
      <c r="W134" s="8">
        <v>117.61067477455836</v>
      </c>
      <c r="X134" s="22"/>
      <c r="AA134" s="24">
        <f t="shared" si="20"/>
        <v>0.41138708572498084</v>
      </c>
      <c r="AB134" s="22"/>
    </row>
    <row r="135" spans="1:28" x14ac:dyDescent="0.25">
      <c r="A135" s="16"/>
      <c r="B135" s="3" t="s">
        <v>213</v>
      </c>
      <c r="C135" s="3" t="s">
        <v>214</v>
      </c>
      <c r="D135" s="11" t="s">
        <v>8</v>
      </c>
      <c r="E135" s="8">
        <v>835.39582815514666</v>
      </c>
      <c r="F135" s="8">
        <v>1257.1376777424166</v>
      </c>
      <c r="G135" s="8">
        <v>1731.7612144604673</v>
      </c>
      <c r="H135" s="8">
        <v>807.84112961710582</v>
      </c>
      <c r="I135" s="8">
        <v>1155.7776893088017</v>
      </c>
      <c r="J135" s="8">
        <v>1511.2864640775731</v>
      </c>
      <c r="K135" s="8">
        <v>719.30217544505217</v>
      </c>
      <c r="L135" s="8">
        <v>906.1576564395823</v>
      </c>
      <c r="M135" s="8">
        <v>1351.6231607458974</v>
      </c>
      <c r="N135" s="22"/>
      <c r="O135" s="8">
        <v>77.610180465111981</v>
      </c>
      <c r="P135" s="8">
        <v>116.79096154279695</v>
      </c>
      <c r="Q135" s="8">
        <v>160.88457213578238</v>
      </c>
      <c r="R135" s="8">
        <v>75.050286036477189</v>
      </c>
      <c r="S135" s="8">
        <v>107.37438711286865</v>
      </c>
      <c r="T135" s="8">
        <v>140.40196426472761</v>
      </c>
      <c r="U135" s="8">
        <v>66.824814972466555</v>
      </c>
      <c r="V135" s="8">
        <v>84.184115931517482</v>
      </c>
      <c r="W135" s="8">
        <v>125.56887871701528</v>
      </c>
      <c r="X135" s="22"/>
      <c r="AA135" s="24">
        <f t="shared" si="20"/>
        <v>0.50509672420567098</v>
      </c>
      <c r="AB135" s="22"/>
    </row>
    <row r="136" spans="1:28" x14ac:dyDescent="0.25">
      <c r="A136" s="16"/>
      <c r="B136" s="3" t="s">
        <v>215</v>
      </c>
      <c r="C136" s="3" t="s">
        <v>216</v>
      </c>
      <c r="D136" s="11" t="s">
        <v>8</v>
      </c>
      <c r="E136" s="8">
        <v>520.38490104425659</v>
      </c>
      <c r="F136" s="8">
        <v>830.9091059174541</v>
      </c>
      <c r="G136" s="8">
        <v>1167.4521193436103</v>
      </c>
      <c r="H136" s="8">
        <v>508.8425519641969</v>
      </c>
      <c r="I136" s="8">
        <v>708.67977722526109</v>
      </c>
      <c r="J136" s="8">
        <v>921.57452610641485</v>
      </c>
      <c r="K136" s="8">
        <v>605.25191248135252</v>
      </c>
      <c r="L136" s="8">
        <v>836.63430532073596</v>
      </c>
      <c r="M136" s="8">
        <v>1155.8849448035803</v>
      </c>
      <c r="N136" s="22"/>
      <c r="O136" s="8">
        <v>48.344945857047819</v>
      </c>
      <c r="P136" s="8">
        <v>77.193353721635006</v>
      </c>
      <c r="Q136" s="8">
        <v>108.45896832729692</v>
      </c>
      <c r="R136" s="8">
        <v>47.272635264986327</v>
      </c>
      <c r="S136" s="8">
        <v>65.837969916475714</v>
      </c>
      <c r="T136" s="8">
        <v>85.616378335427598</v>
      </c>
      <c r="U136" s="8">
        <v>56.229285054327732</v>
      </c>
      <c r="V136" s="8">
        <v>77.725237822455455</v>
      </c>
      <c r="W136" s="8">
        <v>107.38435139330326</v>
      </c>
      <c r="X136" s="22"/>
      <c r="AA136" s="24">
        <f t="shared" si="20"/>
        <v>0.31463493111283725</v>
      </c>
      <c r="AB136" s="22"/>
    </row>
    <row r="137" spans="1:28" x14ac:dyDescent="0.25">
      <c r="A137" s="16"/>
      <c r="B137" s="3" t="s">
        <v>217</v>
      </c>
      <c r="C137" s="3" t="s">
        <v>218</v>
      </c>
      <c r="D137" s="11" t="s">
        <v>8</v>
      </c>
      <c r="E137" s="8">
        <v>612.14130537792141</v>
      </c>
      <c r="F137" s="8">
        <v>768.30720191645946</v>
      </c>
      <c r="G137" s="8">
        <v>986.16239814619598</v>
      </c>
      <c r="H137" s="8">
        <v>558.45171978965686</v>
      </c>
      <c r="I137" s="8">
        <v>699.53923815763301</v>
      </c>
      <c r="J137" s="8">
        <v>863.94799935007461</v>
      </c>
      <c r="K137" s="8">
        <v>474.29589361113875</v>
      </c>
      <c r="L137" s="8">
        <v>571.93005475385382</v>
      </c>
      <c r="M137" s="8">
        <v>851.23458758329184</v>
      </c>
      <c r="N137" s="22"/>
      <c r="O137" s="8">
        <v>56.869325389672177</v>
      </c>
      <c r="P137" s="8">
        <v>71.377493858285902</v>
      </c>
      <c r="Q137" s="8">
        <v>91.616739165496341</v>
      </c>
      <c r="R137" s="8">
        <v>51.88144026244548</v>
      </c>
      <c r="S137" s="8">
        <v>64.988792960261293</v>
      </c>
      <c r="T137" s="8">
        <v>80.26274238178172</v>
      </c>
      <c r="U137" s="8">
        <v>44.063171800022175</v>
      </c>
      <c r="V137" s="8">
        <v>53.133608364901328</v>
      </c>
      <c r="W137" s="8">
        <v>79.081637391436914</v>
      </c>
      <c r="X137" s="22"/>
      <c r="AA137" s="24">
        <f t="shared" si="20"/>
        <v>0.37011265519505271</v>
      </c>
      <c r="AB137" s="22"/>
    </row>
    <row r="138" spans="1:28" x14ac:dyDescent="0.25">
      <c r="A138" s="16"/>
      <c r="B138" s="3" t="s">
        <v>219</v>
      </c>
      <c r="C138" s="3" t="s">
        <v>220</v>
      </c>
      <c r="D138" s="11" t="s">
        <v>6</v>
      </c>
      <c r="E138" s="8">
        <v>1565.342282446544</v>
      </c>
      <c r="F138" s="8">
        <v>2132.8762705121831</v>
      </c>
      <c r="G138" s="8">
        <v>2999.4348184982596</v>
      </c>
      <c r="H138" s="8">
        <v>1449.5932272501243</v>
      </c>
      <c r="I138" s="8">
        <v>1980.3544356041768</v>
      </c>
      <c r="J138" s="8">
        <v>2617.6302187966185</v>
      </c>
      <c r="K138" s="8">
        <v>1738.5111138736945</v>
      </c>
      <c r="L138" s="8">
        <v>2193.4802237692688</v>
      </c>
      <c r="M138" s="8">
        <v>2863.8014768771759</v>
      </c>
      <c r="N138" s="22"/>
      <c r="O138" s="8">
        <v>145.4238732537512</v>
      </c>
      <c r="P138" s="8">
        <v>198.14907698277773</v>
      </c>
      <c r="Q138" s="8">
        <v>278.65434529529159</v>
      </c>
      <c r="R138" s="8">
        <v>134.67052165718087</v>
      </c>
      <c r="S138" s="8">
        <v>183.97945016261363</v>
      </c>
      <c r="T138" s="8">
        <v>243.18382594796361</v>
      </c>
      <c r="U138" s="8">
        <v>161.5116532079237</v>
      </c>
      <c r="V138" s="8">
        <v>203.77932265873309</v>
      </c>
      <c r="W138" s="8">
        <v>266.0536980745066</v>
      </c>
      <c r="X138" s="22"/>
      <c r="Y138" s="24">
        <f t="shared" ref="Y138:Y139" si="21">O138/$Y$3</f>
        <v>1</v>
      </c>
      <c r="AB138" s="22"/>
    </row>
    <row r="139" spans="1:28" x14ac:dyDescent="0.25">
      <c r="A139" s="16"/>
      <c r="B139" s="3" t="s">
        <v>221</v>
      </c>
      <c r="C139" s="3" t="s">
        <v>222</v>
      </c>
      <c r="D139" s="11" t="s">
        <v>6</v>
      </c>
      <c r="E139" s="8">
        <v>945.77247523620099</v>
      </c>
      <c r="F139" s="8">
        <v>1309.8001444057684</v>
      </c>
      <c r="G139" s="8">
        <v>2093.1230985082052</v>
      </c>
      <c r="H139" s="8">
        <v>960.3429413227251</v>
      </c>
      <c r="I139" s="8">
        <v>1289.4044826951765</v>
      </c>
      <c r="J139" s="8">
        <v>1905.6578397314772</v>
      </c>
      <c r="K139" s="8">
        <v>1210.3430370462456</v>
      </c>
      <c r="L139" s="8">
        <v>1474.0886072103433</v>
      </c>
      <c r="M139" s="8">
        <v>2278.7861442068624</v>
      </c>
      <c r="N139" s="22"/>
      <c r="O139" s="8">
        <v>87.864423077278431</v>
      </c>
      <c r="P139" s="8">
        <v>121.68342497597753</v>
      </c>
      <c r="Q139" s="8">
        <v>194.45591650805676</v>
      </c>
      <c r="R139" s="8">
        <v>89.218052655406893</v>
      </c>
      <c r="S139" s="8">
        <v>119.788621419728</v>
      </c>
      <c r="T139" s="8">
        <v>177.03996580031782</v>
      </c>
      <c r="U139" s="8">
        <v>112.4436325439796</v>
      </c>
      <c r="V139" s="8">
        <v>136.94619840250573</v>
      </c>
      <c r="W139" s="8">
        <v>211.7044375046197</v>
      </c>
      <c r="X139" s="22"/>
      <c r="Y139" s="24">
        <f t="shared" si="21"/>
        <v>0.60419531615667499</v>
      </c>
      <c r="AB139" s="22"/>
    </row>
    <row r="140" spans="1:28" x14ac:dyDescent="0.25">
      <c r="A140" s="16"/>
      <c r="B140" s="17"/>
      <c r="C140" s="3"/>
      <c r="D140" s="1"/>
      <c r="F140" s="4"/>
      <c r="G140" s="4"/>
      <c r="H140" s="4"/>
      <c r="I140" s="4"/>
      <c r="J140" s="4"/>
      <c r="K140" s="4"/>
      <c r="L140" s="4"/>
      <c r="M140" s="4"/>
    </row>
    <row r="141" spans="1:28" x14ac:dyDescent="0.25">
      <c r="A141" s="16"/>
      <c r="B141" s="17"/>
      <c r="C141" s="3"/>
      <c r="D141" s="1"/>
      <c r="F141" s="4"/>
      <c r="G141" s="4"/>
      <c r="H141" s="4"/>
      <c r="I141" s="4"/>
      <c r="J141" s="4"/>
      <c r="K141" s="4"/>
      <c r="L141" s="4"/>
      <c r="M141" s="4"/>
    </row>
    <row r="142" spans="1:28" x14ac:dyDescent="0.25">
      <c r="A142" s="16"/>
      <c r="B142" s="17"/>
      <c r="C142" s="3"/>
      <c r="D142" s="1"/>
      <c r="F142" s="4"/>
      <c r="G142" s="4"/>
      <c r="H142" s="4"/>
      <c r="I142" s="4"/>
      <c r="J142" s="4"/>
      <c r="K142" s="4"/>
      <c r="L142" s="4"/>
      <c r="M142" s="4"/>
    </row>
    <row r="143" spans="1:28" x14ac:dyDescent="0.25">
      <c r="A143" s="16"/>
      <c r="B143" s="17"/>
      <c r="C143" s="3"/>
      <c r="D143" s="1"/>
      <c r="F143" s="4"/>
      <c r="G143" s="4"/>
      <c r="H143" s="4"/>
      <c r="I143" s="4"/>
      <c r="J143" s="4"/>
      <c r="K143" s="4"/>
      <c r="L143" s="4"/>
      <c r="M143" s="4"/>
    </row>
    <row r="144" spans="1:28" x14ac:dyDescent="0.25">
      <c r="A144" s="16"/>
      <c r="B144" s="17"/>
      <c r="C144" s="3"/>
      <c r="D144" s="1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16"/>
      <c r="B145" s="17"/>
      <c r="C145" s="3"/>
      <c r="D145" s="1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16"/>
      <c r="B146" s="17"/>
      <c r="C146" s="3"/>
      <c r="D146" s="1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16"/>
      <c r="B147" s="17"/>
      <c r="C147" s="3"/>
      <c r="D147" s="1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16"/>
      <c r="B148" s="17"/>
      <c r="C148" s="3"/>
      <c r="D148" s="1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16"/>
      <c r="B149" s="17"/>
      <c r="C149" s="3"/>
      <c r="D149" s="1"/>
      <c r="F149" s="4"/>
      <c r="G149" s="4"/>
      <c r="H149" s="4"/>
      <c r="I149" s="4"/>
      <c r="J149" s="4"/>
      <c r="K149" s="4"/>
      <c r="L149" s="4"/>
      <c r="M149" s="4"/>
    </row>
    <row r="150" spans="1:13" x14ac:dyDescent="0.25">
      <c r="A150" s="16"/>
      <c r="B150" s="17"/>
      <c r="C150" s="3"/>
      <c r="D150" s="1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16"/>
      <c r="B151" s="17"/>
      <c r="C151" s="3"/>
      <c r="D151" s="1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16"/>
      <c r="B152" s="17"/>
      <c r="C152" s="3"/>
      <c r="D152" s="1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16"/>
      <c r="B153" s="17"/>
      <c r="C153" s="3"/>
      <c r="D153" s="1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16"/>
      <c r="B154" s="17"/>
      <c r="C154" s="3"/>
      <c r="D154" s="1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16"/>
      <c r="B155" s="17"/>
      <c r="C155" s="3"/>
      <c r="D155" s="1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16"/>
      <c r="B156" s="17"/>
      <c r="C156" s="3"/>
      <c r="D156" s="1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16"/>
      <c r="B157" s="17"/>
      <c r="C157" s="3"/>
      <c r="D157" s="1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16"/>
      <c r="B158" s="17"/>
      <c r="C158" s="3"/>
      <c r="D158" s="1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16"/>
      <c r="B159" s="17"/>
      <c r="C159" s="3"/>
      <c r="D159" s="1"/>
      <c r="F159" s="4"/>
      <c r="G159" s="4"/>
      <c r="H159" s="4"/>
      <c r="I159" s="4"/>
      <c r="J159" s="4"/>
      <c r="K159" s="4"/>
      <c r="L159" s="4"/>
      <c r="M159" s="4"/>
    </row>
  </sheetData>
  <autoFilter ref="B4:D139" xr:uid="{B593B8AD-AE04-4543-B232-6D3D3239B900}">
    <sortState xmlns:xlrd2="http://schemas.microsoft.com/office/spreadsheetml/2017/richdata2" ref="B68:D139">
      <sortCondition ref="B4:B139"/>
    </sortState>
  </autoFilter>
  <mergeCells count="9">
    <mergeCell ref="E1:M1"/>
    <mergeCell ref="O1:W1"/>
    <mergeCell ref="Y1:AA1"/>
    <mergeCell ref="E2:G2"/>
    <mergeCell ref="H2:J2"/>
    <mergeCell ref="K2:M2"/>
    <mergeCell ref="O2:Q2"/>
    <mergeCell ref="R2:T2"/>
    <mergeCell ref="U2:W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4" manualBreakCount="4">
    <brk id="13" max="1048575" man="1"/>
    <brk id="14" max="1048575" man="1"/>
    <brk id="23" max="1048575" man="1"/>
    <brk id="2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20d65-e13a-43dc-8d78-ca3fe417b7e7">
      <Terms xmlns="http://schemas.microsoft.com/office/infopath/2007/PartnerControls"/>
    </lcf76f155ced4ddcb4097134ff3c332f>
    <TaxCatchAll xmlns="83758eed-3146-498f-bcdb-578752484d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60094923D3D4A91BB243F1CADE885" ma:contentTypeVersion="14" ma:contentTypeDescription="Create a new document." ma:contentTypeScope="" ma:versionID="a74411d44b4e904267d7466e2a799de3">
  <xsd:schema xmlns:xsd="http://www.w3.org/2001/XMLSchema" xmlns:xs="http://www.w3.org/2001/XMLSchema" xmlns:p="http://schemas.microsoft.com/office/2006/metadata/properties" xmlns:ns2="1c320d65-e13a-43dc-8d78-ca3fe417b7e7" xmlns:ns3="83758eed-3146-498f-bcdb-578752484d6a" targetNamespace="http://schemas.microsoft.com/office/2006/metadata/properties" ma:root="true" ma:fieldsID="47eb76924a8b60301a8c1dccc30549f7" ns2:_="" ns3:_="">
    <xsd:import namespace="1c320d65-e13a-43dc-8d78-ca3fe417b7e7"/>
    <xsd:import namespace="83758eed-3146-498f-bcdb-578752484d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20d65-e13a-43dc-8d78-ca3fe417b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8eed-3146-498f-bcdb-578752484d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8936fe-1996-4ad8-a49e-8271ef20f927}" ma:internalName="TaxCatchAll" ma:showField="CatchAllData" ma:web="83758eed-3146-498f-bcdb-578752484d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33FA0D-4988-4C73-ACFA-2B4B7B73066C}">
  <ds:schemaRefs>
    <ds:schemaRef ds:uri="http://schemas.microsoft.com/office/2006/metadata/properties"/>
    <ds:schemaRef ds:uri="http://schemas.microsoft.com/office/infopath/2007/PartnerControls"/>
    <ds:schemaRef ds:uri="1c320d65-e13a-43dc-8d78-ca3fe417b7e7"/>
    <ds:schemaRef ds:uri="83758eed-3146-498f-bcdb-578752484d6a"/>
  </ds:schemaRefs>
</ds:datastoreItem>
</file>

<file path=customXml/itemProps2.xml><?xml version="1.0" encoding="utf-8"?>
<ds:datastoreItem xmlns:ds="http://schemas.openxmlformats.org/officeDocument/2006/customXml" ds:itemID="{C375ED60-8B5D-4C14-939F-8D7137FCDA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4D27C4-DB98-4BF6-AF6F-0072B575D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20d65-e13a-43dc-8d78-ca3fe417b7e7"/>
    <ds:schemaRef ds:uri="83758eed-3146-498f-bcdb-578752484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FITOUT</vt:lpstr>
      <vt:lpstr>FURNITURE</vt:lpstr>
      <vt:lpstr>TECH</vt:lpstr>
      <vt:lpstr>Table 1_Activity BYOB Sqm</vt:lpstr>
      <vt:lpstr>Table 2_Team BYOB Sqm</vt:lpstr>
      <vt:lpstr>Table 3_Event BYOB Sqm</vt:lpstr>
      <vt:lpstr>Sheet</vt:lpstr>
      <vt:lpstr>Build your Budget</vt:lpstr>
      <vt:lpstr>'Build your Budget'!Print_Area</vt:lpstr>
      <vt:lpstr>FITOUT!Print_Area</vt:lpstr>
      <vt:lpstr>FURNITURE!Print_Area</vt:lpstr>
      <vt:lpstr>'Table 1_Activity BYOB Sqm'!Print_Area</vt:lpstr>
      <vt:lpstr>'Table 2_Team BYOB Sqm'!Print_Area</vt:lpstr>
      <vt:lpstr>'Table 3_Event BYOB Sqm'!Print_Area</vt:lpstr>
      <vt:lpstr>TECH!Print_Area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Barrett, Amy @ London SMC</dc:creator>
  <cp:keywords/>
  <dc:description/>
  <cp:lastModifiedBy>Oke, Oluwole @ London</cp:lastModifiedBy>
  <cp:revision/>
  <dcterms:created xsi:type="dcterms:W3CDTF">2021-09-30T11:24:36Z</dcterms:created>
  <dcterms:modified xsi:type="dcterms:W3CDTF">2025-07-10T13:34:48Z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0x01010017D60094923D3D4A91BB243F1CADE885</vt:lpwstr>
  </property>
  <property fmtid="{D5CDD505-2E9C-101B-9397-08002B2CF9AE}" pid="3" name="MediaServiceImageTags">
    <vt:lpwstr/>
  </property>
</Properties>
</file>