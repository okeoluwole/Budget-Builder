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20" documentId="8_{3B7C2D1D-8339-4A4F-8147-422D5E1EB3F7}" xr6:coauthVersionLast="47" xr6:coauthVersionMax="47" xr10:uidLastSave="{7E779264-0F65-4968-B81D-EEC386D0ABF5}"/>
  <bookViews>
    <workbookView xWindow="-120" yWindow="-16320" windowWidth="29040" windowHeight="15720" xr2:uid="{00000000-000D-0000-FFFF-FFFF00000000}"/>
  </bookViews>
  <sheets>
    <sheet name="Budget" sheetId="1" r:id="rId1"/>
    <sheet name="Benchmarks" sheetId="3" r:id="rId2"/>
    <sheet name="Local consultant_Summary" sheetId="16" r:id="rId3"/>
    <sheet name="2025 FX Rates" sheetId="14" r:id="rId4"/>
  </sheets>
  <externalReferences>
    <externalReference r:id="rId5"/>
    <externalReference r:id="rId6"/>
  </externalReferences>
  <definedNames>
    <definedName name="\0">#N/A</definedName>
    <definedName name="\3" hidden="1">#REF!</definedName>
    <definedName name="\4" hidden="1">#REF!</definedName>
    <definedName name="\5" hidden="1">#REF!</definedName>
    <definedName name="\b">#N/A</definedName>
    <definedName name="\i">#N/A</definedName>
    <definedName name="\P">#REF!</definedName>
    <definedName name="\q">#N/A</definedName>
    <definedName name="\s">#N/A</definedName>
    <definedName name="\z">#N/A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DAT1">#REF!</definedName>
    <definedName name="_______DAT23">#REF!</definedName>
    <definedName name="_______DAT25">#REF!</definedName>
    <definedName name="______DAT1">#REF!</definedName>
    <definedName name="______DAT15">#REF!</definedName>
    <definedName name="______DAT16">#REF!</definedName>
    <definedName name="______DAT17">#REF!</definedName>
    <definedName name="______DAT2">#REF!</definedName>
    <definedName name="______DAT22">#REF!</definedName>
    <definedName name="______DAT23">#REF!</definedName>
    <definedName name="______DAT25">#REF!</definedName>
    <definedName name="______DAT8">#REF!</definedName>
    <definedName name="______DAT9">#REF!</definedName>
    <definedName name="_____ccr1" hidden="1">{#N/A,#N/A,TRUE,"Cover";#N/A,#N/A,TRUE,"Conts";#N/A,#N/A,TRUE,"VOS";#N/A,#N/A,TRUE,"Warrington";#N/A,#N/A,TRUE,"Widnes"}</definedName>
    <definedName name="_____DAT18">#REF!</definedName>
    <definedName name="_____DAT19">#REF!</definedName>
    <definedName name="_____DAT7">#REF!</definedName>
    <definedName name="_____DAT8">#REF!</definedName>
    <definedName name="_____DAT9">#REF!</definedName>
    <definedName name="____CAT07">#REF!</definedName>
    <definedName name="____CAT12">#REF!</definedName>
    <definedName name="____CAT21">#REF!</definedName>
    <definedName name="____CAT22">#REF!</definedName>
    <definedName name="____CAT31">#REF!</definedName>
    <definedName name="____CAT33">#REF!</definedName>
    <definedName name="____CAT34">#REF!</definedName>
    <definedName name="____CAT35">#REF!</definedName>
    <definedName name="____CAT36">#REF!</definedName>
    <definedName name="____CAT43">#REF!</definedName>
    <definedName name="____CAT45">#REF!</definedName>
    <definedName name="____CAT46">#REF!</definedName>
    <definedName name="____CAT48">#REF!</definedName>
    <definedName name="____CAT49">#REF!</definedName>
    <definedName name="____CAT52">#REF!</definedName>
    <definedName name="____CAT53">#REF!</definedName>
    <definedName name="____CAT54">#REF!</definedName>
    <definedName name="____CAT55">#REF!</definedName>
    <definedName name="____CAT82">#REF!</definedName>
    <definedName name="____CAT84">#REF!</definedName>
    <definedName name="____ccr1" hidden="1">{#N/A,#N/A,TRUE,"Cover";#N/A,#N/A,TRUE,"Conts";#N/A,#N/A,TRUE,"VOS";#N/A,#N/A,TRUE,"Warrington";#N/A,#N/A,TRUE,"Widnes"}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22">#REF!</definedName>
    <definedName name="____DAT23">#REF!</definedName>
    <definedName name="____DAT24">#REF!</definedName>
    <definedName name="____DAT25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QTY07">#REF!</definedName>
    <definedName name="____QTY12">#REF!</definedName>
    <definedName name="____QTY21">#REF!</definedName>
    <definedName name="____QTY22">#REF!</definedName>
    <definedName name="____QTY33">#REF!</definedName>
    <definedName name="____QTY34">#REF!</definedName>
    <definedName name="____QTY35">#REF!</definedName>
    <definedName name="____QTY36">#REF!</definedName>
    <definedName name="____QTY39">#REF!</definedName>
    <definedName name="____QTY42">#REF!</definedName>
    <definedName name="____QTY43">#REF!</definedName>
    <definedName name="____QTY45">#REF!</definedName>
    <definedName name="____QTY46">#REF!</definedName>
    <definedName name="____QTY48">#REF!</definedName>
    <definedName name="____QTY49">#REF!</definedName>
    <definedName name="____QTY52">#REF!</definedName>
    <definedName name="____QTY53">#REF!</definedName>
    <definedName name="____QTY54">#REF!</definedName>
    <definedName name="____QTY55">#REF!</definedName>
    <definedName name="____QTY82">#REF!</definedName>
    <definedName name="____QTY84">#REF!</definedName>
    <definedName name="___CAT07">#REF!</definedName>
    <definedName name="___CAT12">#REF!</definedName>
    <definedName name="___CAT21">#REF!</definedName>
    <definedName name="___CAT22">#REF!</definedName>
    <definedName name="___CAT31">#REF!</definedName>
    <definedName name="___CAT33">#REF!</definedName>
    <definedName name="___CAT34">#REF!</definedName>
    <definedName name="___CAT35">#REF!</definedName>
    <definedName name="___CAT36">#REF!</definedName>
    <definedName name="___CAT39">#REF!</definedName>
    <definedName name="___CAT42">#REF!</definedName>
    <definedName name="___CAT43">#REF!</definedName>
    <definedName name="___CAT45">#REF!</definedName>
    <definedName name="___CAT46">#REF!</definedName>
    <definedName name="___CAT48">#REF!</definedName>
    <definedName name="___CAT49">#REF!</definedName>
    <definedName name="___CAT52">#REF!</definedName>
    <definedName name="___CAT53">#REF!</definedName>
    <definedName name="___CAT54">#REF!</definedName>
    <definedName name="___CAT55">#REF!</definedName>
    <definedName name="___CAT82">#REF!</definedName>
    <definedName name="___CAT84">#REF!</definedName>
    <definedName name="___DAT1">#REF!</definedName>
    <definedName name="___DAT18">#REF!</definedName>
    <definedName name="___DAT19">#REF!</definedName>
    <definedName name="___DAT2">#REF!</definedName>
    <definedName name="___DAT22">#REF!</definedName>
    <definedName name="___DAT23">#REF!</definedName>
    <definedName name="___DAT25">#REF!</definedName>
    <definedName name="___new2">#N/A</definedName>
    <definedName name="___new3">[0]!month #REF!</definedName>
    <definedName name="___new4">#N/A</definedName>
    <definedName name="___No1">#REF!</definedName>
    <definedName name="___No2">#REF!</definedName>
    <definedName name="___No3">#REF!</definedName>
    <definedName name="___PR1">#N/A</definedName>
    <definedName name="___QTY07">#REF!</definedName>
    <definedName name="___QTY12">#REF!</definedName>
    <definedName name="___QTY21">#REF!</definedName>
    <definedName name="___QTY22">#REF!</definedName>
    <definedName name="___QTY33">#REF!</definedName>
    <definedName name="___QTY34">#REF!</definedName>
    <definedName name="___QTY35">#REF!</definedName>
    <definedName name="___QTY36">#REF!</definedName>
    <definedName name="___QTY39">#REF!</definedName>
    <definedName name="___QTY42">#REF!</definedName>
    <definedName name="___QTY43">#REF!</definedName>
    <definedName name="___QTY45">#REF!</definedName>
    <definedName name="___QTY46">#REF!</definedName>
    <definedName name="___QTY48">#REF!</definedName>
    <definedName name="___QTY49">#REF!</definedName>
    <definedName name="___QTY52">#REF!</definedName>
    <definedName name="___QTY53">#REF!</definedName>
    <definedName name="___QTY54">#REF!</definedName>
    <definedName name="___QTY55">#REF!</definedName>
    <definedName name="___QTY82">#REF!</definedName>
    <definedName name="___QTY84">#REF!</definedName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C" hidden="1">#REF!</definedName>
    <definedName name="__123Graph_X" hidden="1">#REF!</definedName>
    <definedName name="__123Graph_XCHART1" hidden="1">#REF!</definedName>
    <definedName name="__123Graph_XCURRENT" hidden="1">#REF!</definedName>
    <definedName name="__CAT07">#REF!</definedName>
    <definedName name="__CAT12">#REF!</definedName>
    <definedName name="__CAT21">#REF!</definedName>
    <definedName name="__CAT22">#REF!</definedName>
    <definedName name="__CAT31">#REF!</definedName>
    <definedName name="__CAT33">#REF!</definedName>
    <definedName name="__CAT34">#REF!</definedName>
    <definedName name="__CAT35">#REF!</definedName>
    <definedName name="__CAT36">#REF!</definedName>
    <definedName name="__CAT39">#REF!</definedName>
    <definedName name="__CAT42">#REF!</definedName>
    <definedName name="__CAT43">#REF!</definedName>
    <definedName name="__CAT45">#REF!</definedName>
    <definedName name="__CAT46">#REF!</definedName>
    <definedName name="__CAT48">#REF!</definedName>
    <definedName name="__CAT49">#REF!</definedName>
    <definedName name="__CAT52">#REF!</definedName>
    <definedName name="__CAT53">#REF!</definedName>
    <definedName name="__CAT54">#REF!</definedName>
    <definedName name="__CAT55">#REF!</definedName>
    <definedName name="__CAT82">#REF!</definedName>
    <definedName name="__CAT84">#REF!</definedName>
    <definedName name="__ccr1" hidden="1">{#N/A,#N/A,TRUE,"Cover";#N/A,#N/A,TRUE,"Conts";#N/A,#N/A,TRUE,"VOS";#N/A,#N/A,TRUE,"Warrington";#N/A,#N/A,TRUE,"Widnes"}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22">#REF!</definedName>
    <definedName name="__DAT23">#REF!</definedName>
    <definedName name="__DAT24">#REF!</definedName>
    <definedName name="__DAT25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IntlFixup" hidden="1">TRUE</definedName>
    <definedName name="__new1">#REF!</definedName>
    <definedName name="__new2">#N/A</definedName>
    <definedName name="__new3">[0]!month #REF!</definedName>
    <definedName name="__new4">#N/A</definedName>
    <definedName name="__No1">#REF!</definedName>
    <definedName name="__No2">#REF!</definedName>
    <definedName name="__No3">#REF!</definedName>
    <definedName name="__PR1">#N/A</definedName>
    <definedName name="__QTY07">#REF!</definedName>
    <definedName name="__QTY12">#REF!</definedName>
    <definedName name="__QTY21">#REF!</definedName>
    <definedName name="__QTY22">#REF!</definedName>
    <definedName name="__QTY33">#REF!</definedName>
    <definedName name="__QTY34">#REF!</definedName>
    <definedName name="__QTY35">#REF!</definedName>
    <definedName name="__QTY36">#REF!</definedName>
    <definedName name="__QTY39">#REF!</definedName>
    <definedName name="__QTY42">#REF!</definedName>
    <definedName name="__QTY43">#REF!</definedName>
    <definedName name="__QTY45">#REF!</definedName>
    <definedName name="__QTY46">#REF!</definedName>
    <definedName name="__QTY48">#REF!</definedName>
    <definedName name="__QTY49">#REF!</definedName>
    <definedName name="__QTY52">#REF!</definedName>
    <definedName name="__QTY53">#REF!</definedName>
    <definedName name="__QTY54">#REF!</definedName>
    <definedName name="__QTY55">#REF!</definedName>
    <definedName name="__QTY82">#REF!</definedName>
    <definedName name="__QTY84">#REF!</definedName>
    <definedName name="_0_SLQ_MetricsDIR">#REF!</definedName>
    <definedName name="_0_SLQ_MetricsIND">#REF!</definedName>
    <definedName name="_0_TAQ_TDC_AcctSumry">#REF!</definedName>
    <definedName name="_0_TAQ_TDC_ListEQProj">#REF!</definedName>
    <definedName name="_1">#N/A</definedName>
    <definedName name="_1__123Graph_ACHART_12" hidden="1">#REF!</definedName>
    <definedName name="_1_0ELECB">#REF!</definedName>
    <definedName name="_10">#N/A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">#N/A</definedName>
    <definedName name="_2__123Graph_ACHART_12" hidden="1">#REF!</definedName>
    <definedName name="_2__123Graph_ACHART_15" hidden="1">#REF!</definedName>
    <definedName name="_2_0ELECB">#REF!</definedName>
    <definedName name="_2_SLQ_NozzleList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2ELECB">#REF!</definedName>
    <definedName name="_3">#N/A</definedName>
    <definedName name="_3__123Graph_ACHART_16" hidden="1">#REF!</definedName>
    <definedName name="_3_AQ_Acct3Pipe_AvgDiam">#REF!</definedName>
    <definedName name="_3_AQ_AGPipe_AvgDiam">#REF!</definedName>
    <definedName name="_3_AQ_AGPipe_AvgDiam_BoreLg">#REF!</definedName>
    <definedName name="_3_AQ_AGPipe_AvgDiam_BoreSm">#REF!</definedName>
    <definedName name="_3_AQ_AGPipe_AvgDiam_MatCS">#REF!</definedName>
    <definedName name="_3_AQ_AGPipe_AvgDiam_MatMisc">#REF!</definedName>
    <definedName name="_3_AQ_AGPipe_AvgDiam_MatSS">#REF!</definedName>
    <definedName name="_3_AQ_UGPipe_AvgDiam">#REF!</definedName>
    <definedName name="_3_KQQ_AGPipe_Sub1_BoreLg">#REF!</definedName>
    <definedName name="_3_KQQ_AGPipe_Sub1_BoreSm">#REF!</definedName>
    <definedName name="_3_KQQ_AGPipe_Sub2_InstPipe">#REF!</definedName>
    <definedName name="_3_KQQ_AGPipe_Sub2_Spool">#REF!</definedName>
    <definedName name="_3_KQQ_AGPipe_Sub2_StRun">#REF!</definedName>
    <definedName name="_3_KQQ_AGPipe_Sub3_FieldRunFab">#REF!</definedName>
    <definedName name="_3_KQQ_AGPipe_Sub3_RemoteFab">#REF!</definedName>
    <definedName name="_3_KQQ_AGPipeLength_MatCS">#REF!</definedName>
    <definedName name="_3_KQQ_AGPipeLength_MatMisc">#REF!</definedName>
    <definedName name="_3_KQQ_AGPipeLength_MatSS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">#N/A</definedName>
    <definedName name="_4__123Graph_ACHART_15" hidden="1">#REF!</definedName>
    <definedName name="_4__123Graph_ACHART_17" hidden="1">#REF!</definedName>
    <definedName name="_4_KQQ_Conc_Sub1_BlkLg">#REF!</definedName>
    <definedName name="_4_KQQ_Conc_Sub1_BlkMed">#REF!</definedName>
    <definedName name="_4_KQQ_Conc_Sub1_BlkSm">#REF!</definedName>
    <definedName name="_4_KQQ_Conc_Sub1_DuctBank">#REF!</definedName>
    <definedName name="_4_KQQ_Conc_Sub1_Elev">#REF!</definedName>
    <definedName name="_4_KQQ_Conc_Sub1_MassLg">#REF!</definedName>
    <definedName name="_4_KQQ_Conc_Sub1_MassMed">#REF!</definedName>
    <definedName name="_4_KQQ_Conc_Sub1_MassSm">#REF!</definedName>
    <definedName name="_4_KQQ_Conc_Sub1_Piling">#REF!</definedName>
    <definedName name="_4_KQQ_ConcTot_Embeds">#REF!</definedName>
    <definedName name="_4_KQQ_ConcTot_ExcBF">#REF!</definedName>
    <definedName name="_4_KQQ_ConcTot_Forms">#REF!</definedName>
    <definedName name="_4_KQQ_ConcTot_Grout">#REF!</definedName>
    <definedName name="_4_KQQ_ConcTot_Rebar">#REF!</definedName>
    <definedName name="_4_KQQ_ConcTotQty">#REF!</definedName>
    <definedName name="_40__123Graph_DCHART_17" hidden="1">#REF!</definedName>
    <definedName name="_41_0ELECB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">#N/A</definedName>
    <definedName name="_5__123Graph_ACHART_18" hidden="1">#REF!</definedName>
    <definedName name="_5_KQQ_TotQty_Sub1_ExLtLt">#REF!</definedName>
    <definedName name="_5_KQQ_TotQty_Sub1_HvyXHvy">#REF!</definedName>
    <definedName name="_5_KQQ_TotQty_Sub1_Ldr">#REF!</definedName>
    <definedName name="_5_KQQ_TotQty_Sub1_Med">#REF!</definedName>
    <definedName name="_5_KQQ_TotQty_Sub1_Misc">#REF!</definedName>
    <definedName name="_5_KQQ_TotQty_Sub1_PlatStrGrt">#REF!</definedName>
    <definedName name="_5_KQQ_TotQty_Sub2_FloorTread">#REF!</definedName>
    <definedName name="_5_KQQ_TotQty_Sub2_HR">#REF!</definedName>
    <definedName name="_5_KQQ_TotQty_Sub2_Ladder">#REF!</definedName>
    <definedName name="_5_KQQ_TotQty_Sub2_Other">#REF!</definedName>
    <definedName name="_5_KQQ_TotQty_Sub2_Piperack">#REF!</definedName>
    <definedName name="_5_KQQ_TotQty_Sub2_Platform">#REF!</definedName>
    <definedName name="_5_KQQ_TotQty_Sub2_Structure">#REF!</definedName>
    <definedName name="_5_KQQ_TotQty_Sub2_Suppts">#REF!</definedName>
    <definedName name="_5_KQQ_TotQty_Sub2_TowersTrusses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">#N/A</definedName>
    <definedName name="_6__123Graph_ACHART_16" hidden="1">#REF!</definedName>
    <definedName name="_6__123Graph_ACHART_19" hidden="1">#REF!</definedName>
    <definedName name="_6_KQQ_InstTerms">#REF!</definedName>
    <definedName name="_6_KQQ_InstWire">#REF!</definedName>
    <definedName name="_6_KQQ_RacewayTot">#REF!</definedName>
    <definedName name="_6_KQQ_TotCount_InstJBox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">#N/A</definedName>
    <definedName name="_7__123Graph_ACHART_21" hidden="1">#REF!</definedName>
    <definedName name="_7_KQQ_AGElecTerms">#REF!</definedName>
    <definedName name="_7_KQQ_AGJBox">#REF!</definedName>
    <definedName name="_7_KQQ_AGRacewayTot">#REF!</definedName>
    <definedName name="_7_KQQ_AGUGElecTerms">#REF!</definedName>
    <definedName name="_7_KQQ_AGUGJBox">#REF!</definedName>
    <definedName name="_7_KQQ_AGUGRacewayTot">#REF!</definedName>
    <definedName name="_70__123Graph_XCHART_22" hidden="1">#REF!</definedName>
    <definedName name="_72__123Graph_XSEG_PIE" hidden="1">#REF!</definedName>
    <definedName name="_8">#N/A</definedName>
    <definedName name="_8__123Graph_ACHART_17" hidden="1">#REF!</definedName>
    <definedName name="_8__123Graph_ASEG_PIE" hidden="1">#REF!</definedName>
    <definedName name="_82ELECB">#REF!</definedName>
    <definedName name="_83_0ELECB">#REF!</definedName>
    <definedName name="_84_0ELECB">#REF!</definedName>
    <definedName name="_9">#N/A</definedName>
    <definedName name="_9__123Graph_BCHART_15" hidden="1">#REF!</definedName>
    <definedName name="_97ELECB">#REF!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9000">#REF!</definedName>
    <definedName name="_B20000">#REF!</definedName>
    <definedName name="_boq1">#REF!</definedName>
    <definedName name="_CAT07">#REF!</definedName>
    <definedName name="_CAT12">#REF!</definedName>
    <definedName name="_CAT21">#REF!</definedName>
    <definedName name="_CAT22">#REF!</definedName>
    <definedName name="_CAT31">#REF!</definedName>
    <definedName name="_CAT33">#REF!</definedName>
    <definedName name="_CAT34">#REF!</definedName>
    <definedName name="_CAT35">#REF!</definedName>
    <definedName name="_CAT36">#REF!</definedName>
    <definedName name="_CAT39">#REF!</definedName>
    <definedName name="_CAT42">#REF!</definedName>
    <definedName name="_CAT43">#REF!</definedName>
    <definedName name="_CAT45">#REF!</definedName>
    <definedName name="_CAT46">#REF!</definedName>
    <definedName name="_CAT48">#REF!</definedName>
    <definedName name="_CAT49">#REF!</definedName>
    <definedName name="_CAT52">#REF!</definedName>
    <definedName name="_CAT53">#REF!</definedName>
    <definedName name="_CAT54">#REF!</definedName>
    <definedName name="_CAT55">#REF!</definedName>
    <definedName name="_CAT82">#REF!</definedName>
    <definedName name="_CAT84">#REF!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urrency_List__Equipment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22">#REF!</definedName>
    <definedName name="_DAT23">#REF!</definedName>
    <definedName name="_DAT24">#REF!</definedName>
    <definedName name="_DAT2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p2">#REF!</definedName>
    <definedName name="_dep3">#REF!</definedName>
    <definedName name="_DWR001">#REF!</definedName>
    <definedName name="_DWR002">#REF!</definedName>
    <definedName name="_DWR003">#REF!</definedName>
    <definedName name="_DWR004">#REF!</definedName>
    <definedName name="_DWR005">#REF!</definedName>
    <definedName name="_e20000">#REF!</definedName>
    <definedName name="_e99991">#REF!</definedName>
    <definedName name="_Estimate_Class_List__Equipment">#REF!</definedName>
    <definedName name="_Estimate_Date_List__Equipment">#REF!</definedName>
    <definedName name="_ext2">#REF!</definedName>
    <definedName name="_ext3">#REF!</definedName>
    <definedName name="_F3086">#REF!</definedName>
    <definedName name="_Fill" hidden="1">#REF!</definedName>
    <definedName name="_FLY01">#REF!</definedName>
    <definedName name="_FLY02">#REF!</definedName>
    <definedName name="_FLY03">#REF!</definedName>
    <definedName name="_FLY04">#REF!</definedName>
    <definedName name="_FLY05">#REF!</definedName>
    <definedName name="_FLY06">#REF!</definedName>
    <definedName name="_FLY07">#REF!</definedName>
    <definedName name="_FLY08">#REF!</definedName>
    <definedName name="_FLY09">#REF!</definedName>
    <definedName name="_FLY11">#REF!</definedName>
    <definedName name="_Job_Number_List__Equipment">#REF!</definedName>
    <definedName name="_Key1" hidden="1">#REF!</definedName>
    <definedName name="_Key2" hidden="1">#REF!</definedName>
    <definedName name="_len2">#REF!</definedName>
    <definedName name="_len3">#REF!</definedName>
    <definedName name="_new1">#REF!</definedName>
    <definedName name="_new2">#N/A</definedName>
    <definedName name="_new3">[0]!month #REF!</definedName>
    <definedName name="_new4">#N/A</definedName>
    <definedName name="_No1">#REF!</definedName>
    <definedName name="_No2">#REF!</definedName>
    <definedName name="_No3">#REF!</definedName>
    <definedName name="_Order1" hidden="1">255</definedName>
    <definedName name="_Order2" hidden="1">255</definedName>
    <definedName name="_PAG1">#REF!</definedName>
    <definedName name="_PAG2">#REF!</definedName>
    <definedName name="_PAG3">#REF!</definedName>
    <definedName name="_Parse_In" hidden="1">#REF!</definedName>
    <definedName name="_pc1">#REF!</definedName>
    <definedName name="_pc2">#REF!</definedName>
    <definedName name="_pc3">#REF!</definedName>
    <definedName name="_PR1">#N/A</definedName>
    <definedName name="_Prepared_By_List__Equipment">#REF!</definedName>
    <definedName name="_Project_Directory_Proj_Cost_Sumry">#REF!</definedName>
    <definedName name="_Project_Location_List__Equipment">#REF!</definedName>
    <definedName name="_Project_Name_List__Equipment">#REF!</definedName>
    <definedName name="_Project_Title_List__Equipment">#REF!</definedName>
    <definedName name="_QTY07">#REF!</definedName>
    <definedName name="_QTY12">#REF!</definedName>
    <definedName name="_QTY21">#REF!</definedName>
    <definedName name="_QTY22">#REF!</definedName>
    <definedName name="_QTY33">#REF!</definedName>
    <definedName name="_QTY34">#REF!</definedName>
    <definedName name="_QTY35">#REF!</definedName>
    <definedName name="_QTY36">#REF!</definedName>
    <definedName name="_QTY39">#REF!</definedName>
    <definedName name="_QTY42">#REF!</definedName>
    <definedName name="_QTY43">#REF!</definedName>
    <definedName name="_QTY45">#REF!</definedName>
    <definedName name="_QTY46">#REF!</definedName>
    <definedName name="_QTY48">#REF!</definedName>
    <definedName name="_QTY49">#REF!</definedName>
    <definedName name="_QTY52">#REF!</definedName>
    <definedName name="_QTY53">#REF!</definedName>
    <definedName name="_QTY54">#REF!</definedName>
    <definedName name="_QTY55">#REF!</definedName>
    <definedName name="_QTY82">#REF!</definedName>
    <definedName name="_QTY84">#REF!</definedName>
    <definedName name="_Regression_Int" hidden="1">1</definedName>
    <definedName name="_Scenario_Name_List__Equipment">#REF!</definedName>
    <definedName name="_Sort" hidden="1">#REF!</definedName>
    <definedName name="_tbc2">#REF!</definedName>
    <definedName name="_tbc3">#REF!</definedName>
    <definedName name="_wid2">#REF!</definedName>
    <definedName name="_wid3">#REF!</definedName>
    <definedName name="A">#REF!</definedName>
    <definedName name="a\sdasdf" hidden="1">{#N/A,#N/A,TRUE,"Cover";#N/A,#N/A,TRUE,"Conts";#N/A,#N/A,TRUE,"VOS";#N/A,#N/A,TRUE,"Warrington";#N/A,#N/A,TRUE,"Widnes"}</definedName>
    <definedName name="A__Formwork">#REF!</definedName>
    <definedName name="A_2000_Concrete">#REF!</definedName>
    <definedName name="A_2500_Concrete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">#REF!</definedName>
    <definedName name="aaaaaaaa" hidden="1">{#N/A,#N/A,TRUE,"Cover";#N/A,#N/A,TRUE,"Conts";#N/A,#N/A,TRUE,"VOS";#N/A,#N/A,TRUE,"Warrington";#N/A,#N/A,TRUE,"Widnes"}</definedName>
    <definedName name="Aapp">#REF!</definedName>
    <definedName name="abc">#REF!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cap">#REF!</definedName>
    <definedName name="Acc">0.1</definedName>
    <definedName name="AccessDatabase" hidden="1">"C:\AA-MEDIUM PROJECTS\Khaleej Times - GO 14017\Submittals Status.mdb"</definedName>
    <definedName name="ACT">#REF!</definedName>
    <definedName name="actcum1">OFFSET(#REF!,0,0,COUNTA(#REF!),1)</definedName>
    <definedName name="actmonth1">OFFSET(#REF!,0,0,COUNTA(#REF!),1)</definedName>
    <definedName name="adc">#REF!</definedName>
    <definedName name="AdCurPeriod">#REF!</definedName>
    <definedName name="addbeam">#REF!</definedName>
    <definedName name="Address">#REF!</definedName>
    <definedName name="adpvol">#REF!</definedName>
    <definedName name="aed">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asfs">#REF!</definedName>
    <definedName name="aff" hidden="1">{#N/A,#N/A,TRUE,"Cover";#N/A,#N/A,TRUE,"Conts";#N/A,#N/A,TRUE,"VOS";#N/A,#N/A,TRUE,"Warrington";#N/A,#N/A,TRUE,"Widnes"}</definedName>
    <definedName name="Aflar">#REF!</definedName>
    <definedName name="AggregateBaseCourse">#REF!</definedName>
    <definedName name="AirCon">#REF!</definedName>
    <definedName name="AList">#REF!</definedName>
    <definedName name="AllData">#REF!</definedName>
    <definedName name="allline">#REF!</definedName>
    <definedName name="alllines">#REF!</definedName>
    <definedName name="Amortization">#REF!</definedName>
    <definedName name="Amount">#REF!</definedName>
    <definedName name="Amt_prev_paid">#REF!</definedName>
    <definedName name="Amt_prev_paid_range">#REF!</definedName>
    <definedName name="Analysis">#REF!</definedName>
    <definedName name="AnalysisType">#REF!</definedName>
    <definedName name="Angle_Screed">#REF!</definedName>
    <definedName name="aocd">#REF!</definedName>
    <definedName name="applen">#REF!</definedName>
    <definedName name="appraisal" hidden="1">{#N/A,#N/A,TRUE,"Cover";#N/A,#N/A,TRUE,"Conts";#N/A,#N/A,TRUE,"VOS";#N/A,#N/A,TRUE,"Warrington";#N/A,#N/A,TRUE,"Widnes"}</definedName>
    <definedName name="Approved_by">#REF!</definedName>
    <definedName name="APR">#REF!</definedName>
    <definedName name="ar">#REF!</definedName>
    <definedName name="are">#REF!</definedName>
    <definedName name="AREA">#REF!</definedName>
    <definedName name="Area_Unit">#REF!</definedName>
    <definedName name="AREAS">#REF!</definedName>
    <definedName name="areas2">#REF!</definedName>
    <definedName name="AREASCH">#REF!</definedName>
    <definedName name="areasort">#REF!</definedName>
    <definedName name="areatop2">#REF!</definedName>
    <definedName name="aruna">#REF!</definedName>
    <definedName name="asd">#REF!</definedName>
    <definedName name="asgseg" hidden="1">{#N/A,#N/A,TRUE,"Cover";#N/A,#N/A,TRUE,"Conts";#N/A,#N/A,TRUE,"VOS";#N/A,#N/A,TRUE,"Warrington";#N/A,#N/A,TRUE,"Widnes"}</definedName>
    <definedName name="AsphalticBaseCourse">#REF!</definedName>
    <definedName name="asrasnrjutu" hidden="1">{#N/A,#N/A,TRUE,"Cover";#N/A,#N/A,TRUE,"Conts";#N/A,#N/A,TRUE,"VOS";#N/A,#N/A,TRUE,"Warrington";#N/A,#N/A,TRUE,"Widnes"}</definedName>
    <definedName name="assds">#REF!</definedName>
    <definedName name="At_risk">#REF!</definedName>
    <definedName name="atosf">43560</definedName>
    <definedName name="atrisk_total_net_rent_for_cashflow">#REF!</definedName>
    <definedName name="AUG">#REF!</definedName>
    <definedName name="avethk">#REF!</definedName>
    <definedName name="avewid">#REF!</definedName>
    <definedName name="aw">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" hidden="1">{"'Break down'!$A$4"}</definedName>
    <definedName name="B_____CONCRETE_PRICING_TABLE">#REF!</definedName>
    <definedName name="B1T">#REF!</definedName>
    <definedName name="B2T">#REF!</definedName>
    <definedName name="B3T">#REF!</definedName>
    <definedName name="B4T">#REF!</definedName>
    <definedName name="B5T">#REF!</definedName>
    <definedName name="B6T">#REF!</definedName>
    <definedName name="B7T">#REF!</definedName>
    <definedName name="bagheri">#REF!</definedName>
    <definedName name="Balustrades">#REF!</definedName>
    <definedName name="BARCHART.BARCHART">#REF!</definedName>
    <definedName name="BA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Year">#REF!</definedName>
    <definedName name="BASIS">#REF!</definedName>
    <definedName name="BASIS1">#REF!</definedName>
    <definedName name="BAYS">#REF!</definedName>
    <definedName name="BB">#REF!</definedName>
    <definedName name="BC">#REF!</definedName>
    <definedName name="BCIS" hidden="1">{#N/A,#N/A,TRUE,"Cover";#N/A,#N/A,TRUE,"Conts";#N/A,#N/A,TRUE,"VOS";#N/A,#N/A,TRUE,"Warrington";#N/A,#N/A,TRUE,"Widnes"}</definedName>
    <definedName name="BEF">#REF!</definedName>
    <definedName name="Bf">#REF!</definedName>
    <definedName name="BFR">#REF!</definedName>
    <definedName name="bg_charge">#REF!</definedName>
    <definedName name="Bill3Page1">#REF!</definedName>
    <definedName name="Bill3Page10">#REF!</definedName>
    <definedName name="Bill3Page11">#REF!</definedName>
    <definedName name="Bill3Page12">#REF!</definedName>
    <definedName name="Bill3Page13">#REF!</definedName>
    <definedName name="Bill3Page14">#REF!</definedName>
    <definedName name="Bill3page15">#REF!</definedName>
    <definedName name="Bill3Page16">#REF!</definedName>
    <definedName name="Bill3Page2">#REF!</definedName>
    <definedName name="Bill3Page3">#REF!</definedName>
    <definedName name="Bill3Page4">#REF!</definedName>
    <definedName name="Bill3Page5">#REF!</definedName>
    <definedName name="Bill3Page6">#REF!</definedName>
    <definedName name="Bill3Page7">#REF!</definedName>
    <definedName name="Bill3Page8">#REF!</definedName>
    <definedName name="Bill3Page9">#REF!</definedName>
    <definedName name="Bill4Page1">#REF!</definedName>
    <definedName name="Bill4Page10">#REF!</definedName>
    <definedName name="Bill4Page11">#REF!</definedName>
    <definedName name="Bill4Page12">#REF!</definedName>
    <definedName name="Bill4Page2">#REF!</definedName>
    <definedName name="Bill4Page3">#REF!</definedName>
    <definedName name="Bill4Page4">#REF!</definedName>
    <definedName name="Bill4Page5">#REF!</definedName>
    <definedName name="Bill4Page6">#REF!</definedName>
    <definedName name="Bill4Page7">#REF!</definedName>
    <definedName name="Bill4Page8">#REF!</definedName>
    <definedName name="Bill4Page9">#REF!</definedName>
    <definedName name="Bill5Page1">#REF!</definedName>
    <definedName name="Bill5Page10">#REF!</definedName>
    <definedName name="Bill5Page2">#REF!</definedName>
    <definedName name="Bill5Page3">#REF!</definedName>
    <definedName name="Bill5Page4">#REF!</definedName>
    <definedName name="Bill5Page5">#REF!</definedName>
    <definedName name="Bill5Page6">#REF!</definedName>
    <definedName name="Bill5Page7">#REF!</definedName>
    <definedName name="Bill5Page8">#REF!</definedName>
    <definedName name="Bill5Page9">#REF!</definedName>
    <definedName name="Bill6Page1">#REF!</definedName>
    <definedName name="Bill6Page10">#REF!</definedName>
    <definedName name="Bill6Page11">#REF!</definedName>
    <definedName name="Bill6Page12">#REF!</definedName>
    <definedName name="Bill6Page13">#REF!</definedName>
    <definedName name="Bill6Page14">#REF!</definedName>
    <definedName name="Bill6Page15">#REF!</definedName>
    <definedName name="Bill6Page16">#REF!</definedName>
    <definedName name="Bill6Page17">#REF!</definedName>
    <definedName name="Bill6Page18">#REF!</definedName>
    <definedName name="Bill6page19">#REF!</definedName>
    <definedName name="Bill6Page2">#REF!</definedName>
    <definedName name="Bill6Page20">#REF!</definedName>
    <definedName name="Bill6Page21">#REF!</definedName>
    <definedName name="Bill6Page22">#REF!</definedName>
    <definedName name="Bill6Page23">#REF!</definedName>
    <definedName name="Bill6Page24">#REF!</definedName>
    <definedName name="Bill6Page25">#REF!</definedName>
    <definedName name="Bill6Page26">#REF!</definedName>
    <definedName name="Bill6Page27">#REF!</definedName>
    <definedName name="Bill6Page3">#REF!</definedName>
    <definedName name="Bill6Page4">#REF!</definedName>
    <definedName name="Bill6Page5">#REF!</definedName>
    <definedName name="Bill6Page6">#REF!</definedName>
    <definedName name="Bill6Page7">#REF!</definedName>
    <definedName name="Bill6Page8">#REF!</definedName>
    <definedName name="Bill6Page9">#REF!</definedName>
    <definedName name="billname1">#REF!</definedName>
    <definedName name="billname2">#REF!</definedName>
    <definedName name="billname3">#REF!</definedName>
    <definedName name="BIN">#REF!</definedName>
    <definedName name="Bitumen">#REF!</definedName>
    <definedName name="Blank">#REF!</definedName>
    <definedName name="blankline">#REF!</definedName>
    <definedName name="block2">#REF!</definedName>
    <definedName name="bo_num">#REF!</definedName>
    <definedName name="boh">#REF!</definedName>
    <definedName name="bohFF">#REF!</definedName>
    <definedName name="boqformat">#REF!</definedName>
    <definedName name="borabt">#REF!</definedName>
    <definedName name="borlen1">#REF!</definedName>
    <definedName name="borlen2">#REF!</definedName>
    <definedName name="borlen3">#REF!</definedName>
    <definedName name="Bottom_T32_RF_Factor">#REF!</definedName>
    <definedName name="Boxvol">#REF!</definedName>
    <definedName name="br">#REF!</definedName>
    <definedName name="Brgname">#REF!</definedName>
    <definedName name="Brname">#REF!</definedName>
    <definedName name="BUDGET">#REF!</definedName>
    <definedName name="BUILD">#REF!</definedName>
    <definedName name="building">#REF!</definedName>
    <definedName name="BUS">#REF!</definedName>
    <definedName name="C_____STEEL_REBAR">#REF!</definedName>
    <definedName name="CA">#REF!</definedName>
    <definedName name="CA_PROJ_DETAILS">#REF!</definedName>
    <definedName name="Cab">0.05</definedName>
    <definedName name="capital">#REF!</definedName>
    <definedName name="CAPITALA">#REF!</definedName>
    <definedName name="car_park_cash_flow">#REF!</definedName>
    <definedName name="cash">#REF!</definedName>
    <definedName name="cashfl" hidden="1">{#N/A,#N/A,TRUE,"Cover";#N/A,#N/A,TRUE,"Conts";#N/A,#N/A,TRUE,"VOS";#N/A,#N/A,TRUE,"Warrington";#N/A,#N/A,TRUE,"Widnes"}</definedName>
    <definedName name="CAT">#REF!</definedName>
    <definedName name="categories">#REF!</definedName>
    <definedName name="CatEyes">#REF!</definedName>
    <definedName name="CC">#REF!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S">#REF!</definedName>
    <definedName name="Ccurry">#REF!</definedName>
    <definedName name="Cdata">#REF!</definedName>
    <definedName name="cdfdgf" hidden="1">{#N/A,#N/A,TRUE,"Cover";#N/A,#N/A,TRUE,"Conts";#N/A,#N/A,TRUE,"VOS";#N/A,#N/A,TRUE,"Warrington";#N/A,#N/A,TRUE,"Widnes"}</definedName>
    <definedName name="cEILING">#REF!</definedName>
    <definedName name="CeilingFinishes">#REF!</definedName>
    <definedName name="Cell_Length_X">#REF!</definedName>
    <definedName name="Cell_length_Y">#REF!</definedName>
    <definedName name="cellper">#REF!</definedName>
    <definedName name="chart">#REF!</definedName>
    <definedName name="CHF">#REF!</definedName>
    <definedName name="Choices_Wrapper">#N/A</definedName>
    <definedName name="chris" hidden="1">{#N/A,#N/A,TRUE,"Cover";#N/A,#N/A,TRUE,"Conts";#N/A,#N/A,TRUE,"VOS";#N/A,#N/A,TRUE,"Warrington";#N/A,#N/A,TRUE,"Widnes"}</definedName>
    <definedName name="circu1">#REF!</definedName>
    <definedName name="circu2">#REF!</definedName>
    <definedName name="City">#REF!</definedName>
    <definedName name="Civil">#REF!</definedName>
    <definedName name="ckey">#REF!</definedName>
    <definedName name="ClearingAndGrubbing">#REF!</definedName>
    <definedName name="clength">#REF!</definedName>
    <definedName name="client">#REF!</definedName>
    <definedName name="CO_BS">#REF!</definedName>
    <definedName name="CO_CAP1">#REF!</definedName>
    <definedName name="CO_CAP2">#REF!</definedName>
    <definedName name="CO_CF">#REF!</definedName>
    <definedName name="CO_FLA">#REF!</definedName>
    <definedName name="CO_IS">#REF!</definedName>
    <definedName name="CO_SEG">#REF!</definedName>
    <definedName name="cocnlen1">#REF!</definedName>
    <definedName name="Code" hidden="1">#REF!</definedName>
    <definedName name="Columns">#REF!</definedName>
    <definedName name="COM">#REF!</definedName>
    <definedName name="Company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Inter_rate">#REF!</definedName>
    <definedName name="completion_date">#REF!</definedName>
    <definedName name="conc2">#REF!</definedName>
    <definedName name="CONCA">#REF!</definedName>
    <definedName name="concabt">#REF!</definedName>
    <definedName name="CONCB">#REF!</definedName>
    <definedName name="CONCC">#REF!</definedName>
    <definedName name="conclen3">#REF!</definedName>
    <definedName name="Concrete_Ang.Connection">#REF!</definedName>
    <definedName name="Concrete_V_Connection">#REF!</definedName>
    <definedName name="concrete1">#REF!</definedName>
    <definedName name="concrete2">#REF!</definedName>
    <definedName name="concrete3">#REF!</definedName>
    <definedName name="ConcreteClassA">#REF!</definedName>
    <definedName name="ConcreteClassB">#REF!</definedName>
    <definedName name="ConcreteSundries">#REF!</definedName>
    <definedName name="Cont">#REF!</definedName>
    <definedName name="Contacts">#REF!</definedName>
    <definedName name="CONTENTS">#REF!</definedName>
    <definedName name="Contract_sum1">#REF!</definedName>
    <definedName name="contrat">#REF!</definedName>
    <definedName name="corewall">#REF!</definedName>
    <definedName name="CORP">#REF!</definedName>
    <definedName name="COS">#REF!</definedName>
    <definedName name="COST_RANGE">#REF!</definedName>
    <definedName name="COST_VALUE_REPO">#REF!</definedName>
    <definedName name="CountCode">#REF!</definedName>
    <definedName name="Country">#REF!</definedName>
    <definedName name="cpdpvol">#REF!</definedName>
    <definedName name="cpierends">#REF!</definedName>
    <definedName name="_xlnm.Criteria">#REF!</definedName>
    <definedName name="Criterion_Basis">#REF!</definedName>
    <definedName name="CumulativeFinancialProgress">#REF!</definedName>
    <definedName name="CumulativePercentCompletion">#REF!</definedName>
    <definedName name="Curr">#REF!</definedName>
    <definedName name="CurrCode">#REF!</definedName>
    <definedName name="currency">#REF!</definedName>
    <definedName name="Curry">#REF!</definedName>
    <definedName name="CvData">#REF!</definedName>
    <definedName name="D">#REF!</definedName>
    <definedName name="D_____MASONRY___PLASTER_WORKS">#REF!</definedName>
    <definedName name="dad" hidden="1">#REF!</definedName>
    <definedName name="DATA">#REF!</definedName>
    <definedName name="DATA_MANAGEMENT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2">#REF!</definedName>
    <definedName name="date">#REF!</definedName>
    <definedName name="DBASE">#REF!</definedName>
    <definedName name="DBASEM">#REF!</definedName>
    <definedName name="DBASEP">#REF!</definedName>
    <definedName name="DBCode">#REF!</definedName>
    <definedName name="DCF">#REF!</definedName>
    <definedName name="dd">#REF!</definedName>
    <definedName name="ddd">#REF!</definedName>
    <definedName name="dddd">#REF!</definedName>
    <definedName name="ddddd" hidden="1">{#N/A,#N/A,TRUE,"Cover";#N/A,#N/A,TRUE,"Conts";#N/A,#N/A,TRUE,"VOS";#N/A,#N/A,TRUE,"Warrington";#N/A,#N/A,TRUE,"Widnes"}</definedName>
    <definedName name="Ddt_H_Screed">#REF!</definedName>
    <definedName name="Ddt_H_Screed_AC">#REF!</definedName>
    <definedName name="DEC">#REF!</definedName>
    <definedName name="Deliv">#REF!</definedName>
    <definedName name="Delivbasis">#REF!</definedName>
    <definedName name="delivcode">#REF!</definedName>
    <definedName name="delivtype">#REF!</definedName>
    <definedName name="DEM">#REF!</definedName>
    <definedName name="Depth">#REF!</definedName>
    <definedName name="Description">#REF!</definedName>
    <definedName name="DESIGNS">#REF!</definedName>
    <definedName name="DESIGNS07">#REF!</definedName>
    <definedName name="DESIGNS12">#REF!</definedName>
    <definedName name="DESIGNS21">#REF!</definedName>
    <definedName name="DESIGNS22">#REF!</definedName>
    <definedName name="DESIGNS31">#REF!</definedName>
    <definedName name="DESIGNS33">#REF!</definedName>
    <definedName name="DESIGNS34">#REF!</definedName>
    <definedName name="DESIGNS35">#REF!</definedName>
    <definedName name="DESIGNS36">#REF!</definedName>
    <definedName name="DESIGNS39">#REF!</definedName>
    <definedName name="DESIGNS42">#REF!</definedName>
    <definedName name="DESIGNS43">#REF!</definedName>
    <definedName name="DESIGNS45">#REF!</definedName>
    <definedName name="DESIGNS46">#REF!</definedName>
    <definedName name="DESIGNS48">#REF!</definedName>
    <definedName name="DESIGNS49">#REF!</definedName>
    <definedName name="DESIGNS52">#REF!</definedName>
    <definedName name="DESIGNS53">#REF!</definedName>
    <definedName name="DESIGNS54">#REF!</definedName>
    <definedName name="DESIGNS55">#REF!</definedName>
    <definedName name="DESIGNS82">#REF!</definedName>
    <definedName name="DESIGNS84">#REF!</definedName>
    <definedName name="DETAIL">#REF!</definedName>
    <definedName name="DETHEADER">#REF!</definedName>
    <definedName name="devman">#REF!</definedName>
    <definedName name="Df">#REF!</definedName>
    <definedName name="dfdf">#REF!</definedName>
    <definedName name="DFDFF">#REF!</definedName>
    <definedName name="Dff">#REF!</definedName>
    <definedName name="dfgd" hidden="1">{#N/A,#N/A,TRUE,"Cover";#N/A,#N/A,TRUE,"Conts";#N/A,#N/A,TRUE,"VOS";#N/A,#N/A,TRUE,"Warrington";#N/A,#N/A,TRUE,"Widnes"}</definedName>
    <definedName name="DFGTAETETYER" hidden="1">{"'Break down'!$A$4"}</definedName>
    <definedName name="DFL">#REF!</definedName>
    <definedName name="DiscAUD">1</definedName>
    <definedName name="DiscAV">1</definedName>
    <definedName name="DiscBMS">1</definedName>
    <definedName name="DiscDEV">1</definedName>
    <definedName name="DiscFA">1</definedName>
    <definedName name="DiscGEN">1</definedName>
    <definedName name="DiscLITE">1</definedName>
    <definedName name="DiscLVcab">1</definedName>
    <definedName name="DiscMVcab">1</definedName>
    <definedName name="Discount" hidden="1">#REF!</definedName>
    <definedName name="DiscPA">1</definedName>
    <definedName name="DiscPNL">1</definedName>
    <definedName name="DiscSEC">1</definedName>
    <definedName name="DiscSUB">1</definedName>
    <definedName name="DiscSWGR">1</definedName>
    <definedName name="DiscTEL">0.79</definedName>
    <definedName name="DiscTRAFO">1</definedName>
    <definedName name="DiscTV">1</definedName>
    <definedName name="display_area_2" hidden="1">#REF!</definedName>
    <definedName name="Disposal1">#REF!+#REF!</definedName>
    <definedName name="div">#REF!</definedName>
    <definedName name="div.1">#REF!</definedName>
    <definedName name="DIVI">#REF!</definedName>
    <definedName name="djjii" hidden="1">{#N/A,#N/A,TRUE,"Cover";#N/A,#N/A,TRUE,"Conts";#N/A,#N/A,TRUE,"VOS";#N/A,#N/A,TRUE,"Warrington";#N/A,#N/A,TRUE,"Widnes"}</definedName>
    <definedName name="DKK">#REF!</definedName>
    <definedName name="DMK">#REF!</definedName>
    <definedName name="doc_cost">#REF!</definedName>
    <definedName name="dp">#REF!</definedName>
    <definedName name="Dr_rate">#REF!</definedName>
    <definedName name="Drain_Length">#REF!</definedName>
    <definedName name="DRAW">#REF!</definedName>
    <definedName name="drytytuyu" hidden="1">{#N/A,#N/A,TRUE,"Cover";#N/A,#N/A,TRUE,"Conts";#N/A,#N/A,TRUE,"VOS";#N/A,#N/A,TRUE,"Warrington";#N/A,#N/A,TRUE,"Widnes"}</definedName>
    <definedName name="dsadaSFDWE">#REF!</definedName>
    <definedName name="dsdsaqd">#REF!</definedName>
    <definedName name="DST">#REF!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ummy">#REF!</definedName>
    <definedName name="Duration1">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E____FLOORING___WALL_TILES">#REF!</definedName>
    <definedName name="eagrga" hidden="1">{#N/A,#N/A,TRUE,"Cover";#N/A,#N/A,TRUE,"Conts";#N/A,#N/A,TRUE,"VOS";#N/A,#N/A,TRUE,"Warrington";#N/A,#N/A,TRUE,"Widnes"}</definedName>
    <definedName name="Ebc">#REF!</definedName>
    <definedName name="Ebitdar">#REF!</definedName>
    <definedName name="ECGD" hidden="1">#REF!</definedName>
    <definedName name="ecr">#REF!</definedName>
    <definedName name="Ecurry">#REF!</definedName>
    <definedName name="ed">#REF!</definedName>
    <definedName name="EData">#REF!</definedName>
    <definedName name="edds">#REF!</definedName>
    <definedName name="EE">#REF!</definedName>
    <definedName name="eeeee" hidden="1">{#N/A,#N/A,TRUE,"Cover";#N/A,#N/A,TRUE,"Conts";#N/A,#N/A,TRUE,"VOS";#N/A,#N/A,TRUE,"Warrington";#N/A,#N/A,TRUE,"Widnes"}</definedName>
    <definedName name="ef">#REF!</definedName>
    <definedName name="egag" hidden="1">{#N/A,#N/A,TRUE,"Cover";#N/A,#N/A,TRUE,"Conts";#N/A,#N/A,TRUE,"VOS";#N/A,#N/A,TRUE,"Warrington";#N/A,#N/A,TRUE,"Widnes"}</definedName>
    <definedName name="Ei_Summary">#REF!</definedName>
    <definedName name="ekey">#REF!</definedName>
    <definedName name="Ele" hidden="1">{"'Break down'!$A$4"}</definedName>
    <definedName name="ELEC" hidden="1">#REF!</definedName>
    <definedName name="ELECBILL">#REF!</definedName>
    <definedName name="Elect">#REF!</definedName>
    <definedName name="elevator">#REF!</definedName>
    <definedName name="elf">#REF!</definedName>
    <definedName name="eli">#REF!</definedName>
    <definedName name="EList">#REF!</definedName>
    <definedName name="ELP">#REF!</definedName>
    <definedName name="Email">#REF!</definedName>
    <definedName name="Emb108a">#REF!</definedName>
    <definedName name="Emb108c">#REF!</definedName>
    <definedName name="EMhrs">#REF!</definedName>
    <definedName name="ENDEDRUCK">#REF!</definedName>
    <definedName name="EquityEarnings">#REF!</definedName>
    <definedName name="EquityYield">#REF!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tellen_Leerform_AKABAM">#REF!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CAL">#REF!</definedName>
    <definedName name="Escalation">#REF!</definedName>
    <definedName name="ESP">#REF!</definedName>
    <definedName name="Est">#REF!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or">#REF!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h" hidden="1">#REF!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R">#REF!</definedName>
    <definedName name="EURO">#REF!</definedName>
    <definedName name="EvData">#REF!</definedName>
    <definedName name="EW">#REF!</definedName>
    <definedName name="ewateryryxyz" hidden="1">{#N/A,#N/A,TRUE,"Cover";#N/A,#N/A,TRUE,"Conts";#N/A,#N/A,TRUE,"VOS";#N/A,#N/A,TRUE,"Warrington";#N/A,#N/A,TRUE,"Widnes"}</definedName>
    <definedName name="EWeight">#REF!</definedName>
    <definedName name="EWF">#REF!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">#REF!</definedName>
    <definedName name="Example">#REF!</definedName>
    <definedName name="Excluded">#REF!</definedName>
    <definedName name="eXCLUSIONS" hidden="1">{#N/A,#N/A,TRUE,"Cover";#N/A,#N/A,TRUE,"Conts";#N/A,#N/A,TRUE,"VOS";#N/A,#N/A,TRUE,"Warrington";#N/A,#N/A,TRUE,"Widnes"}</definedName>
    <definedName name="ExecSumfinal">#REF!</definedName>
    <definedName name="Exit_Year">#REF!</definedName>
    <definedName name="external">#REF!</definedName>
    <definedName name="External_Waterstops">#REF!</definedName>
    <definedName name="_xlnm.Extract">#REF!</definedName>
    <definedName name="eyy" hidden="1">{#N/A,#N/A,TRUE,"Cover";#N/A,#N/A,TRUE,"Conts";#N/A,#N/A,TRUE,"VOS";#N/A,#N/A,TRUE,"Warrington";#N/A,#N/A,TRUE,"Widnes"}</definedName>
    <definedName name="F">#REF!</definedName>
    <definedName name="F_____PAINTING">#REF!</definedName>
    <definedName name="fac">#REF!</definedName>
    <definedName name="factot">#REF!</definedName>
    <definedName name="Fax">#REF!</definedName>
    <definedName name="Fb">#REF!</definedName>
    <definedName name="FBSUM">#REF!</definedName>
    <definedName name="FC">#REF!</definedName>
    <definedName name="FCode" hidden="1">#REF!</definedName>
    <definedName name="fe">OFFSET(#REF!,0,0,COUNTA(#REF!),1)</definedName>
    <definedName name="FEB">#REF!</definedName>
    <definedName name="FF">#REF!</definedName>
    <definedName name="FFboh">#REF!</definedName>
    <definedName name="FFE">#REF!</definedName>
    <definedName name="FFR">#REF!</definedName>
    <definedName name="fg" hidden="1">{#N/A,#N/A,TRUE,"Cover";#N/A,#N/A,TRUE,"Conts";#N/A,#N/A,TRUE,"VOS";#N/A,#N/A,TRUE,"Warrington";#N/A,#N/A,TRUE,"Widnes"}</definedName>
    <definedName name="fgf">#REF!</definedName>
    <definedName name="FGFGFG">#REF!</definedName>
    <definedName name="FGFGG">#REF!</definedName>
    <definedName name="FGFGGF">#REF!</definedName>
    <definedName name="fgjjjkyg" hidden="1">{#N/A,#N/A,TRUE,"Cover";#N/A,#N/A,TRUE,"Conts";#N/A,#N/A,TRUE,"VOS";#N/A,#N/A,TRUE,"Warrington";#N/A,#N/A,TRUE,"Widnes"}</definedName>
    <definedName name="fhfhf">#N/A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ename">#REF!</definedName>
    <definedName name="finalct">#REF!</definedName>
    <definedName name="Fire">#REF!</definedName>
    <definedName name="Fitments">#REF!</definedName>
    <definedName name="fkfkvhikkhju" hidden="1">{#N/A,#N/A,TRUE,"Cover";#N/A,#N/A,TRUE,"Conts";#N/A,#N/A,TRUE,"VOS";#N/A,#N/A,TRUE,"Warrington";#N/A,#N/A,TRUE,"Widnes"}</definedName>
    <definedName name="floorfinishes">#REF!</definedName>
    <definedName name="FLY">#N/A</definedName>
    <definedName name="Flysheets">#REF!</definedName>
    <definedName name="FOHLights">#REF!</definedName>
    <definedName name="forecastfinal">#REF!</definedName>
    <definedName name="formula1">#REF!</definedName>
    <definedName name="fred" hidden="1">{"'Break down'!$A$4"}</definedName>
    <definedName name="fret_cost">#REF!</definedName>
    <definedName name="FRF">#REF!</definedName>
    <definedName name="frjj" hidden="1">{#N/A,#N/A,TRUE,"Cover";#N/A,#N/A,TRUE,"Conts";#N/A,#N/A,TRUE,"VOS";#N/A,#N/A,TRUE,"Warrington";#N/A,#N/A,TRUE,"Widnes"}</definedName>
    <definedName name="FRONT">#REF!</definedName>
    <definedName name="fullTl">#REF!</definedName>
    <definedName name="G">#REF!</definedName>
    <definedName name="G______SANITARY___PLUMBING">#REF!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S">#REF!</definedName>
    <definedName name="gba">#REF!</definedName>
    <definedName name="GBP">#REF!</definedName>
    <definedName name="gdfdf">#REF!</definedName>
    <definedName name="ge">#REF!</definedName>
    <definedName name="geag" hidden="1">{#N/A,#N/A,TRUE,"Cover";#N/A,#N/A,TRUE,"Conts";#N/A,#N/A,TRUE,"VOS";#N/A,#N/A,TRUE,"Warrington";#N/A,#N/A,TRUE,"Widnes"}</definedName>
    <definedName name="gen">#REF!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lazing">#REF!</definedName>
    <definedName name="GLevel">#REF!</definedName>
    <definedName name="globale_marge">#REF!</definedName>
    <definedName name="Grace">#REF!</definedName>
    <definedName name="Grades">#REF!</definedName>
    <definedName name="GrandTotal">#N/A</definedName>
    <definedName name="graph_1048">#REF!</definedName>
    <definedName name="graph_1066">#REF!</definedName>
    <definedName name="graph_896">#REF!</definedName>
    <definedName name="GroutedRiprap">#REF!</definedName>
    <definedName name="gsm">#REF!</definedName>
    <definedName name="GSMM">#REF!</definedName>
    <definedName name="GSTSYAEYAEYEYET" hidden="1">{"'Break down'!$A$4"}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">#REF!</definedName>
    <definedName name="H_______EARTH_WORKS">#REF!</definedName>
    <definedName name="H_______PLUMBING_PVC_PIPES">#REF!</definedName>
    <definedName name="hb" hidden="1">{#N/A,#N/A,TRUE,"Cover";#N/A,#N/A,TRUE,"Conts";#N/A,#N/A,TRUE,"VOS";#N/A,#N/A,TRUE,"Warrington";#N/A,#N/A,TRUE,"Widnes"}</definedName>
    <definedName name="HC">#REF!</definedName>
    <definedName name="Heading">#REF!</definedName>
    <definedName name="HeadWall">#REF!</definedName>
    <definedName name="height">#REF!</definedName>
    <definedName name="hello">#REF!</definedName>
    <definedName name="hfhgf" hidden="1">{#N/A,#N/A,TRUE,"Cover";#N/A,#N/A,TRUE,"Conts";#N/A,#N/A,TRUE,"VOS";#N/A,#N/A,TRUE,"Warrington";#N/A,#N/A,TRUE,"Widnes"}</definedName>
    <definedName name="hgfdhg">#REF!</definedName>
    <definedName name="hgkghkgk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kgkghk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khkg" hidden="1">{#N/A,#N/A,TRUE,"Cover";#N/A,#N/A,TRUE,"Conts";#N/A,#N/A,TRUE,"VOS";#N/A,#N/A,TRUE,"Warrington";#N/A,#N/A,TRUE,"Widnes"}</definedName>
    <definedName name="HH">#REF!</definedName>
    <definedName name="hhh">#REF!</definedName>
    <definedName name="hhhh">#REF!</definedName>
    <definedName name="HiddenRows" hidden="1">#REF!</definedName>
    <definedName name="hjdj" hidden="1">{#N/A,#N/A,TRUE,"Cover";#N/A,#N/A,TRUE,"Conts";#N/A,#N/A,TRUE,"VOS";#N/A,#N/A,TRUE,"Warrington";#N/A,#N/A,TRUE,"Widnes"}</definedName>
    <definedName name="hkhkhkj">#REF!</definedName>
    <definedName name="home">#REF!</definedName>
    <definedName name="HOTEL">#REF!</definedName>
    <definedName name="hrcs">#REF!</definedName>
    <definedName name="hshjy" hidden="1">{#N/A,#N/A,TRUE,"Cover";#N/A,#N/A,TRUE,"Conts";#N/A,#N/A,TRUE,"VOS";#N/A,#N/A,TRUE,"Warrington";#N/A,#N/A,TRUE,"Widnes"}</definedName>
    <definedName name="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HSH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h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trhrsth" hidden="1">{#N/A,#N/A,TRUE,"Cover";#N/A,#N/A,TRUE,"Conts";#N/A,#N/A,TRUE,"VOS";#N/A,#N/A,TRUE,"Warrington";#N/A,#N/A,TRUE,"Widnes"}</definedName>
    <definedName name="htwing">#REF!</definedName>
    <definedName name="hutgfru" hidden="1">{#N/A,#N/A,TRUE,"Cover";#N/A,#N/A,TRUE,"Conts";#N/A,#N/A,TRUE,"VOS";#N/A,#N/A,TRUE,"Warrington";#N/A,#N/A,TRUE,"Widnes"}</definedName>
    <definedName name="i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C">#REF!</definedName>
    <definedName name="Icurry">#REF!</definedName>
    <definedName name="idpvol">#REF!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key">#REF!</definedName>
    <definedName name="IList">#REF!</definedName>
    <definedName name="imported">#REF!</definedName>
    <definedName name="ImportIt">#REF!</definedName>
    <definedName name="Included">#REF!</definedName>
    <definedName name="Ind">1</definedName>
    <definedName name="indices">#REF!</definedName>
    <definedName name="Inflation">#REF!</definedName>
    <definedName name="inplan">#REF!</definedName>
    <definedName name="install_cost">#REF!</definedName>
    <definedName name="Instr">#REF!</definedName>
    <definedName name="Insul">#REF!</definedName>
    <definedName name="Insurance">#REF!</definedName>
    <definedName name="Int">#REF!</definedName>
    <definedName name="Interest">#REF!</definedName>
    <definedName name="InterestAppraised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PCs">#REF!</definedName>
    <definedName name="ipsgsghsrhr">#REF!</definedName>
    <definedName name="Issu_Date">#REF!</definedName>
    <definedName name="Issue">#REF!</definedName>
    <definedName name="Issue_Date">#REF!</definedName>
    <definedName name="Issued_for">#REF!</definedName>
    <definedName name="ITL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">#REF!</definedName>
    <definedName name="JAN">#REF!</definedName>
    <definedName name="jg" hidden="1">{#N/A,#N/A,TRUE,"Cover";#N/A,#N/A,TRUE,"Conts";#N/A,#N/A,TRUE,"VOS";#N/A,#N/A,TRUE,"Warrington";#N/A,#N/A,TRUE,"Widnes"}</definedName>
    <definedName name="jgfasjgsd">#REF!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jjj">[0]!month #REF!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ob_No.">#REF!</definedName>
    <definedName name="JPY">#REF!</definedName>
    <definedName name="jtyhjswjy" hidden="1">{#N/A,#N/A,TRUE,"Cover";#N/A,#N/A,TRUE,"Conts";#N/A,#N/A,TRUE,"VOS";#N/A,#N/A,TRUE,"Warrington";#N/A,#N/A,TRUE,"Widnes"}</definedName>
    <definedName name="JUL">#REF!</definedName>
    <definedName name="JUN">#REF!</definedName>
    <definedName name="K">#REF!</definedName>
    <definedName name="Kap">1.1844</definedName>
    <definedName name="KAv">1</definedName>
    <definedName name="KBms">1.1846</definedName>
    <definedName name="KBuild">1</definedName>
    <definedName name="KeyCode">#REF!</definedName>
    <definedName name="keys">#REF!</definedName>
    <definedName name="KFa">1</definedName>
    <definedName name="kFOB">#REF!</definedName>
    <definedName name="KGen">1</definedName>
    <definedName name="kghkhgkh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HotAud">1</definedName>
    <definedName name="kIF">#REF!</definedName>
    <definedName name="KitchenEquipment">#REF!</definedName>
    <definedName name="kj" hidden="1">{#N/A,#N/A,TRUE,"Cover";#N/A,#N/A,TRUE,"Conts";#N/A,#N/A,TRUE,"VOS";#N/A,#N/A,TRUE,"Warrington";#N/A,#N/A,TRUE,"Widnes"}</definedName>
    <definedName name="KK">#REF!</definedName>
    <definedName name="kklmlk" hidden="1">{#N/A,#N/A,TRUE,"Cover";#N/A,#N/A,TRUE,"Conts";#N/A,#N/A,TRUE,"VOS";#N/A,#N/A,TRUE,"Warrington";#N/A,#N/A,TRUE,"Widnes"}</definedName>
    <definedName name="KLite">1.0211</definedName>
    <definedName name="KLiteCon">1</definedName>
    <definedName name="kloc">#REF!</definedName>
    <definedName name="KLv">1</definedName>
    <definedName name="KMed">1</definedName>
    <definedName name="KPa">1</definedName>
    <definedName name="KProtec">1</definedName>
    <definedName name="kryk" hidden="1">{#N/A,#N/A,TRUE,"Cover";#N/A,#N/A,TRUE,"Conts";#N/A,#N/A,TRUE,"VOS";#N/A,#N/A,TRUE,"Warrington";#N/A,#N/A,TRUE,"Widnes"}</definedName>
    <definedName name="KSec">1</definedName>
    <definedName name="KTel">1</definedName>
    <definedName name="KTv">1</definedName>
    <definedName name="KurFarki">#REF!</definedName>
    <definedName name="KYSTH" hidden="1">{#N/A,#N/A,TRUE,"Cover";#N/A,#N/A,TRUE,"Conts";#N/A,#N/A,TRUE,"VOS";#N/A,#N/A,TRUE,"Warrington";#N/A,#N/A,TRUE,"Widnes"}</definedName>
    <definedName name="L">#REF!</definedName>
    <definedName name="L_______EARTH_WORKS">#REF!</definedName>
    <definedName name="Lab">14</definedName>
    <definedName name="lavatory">#REF!</definedName>
    <definedName name="LC">#REF!</definedName>
    <definedName name="Lcant">#REF!</definedName>
    <definedName name="LeanConcrete">#REF!</definedName>
    <definedName name="length">#REF!</definedName>
    <definedName name="Length_of_the_cell__X_direction__m">#REF!</definedName>
    <definedName name="Length_Vertical_Raft">#REF!</definedName>
    <definedName name="Level6" hidden="1">#REF!</definedName>
    <definedName name="Lf">#REF!</definedName>
    <definedName name="lgoguliu" hidden="1">{#N/A,#N/A,TRUE,"Cover";#N/A,#N/A,TRUE,"Conts";#N/A,#N/A,TRUE,"VOS";#N/A,#N/A,TRUE,"Warrington";#N/A,#N/A,TRUE,"Widnes"}</definedName>
    <definedName name="LIABILITY">#REF!</definedName>
    <definedName name="LIB">#REF!</definedName>
    <definedName name="lieu">#REF!</definedName>
    <definedName name="Lights">#REF!</definedName>
    <definedName name="LIPremium">#REF!</definedName>
    <definedName name="LIRA">#REF!</definedName>
    <definedName name="lkjikjoi" hidden="1">{#N/A,#N/A,TRUE,"Cover";#N/A,#N/A,TRUE,"Conts";#N/A,#N/A,TRUE,"VOS";#N/A,#N/A,TRUE,"Warrington";#N/A,#N/A,TRUE,"Widnes"}</definedName>
    <definedName name="LL">#REF!</definedName>
    <definedName name="Loan_A_margins">#REF!</definedName>
    <definedName name="Location">#REF!</definedName>
    <definedName name="lp">#REF!</definedName>
    <definedName name="lth">#REF!</definedName>
    <definedName name="LTV">#REF!</definedName>
    <definedName name="M">#REF!</definedName>
    <definedName name="M_Angle_Screed">#REF!</definedName>
    <definedName name="manpower_site">#REF!</definedName>
    <definedName name="MAR">#REF!</definedName>
    <definedName name="markup">#REF!</definedName>
    <definedName name="MaterialToBeCrushed">#REF!</definedName>
    <definedName name="MaterialToBeScreened">#REF!</definedName>
    <definedName name="Matrix">#REF!</definedName>
    <definedName name="maxmonth">OFFSET(#REF!,0,0,MATCH(#REF!,#REF!,0),1)</definedName>
    <definedName name="MAY">#REF!</definedName>
    <definedName name="MC_">#REF!</definedName>
    <definedName name="Mcurry">#REF!</definedName>
    <definedName name="MData">#REF!</definedName>
    <definedName name="Metal1">#REF!</definedName>
    <definedName name="Metal2">#REF!</definedName>
    <definedName name="Metal3">#REF!</definedName>
    <definedName name="Metal4">#REF!</definedName>
    <definedName name="mkey">#REF!</definedName>
    <definedName name="MmExcelLinker_48EFC9ED_A550_40C1_A2F7_886170168388">idea gen&amp;#REF!</definedName>
    <definedName name="MmExcelLinker_CCECC6B2_B122_4E7D_B87B_EF168B8A9B3A">[0]!month #REF!</definedName>
    <definedName name="MngtFees">#REF!</definedName>
    <definedName name="month">#REF!</definedName>
    <definedName name="month1">OFFSET(#REF!,0,0,COUNTA(#REF!),1)</definedName>
    <definedName name="MontlyPercentCompletion">#REF!</definedName>
    <definedName name="MPI">#REF!</definedName>
    <definedName name="MS">#REF!</definedName>
    <definedName name="Multiplier">#REF!</definedName>
    <definedName name="Multiplier1">#REF!</definedName>
    <definedName name="MvDAta">#REF!</definedName>
    <definedName name="myarea">#REF!</definedName>
    <definedName name="N">#REF!</definedName>
    <definedName name="Name">#REF!</definedName>
    <definedName name="nclient">#REF!</definedName>
    <definedName name="ncompier">#REF!</definedName>
    <definedName name="ND">#REF!</definedName>
    <definedName name="nddddddddf" hidden="1">{#N/A,#N/A,TRUE,"Cover";#N/A,#N/A,TRUE,"Conts";#N/A,#N/A,TRUE,"VOS";#N/A,#N/A,TRUE,"Warrington";#N/A,#N/A,TRUE,"Widnes"}</definedName>
    <definedName name="new">#REF!</definedName>
    <definedName name="New_new">#REF!</definedName>
    <definedName name="NGC">#REF!</definedName>
    <definedName name="NLG">#REF!</definedName>
    <definedName name="No0">#REF!</definedName>
    <definedName name="nolanes">#REF!</definedName>
    <definedName name="notinplan">#REF!</definedName>
    <definedName name="NOV">#REF!</definedName>
    <definedName name="Npiers">#REF!</definedName>
    <definedName name="npile2">#REF!</definedName>
    <definedName name="npile3">#REF!</definedName>
    <definedName name="Nspans">#REF!</definedName>
    <definedName name="NW">#REF!</definedName>
    <definedName name="nwe">#REF!</definedName>
    <definedName name="Nwebs">#REF!</definedName>
    <definedName name="o9u0piupi" hidden="1">{#N/A,#N/A,TRUE,"Cover";#N/A,#N/A,TRUE,"Conts";#N/A,#N/A,TRUE,"VOS";#N/A,#N/A,TRUE,"Warrington";#N/A,#N/A,TRUE,"Widnes"}</definedName>
    <definedName name="OCT">#REF!</definedName>
    <definedName name="office">#REF!</definedName>
    <definedName name="office_exp">#REF!</definedName>
    <definedName name="OH">#REF!</definedName>
    <definedName name="oi" hidden="1">{#N/A,#N/A,TRUE,"Cover";#N/A,#N/A,TRUE,"Conts";#N/A,#N/A,TRUE,"VOS";#N/A,#N/A,TRUE,"Warrington";#N/A,#N/A,TRUE,"Widnes"}</definedName>
    <definedName name="OPC">#REF!</definedName>
    <definedName name="opogd" hidden="1">{#N/A,#N/A,TRUE,"Cover";#N/A,#N/A,TRUE,"Conts";#N/A,#N/A,TRUE,"VOS";#N/A,#N/A,TRUE,"Warrington";#N/A,#N/A,TRUE,"Widnes"}</definedName>
    <definedName name="OrderTable" hidden="1">#REF!</definedName>
    <definedName name="Original">#REF!</definedName>
    <definedName name="Ovrl_Area">#REF!</definedName>
    <definedName name="P">#REF!</definedName>
    <definedName name="P_1">#REF!</definedName>
    <definedName name="P_10">#REF!</definedName>
    <definedName name="P_10A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0">#REF!</definedName>
    <definedName name="P_21">#REF!</definedName>
    <definedName name="P_22">#REF!</definedName>
    <definedName name="P_23">#REF!</definedName>
    <definedName name="P_24">#REF!</definedName>
    <definedName name="P_25">#REF!</definedName>
    <definedName name="P_26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7y" hidden="1">{#N/A,#N/A,TRUE,"Cover";#N/A,#N/A,TRUE,"Conts";#N/A,#N/A,TRUE,"VOS";#N/A,#N/A,TRUE,"Warrington";#N/A,#N/A,TRUE,"Widnes"}</definedName>
    <definedName name="pack_name">#REF!</definedName>
    <definedName name="pafegseg" hidden="1">{#N/A,#N/A,TRUE,"Cover";#N/A,#N/A,TRUE,"Conts";#N/A,#N/A,TRUE,"VOS";#N/A,#N/A,TRUE,"Warrington";#N/A,#N/A,TRUE,"Widnes"}</definedName>
    <definedName name="page\x2dtotal">#REF!</definedName>
    <definedName name="page\x2dtotal\x2dmaster0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E">#REF!</definedName>
    <definedName name="PAGE5">#REF!</definedName>
    <definedName name="PAGE5_21">#REF!</definedName>
    <definedName name="PAGE6">#REF!</definedName>
    <definedName name="PAGE7">#REF!</definedName>
    <definedName name="PAGE8">#REF!</definedName>
    <definedName name="PAGE9">#REF!</definedName>
    <definedName name="Paint">#REF!</definedName>
    <definedName name="Pal_Workbook_GUID" hidden="1">"8HCIDT26H4PQ5VYPC7FKU7HT"</definedName>
    <definedName name="part1">#REF!</definedName>
    <definedName name="part10">#REF!</definedName>
    <definedName name="part2">#REF!</definedName>
    <definedName name="part7">#REF!</definedName>
    <definedName name="part8">#REF!</definedName>
    <definedName name="part9">#REF!</definedName>
    <definedName name="partner">#REF!</definedName>
    <definedName name="PavementMarking">#REF!</definedName>
    <definedName name="PaymentType">#REF!</definedName>
    <definedName name="Paymenttype2">#REF!</definedName>
    <definedName name="PCforecastfinal">#REF!</definedName>
    <definedName name="PCT">#REF!</definedName>
    <definedName name="Pcurry">#REF!</definedName>
    <definedName name="pdvol">#REF!</definedName>
    <definedName name="perbox">#REF!</definedName>
    <definedName name="periimported">#REF!</definedName>
    <definedName name="Pfrom">#REF!</definedName>
    <definedName name="PGLabt">#REF!</definedName>
    <definedName name="Phone">#REF!</definedName>
    <definedName name="pier2">#REF!</definedName>
    <definedName name="pierpiles">#REF!</definedName>
    <definedName name="piervol1">#REF!</definedName>
    <definedName name="piervol2">#REF!</definedName>
    <definedName name="piledia1">#REF!</definedName>
    <definedName name="piledia2">#REF!</definedName>
    <definedName name="piledia3">#REF!</definedName>
    <definedName name="Piles">#REF!</definedName>
    <definedName name="Piletipele">#REF!</definedName>
    <definedName name="Pipe">#REF!</definedName>
    <definedName name="PipeCulverts">#REF!</definedName>
    <definedName name="PipeData">#REF!</definedName>
    <definedName name="PipeDate1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key">#REF!</definedName>
    <definedName name="pkml" hidden="1">{#N/A,#N/A,TRUE,"Cover";#N/A,#N/A,TRUE,"Conts";#N/A,#N/A,TRUE,"VOS";#N/A,#N/A,TRUE,"Warrington";#N/A,#N/A,TRUE,"Widnes"}</definedName>
    <definedName name="PLAIN">#REF!</definedName>
    <definedName name="PLANBARPROG">#REF!</definedName>
    <definedName name="plaster1">#REF!</definedName>
    <definedName name="plaster2">#REF!</definedName>
    <definedName name="PO">#REF!</definedName>
    <definedName name="pojboijioljn" hidden="1">{#N/A,#N/A,TRUE,"Cover";#N/A,#N/A,TRUE,"Conts";#N/A,#N/A,TRUE,"VOS";#N/A,#N/A,TRUE,"Warrington";#N/A,#N/A,TRUE,"Widnes"}</definedName>
    <definedName name="pow">#REF!</definedName>
    <definedName name="ppok" hidden="1">{#N/A,#N/A,TRUE,"Cover";#N/A,#N/A,TRUE,"Conts";#N/A,#N/A,TRUE,"VOS";#N/A,#N/A,TRUE,"Warrington";#N/A,#N/A,TRUE,"Widnes"}</definedName>
    <definedName name="Prefix">#REF!</definedName>
    <definedName name="PriceBasis">#REF!</definedName>
    <definedName name="PriceCode">#REF!</definedName>
    <definedName name="PrimeCoat">#REF!</definedName>
    <definedName name="PRINT">#REF!</definedName>
    <definedName name="_xlnm.Print_Area" localSheetId="0">Budget!$A$1:$AY$66</definedName>
    <definedName name="_xlnm.Print_Area" localSheetId="2">'Local consultant_Summary'!$A$1:$W$66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Range0">SetPrintRange("Trial Balance","F",2,"M")</definedName>
    <definedName name="PrintRange1">SetPrintRange("Chart of Accounts","F",2,"J")</definedName>
    <definedName name="PrintRange10">SetPrintRange("Account Balances","F",2,"J")</definedName>
    <definedName name="PrintRange2">SetPrintRange("Account Balances","F",2,"J")</definedName>
    <definedName name="PrintRange6">SetPrintRange("Debtors Inquiry","F",2,"L")</definedName>
    <definedName name="PrintRange8">SetPrintRange("P&amp;L Forecast","F",2,"T")</definedName>
    <definedName name="PrintRange9">SetPrintRange("Trial Balance","F",2,"M")</definedName>
    <definedName name="PrintRangea">SetPrintRange("P&amp;L Forecast","F",2,"T")</definedName>
    <definedName name="Prj_Ttl">#REF!</definedName>
    <definedName name="ProdForm" hidden="1">#REF!</definedName>
    <definedName name="Product" hidden="1">#REF!</definedName>
    <definedName name="ProductName">#REF!</definedName>
    <definedName name="PROG">#REF!</definedName>
    <definedName name="PROG1">#REF!</definedName>
    <definedName name="progress">#REF!</definedName>
    <definedName name="projcum">#REF!</definedName>
    <definedName name="projcum1">OFFSET(#REF!,0,0,COUNTA(#REF!),1)</definedName>
    <definedName name="ProjDay">#REF!</definedName>
    <definedName name="project">#REF!</definedName>
    <definedName name="Project_Start_Date">#REF!</definedName>
    <definedName name="ProjMonth">#REF!</definedName>
    <definedName name="projmonthly">#REF!</definedName>
    <definedName name="projmonthly1">OFFSET(#REF!,0,0,COUNTA(#REF!),1)</definedName>
    <definedName name="projmonthmax">OFFSET(#REF!,0,0,MATCH(#REF!,#REF!,0),1)</definedName>
    <definedName name="ProjYear">#REF!</definedName>
    <definedName name="Proname">#REF!</definedName>
    <definedName name="Property_Name">#REF!</definedName>
    <definedName name="PropStat">#REF!</definedName>
    <definedName name="provadd">#REF!</definedName>
    <definedName name="Provforecastfinal">#REF!</definedName>
    <definedName name="provomit">#REF!</definedName>
    <definedName name="PS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to">#REF!</definedName>
    <definedName name="puy" hidden="1">{#N/A,#N/A,TRUE,"Cover";#N/A,#N/A,TRUE,"Conts";#N/A,#N/A,TRUE,"VOS";#N/A,#N/A,TRUE,"Warrington";#N/A,#N/A,TRUE,"Widnes"}</definedName>
    <definedName name="PVatTotIRR">#REF!</definedName>
    <definedName name="Q">#REF!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R.">#REF!</definedName>
    <definedName name="qrt" hidden="1">{#N/A,#N/A,TRUE,"Cover";#N/A,#N/A,TRUE,"Conts";#N/A,#N/A,TRUE,"VOS";#N/A,#N/A,TRUE,"Warrington";#N/A,#N/A,TRUE,"Widnes"}</definedName>
    <definedName name="QT">#REF!</definedName>
    <definedName name="qttyry" hidden="1">{#N/A,#N/A,TRUE,"Cover";#N/A,#N/A,TRUE,"Conts";#N/A,#N/A,TRUE,"VOS";#N/A,#N/A,TRUE,"Warrington";#N/A,#N/A,TRUE,"Widnes"}</definedName>
    <definedName name="Qty.">#REF!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w">#REF!</definedName>
    <definedName name="QWE">#REF!</definedName>
    <definedName name="RA">#REF!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j">#REF!</definedName>
    <definedName name="RAJESH">#REF!</definedName>
    <definedName name="Raman">#REF!</definedName>
    <definedName name="RANGE">#REF!</definedName>
    <definedName name="RAPS">#REF!</definedName>
    <definedName name="rasgg" hidden="1">{#N/A,#N/A,TRUE,"Cover";#N/A,#N/A,TRUE,"Conts";#N/A,#N/A,TRUE,"VOS";#N/A,#N/A,TRUE,"Warrington";#N/A,#N/A,TRUE,"Widnes"}</definedName>
    <definedName name="Rate">#REF!</definedName>
    <definedName name="RC_">#REF!</definedName>
    <definedName name="RCArea" hidden="1">#REF!</definedName>
    <definedName name="RCD">#REF!</definedName>
    <definedName name="RCS">#REF!</definedName>
    <definedName name="rdegsegrg" hidden="1">{#N/A,#N/A,TRUE,"Cover";#N/A,#N/A,TRUE,"Conts";#N/A,#N/A,TRUE,"VOS";#N/A,#N/A,TRUE,"Warrington";#N/A,#N/A,TRUE,"Widnes"}</definedName>
    <definedName name="rebar">#REF!</definedName>
    <definedName name="rebar1">#REF!</definedName>
    <definedName name="rebar2">#REF!</definedName>
    <definedName name="recaptfdp">#REF!</definedName>
    <definedName name="_xlnm.Recorder">#REF!</definedName>
    <definedName name="ReinforcementSteel">#REF!</definedName>
    <definedName name="RepData">#REF!</definedName>
    <definedName name="report">#REF!</definedName>
    <definedName name="reportno">#REF!</definedName>
    <definedName name="reporttype">#REF!</definedName>
    <definedName name="Req">#REF!</definedName>
    <definedName name="requi">#REF!</definedName>
    <definedName name="rer" hidden="1">{#N/A,#N/A,TRUE,"Cover";#N/A,#N/A,TRUE,"Conts";#N/A,#N/A,TRUE,"VOS";#N/A,#N/A,TRUE,"Warrington";#N/A,#N/A,TRUE,"Widnes"}</definedName>
    <definedName name="Retention_percentage1">#REF!</definedName>
    <definedName name="Retention_period1">#REF!</definedName>
    <definedName name="Rev">#REF!</definedName>
    <definedName name="Revision">#REF!</definedName>
    <definedName name="RF">#REF!</definedName>
    <definedName name="RFcover">#REF!</definedName>
    <definedName name="RFstructure">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sk">0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6144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Y">#REF!</definedName>
    <definedName name="RL">#REF!</definedName>
    <definedName name="RLPS">#REF!</definedName>
    <definedName name="RMHIST">#REF!</definedName>
    <definedName name="RMSUM">#REF!</definedName>
    <definedName name="Roads">#REF!</definedName>
    <definedName name="Roof_Area">#REF!</definedName>
    <definedName name="Roof_Peri">#REF!</definedName>
    <definedName name="Roof_Water_proofing">#REF!</definedName>
    <definedName name="Roofstructure">#REF!</definedName>
    <definedName name="Rooms">#REF!</definedName>
    <definedName name="rr" hidden="1">{#N/A,#N/A,TRUE,"Cover";#N/A,#N/A,TRUE,"Conts";#N/A,#N/A,TRUE,"VOS";#N/A,#N/A,TRUE,"Warrington";#N/A,#N/A,TRUE,"Widnes"}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T">#REF!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">#REF!</definedName>
    <definedName name="Salaries">#N/A</definedName>
    <definedName name="sals">#N/A</definedName>
    <definedName name="sam" hidden="1">{"'Break down'!$A$4"}</definedName>
    <definedName name="sample">#REF!</definedName>
    <definedName name="SAPBEXdnldView" hidden="1">"BVIXNBSJWNF4VBQUKMHFUBDCW"</definedName>
    <definedName name="SAPBEXsysID" hidden="1">"B3P"</definedName>
    <definedName name="SAR">#REF!</definedName>
    <definedName name="sarea1">#REF!</definedName>
    <definedName name="sbu">#REF!</definedName>
    <definedName name="Scaffolding" hidden="1">{"'Break down'!$A$4"}</definedName>
    <definedName name="SCH">#REF!</definedName>
    <definedName name="Scurry">#REF!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a">#REF!</definedName>
    <definedName name="SECT">#REF!</definedName>
    <definedName name="SECTP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k">#REF!</definedName>
    <definedName name="SEP">#REF!</definedName>
    <definedName name="SepRRFinal">#REF!</definedName>
    <definedName name="Serv">#REF!</definedName>
    <definedName name="setdydy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fr">#REF!</definedName>
    <definedName name="SFSAF">#REF!</definedName>
    <definedName name="S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ading">#REF!</definedName>
    <definedName name="sheet" hidden="1">{#N/A,#N/A,TRUE,"Cover";#N/A,#N/A,TRUE,"Conts";#N/A,#N/A,TRUE,"VOS";#N/A,#N/A,TRUE,"Warrington";#N/A,#N/A,TRUE,"Widnes"}</definedName>
    <definedName name="SHHHSHHS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HSH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HORE">#REF!</definedName>
    <definedName name="SHORE_LU">#REF!</definedName>
    <definedName name="SHOREB">#REF!</definedName>
    <definedName name="SHOREC">#REF!</definedName>
    <definedName name="ShoreCode">#REF!</definedName>
    <definedName name="SHOREE">#REF!</definedName>
    <definedName name="SHOREI">#REF!</definedName>
    <definedName name="SHOREN">#REF!</definedName>
    <definedName name="shorep">#REF!</definedName>
    <definedName name="SHORER">#REF!</definedName>
    <definedName name="SHORES">#REF!</definedName>
    <definedName name="SHORET">#REF!</definedName>
    <definedName name="SHOREV">#REF!</definedName>
    <definedName name="ShoulderEmb.">#REF!</definedName>
    <definedName name="ShoulderSubbase">#REF!</definedName>
    <definedName name="shshgtr" hidden="1">{#N/A,#N/A,TRUE,"Cover";#N/A,#N/A,TRUE,"Conts";#N/A,#N/A,TRUE,"VOS";#N/A,#N/A,TRUE,"Warrington";#N/A,#N/A,TRUE,"Widnes"}</definedName>
    <definedName name="SHSH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HSHSHS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ideFW_Ang.Connection">#REF!</definedName>
    <definedName name="SideFW_V_Connection">#REF!</definedName>
    <definedName name="sidewalk">#REF!</definedName>
    <definedName name="Signage">#REF!</definedName>
    <definedName name="SiteWork">#REF!</definedName>
    <definedName name="SiteWork1">#REF!</definedName>
    <definedName name="SIXYRS_OF_PROJ">#REF!</definedName>
    <definedName name="size">#REF!</definedName>
    <definedName name="Skew">#REF!</definedName>
    <definedName name="skey">#REF!</definedName>
    <definedName name="Slab_Area_2000">#REF!</definedName>
    <definedName name="Slab_Area_2500">#REF!</definedName>
    <definedName name="SlabArea">#REF!</definedName>
    <definedName name="soffitl">#REF!</definedName>
    <definedName name="SozlesmeRsYenParitesi">#REF!</definedName>
    <definedName name="SozlesmeYenUSDParitesi">#REF!</definedName>
    <definedName name="sp_active_document_name">"NewDocument"</definedName>
    <definedName name="sp_active_phase">1</definedName>
    <definedName name="sp_building_sfc">0</definedName>
    <definedName name="sp_building_sfc_ph_1">0</definedName>
    <definedName name="sp_existing_building_sfc">0</definedName>
    <definedName name="sp_existing_building_sfc_ph_1">0</definedName>
    <definedName name="sp_G_n_3">0</definedName>
    <definedName name="sp_G_n_3_ph_1">0</definedName>
    <definedName name="sp_G_n_3_units">0</definedName>
    <definedName name="sp_G_n_3_units_ph_1">0</definedName>
    <definedName name="sp_hotel">0</definedName>
    <definedName name="sp_hotel_ph_1">0</definedName>
    <definedName name="sp_hotel_units">0</definedName>
    <definedName name="sp_hotel_units_ph_1">0</definedName>
    <definedName name="sp_lakes_ponds_sfc">0</definedName>
    <definedName name="sp_lakes_ponds_sfc_ph_1">0</definedName>
    <definedName name="sp_multifamily">0</definedName>
    <definedName name="sp_multifamily_ph_1">0</definedName>
    <definedName name="sp_multifamily_units">0</definedName>
    <definedName name="sp_multifamily_units_ph_1">0</definedName>
    <definedName name="sp_office">0</definedName>
    <definedName name="sp_office_ph_1">0</definedName>
    <definedName name="sp_office_units">0</definedName>
    <definedName name="sp_office_units_ph_1">0</definedName>
    <definedName name="sp_open_space_sfc">0</definedName>
    <definedName name="sp_open_space_sfc_ph_1">0</definedName>
    <definedName name="sp_programdarkviolet">0</definedName>
    <definedName name="sp_programdarkviolet_ph_1">0</definedName>
    <definedName name="sp_programdarkviolet_units">0</definedName>
    <definedName name="sp_programdarkviolet_units_ph_1">0</definedName>
    <definedName name="sp_programlightblue">0</definedName>
    <definedName name="sp_programlightblue_ph_1">0</definedName>
    <definedName name="sp_programlightblue_units">0</definedName>
    <definedName name="sp_programlightblue_units_ph_1">0</definedName>
    <definedName name="sp_r_n_d">0</definedName>
    <definedName name="sp_r_n_d_ph_1">0</definedName>
    <definedName name="sp_r_n_d_units">0</definedName>
    <definedName name="sp_r_n_d_units_ph_1">0</definedName>
    <definedName name="sp_residential">0</definedName>
    <definedName name="sp_residential_lot_sfc">0</definedName>
    <definedName name="sp_residential_lot_sfc_ph_1">0</definedName>
    <definedName name="sp_residential_ph_1">0</definedName>
    <definedName name="sp_residential_units">0</definedName>
    <definedName name="sp_residential_units_ph_1">0</definedName>
    <definedName name="sp_retail">0</definedName>
    <definedName name="sp_retail_ph_1">0</definedName>
    <definedName name="sp_retail_units">0</definedName>
    <definedName name="sp_retail_units_ph_1">0</definedName>
    <definedName name="sp_single_family">0</definedName>
    <definedName name="sp_single_family_ph_1">0</definedName>
    <definedName name="sp_single_family_units">0</definedName>
    <definedName name="sp_single_family_units_ph_1">0</definedName>
    <definedName name="sp_site_sfc">0</definedName>
    <definedName name="sp_site_sfc_ph_1">0</definedName>
    <definedName name="sp_structured_parking">0</definedName>
    <definedName name="sp_structured_parking_ph_1">0</definedName>
    <definedName name="sp_structured_parking_sfc">0</definedName>
    <definedName name="sp_structured_parking_sfc_ph_1">0</definedName>
    <definedName name="sp_structured_parking_units">0</definedName>
    <definedName name="sp_structured_parking_units_ph_1">0</definedName>
    <definedName name="sp_surface_parking">0</definedName>
    <definedName name="sp_surface_parking_ph_1">0</definedName>
    <definedName name="sp_surface_parking_sfc">0</definedName>
    <definedName name="sp_surface_parking_sfc_ph_1">0</definedName>
    <definedName name="sp_surface_parking_units">0</definedName>
    <definedName name="sp_surface_parking_units_ph_1">0</definedName>
    <definedName name="sp_townhomes">0</definedName>
    <definedName name="sp_townhomes_ph_1">0</definedName>
    <definedName name="sp_townhomes_units">0</definedName>
    <definedName name="sp_townhomes_units_ph_1">0</definedName>
    <definedName name="sp_townhouses">0</definedName>
    <definedName name="sp_townhouses_ph_1">0</definedName>
    <definedName name="sp_townhouses_units">0</definedName>
    <definedName name="sp_townhouses_units_ph_1">0</definedName>
    <definedName name="sp_unassigned">0</definedName>
    <definedName name="sp_unassigned_ph_1">0</definedName>
    <definedName name="sp_unassigned_sfc">2121604.49310928</definedName>
    <definedName name="sp_unassigned_sfc_ph_1">2121604.49310928</definedName>
    <definedName name="sp_unassigned_units">0</definedName>
    <definedName name="sp_unassigned_units_ph_1">0</definedName>
    <definedName name="sp_Villas">0</definedName>
    <definedName name="sp_Villas_ph_1">0</definedName>
    <definedName name="sp_Villas_units">0</definedName>
    <definedName name="sp_Villas_units_ph_1">0</definedName>
    <definedName name="SpecialPrice" hidden="1">#REF!</definedName>
    <definedName name="SRC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>#REF!</definedName>
    <definedName name="sss" hidden="1">{#N/A,#N/A,TRUE,"Cover";#N/A,#N/A,TRUE,"Conts";#N/A,#N/A,TRUE,"VOS";#N/A,#N/A,TRUE,"Warrington";#N/A,#N/A,TRUE,"Widnes"}</definedName>
    <definedName name="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su">#REF!</definedName>
    <definedName name="Stairs">#REF!</definedName>
    <definedName name="Start_date1">#REF!</definedName>
    <definedName name="StartDate">#REF!</definedName>
    <definedName name="State">#REF!</definedName>
    <definedName name="STATUS">#REF!</definedName>
    <definedName name="steel">#REF!</definedName>
    <definedName name="steelbar">#REF!</definedName>
    <definedName name="stone1">#REF!</definedName>
    <definedName name="str">#REF!</definedName>
    <definedName name="stri1">#REF!</definedName>
    <definedName name="stri2">#REF!</definedName>
    <definedName name="stryt5u8h87" hidden="1">{#N/A,#N/A,TRUE,"Cover";#N/A,#N/A,TRUE,"Conts";#N/A,#N/A,TRUE,"VOS";#N/A,#N/A,TRUE,"Warrington";#N/A,#N/A,TRUE,"Widnes"}</definedName>
    <definedName name="Subbase">#REF!</definedName>
    <definedName name="SubjectProperty">#REF!</definedName>
    <definedName name="SubjectRooms">#REF!</definedName>
    <definedName name="SUM" hidden="1">{"'Sheet1 (2)'!$A$1:$C$61"}</definedName>
    <definedName name="SUMHEADER">#REF!</definedName>
    <definedName name="summary">#REF!</definedName>
    <definedName name="summaryhead">#REF!</definedName>
    <definedName name="Sunshade">#REF!</definedName>
    <definedName name="surarea2">#REF!</definedName>
    <definedName name="SVF">#REF!</definedName>
    <definedName name="SVF_FLOW">#REF!</definedName>
    <definedName name="SWF">#REF!</definedName>
    <definedName name="swsdfa" hidden="1">{#N/A,#N/A,TRUE,"Cover";#N/A,#N/A,TRUE,"Conts";#N/A,#N/A,TRUE,"VOS";#N/A,#N/A,TRUE,"Warrington";#N/A,#N/A,TRUE,"Widnes"}</definedName>
    <definedName name="sys_num">#REF!</definedName>
    <definedName name="syu" hidden="1">{#N/A,#N/A,TRUE,"Cover";#N/A,#N/A,TRUE,"Conts";#N/A,#N/A,TRUE,"VOS";#N/A,#N/A,TRUE,"Warrington";#N/A,#N/A,TRUE,"Widnes"}</definedName>
    <definedName name="T">#REF!</definedName>
    <definedName name="T_Avg_Rate">#REF!</definedName>
    <definedName name="T_Cost">#REF!</definedName>
    <definedName name="T_Funct">#REF!</definedName>
    <definedName name="T_N_Func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ableName">"Dummy"</definedName>
    <definedName name="tabtdp">#REF!</definedName>
    <definedName name="TackCoat">#REF!</definedName>
    <definedName name="TankData">#REF!</definedName>
    <definedName name="Target">#REF!</definedName>
    <definedName name="TaxInflation">#REF!</definedName>
    <definedName name="TaxRate">#REF!</definedName>
    <definedName name="tbarri">#REF!</definedName>
    <definedName name="Tbc">#REF!</definedName>
    <definedName name="tbl_ProdInfo" hidden="1">#REF!</definedName>
    <definedName name="tc">#REF!</definedName>
    <definedName name="tcant">#REF!</definedName>
    <definedName name="tcpdp">#REF!</definedName>
    <definedName name="temp" hidden="1">{"'Break down'!$A$4"}</definedName>
    <definedName name="term">#REF!</definedName>
    <definedName name="TerminalCap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ikwing">#REF!</definedName>
    <definedName name="thwghrt" hidden="1">{#N/A,#N/A,TRUE,"Cover";#N/A,#N/A,TRUE,"Conts";#N/A,#N/A,TRUE,"VOS";#N/A,#N/A,TRUE,"Warrington";#N/A,#N/A,TRUE,"Widnes"}</definedName>
    <definedName name="TITLE">#REF!</definedName>
    <definedName name="title1">#REF!</definedName>
    <definedName name="title2">#REF!</definedName>
    <definedName name="title3">#REF!</definedName>
    <definedName name="Tl">#REF!</definedName>
    <definedName name="tmp" hidden="1">{"'Break down'!$A$4"}</definedName>
    <definedName name="Top_T25_RF_factor">#REF!</definedName>
    <definedName name="toparea1">#REF!</definedName>
    <definedName name="TOTAL">#REF!</definedName>
    <definedName name="Total_Area">#REF!</definedName>
    <definedName name="total_de">#REF!</definedName>
    <definedName name="total_net_rent_for_cashflow">#REF!</definedName>
    <definedName name="total_pack">#REF!</definedName>
    <definedName name="TOTCB">#REF!</definedName>
    <definedName name="TOTCN">#REF!</definedName>
    <definedName name="TOTCS">#REF!</definedName>
    <definedName name="TOTCT">#REF!</definedName>
    <definedName name="TOTCV">#REF!</definedName>
    <definedName name="TotData">#REF!</definedName>
    <definedName name="TOTMC">#REF!</definedName>
    <definedName name="TOTME">#REF!</definedName>
    <definedName name="TOTMI">#REF!</definedName>
    <definedName name="TOTMM">#REF!</definedName>
    <definedName name="TOTMP">#REF!</definedName>
    <definedName name="TOTMR">#REF!</definedName>
    <definedName name="TOTMS">#REF!</definedName>
    <definedName name="TotVData">#REF!</definedName>
    <definedName name="Trac">#REF!</definedName>
    <definedName name="TrafficSings">#REF!</definedName>
    <definedName name="TransactionCosts">#REF!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jyfrjyf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SD">#REF!</definedName>
    <definedName name="tsidewlk">#REF!</definedName>
    <definedName name="TSS">#REF!</definedName>
    <definedName name="tt">#REF!</definedName>
    <definedName name="ttt">#REF!</definedName>
    <definedName name="ttttttt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rk">#REF!</definedName>
    <definedName name="tvtyiuoujl" hidden="1">{#N/A,#N/A,TRUE,"Cover";#N/A,#N/A,TRUE,"Conts";#N/A,#N/A,TRUE,"VOS";#N/A,#N/A,TRUE,"Warrington";#N/A,#N/A,TRUE,"Widnes"}</definedName>
    <definedName name="TW">#REF!</definedName>
    <definedName name="ty" hidden="1">{#N/A,#N/A,TRUE,"Cover";#N/A,#N/A,TRUE,"Conts";#N/A,#N/A,TRUE,"VOS";#N/A,#N/A,TRUE,"Warrington";#N/A,#N/A,TRUE,"Widnes"}</definedName>
    <definedName name="type2">#REF!</definedName>
    <definedName name="tyutri" hidden="1">{#N/A,#N/A,TRUE,"Cover";#N/A,#N/A,TRUE,"Conts";#N/A,#N/A,TRUE,"VOS";#N/A,#N/A,TRUE,"Warrington";#N/A,#N/A,TRUE,"Widnes"}</definedName>
    <definedName name="U">#REF!</definedName>
    <definedName name="ubaid" hidden="1">{#N/A,#N/A,FALSE,"VCR"}</definedName>
    <definedName name="Ubaide" hidden="1">{#N/A,#N/A,FALSE,"VCR"}</definedName>
    <definedName name="UF">#REF!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List">#REF!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nite">#REF!</definedName>
    <definedName name="uolougouio" hidden="1">{#N/A,#N/A,TRUE,"Cover";#N/A,#N/A,TRUE,"Conts";#N/A,#N/A,TRUE,"VOS";#N/A,#N/A,TRUE,"Warrington";#N/A,#N/A,TRUE,"Widnes"}</definedName>
    <definedName name="uppipeabt">#REF!</definedName>
    <definedName name="uppipebox">#REF!</definedName>
    <definedName name="USD">#REF!</definedName>
    <definedName name="USDRs">#REF!</definedName>
    <definedName name="USDYen">#REF!</definedName>
    <definedName name="USLE">#REF!</definedName>
    <definedName name="uy" hidden="1">{#N/A,#N/A,TRUE,"Cover";#N/A,#N/A,TRUE,"Conts";#N/A,#N/A,TRUE,"VOS";#N/A,#N/A,TRUE,"Warrington";#N/A,#N/A,TRUE,"Widnes"}</definedName>
    <definedName name="V">#REF!</definedName>
    <definedName name="V_waterproofing">#REF!</definedName>
    <definedName name="V_Waterproofing_Area">#REF!</definedName>
    <definedName name="Valesco">#REF!</definedName>
    <definedName name="valuevx">42.314159</definedName>
    <definedName name="Variations">#REF!</definedName>
    <definedName name="verpile">#REF!</definedName>
    <definedName name="Version">#REF!</definedName>
    <definedName name="vj" hidden="1">{#N/A,#N/A,TRUE,"Cover";#N/A,#N/A,TRUE,"Conts";#N/A,#N/A,TRUE,"VOS";#N/A,#N/A,TRUE,"Warrington";#N/A,#N/A,TRUE,"Widnes"}</definedName>
    <definedName name="volww">#REF!</definedName>
    <definedName name="VV">#REF!</definedName>
    <definedName name="vvv">6144</definedName>
    <definedName name="VVXsv">#REF!</definedName>
    <definedName name="VXZVZdvZ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terFeature">#REF!</definedName>
    <definedName name="waterproofing1">#REF!</definedName>
    <definedName name="waterproofing2">#REF!</definedName>
    <definedName name="waterproofing3">#REF!</definedName>
    <definedName name="Waterstops_Compartmantalization">#REF!</definedName>
    <definedName name="wawst" hidden="1">{#N/A,#N/A,TRUE,"Cover";#N/A,#N/A,TRUE,"Conts";#N/A,#N/A,TRUE,"VOS";#N/A,#N/A,TRUE,"Warrington";#N/A,#N/A,TRUE,"Widnes"}</definedName>
    <definedName name="we">#REF!</definedName>
    <definedName name="WearingCourse">#REF!</definedName>
    <definedName name="wegywegt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Services">#REF!</definedName>
    <definedName name="wetyrutu" hidden="1">{#N/A,#N/A,TRUE,"Cover";#N/A,#N/A,TRUE,"Conts";#N/A,#N/A,TRUE,"VOS";#N/A,#N/A,TRUE,"Warrington";#N/A,#N/A,TRUE,"Widnes"}</definedName>
    <definedName name="widabt">#REF!</definedName>
    <definedName name="Width">#REF!</definedName>
    <definedName name="Width_of_the_cell_Y_direction__m">#REF!</definedName>
    <definedName name="widwing">#REF!</definedName>
    <definedName name="Win_rate">#REF!</definedName>
    <definedName name="wmm">#REF!</definedName>
    <definedName name="Woodwork">#REF!</definedName>
    <definedName name="wqer" hidden="1">{#N/A,#N/A,TRUE,"Cover";#N/A,#N/A,TRUE,"Conts";#N/A,#N/A,TRUE,"VOS";#N/A,#N/A,TRUE,"Warrington";#N/A,#N/A,TRUE,"Widnes"}</definedName>
    <definedName name="wrk_area">#REF!</definedName>
    <definedName name="WRK1_AREA">#REF!</definedName>
    <definedName name="wrn.ALL." hidden="1">{#N/A,#N/A,FALSE,"Pro-forma claim";#N/A,#N/A,FALSE,"Summary sheet";#N/A,#N/A,FALSE,"SITE INSTRUCTIONS";#N/A,#N/A,FALSE,"DAY WORKS CIVILS";#N/A,#N/A,FALSE,"DAY WORKS STEEL"}</definedName>
    <definedName name="wrn.Chandana." hidden="1">{#N/A,#N/A,FALSE,"VCR"}</definedName>
    <definedName name="wrn.PRINT._.REPORT." hidden="1">{#N/A,#N/A,FALSE,"summary";#N/A,#N/A,FALSE,"preliminy";#N/A,#N/A,FALSE,"bill 3";#N/A,#N/A,FALSE,"bill 4"}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">#REF!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X">#REF!</definedName>
    <definedName name="xfs">#REF!</definedName>
    <definedName name="xls." hidden="1">{"'Break down'!$A$4"}</definedName>
    <definedName name="xvxc">#REF!</definedName>
    <definedName name="xx">#REF!</definedName>
    <definedName name="xxx">#REF!</definedName>
    <definedName name="xz">#REF!</definedName>
    <definedName name="Y">#REF!</definedName>
    <definedName name="year">#REF!</definedName>
    <definedName name="YearsToStabilizeFX">#REF!</definedName>
    <definedName name="YEN">#REF!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">#REF!</definedName>
    <definedName name="zaed" hidden="1">{#N/A,#N/A,TRUE,"Cover";#N/A,#N/A,TRUE,"Conts";#N/A,#N/A,TRUE,"VOS";#N/A,#N/A,TRUE,"Warrington";#N/A,#N/A,TRUE,"Widnes"}</definedName>
    <definedName name="ZAR">#REF!</definedName>
    <definedName name="ZBDZBDFB" hidden="1">{#N/A,#N/A,TRUE,"Cover";#N/A,#N/A,TRUE,"Conts";#N/A,#N/A,TRUE,"VOS";#N/A,#N/A,TRUE,"Warrington";#N/A,#N/A,TRUE,"Widnes"}</definedName>
    <definedName name="Zip">#REF!</definedName>
    <definedName name="ZXC">#REF!</definedName>
    <definedName name="zxdvzdv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" i="1" l="1"/>
  <c r="C73" i="3"/>
  <c r="AK42" i="1"/>
  <c r="E73" i="16"/>
  <c r="E72" i="16"/>
  <c r="C94" i="3"/>
  <c r="AJ6" i="1"/>
  <c r="AK43" i="1"/>
  <c r="AL43" i="1" s="1"/>
  <c r="E60" i="16"/>
  <c r="E21" i="16"/>
  <c r="E29" i="16"/>
  <c r="E38" i="16" s="1"/>
  <c r="I61" i="16"/>
  <c r="K61" i="16" s="1"/>
  <c r="M61" i="16" s="1"/>
  <c r="E61" i="16"/>
  <c r="C61" i="16"/>
  <c r="C60" i="16"/>
  <c r="I58" i="16"/>
  <c r="C58" i="16"/>
  <c r="G57" i="16"/>
  <c r="K57" i="16" s="1"/>
  <c r="M57" i="16" s="1"/>
  <c r="E57" i="16"/>
  <c r="C57" i="16"/>
  <c r="G56" i="16"/>
  <c r="C56" i="16"/>
  <c r="S55" i="16"/>
  <c r="G52" i="16"/>
  <c r="E50" i="16"/>
  <c r="I46" i="16"/>
  <c r="E44" i="16"/>
  <c r="M36" i="16"/>
  <c r="K36" i="16"/>
  <c r="I35" i="16"/>
  <c r="K35" i="16" s="1"/>
  <c r="M35" i="16" s="1"/>
  <c r="G35" i="16"/>
  <c r="K33" i="16"/>
  <c r="M33" i="16" s="1"/>
  <c r="I33" i="16"/>
  <c r="K32" i="16"/>
  <c r="M32" i="16" s="1"/>
  <c r="I32" i="16"/>
  <c r="I31" i="16"/>
  <c r="I38" i="16" s="1"/>
  <c r="T27" i="16"/>
  <c r="T52" i="16" s="1"/>
  <c r="I27" i="16"/>
  <c r="G27" i="16"/>
  <c r="K27" i="16" s="1"/>
  <c r="M27" i="16" s="1"/>
  <c r="T26" i="16"/>
  <c r="T51" i="16" s="1"/>
  <c r="K25" i="16"/>
  <c r="M25" i="16" s="1"/>
  <c r="I25" i="16"/>
  <c r="T25" i="16" s="1"/>
  <c r="T50" i="16" s="1"/>
  <c r="G25" i="16"/>
  <c r="I23" i="16"/>
  <c r="T22" i="16" s="1"/>
  <c r="T47" i="16" s="1"/>
  <c r="G23" i="16"/>
  <c r="K23" i="16" s="1"/>
  <c r="M23" i="16" s="1"/>
  <c r="I21" i="16"/>
  <c r="I29" i="16" s="1"/>
  <c r="G21" i="16"/>
  <c r="D13" i="16"/>
  <c r="G61" i="16" s="1"/>
  <c r="B67" i="3"/>
  <c r="L67" i="3" s="1"/>
  <c r="C74" i="3" l="1"/>
  <c r="K21" i="16"/>
  <c r="M21" i="16" s="1"/>
  <c r="T29" i="16"/>
  <c r="T54" i="16" s="1"/>
  <c r="T30" i="16"/>
  <c r="T55" i="16" s="1"/>
  <c r="K56" i="16"/>
  <c r="M56" i="16" s="1"/>
  <c r="T23" i="16"/>
  <c r="T48" i="16" s="1"/>
  <c r="E48" i="16"/>
  <c r="G50" i="16"/>
  <c r="K50" i="16" s="1"/>
  <c r="M50" i="16" s="1"/>
  <c r="I52" i="16"/>
  <c r="I56" i="16"/>
  <c r="G60" i="16"/>
  <c r="T28" i="16"/>
  <c r="G29" i="16"/>
  <c r="T24" i="16"/>
  <c r="T49" i="16" s="1"/>
  <c r="G48" i="16"/>
  <c r="K48" i="16" s="1"/>
  <c r="M48" i="16" s="1"/>
  <c r="I50" i="16"/>
  <c r="I60" i="16"/>
  <c r="K60" i="16" s="1"/>
  <c r="M60" i="16" s="1"/>
  <c r="E46" i="16"/>
  <c r="I48" i="16"/>
  <c r="I54" i="16" s="1"/>
  <c r="E58" i="16"/>
  <c r="G46" i="16"/>
  <c r="G58" i="16"/>
  <c r="K58" i="16" s="1"/>
  <c r="M58" i="16" s="1"/>
  <c r="K31" i="16"/>
  <c r="M31" i="16" s="1"/>
  <c r="E52" i="16"/>
  <c r="K52" i="16" s="1"/>
  <c r="M52" i="16" s="1"/>
  <c r="E56" i="16"/>
  <c r="I57" i="16"/>
  <c r="K29" i="16" l="1"/>
  <c r="M29" i="16" s="1"/>
  <c r="G38" i="16"/>
  <c r="K38" i="16" s="1"/>
  <c r="M38" i="16" s="1"/>
  <c r="I63" i="16"/>
  <c r="G54" i="16"/>
  <c r="K46" i="16"/>
  <c r="M46" i="16" s="1"/>
  <c r="T53" i="16"/>
  <c r="E54" i="16"/>
  <c r="E63" i="16" s="1"/>
  <c r="G63" i="16" l="1"/>
  <c r="K63" i="16" s="1"/>
  <c r="M63" i="16" s="1"/>
  <c r="K54" i="16"/>
  <c r="M54" i="16" s="1"/>
  <c r="AL50" i="1" l="1"/>
  <c r="AL32" i="1" s="1"/>
  <c r="H145" i="14"/>
  <c r="I145" i="14" s="1"/>
  <c r="H144" i="14"/>
  <c r="I144" i="14" s="1"/>
  <c r="H143" i="14"/>
  <c r="I143" i="14" s="1"/>
  <c r="H142" i="14"/>
  <c r="I142" i="14" s="1"/>
  <c r="H141" i="14"/>
  <c r="I141" i="14" s="1"/>
  <c r="H140" i="14"/>
  <c r="I140" i="14" s="1"/>
  <c r="H139" i="14"/>
  <c r="I139" i="14" s="1"/>
  <c r="H138" i="14"/>
  <c r="I138" i="14" s="1"/>
  <c r="H137" i="14"/>
  <c r="I137" i="14" s="1"/>
  <c r="H136" i="14"/>
  <c r="I136" i="14" s="1"/>
  <c r="H135" i="14"/>
  <c r="I135" i="14" s="1"/>
  <c r="H134" i="14"/>
  <c r="I134" i="14" s="1"/>
  <c r="H133" i="14"/>
  <c r="I133" i="14" s="1"/>
  <c r="H132" i="14"/>
  <c r="I132" i="14" s="1"/>
  <c r="H131" i="14"/>
  <c r="I131" i="14" s="1"/>
  <c r="H130" i="14"/>
  <c r="I130" i="14" s="1"/>
  <c r="H129" i="14"/>
  <c r="I129" i="14" s="1"/>
  <c r="H128" i="14"/>
  <c r="I128" i="14" s="1"/>
  <c r="H127" i="14"/>
  <c r="I127" i="14" s="1"/>
  <c r="H126" i="14"/>
  <c r="I126" i="14" s="1"/>
  <c r="H125" i="14"/>
  <c r="I125" i="14" s="1"/>
  <c r="H124" i="14"/>
  <c r="I124" i="14" s="1"/>
  <c r="H123" i="14"/>
  <c r="I123" i="14" s="1"/>
  <c r="H122" i="14"/>
  <c r="I122" i="14" s="1"/>
  <c r="H121" i="14"/>
  <c r="I121" i="14" s="1"/>
  <c r="H120" i="14"/>
  <c r="I120" i="14" s="1"/>
  <c r="H119" i="14"/>
  <c r="I119" i="14" s="1"/>
  <c r="H118" i="14"/>
  <c r="I118" i="14" s="1"/>
  <c r="H117" i="14"/>
  <c r="I117" i="14" s="1"/>
  <c r="H116" i="14"/>
  <c r="I116" i="14" s="1"/>
  <c r="H115" i="14"/>
  <c r="I115" i="14" s="1"/>
  <c r="H114" i="14"/>
  <c r="I114" i="14" s="1"/>
  <c r="H113" i="14"/>
  <c r="I113" i="14" s="1"/>
  <c r="H112" i="14"/>
  <c r="I112" i="14" s="1"/>
  <c r="H111" i="14"/>
  <c r="I111" i="14" s="1"/>
  <c r="H110" i="14"/>
  <c r="I110" i="14" s="1"/>
  <c r="H109" i="14"/>
  <c r="I109" i="14" s="1"/>
  <c r="H108" i="14"/>
  <c r="I108" i="14" s="1"/>
  <c r="H107" i="14"/>
  <c r="I107" i="14" s="1"/>
  <c r="H106" i="14"/>
  <c r="I106" i="14" s="1"/>
  <c r="H105" i="14"/>
  <c r="I105" i="14" s="1"/>
  <c r="H104" i="14"/>
  <c r="I104" i="14" s="1"/>
  <c r="H103" i="14"/>
  <c r="I103" i="14" s="1"/>
  <c r="H102" i="14"/>
  <c r="I102" i="14" s="1"/>
  <c r="H101" i="14"/>
  <c r="I101" i="14" s="1"/>
  <c r="H100" i="14"/>
  <c r="I100" i="14" s="1"/>
  <c r="H99" i="14"/>
  <c r="I99" i="14" s="1"/>
  <c r="H98" i="14"/>
  <c r="I98" i="14" s="1"/>
  <c r="H97" i="14"/>
  <c r="I97" i="14" s="1"/>
  <c r="H96" i="14"/>
  <c r="I96" i="14" s="1"/>
  <c r="H95" i="14"/>
  <c r="I95" i="14" s="1"/>
  <c r="H94" i="14"/>
  <c r="I94" i="14" s="1"/>
  <c r="H93" i="14"/>
  <c r="I93" i="14" s="1"/>
  <c r="H92" i="14"/>
  <c r="I92" i="14" s="1"/>
  <c r="H91" i="14"/>
  <c r="I91" i="14" s="1"/>
  <c r="H90" i="14"/>
  <c r="I90" i="14" s="1"/>
  <c r="H89" i="14"/>
  <c r="I89" i="14" s="1"/>
  <c r="H88" i="14"/>
  <c r="I88" i="14" s="1"/>
  <c r="H87" i="14"/>
  <c r="I87" i="14" s="1"/>
  <c r="H86" i="14"/>
  <c r="I86" i="14" s="1"/>
  <c r="H85" i="14"/>
  <c r="I85" i="14" s="1"/>
  <c r="H84" i="14"/>
  <c r="I84" i="14" s="1"/>
  <c r="H83" i="14"/>
  <c r="I83" i="14" s="1"/>
  <c r="H82" i="14"/>
  <c r="I82" i="14" s="1"/>
  <c r="H81" i="14"/>
  <c r="I81" i="14" s="1"/>
  <c r="H80" i="14"/>
  <c r="I80" i="14" s="1"/>
  <c r="H79" i="14"/>
  <c r="I79" i="14" s="1"/>
  <c r="H78" i="14"/>
  <c r="I78" i="14" s="1"/>
  <c r="H77" i="14"/>
  <c r="I77" i="14" s="1"/>
  <c r="H76" i="14"/>
  <c r="I76" i="14" s="1"/>
  <c r="H75" i="14"/>
  <c r="I75" i="14" s="1"/>
  <c r="H74" i="14"/>
  <c r="I74" i="14" s="1"/>
  <c r="H73" i="14"/>
  <c r="I73" i="14" s="1"/>
  <c r="H72" i="14"/>
  <c r="I72" i="14" s="1"/>
  <c r="H71" i="14"/>
  <c r="I71" i="14" s="1"/>
  <c r="H70" i="14"/>
  <c r="I70" i="14" s="1"/>
  <c r="H69" i="14"/>
  <c r="I69" i="14" s="1"/>
  <c r="H68" i="14"/>
  <c r="I68" i="14" s="1"/>
  <c r="H67" i="14"/>
  <c r="I67" i="14" s="1"/>
  <c r="H66" i="14"/>
  <c r="I66" i="14" s="1"/>
  <c r="H65" i="14"/>
  <c r="I65" i="14" s="1"/>
  <c r="H64" i="14"/>
  <c r="I64" i="14" s="1"/>
  <c r="H63" i="14"/>
  <c r="I63" i="14" s="1"/>
  <c r="H62" i="14"/>
  <c r="I62" i="14" s="1"/>
  <c r="H61" i="14"/>
  <c r="I61" i="14" s="1"/>
  <c r="H60" i="14"/>
  <c r="I60" i="14" s="1"/>
  <c r="H59" i="14"/>
  <c r="I59" i="14" s="1"/>
  <c r="H58" i="14"/>
  <c r="I58" i="14" s="1"/>
  <c r="H57" i="14"/>
  <c r="I57" i="14" s="1"/>
  <c r="H56" i="14"/>
  <c r="I56" i="14" s="1"/>
  <c r="H55" i="14"/>
  <c r="I55" i="14" s="1"/>
  <c r="H54" i="14"/>
  <c r="I54" i="14" s="1"/>
  <c r="H53" i="14"/>
  <c r="I53" i="14" s="1"/>
  <c r="H52" i="14"/>
  <c r="I52" i="14" s="1"/>
  <c r="H51" i="14"/>
  <c r="I51" i="14" s="1"/>
  <c r="H50" i="14"/>
  <c r="I50" i="14" s="1"/>
  <c r="H49" i="14"/>
  <c r="I49" i="14" s="1"/>
  <c r="H48" i="14"/>
  <c r="I48" i="14" s="1"/>
  <c r="H47" i="14"/>
  <c r="I47" i="14" s="1"/>
  <c r="H46" i="14"/>
  <c r="I46" i="14" s="1"/>
  <c r="H45" i="14"/>
  <c r="I45" i="14" s="1"/>
  <c r="H44" i="14"/>
  <c r="I44" i="14" s="1"/>
  <c r="H43" i="14"/>
  <c r="I43" i="14" s="1"/>
  <c r="H42" i="14"/>
  <c r="I42" i="14" s="1"/>
  <c r="H41" i="14"/>
  <c r="I41" i="14" s="1"/>
  <c r="H40" i="14"/>
  <c r="I40" i="14" s="1"/>
  <c r="H39" i="14"/>
  <c r="I39" i="14" s="1"/>
  <c r="H38" i="14"/>
  <c r="I38" i="14" s="1"/>
  <c r="H37" i="14"/>
  <c r="I37" i="14" s="1"/>
  <c r="H36" i="14"/>
  <c r="I36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H14" i="14"/>
  <c r="I14" i="14" s="1"/>
  <c r="H13" i="14"/>
  <c r="I13" i="14" s="1"/>
  <c r="H12" i="14"/>
  <c r="I12" i="14" s="1"/>
  <c r="H11" i="14"/>
  <c r="I11" i="14" s="1"/>
  <c r="H10" i="14"/>
  <c r="I10" i="14" s="1"/>
  <c r="H9" i="14"/>
  <c r="I9" i="14" s="1"/>
  <c r="AK11" i="1"/>
  <c r="C95" i="3" l="1"/>
  <c r="AK49" i="1"/>
  <c r="AK44" i="1"/>
  <c r="AL44" i="1" s="1"/>
  <c r="C91" i="3"/>
  <c r="AL49" i="1" l="1"/>
  <c r="AL30" i="1" s="1"/>
  <c r="AK30" i="1"/>
  <c r="AK32" i="1"/>
  <c r="D83" i="3"/>
  <c r="V67" i="3"/>
  <c r="D84" i="3"/>
  <c r="C67" i="3"/>
  <c r="C68" i="3" s="1"/>
  <c r="C71" i="3" s="1"/>
  <c r="C75" i="3"/>
  <c r="C76" i="3" s="1"/>
  <c r="C92" i="3" s="1"/>
  <c r="AK40" i="1" s="1"/>
  <c r="C103" i="3"/>
  <c r="D85" i="3"/>
  <c r="AK45" i="1" s="1"/>
  <c r="D86" i="3"/>
  <c r="D100" i="3"/>
  <c r="AL40" i="1" l="1"/>
  <c r="AK41" i="1"/>
  <c r="AL41" i="1" s="1"/>
  <c r="AL18" i="1" s="1"/>
  <c r="E92" i="3"/>
  <c r="C107" i="3"/>
  <c r="C104" i="3"/>
  <c r="C108" i="3" s="1"/>
  <c r="AR41" i="1"/>
  <c r="AQ22" i="1"/>
  <c r="AQ21" i="1"/>
  <c r="AQ20" i="1"/>
  <c r="AQ18" i="1"/>
  <c r="AN22" i="1"/>
  <c r="AN21" i="1"/>
  <c r="AN20" i="1"/>
  <c r="AN18" i="1"/>
  <c r="AR44" i="1"/>
  <c r="AR45" i="1"/>
  <c r="N100" i="3"/>
  <c r="N101" i="3" s="1"/>
  <c r="AK18" i="1" l="1"/>
  <c r="AL51" i="1"/>
  <c r="AK27" i="1"/>
  <c r="AK21" i="1"/>
  <c r="AR40" i="1"/>
  <c r="AS41" i="1"/>
  <c r="AL27" i="1" l="1"/>
  <c r="AL45" i="1"/>
  <c r="AS40" i="1"/>
  <c r="AS17" i="1" s="1"/>
  <c r="D67" i="3"/>
  <c r="D68" i="3" s="1"/>
  <c r="Y67" i="3" l="1"/>
  <c r="J67" i="3"/>
  <c r="X67" i="3"/>
  <c r="I67" i="3"/>
  <c r="G67" i="3"/>
  <c r="AA67" i="3"/>
  <c r="O67" i="3"/>
  <c r="S67" i="3"/>
  <c r="H67" i="3"/>
  <c r="Z67" i="3"/>
  <c r="K67" i="3"/>
  <c r="W67" i="3"/>
  <c r="N67" i="3"/>
  <c r="F67" i="3"/>
  <c r="M67" i="3"/>
  <c r="E67" i="3"/>
  <c r="T67" i="3"/>
  <c r="AR22" i="1"/>
  <c r="AR21" i="1"/>
  <c r="AR18" i="1"/>
  <c r="AR17" i="1"/>
  <c r="AS45" i="1"/>
  <c r="AS44" i="1"/>
  <c r="E96" i="3" l="1"/>
  <c r="AO45" i="1" s="1"/>
  <c r="E91" i="3" l="1"/>
  <c r="AO41" i="1"/>
  <c r="E95" i="3"/>
  <c r="AO44" i="1" s="1"/>
  <c r="AY20" i="1"/>
  <c r="AX20" i="1"/>
  <c r="Z86" i="3"/>
  <c r="Z87" i="3" s="1"/>
  <c r="AO40" i="1" l="1"/>
  <c r="E97" i="3"/>
  <c r="AB89" i="3"/>
  <c r="AB90" i="3" s="1"/>
  <c r="AP41" i="1" l="1"/>
  <c r="AP44" i="1"/>
  <c r="AP45" i="1"/>
  <c r="AP40" i="1"/>
  <c r="AP17" i="1" s="1"/>
  <c r="AS50" i="1" l="1"/>
  <c r="AP50" i="1"/>
  <c r="BJ2" i="1"/>
  <c r="AP49" i="1" l="1"/>
  <c r="AP30" i="1" s="1"/>
  <c r="AV20" i="1" l="1"/>
  <c r="AU20" i="1"/>
  <c r="AO20" i="1"/>
  <c r="AS20" i="1"/>
  <c r="AR20" i="1"/>
  <c r="AP20" i="1"/>
  <c r="AO50" i="1"/>
  <c r="AR50" i="1" s="1"/>
  <c r="E68" i="3"/>
  <c r="F68" i="3"/>
  <c r="F71" i="3" s="1"/>
  <c r="G68" i="3"/>
  <c r="G71" i="3" s="1"/>
  <c r="H68" i="3"/>
  <c r="H71" i="3" s="1"/>
  <c r="I68" i="3"/>
  <c r="I71" i="3" s="1"/>
  <c r="J68" i="3"/>
  <c r="K68" i="3"/>
  <c r="L68" i="3"/>
  <c r="L71" i="3" s="1"/>
  <c r="C93" i="3" s="1"/>
  <c r="M68" i="3"/>
  <c r="M71" i="3" s="1"/>
  <c r="N68" i="3"/>
  <c r="N71" i="3" s="1"/>
  <c r="O68" i="3"/>
  <c r="O71" i="3" s="1"/>
  <c r="P71" i="3"/>
  <c r="R71" i="3"/>
  <c r="T68" i="3"/>
  <c r="T71" i="3" s="1"/>
  <c r="V68" i="3"/>
  <c r="V71" i="3" s="1"/>
  <c r="X68" i="3"/>
  <c r="X71" i="3" s="1"/>
  <c r="Y68" i="3"/>
  <c r="Y71" i="3" s="1"/>
  <c r="Z68" i="3"/>
  <c r="AA68" i="3"/>
  <c r="AA10" i="1"/>
  <c r="AB10" i="1" s="1"/>
  <c r="AL42" i="1" l="1"/>
  <c r="A80" i="3"/>
  <c r="U71" i="3"/>
  <c r="J71" i="3"/>
  <c r="AA71" i="3"/>
  <c r="J69" i="3"/>
  <c r="Z69" i="3"/>
  <c r="Z70" i="3" s="1"/>
  <c r="Z71" i="3"/>
  <c r="D71" i="3"/>
  <c r="E71" i="3"/>
  <c r="K71" i="3"/>
  <c r="Q71" i="3"/>
  <c r="Q72" i="3" s="1"/>
  <c r="AO49" i="1"/>
  <c r="AS49" i="1"/>
  <c r="AS30" i="1" s="1"/>
  <c r="AP32" i="1"/>
  <c r="AR32" i="1"/>
  <c r="AU50" i="1"/>
  <c r="AO32" i="1"/>
  <c r="AE40" i="1"/>
  <c r="AE41" i="1"/>
  <c r="AE44" i="1"/>
  <c r="AE45" i="1"/>
  <c r="AH45" i="1"/>
  <c r="AI45" i="1"/>
  <c r="AE49" i="1"/>
  <c r="AE50" i="1"/>
  <c r="AH10" i="1"/>
  <c r="AI10" i="1" s="1"/>
  <c r="AG10" i="1"/>
  <c r="AI9" i="1"/>
  <c r="AG9" i="1"/>
  <c r="AR49" i="1" l="1"/>
  <c r="AO30" i="1"/>
  <c r="AU32" i="1"/>
  <c r="AX50" i="1"/>
  <c r="AX32" i="1" s="1"/>
  <c r="AV44" i="1"/>
  <c r="AU44" i="1"/>
  <c r="AX41" i="1"/>
  <c r="AV49" i="1"/>
  <c r="AS32" i="1"/>
  <c r="AV50" i="1"/>
  <c r="AB44" i="1"/>
  <c r="AI44" i="1" s="1"/>
  <c r="AA44" i="1"/>
  <c r="AH44" i="1" s="1"/>
  <c r="AB9" i="1"/>
  <c r="Z9" i="1"/>
  <c r="AU41" i="1" l="1"/>
  <c r="AU18" i="1" s="1"/>
  <c r="AV30" i="1"/>
  <c r="AY49" i="1"/>
  <c r="AY30" i="1" s="1"/>
  <c r="AV32" i="1"/>
  <c r="AY50" i="1"/>
  <c r="AY32" i="1" s="1"/>
  <c r="AU49" i="1"/>
  <c r="AR30" i="1"/>
  <c r="AY41" i="1"/>
  <c r="AY18" i="1" s="1"/>
  <c r="AV45" i="1"/>
  <c r="AV22" i="1" s="1"/>
  <c r="AY45" i="1"/>
  <c r="AY22" i="1" s="1"/>
  <c r="AX44" i="1"/>
  <c r="AX21" i="1" s="1"/>
  <c r="AO18" i="1"/>
  <c r="AX45" i="1"/>
  <c r="AX22" i="1" s="1"/>
  <c r="AU45" i="1"/>
  <c r="AU22" i="1" s="1"/>
  <c r="AO22" i="1"/>
  <c r="AU21" i="1"/>
  <c r="AO21" i="1"/>
  <c r="AV21" i="1"/>
  <c r="AP21" i="1"/>
  <c r="Z21" i="1"/>
  <c r="AG21" i="1" s="1"/>
  <c r="Z30" i="1"/>
  <c r="Z49" i="1" s="1"/>
  <c r="Z32" i="1"/>
  <c r="AG32" i="1" s="1"/>
  <c r="AS22" i="1"/>
  <c r="AP22" i="1"/>
  <c r="AS18" i="1"/>
  <c r="AP18" i="1"/>
  <c r="AV41" i="1" l="1"/>
  <c r="AV18" i="1" s="1"/>
  <c r="AV17" i="1" s="1"/>
  <c r="C97" i="3"/>
  <c r="AU30" i="1"/>
  <c r="AX49" i="1"/>
  <c r="AX30" i="1" s="1"/>
  <c r="AU40" i="1"/>
  <c r="AU46" i="1" s="1"/>
  <c r="AS21" i="1"/>
  <c r="AY44" i="1"/>
  <c r="AY21" i="1" s="1"/>
  <c r="AY17" i="1" s="1"/>
  <c r="AX40" i="1"/>
  <c r="AX46" i="1" s="1"/>
  <c r="AX18" i="1"/>
  <c r="AX17" i="1" s="1"/>
  <c r="AX23" i="1" s="1"/>
  <c r="AU17" i="1"/>
  <c r="AU23" i="1" s="1"/>
  <c r="AO17" i="1"/>
  <c r="AO23" i="1" s="1"/>
  <c r="AO46" i="1"/>
  <c r="AR46" i="1"/>
  <c r="Y21" i="1"/>
  <c r="AF21" i="1" s="1"/>
  <c r="AG30" i="1"/>
  <c r="Y32" i="1"/>
  <c r="AF32" i="1" s="1"/>
  <c r="Y30" i="1"/>
  <c r="AF30" i="1" s="1"/>
  <c r="AR23" i="1"/>
  <c r="AB49" i="1"/>
  <c r="AG49" i="1"/>
  <c r="Y20" i="1"/>
  <c r="AF20" i="1" s="1"/>
  <c r="AV40" i="1" l="1"/>
  <c r="AV46" i="1" s="1"/>
  <c r="AY40" i="1"/>
  <c r="AY46" i="1" s="1"/>
  <c r="Y49" i="1"/>
  <c r="AA49" i="1" s="1"/>
  <c r="AX35" i="1"/>
  <c r="AU35" i="1"/>
  <c r="AR35" i="1"/>
  <c r="AR24" i="1"/>
  <c r="AO35" i="1"/>
  <c r="AO24" i="1"/>
  <c r="AS23" i="1"/>
  <c r="AS35" i="1" s="1"/>
  <c r="AY23" i="1"/>
  <c r="AY35" i="1" s="1"/>
  <c r="AV23" i="1"/>
  <c r="AV35" i="1" s="1"/>
  <c r="Z17" i="1"/>
  <c r="AG17" i="1" s="1"/>
  <c r="Y17" i="1"/>
  <c r="Y40" i="1" s="1"/>
  <c r="AF40" i="1" s="1"/>
  <c r="AP23" i="1"/>
  <c r="AP35" i="1" s="1"/>
  <c r="AP46" i="1"/>
  <c r="AS46" i="1"/>
  <c r="AA20" i="1"/>
  <c r="AH20" i="1" s="1"/>
  <c r="AB30" i="1"/>
  <c r="AI30" i="1" s="1"/>
  <c r="AI49" i="1"/>
  <c r="AF49" i="1" l="1"/>
  <c r="AF17" i="1"/>
  <c r="Z20" i="1"/>
  <c r="AG20" i="1" s="1"/>
  <c r="AA30" i="1"/>
  <c r="AH30" i="1" s="1"/>
  <c r="AH49" i="1"/>
  <c r="AB20" i="1" l="1"/>
  <c r="AI20" i="1" s="1"/>
  <c r="Z10" i="1" l="1"/>
  <c r="Y44" i="1"/>
  <c r="AF44" i="1" s="1"/>
  <c r="Y50" i="1"/>
  <c r="X32" i="1"/>
  <c r="AE32" i="1" s="1"/>
  <c r="X22" i="1"/>
  <c r="X18" i="1"/>
  <c r="AE18" i="1" s="1"/>
  <c r="X21" i="1"/>
  <c r="AE21" i="1" s="1"/>
  <c r="X17" i="1"/>
  <c r="AE17" i="1" s="1"/>
  <c r="W21" i="1"/>
  <c r="W22" i="1"/>
  <c r="W32" i="1" l="1"/>
  <c r="W50" i="1" s="1"/>
  <c r="AD50" i="1" s="1"/>
  <c r="W45" i="1"/>
  <c r="AD45" i="1" s="1"/>
  <c r="AF6" i="1" s="1"/>
  <c r="AG6" i="1" s="1"/>
  <c r="AD22" i="1"/>
  <c r="W44" i="1"/>
  <c r="AD44" i="1" s="1"/>
  <c r="AD21" i="1"/>
  <c r="X23" i="1"/>
  <c r="AE22" i="1"/>
  <c r="AE23" i="1" s="1"/>
  <c r="W18" i="1"/>
  <c r="AA50" i="1"/>
  <c r="AH50" i="1" s="1"/>
  <c r="AF50" i="1"/>
  <c r="AA21" i="1"/>
  <c r="AH21" i="1" s="1"/>
  <c r="AA22" i="1"/>
  <c r="AH22" i="1" s="1"/>
  <c r="Z44" i="1"/>
  <c r="AG44" i="1" s="1"/>
  <c r="Z50" i="1"/>
  <c r="Z40" i="1"/>
  <c r="W17" i="1"/>
  <c r="W40" i="1" s="1"/>
  <c r="AD40" i="1" s="1"/>
  <c r="Y6" i="1" l="1"/>
  <c r="Y22" i="1" s="1"/>
  <c r="AF22" i="1" s="1"/>
  <c r="AA32" i="1"/>
  <c r="AH32" i="1" s="1"/>
  <c r="AD32" i="1"/>
  <c r="W30" i="1"/>
  <c r="W49" i="1" s="1"/>
  <c r="AD49" i="1" s="1"/>
  <c r="AD18" i="1"/>
  <c r="W41" i="1"/>
  <c r="AD41" i="1" s="1"/>
  <c r="AD17" i="1"/>
  <c r="W23" i="1"/>
  <c r="AB50" i="1"/>
  <c r="AI50" i="1" s="1"/>
  <c r="AG50" i="1"/>
  <c r="AA40" i="1"/>
  <c r="AH40" i="1" s="1"/>
  <c r="AG40" i="1"/>
  <c r="AB22" i="1"/>
  <c r="AI22" i="1" s="1"/>
  <c r="AB21" i="1"/>
  <c r="AI21" i="1" s="1"/>
  <c r="Y45" i="1" l="1"/>
  <c r="AF45" i="1" s="1"/>
  <c r="Z6" i="1"/>
  <c r="Z18" i="1" s="1"/>
  <c r="AG18" i="1" s="1"/>
  <c r="Y18" i="1"/>
  <c r="Y23" i="1" s="1"/>
  <c r="Y35" i="1" s="1"/>
  <c r="W35" i="1"/>
  <c r="AD30" i="1"/>
  <c r="AB32" i="1"/>
  <c r="AI32" i="1" s="1"/>
  <c r="AD23" i="1"/>
  <c r="AB40" i="1"/>
  <c r="AI40" i="1" s="1"/>
  <c r="AA17" i="1"/>
  <c r="AH17" i="1" s="1"/>
  <c r="Z22" i="1" l="1"/>
  <c r="AG22" i="1" s="1"/>
  <c r="AG23" i="1" s="1"/>
  <c r="AG35" i="1" s="1"/>
  <c r="Z41" i="1"/>
  <c r="AG41" i="1" s="1"/>
  <c r="AD35" i="1"/>
  <c r="AF18" i="1"/>
  <c r="AF23" i="1" s="1"/>
  <c r="AF35" i="1" s="1"/>
  <c r="Y41" i="1"/>
  <c r="AF41" i="1" s="1"/>
  <c r="AB17" i="1"/>
  <c r="AI17" i="1" s="1"/>
  <c r="Z45" i="1" l="1"/>
  <c r="AG45" i="1" s="1"/>
  <c r="Z23" i="1"/>
  <c r="Z35" i="1" s="1"/>
  <c r="AB41" i="1"/>
  <c r="AI41" i="1" s="1"/>
  <c r="AA41" i="1"/>
  <c r="AH41" i="1" s="1"/>
  <c r="S40" i="1"/>
  <c r="V40" i="1" s="1"/>
  <c r="AB18" i="1" l="1"/>
  <c r="AA18" i="1"/>
  <c r="AA23" i="1" s="1"/>
  <c r="AA35" i="1" s="1"/>
  <c r="T40" i="1"/>
  <c r="T10" i="1"/>
  <c r="U9" i="1"/>
  <c r="U10" i="1"/>
  <c r="U17" i="1" s="1"/>
  <c r="H50" i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AI18" i="1" l="1"/>
  <c r="AI23" i="1" s="1"/>
  <c r="AI35" i="1" s="1"/>
  <c r="AB23" i="1"/>
  <c r="AB35" i="1" s="1"/>
  <c r="AH18" i="1"/>
  <c r="AH23" i="1" s="1"/>
  <c r="AH35" i="1" s="1"/>
  <c r="U21" i="1"/>
  <c r="U50" i="1"/>
  <c r="U32" i="1" s="1"/>
  <c r="S32" i="1"/>
  <c r="T50" i="1"/>
  <c r="T32" i="1" s="1"/>
  <c r="V50" i="1"/>
  <c r="V32" i="1" s="1"/>
  <c r="T17" i="1"/>
  <c r="R17" i="1"/>
  <c r="R18" i="1"/>
  <c r="R22" i="1"/>
  <c r="Q45" i="1"/>
  <c r="Q40" i="1"/>
  <c r="Q18" i="1"/>
  <c r="Q23" i="1" s="1"/>
  <c r="R23" i="1" l="1"/>
  <c r="O22" i="1"/>
  <c r="O45" i="1" s="1"/>
  <c r="S45" i="1" s="1"/>
  <c r="V45" i="1" l="1"/>
  <c r="V22" i="1" s="1"/>
  <c r="T45" i="1"/>
  <c r="T22" i="1" s="1"/>
  <c r="S22" i="1"/>
  <c r="M45" i="1"/>
  <c r="M10" i="1"/>
  <c r="N10" i="1" s="1"/>
  <c r="O9" i="1"/>
  <c r="P10" i="1"/>
  <c r="O30" i="1" l="1"/>
  <c r="P30" i="1" s="1"/>
  <c r="M22" i="1"/>
  <c r="G49" i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Q30" i="1"/>
  <c r="R30" i="1" s="1"/>
  <c r="N30" i="1"/>
  <c r="M30" i="1" s="1"/>
  <c r="P9" i="1"/>
  <c r="P18" i="1"/>
  <c r="P41" i="1" s="1"/>
  <c r="U49" i="1" l="1"/>
  <c r="U30" i="1" s="1"/>
  <c r="V49" i="1"/>
  <c r="V30" i="1" s="1"/>
  <c r="S30" i="1"/>
  <c r="T49" i="1"/>
  <c r="T30" i="1" s="1"/>
  <c r="U41" i="1"/>
  <c r="U18" i="1" s="1"/>
  <c r="N41" i="1"/>
  <c r="N18" i="1" s="1"/>
  <c r="K22" i="1"/>
  <c r="K21" i="1"/>
  <c r="K18" i="1"/>
  <c r="K17" i="1"/>
  <c r="K41" i="1" l="1"/>
  <c r="O18" i="1" s="1"/>
  <c r="O41" i="1" s="1"/>
  <c r="K44" i="1"/>
  <c r="K45" i="1"/>
  <c r="P22" i="1" s="1"/>
  <c r="P45" i="1" s="1"/>
  <c r="K40" i="1"/>
  <c r="K23" i="1"/>
  <c r="U45" i="1" l="1"/>
  <c r="U22" i="1" s="1"/>
  <c r="U23" i="1" s="1"/>
  <c r="N45" i="1"/>
  <c r="N22" i="1" s="1"/>
  <c r="S41" i="1"/>
  <c r="M41" i="1"/>
  <c r="M18" i="1" s="1"/>
  <c r="L44" i="1"/>
  <c r="P21" i="1" s="1"/>
  <c r="P44" i="1" s="1"/>
  <c r="O21" i="1"/>
  <c r="O44" i="1" s="1"/>
  <c r="J41" i="1"/>
  <c r="J44" i="1"/>
  <c r="J45" i="1"/>
  <c r="J40" i="1"/>
  <c r="J23" i="1"/>
  <c r="S44" i="1" l="1"/>
  <c r="M44" i="1"/>
  <c r="M21" i="1" s="1"/>
  <c r="V41" i="1"/>
  <c r="V18" i="1" s="1"/>
  <c r="T41" i="1"/>
  <c r="T18" i="1" s="1"/>
  <c r="S18" i="1"/>
  <c r="V44" i="1"/>
  <c r="V21" i="1" s="1"/>
  <c r="N44" i="1"/>
  <c r="N21" i="1" s="1"/>
  <c r="G41" i="1"/>
  <c r="G44" i="1"/>
  <c r="G45" i="1"/>
  <c r="G40" i="1"/>
  <c r="S21" i="1" l="1"/>
  <c r="T44" i="1"/>
  <c r="T21" i="1" s="1"/>
  <c r="T23" i="1" s="1"/>
  <c r="G23" i="1"/>
  <c r="I41" i="1" l="1"/>
  <c r="I44" i="1"/>
  <c r="I45" i="1"/>
  <c r="I40" i="1"/>
  <c r="I23" i="1"/>
  <c r="H30" i="1" l="1"/>
  <c r="H22" i="1"/>
  <c r="H45" i="1" s="1"/>
  <c r="H21" i="1"/>
  <c r="H44" i="1" s="1"/>
  <c r="H18" i="1"/>
  <c r="H41" i="1" s="1"/>
  <c r="H17" i="1"/>
  <c r="H40" i="1" l="1"/>
  <c r="O17" i="1" s="1"/>
  <c r="H23" i="1"/>
  <c r="P17" i="1" l="1"/>
  <c r="P23" i="1" s="1"/>
  <c r="O23" i="1"/>
  <c r="O40" i="1"/>
  <c r="S23" i="1" s="1"/>
  <c r="P40" i="1" l="1"/>
  <c r="V17" i="1" s="1"/>
  <c r="V23" i="1" s="1"/>
  <c r="N40" i="1"/>
  <c r="N17" i="1" s="1"/>
  <c r="N23" i="1" s="1"/>
  <c r="M40" i="1"/>
  <c r="M17" i="1" s="1"/>
  <c r="M23" i="1" s="1"/>
  <c r="X30" i="1"/>
  <c r="AE30" i="1" l="1"/>
  <c r="AE35" i="1" s="1"/>
  <c r="X35" i="1"/>
  <c r="AK46" i="1" l="1"/>
  <c r="AL21" i="1" l="1"/>
  <c r="AK23" i="1"/>
  <c r="AL46" i="1"/>
  <c r="AL23" i="1" l="1"/>
  <c r="AL35" i="1" s="1"/>
  <c r="AK25" i="1"/>
  <c r="AK35" i="1"/>
  <c r="AK24" i="1"/>
  <c r="AL24" i="1" l="1"/>
  <c r="AL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C116E60F-3BD1-4C17-B8C1-2D1A0BB92C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Call relevant FX rate from 2025 MMC Fixed FX Rate tab
</t>
        </r>
      </text>
    </comment>
    <comment ref="G32" authorId="0" shapeId="0" xr:uid="{4B9E7948-E21A-411E-AA72-7F4A27083ACD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33" authorId="0" shapeId="0" xr:uid="{81456791-18B8-466C-9C80-7E4BC7B450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Actual costs as tracked in MMC Tech PA</t>
        </r>
      </text>
    </comment>
  </commentList>
</comments>
</file>

<file path=xl/sharedStrings.xml><?xml version="1.0" encoding="utf-8"?>
<sst xmlns="http://schemas.openxmlformats.org/spreadsheetml/2006/main" count="940" uniqueCount="699">
  <si>
    <t>GBP Version</t>
  </si>
  <si>
    <t>USD Version</t>
  </si>
  <si>
    <t>Estimated AV Costs based on WH Rates:</t>
  </si>
  <si>
    <t>Key Data</t>
  </si>
  <si>
    <t>Heads</t>
  </si>
  <si>
    <t>Area (m²)</t>
  </si>
  <si>
    <t>Area (ft²)</t>
  </si>
  <si>
    <t>OW London Project</t>
  </si>
  <si>
    <t>Haywards Heath 2019</t>
  </si>
  <si>
    <t>Worcester 2020</t>
  </si>
  <si>
    <t>Cardiff 2021</t>
  </si>
  <si>
    <t>Milton Keynes 2021</t>
  </si>
  <si>
    <t>Tower Place 2021</t>
  </si>
  <si>
    <t>Low Cost London fit-out (Benchmarks)</t>
  </si>
  <si>
    <t>Sackville House 5 &amp; 6 
(TP Rates)</t>
  </si>
  <si>
    <t>Sackville house 5 &amp; 6 
(Low Cost)</t>
  </si>
  <si>
    <t>Tower Bridge House 
(TP Rates)</t>
  </si>
  <si>
    <t>Tower Bridge House 
(Low Cost)</t>
  </si>
  <si>
    <t xml:space="preserve">SBB 4th Floor 
(Half Floor) 
Short Term </t>
  </si>
  <si>
    <t>SBB 4th Floor 
(Half Floor) 
Long Term</t>
  </si>
  <si>
    <t>Renew in Baker Street</t>
  </si>
  <si>
    <t>Renew in Baker Street (1 Floor only)</t>
  </si>
  <si>
    <t>Renew in Baker Street (Light Touch)</t>
  </si>
  <si>
    <t>Relocation Option</t>
  </si>
  <si>
    <t>Norwich Willow House 
(from Financial Analysis)</t>
  </si>
  <si>
    <t>Norwich Willow House 
(MMC Rates)</t>
  </si>
  <si>
    <r>
      <t xml:space="preserve">Norwich Victoria House 
</t>
    </r>
    <r>
      <rPr>
        <b/>
        <u/>
        <sz val="11"/>
        <color theme="1"/>
        <rFont val="Calibri"/>
        <family val="2"/>
        <scheme val="minor"/>
      </rPr>
      <t xml:space="preserve">Bronze 
</t>
    </r>
    <r>
      <rPr>
        <b/>
        <sz val="11"/>
        <color theme="1"/>
        <rFont val="Calibri"/>
        <family val="2"/>
        <scheme val="minor"/>
      </rPr>
      <t>(From Financial Analysis)</t>
    </r>
  </si>
  <si>
    <r>
      <t xml:space="preserve">Norwich Victoria House
 </t>
    </r>
    <r>
      <rPr>
        <b/>
        <u/>
        <sz val="11"/>
        <color theme="1"/>
        <rFont val="Calibri"/>
        <family val="2"/>
        <scheme val="minor"/>
      </rPr>
      <t xml:space="preserve">Gold
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(From Financial Analysis)</t>
    </r>
  </si>
  <si>
    <r>
      <t xml:space="preserve">Norwich Victoria House </t>
    </r>
    <r>
      <rPr>
        <b/>
        <u/>
        <sz val="11"/>
        <color theme="1"/>
        <rFont val="Calibri"/>
        <family val="2"/>
        <scheme val="minor"/>
      </rPr>
      <t xml:space="preserve">Bronze
</t>
    </r>
    <r>
      <rPr>
        <b/>
        <sz val="11"/>
        <color theme="1"/>
        <rFont val="Calibri"/>
        <family val="2"/>
        <scheme val="minor"/>
      </rPr>
      <t>(MMC Rates)</t>
    </r>
  </si>
  <si>
    <r>
      <t xml:space="preserve">Norwich Victoria House 
</t>
    </r>
    <r>
      <rPr>
        <b/>
        <u/>
        <sz val="11"/>
        <color theme="1"/>
        <rFont val="Calibri"/>
        <family val="2"/>
        <scheme val="minor"/>
      </rPr>
      <t xml:space="preserve">Gold
</t>
    </r>
    <r>
      <rPr>
        <b/>
        <sz val="11"/>
        <color theme="1"/>
        <rFont val="Calibri"/>
        <family val="2"/>
        <scheme val="minor"/>
      </rPr>
      <t>(MMC Rates)</t>
    </r>
  </si>
  <si>
    <t>Benchmark - PMO Benchmark</t>
  </si>
  <si>
    <t xml:space="preserve">Option Local Consultant rates </t>
  </si>
  <si>
    <t>Benchmark Previous project rates YEAR</t>
  </si>
  <si>
    <t>Option 4</t>
  </si>
  <si>
    <t>Option 5</t>
  </si>
  <si>
    <t>CAPEX</t>
  </si>
  <si>
    <t>CAPEX BUDGET</t>
  </si>
  <si>
    <t>Ongoing Budget</t>
  </si>
  <si>
    <t>Factor</t>
  </si>
  <si>
    <t>(USD)</t>
  </si>
  <si>
    <t>(EUR)</t>
  </si>
  <si>
    <t>Professional Fees</t>
  </si>
  <si>
    <t>Fit-out</t>
  </si>
  <si>
    <t>Furniture</t>
  </si>
  <si>
    <t>AV &amp; Equipment</t>
  </si>
  <si>
    <t>Total</t>
  </si>
  <si>
    <t>Rate per SQM</t>
  </si>
  <si>
    <t>Rate per SQFT</t>
  </si>
  <si>
    <t>LL Contribution</t>
  </si>
  <si>
    <t>P&amp;L - One Off</t>
  </si>
  <si>
    <t>Moves</t>
  </si>
  <si>
    <t>MMC Tech Costs (5y)</t>
  </si>
  <si>
    <t>GRAND TOTAL</t>
  </si>
  <si>
    <t>Full-fit out</t>
  </si>
  <si>
    <t>Full Refurb</t>
  </si>
  <si>
    <t>light-mid touch refurb</t>
  </si>
  <si>
    <t>Full Fit-out</t>
  </si>
  <si>
    <t>5% sit-stand (all rest are with crank)</t>
  </si>
  <si>
    <t>Full Sit-stand</t>
  </si>
  <si>
    <t>Reused Furniture</t>
  </si>
  <si>
    <t>Full-Sit Stand + HS Monitor Arms</t>
  </si>
  <si>
    <t>Old AV Standards</t>
  </si>
  <si>
    <t>All DTENs</t>
  </si>
  <si>
    <t>New AV Standards</t>
  </si>
  <si>
    <t>Improved LED Lighting (GCL) circa 4£/ft²</t>
  </si>
  <si>
    <t>Rates ($/ft²)</t>
  </si>
  <si>
    <t>Fit Out</t>
  </si>
  <si>
    <t xml:space="preserve">Total </t>
  </si>
  <si>
    <t>Moves (/person)</t>
  </si>
  <si>
    <t>Assumptions</t>
  </si>
  <si>
    <t>New Fit-out</t>
  </si>
  <si>
    <t>Sit-stand Desks</t>
  </si>
  <si>
    <t>Refresh to AV</t>
  </si>
  <si>
    <t>No works in-situ</t>
  </si>
  <si>
    <t>Works in-situ</t>
  </si>
  <si>
    <t>No Works in-situ</t>
  </si>
  <si>
    <t>Smart-office</t>
  </si>
  <si>
    <t>Mid-low end rates</t>
  </si>
  <si>
    <t>One floor fit-out only</t>
  </si>
  <si>
    <t xml:space="preserve">Light Touch </t>
  </si>
  <si>
    <t>City</t>
  </si>
  <si>
    <t>Fitout</t>
  </si>
  <si>
    <t>FOREIGN EXCHANGE RATE SUMMARY REPORT</t>
  </si>
  <si>
    <t/>
  </si>
  <si>
    <t>1st Pass*</t>
  </si>
  <si>
    <t>Variance</t>
  </si>
  <si>
    <t>CURR</t>
  </si>
  <si>
    <t>BUDGET</t>
  </si>
  <si>
    <t>2nd Pass vs 1st Pass</t>
  </si>
  <si>
    <t>COUNTRY</t>
  </si>
  <si>
    <t>CURRENCY</t>
  </si>
  <si>
    <t>CODE</t>
  </si>
  <si>
    <t>RATE</t>
  </si>
  <si>
    <t>$</t>
  </si>
  <si>
    <t>%</t>
  </si>
  <si>
    <t>ALBANIA</t>
  </si>
  <si>
    <t>LEK</t>
  </si>
  <si>
    <t>ALL</t>
  </si>
  <si>
    <t>ALGERIA</t>
  </si>
  <si>
    <t>DINAR</t>
  </si>
  <si>
    <t>DZD</t>
  </si>
  <si>
    <t>ANGOLA</t>
  </si>
  <si>
    <t>KWANZA</t>
  </si>
  <si>
    <t>AOA</t>
  </si>
  <si>
    <t>ARGENTINA</t>
  </si>
  <si>
    <t>PESO</t>
  </si>
  <si>
    <t>ARS</t>
  </si>
  <si>
    <t>ARUBA</t>
  </si>
  <si>
    <t>FLORIN</t>
  </si>
  <si>
    <t>AWG</t>
  </si>
  <si>
    <t>AUSTRALIA</t>
  </si>
  <si>
    <t>DOLLAR</t>
  </si>
  <si>
    <t>AUD</t>
  </si>
  <si>
    <t>AZERBAIJAN</t>
  </si>
  <si>
    <t>AZN</t>
  </si>
  <si>
    <t>BAHAMAS</t>
  </si>
  <si>
    <t>BSD</t>
  </si>
  <si>
    <t>BAHRAIN</t>
  </si>
  <si>
    <t>BHD</t>
  </si>
  <si>
    <t>BANGLADESH</t>
  </si>
  <si>
    <t>TAKA</t>
  </si>
  <si>
    <t>BDT</t>
  </si>
  <si>
    <t>BARBADOS</t>
  </si>
  <si>
    <t>BBD</t>
  </si>
  <si>
    <t>BELARUS</t>
  </si>
  <si>
    <t>RUBLE</t>
  </si>
  <si>
    <t>BYR</t>
  </si>
  <si>
    <t>BELIZE</t>
  </si>
  <si>
    <t>BZD</t>
  </si>
  <si>
    <t>BERMUDA</t>
  </si>
  <si>
    <t>BMD</t>
  </si>
  <si>
    <t>BHUTAN</t>
  </si>
  <si>
    <t>NGULTRUM</t>
  </si>
  <si>
    <t>BTN</t>
  </si>
  <si>
    <t>BOLIVIA</t>
  </si>
  <si>
    <t>BOLIVIANO</t>
  </si>
  <si>
    <t>BOB</t>
  </si>
  <si>
    <t>BOTSWANA</t>
  </si>
  <si>
    <t>PULA</t>
  </si>
  <si>
    <t>BWP</t>
  </si>
  <si>
    <t>BRAZIL</t>
  </si>
  <si>
    <t>REAL</t>
  </si>
  <si>
    <t>BRL</t>
  </si>
  <si>
    <t>BRUNEI DARUSSALAM</t>
  </si>
  <si>
    <t>BND</t>
  </si>
  <si>
    <t>BULGARIA</t>
  </si>
  <si>
    <t>LEV</t>
  </si>
  <si>
    <t>BGN</t>
  </si>
  <si>
    <t>BURUNDI</t>
  </si>
  <si>
    <t>FRANC</t>
  </si>
  <si>
    <t>BIF</t>
  </si>
  <si>
    <t>CAMBODIA</t>
  </si>
  <si>
    <t>NEW RIEL</t>
  </si>
  <si>
    <t>KHR</t>
  </si>
  <si>
    <t>CANADA</t>
  </si>
  <si>
    <t>CAD DOLLAR</t>
  </si>
  <si>
    <t>CAD</t>
  </si>
  <si>
    <t>CAPE VERDE</t>
  </si>
  <si>
    <t>ESCUDO</t>
  </si>
  <si>
    <t>CVE</t>
  </si>
  <si>
    <t>CAYMAN ISLANDS</t>
  </si>
  <si>
    <t>KYD</t>
  </si>
  <si>
    <t>CENTRAL AFRICAN REPUBLIC</t>
  </si>
  <si>
    <t>XAF</t>
  </si>
  <si>
    <t>CHILE</t>
  </si>
  <si>
    <t>CLP</t>
  </si>
  <si>
    <t>CHINA</t>
  </si>
  <si>
    <t>YUAN</t>
  </si>
  <si>
    <t>CNY</t>
  </si>
  <si>
    <t>COLOMBIA</t>
  </si>
  <si>
    <t>COP</t>
  </si>
  <si>
    <t>COSTA RICA</t>
  </si>
  <si>
    <t>COLON</t>
  </si>
  <si>
    <t>CRC</t>
  </si>
  <si>
    <t>CROATIA</t>
  </si>
  <si>
    <t>KUNA</t>
  </si>
  <si>
    <t>HRK</t>
  </si>
  <si>
    <t>CYPRUS</t>
  </si>
  <si>
    <t>POUND</t>
  </si>
  <si>
    <t>CYP</t>
  </si>
  <si>
    <t>CZECH REPUBLIC</t>
  </si>
  <si>
    <t>KORUNA</t>
  </si>
  <si>
    <t>CZK</t>
  </si>
  <si>
    <t>DENMARK</t>
  </si>
  <si>
    <t>KRONE</t>
  </si>
  <si>
    <t>DKK</t>
  </si>
  <si>
    <t>DJIBOUTI</t>
  </si>
  <si>
    <t>DJF</t>
  </si>
  <si>
    <t>DOMINICA</t>
  </si>
  <si>
    <t>XCD</t>
  </si>
  <si>
    <t>DOMINICAN REPUBLIC</t>
  </si>
  <si>
    <t>DOP</t>
  </si>
  <si>
    <t>EGYPT</t>
  </si>
  <si>
    <t>EGP</t>
  </si>
  <si>
    <t>EL SALVADOR</t>
  </si>
  <si>
    <t>SVC</t>
  </si>
  <si>
    <t>ETHIOPIA</t>
  </si>
  <si>
    <t>BIRR</t>
  </si>
  <si>
    <t>ETB</t>
  </si>
  <si>
    <t>EURO</t>
  </si>
  <si>
    <t>EUR</t>
  </si>
  <si>
    <t>FIJI</t>
  </si>
  <si>
    <t>FJD</t>
  </si>
  <si>
    <t>FRENCH POLYNESIA</t>
  </si>
  <si>
    <t>XPF</t>
  </si>
  <si>
    <t>GAMBIA</t>
  </si>
  <si>
    <t>DALASI</t>
  </si>
  <si>
    <t>GMD</t>
  </si>
  <si>
    <t>GHANA</t>
  </si>
  <si>
    <t>NEW GHANA</t>
  </si>
  <si>
    <t>GHS</t>
  </si>
  <si>
    <t>GUATEMALA</t>
  </si>
  <si>
    <t>QUETZAL</t>
  </si>
  <si>
    <t>GTQ</t>
  </si>
  <si>
    <t>GUINEA</t>
  </si>
  <si>
    <t>GNEA FRANC</t>
  </si>
  <si>
    <t>GNF</t>
  </si>
  <si>
    <t>GUYANA</t>
  </si>
  <si>
    <t>GYD</t>
  </si>
  <si>
    <t>HAITI</t>
  </si>
  <si>
    <t>GOURDE</t>
  </si>
  <si>
    <t>HTG</t>
  </si>
  <si>
    <t>HONDURAS</t>
  </si>
  <si>
    <t>LEMPIRA</t>
  </si>
  <si>
    <t>HNL</t>
  </si>
  <si>
    <t>HONG KONG</t>
  </si>
  <si>
    <t>HKD</t>
  </si>
  <si>
    <t>HUNGARY</t>
  </si>
  <si>
    <t>FORINT</t>
  </si>
  <si>
    <t>HUF</t>
  </si>
  <si>
    <t>ICELAND</t>
  </si>
  <si>
    <t>KRONA</t>
  </si>
  <si>
    <t>ISK</t>
  </si>
  <si>
    <t>INDIA</t>
  </si>
  <si>
    <t>RUPEE</t>
  </si>
  <si>
    <t>INR</t>
  </si>
  <si>
    <t>INDONESIA</t>
  </si>
  <si>
    <t>RUPIAH</t>
  </si>
  <si>
    <t>IDR</t>
  </si>
  <si>
    <t>IRAN (ISLAMIC REPUBLIC OF)</t>
  </si>
  <si>
    <t>RIAL</t>
  </si>
  <si>
    <t>IRR</t>
  </si>
  <si>
    <t>IRAQ</t>
  </si>
  <si>
    <t>IQD</t>
  </si>
  <si>
    <t>ISRAEL</t>
  </si>
  <si>
    <t>SHEQEL</t>
  </si>
  <si>
    <t>ILS</t>
  </si>
  <si>
    <t>JAMAICA</t>
  </si>
  <si>
    <t>JMD</t>
  </si>
  <si>
    <t>JAPAN</t>
  </si>
  <si>
    <t>YEN</t>
  </si>
  <si>
    <t>JPY</t>
  </si>
  <si>
    <t>JORDAN</t>
  </si>
  <si>
    <t>JOD</t>
  </si>
  <si>
    <t>KAZAKHSTAN</t>
  </si>
  <si>
    <t>TENGE</t>
  </si>
  <si>
    <t>KZT</t>
  </si>
  <si>
    <t>KENYA</t>
  </si>
  <si>
    <t>SHILLING</t>
  </si>
  <si>
    <t>KES</t>
  </si>
  <si>
    <t>KOREA, REPUBLIC OF</t>
  </si>
  <si>
    <t>WON</t>
  </si>
  <si>
    <t>KRW</t>
  </si>
  <si>
    <t>KUWAIT</t>
  </si>
  <si>
    <t>KWD</t>
  </si>
  <si>
    <t>LAO PEOPLE'S DEMOCRATIC REP</t>
  </si>
  <si>
    <t>NEW KIP</t>
  </si>
  <si>
    <t>LAK</t>
  </si>
  <si>
    <t>LATVIA</t>
  </si>
  <si>
    <t>LAT</t>
  </si>
  <si>
    <t>LVL</t>
  </si>
  <si>
    <t>LEBANON</t>
  </si>
  <si>
    <t>LBP</t>
  </si>
  <si>
    <t>LIBERIA</t>
  </si>
  <si>
    <t>LRD</t>
  </si>
  <si>
    <t>LIBYAN ARAB JAMAHIRIYA</t>
  </si>
  <si>
    <t>LYD</t>
  </si>
  <si>
    <t>MACAU</t>
  </si>
  <si>
    <t>PATACA</t>
  </si>
  <si>
    <t>MOP</t>
  </si>
  <si>
    <t>MADAGASCAR</t>
  </si>
  <si>
    <t>MALAGASCY</t>
  </si>
  <si>
    <t>MGA</t>
  </si>
  <si>
    <t>MALAWI</t>
  </si>
  <si>
    <t>KWACHA</t>
  </si>
  <si>
    <t>MWK</t>
  </si>
  <si>
    <t>MALAYSIA</t>
  </si>
  <si>
    <t>RINGGIT</t>
  </si>
  <si>
    <t>MYR</t>
  </si>
  <si>
    <t>MALDIVES</t>
  </si>
  <si>
    <t>RUFIYAA</t>
  </si>
  <si>
    <t>MVR</t>
  </si>
  <si>
    <t>MAURITANIA</t>
  </si>
  <si>
    <t>OUGUIYA</t>
  </si>
  <si>
    <t>MRO</t>
  </si>
  <si>
    <t>MAURITIUS</t>
  </si>
  <si>
    <t>MUR</t>
  </si>
  <si>
    <t>MEXICO</t>
  </si>
  <si>
    <t>MEX PESO</t>
  </si>
  <si>
    <t>MXN</t>
  </si>
  <si>
    <t>MOROCCO</t>
  </si>
  <si>
    <t>DIRHAM</t>
  </si>
  <si>
    <t>MAD</t>
  </si>
  <si>
    <t>MOZAMBIQUE</t>
  </si>
  <si>
    <t>NEW MOZAMB</t>
  </si>
  <si>
    <t>MZN</t>
  </si>
  <si>
    <t>MYANMAR</t>
  </si>
  <si>
    <t>KYAT</t>
  </si>
  <si>
    <t>MMK</t>
  </si>
  <si>
    <t>NAMIBIA</t>
  </si>
  <si>
    <t>NAD</t>
  </si>
  <si>
    <t>NEPAL</t>
  </si>
  <si>
    <t>NPR</t>
  </si>
  <si>
    <t>NETHERLANDS ANTILLES</t>
  </si>
  <si>
    <t>NA GUILDER</t>
  </si>
  <si>
    <t>ANG</t>
  </si>
  <si>
    <t>NEW ZEALAND</t>
  </si>
  <si>
    <t>NZD</t>
  </si>
  <si>
    <t>NICARAGUA</t>
  </si>
  <si>
    <t>CORDOBA OR</t>
  </si>
  <si>
    <t>NIO</t>
  </si>
  <si>
    <t>NIGERIA</t>
  </si>
  <si>
    <t>NAIRA</t>
  </si>
  <si>
    <t>NGN</t>
  </si>
  <si>
    <t>NORWAY</t>
  </si>
  <si>
    <t>NOK</t>
  </si>
  <si>
    <t>OMAN</t>
  </si>
  <si>
    <t>OMR</t>
  </si>
  <si>
    <t>PAKISTAN</t>
  </si>
  <si>
    <t>PKR</t>
  </si>
  <si>
    <t>PANAMA</t>
  </si>
  <si>
    <t>BALBOA</t>
  </si>
  <si>
    <t>PAB</t>
  </si>
  <si>
    <t>PAPUA NEW GUINEA</t>
  </si>
  <si>
    <t>KINA</t>
  </si>
  <si>
    <t>PGK</t>
  </si>
  <si>
    <t>PARAGUAY</t>
  </si>
  <si>
    <t>GUARANI</t>
  </si>
  <si>
    <t>PYG</t>
  </si>
  <si>
    <t>PERU</t>
  </si>
  <si>
    <t>NEW SOL</t>
  </si>
  <si>
    <t>PEN</t>
  </si>
  <si>
    <t>SOL</t>
  </si>
  <si>
    <t>PES</t>
  </si>
  <si>
    <t>PHILIPPINES</t>
  </si>
  <si>
    <t>PHP</t>
  </si>
  <si>
    <t>POLAND</t>
  </si>
  <si>
    <t>ZLOTY</t>
  </si>
  <si>
    <t>PLN</t>
  </si>
  <si>
    <t>QATAR</t>
  </si>
  <si>
    <t>RIYAL</t>
  </si>
  <si>
    <t>QAR</t>
  </si>
  <si>
    <t>ROMANIA</t>
  </si>
  <si>
    <t>NEW ROMANI</t>
  </si>
  <si>
    <t>RON</t>
  </si>
  <si>
    <t>RUSSIAN FEDERATION</t>
  </si>
  <si>
    <t>RUB</t>
  </si>
  <si>
    <t>RWANDA</t>
  </si>
  <si>
    <t>RWF</t>
  </si>
  <si>
    <t>SAMOA</t>
  </si>
  <si>
    <t>TALA</t>
  </si>
  <si>
    <t>WST</t>
  </si>
  <si>
    <t>SAO TOME AND PRINCIPE</t>
  </si>
  <si>
    <t>DOBRA</t>
  </si>
  <si>
    <t>STD</t>
  </si>
  <si>
    <t>SAUDI ARABIA</t>
  </si>
  <si>
    <t>SAR</t>
  </si>
  <si>
    <t>SERBIA</t>
  </si>
  <si>
    <t>SERBIAN DI</t>
  </si>
  <si>
    <t>RSD</t>
  </si>
  <si>
    <t>SEYCHELLES</t>
  </si>
  <si>
    <t>SCR</t>
  </si>
  <si>
    <t>SIERRA LEONE</t>
  </si>
  <si>
    <t>LEONE</t>
  </si>
  <si>
    <t>SLL</t>
  </si>
  <si>
    <t>SINGAPORE</t>
  </si>
  <si>
    <t>SGD</t>
  </si>
  <si>
    <t>SOLOMON ISLANDS</t>
  </si>
  <si>
    <t>SBD</t>
  </si>
  <si>
    <t>SOMALIA</t>
  </si>
  <si>
    <t>SOS</t>
  </si>
  <si>
    <t>SOUTH AFRICA</t>
  </si>
  <si>
    <t>RAND</t>
  </si>
  <si>
    <t>ZAR</t>
  </si>
  <si>
    <t>SRI LANKA</t>
  </si>
  <si>
    <t>LKR</t>
  </si>
  <si>
    <t>SUDAN</t>
  </si>
  <si>
    <t>NEW SUDANE</t>
  </si>
  <si>
    <t>SDG</t>
  </si>
  <si>
    <t>SURINAME</t>
  </si>
  <si>
    <t>SURINAME D</t>
  </si>
  <si>
    <t>SRD</t>
  </si>
  <si>
    <t>SWAZILAND</t>
  </si>
  <si>
    <t>PL</t>
  </si>
  <si>
    <t>SZL</t>
  </si>
  <si>
    <t>SWEDEN</t>
  </si>
  <si>
    <t>SEK</t>
  </si>
  <si>
    <t>SWITZERLAND</t>
  </si>
  <si>
    <t>CHF</t>
  </si>
  <si>
    <t>SYRIAN ARAB REPUBLIC</t>
  </si>
  <si>
    <t>SYP</t>
  </si>
  <si>
    <t>TAIWAN, PROVINCE OF CHINA</t>
  </si>
  <si>
    <t>NEW DOLLAR</t>
  </si>
  <si>
    <t>TWD</t>
  </si>
  <si>
    <t>TANZANIA, UNITED REPUBLIC OF</t>
  </si>
  <si>
    <t>TZS</t>
  </si>
  <si>
    <t>THAILAND</t>
  </si>
  <si>
    <t>BAHT</t>
  </si>
  <si>
    <t>THB</t>
  </si>
  <si>
    <t>TOGO</t>
  </si>
  <si>
    <t>XOF</t>
  </si>
  <si>
    <t>TONGA</t>
  </si>
  <si>
    <t>PAANGA</t>
  </si>
  <si>
    <t>TOP</t>
  </si>
  <si>
    <t>TRINIDAD AND TOBAGO</t>
  </si>
  <si>
    <t>TTD</t>
  </si>
  <si>
    <t>TUNISIA</t>
  </si>
  <si>
    <t>TND</t>
  </si>
  <si>
    <t>TURKEY</t>
  </si>
  <si>
    <t>NEW TURKIS</t>
  </si>
  <si>
    <t>TRY</t>
  </si>
  <si>
    <t>UGANDA</t>
  </si>
  <si>
    <t>UGX</t>
  </si>
  <si>
    <t>UKRAINE</t>
  </si>
  <si>
    <t>HRYVNIA</t>
  </si>
  <si>
    <t>UAH</t>
  </si>
  <si>
    <t>UNITED ARAB EMIRATES</t>
  </si>
  <si>
    <t>AED</t>
  </si>
  <si>
    <t>UNITED KINGDOM</t>
  </si>
  <si>
    <t>GBP</t>
  </si>
  <si>
    <t>URUGUAY</t>
  </si>
  <si>
    <t>URUGUAYO</t>
  </si>
  <si>
    <t>UYU</t>
  </si>
  <si>
    <t>VANUATU</t>
  </si>
  <si>
    <t>VATU</t>
  </si>
  <si>
    <t>VUV</t>
  </si>
  <si>
    <t>VENEZUELA</t>
  </si>
  <si>
    <t>VES</t>
  </si>
  <si>
    <t>VIET NAM</t>
  </si>
  <si>
    <t>NEW DONG</t>
  </si>
  <si>
    <t>VND</t>
  </si>
  <si>
    <t>YEMEN</t>
  </si>
  <si>
    <t>YER</t>
  </si>
  <si>
    <t>ZAMBIA</t>
  </si>
  <si>
    <t>ZMW</t>
  </si>
  <si>
    <t>ZIMBABWE</t>
  </si>
  <si>
    <t>ZWL</t>
  </si>
  <si>
    <t>Country</t>
  </si>
  <si>
    <t>CAT B AGILE</t>
  </si>
  <si>
    <t>Furniture Trad</t>
  </si>
  <si>
    <t>Furniture Agile</t>
  </si>
  <si>
    <t>Security</t>
  </si>
  <si>
    <t>AV traditional</t>
  </si>
  <si>
    <t>AV AGILE</t>
  </si>
  <si>
    <t>Fees</t>
  </si>
  <si>
    <t>IT</t>
  </si>
  <si>
    <t>Contingency</t>
  </si>
  <si>
    <t>Traditional Fitout</t>
  </si>
  <si>
    <t>Agile Fit-out</t>
  </si>
  <si>
    <t>LOW</t>
  </si>
  <si>
    <t>MED</t>
  </si>
  <si>
    <t>HIGH</t>
  </si>
  <si>
    <t>LOW, MED &amp; High</t>
  </si>
  <si>
    <t>INSTALL</t>
  </si>
  <si>
    <t>LOGISTICS</t>
  </si>
  <si>
    <t>IMPORT Tax</t>
  </si>
  <si>
    <t>TIME (wks)</t>
  </si>
  <si>
    <t>Angola</t>
  </si>
  <si>
    <t>Luanda</t>
  </si>
  <si>
    <t>95+</t>
  </si>
  <si>
    <t>120+</t>
  </si>
  <si>
    <t>165+</t>
  </si>
  <si>
    <t>145+</t>
  </si>
  <si>
    <t>175+</t>
  </si>
  <si>
    <t>220+</t>
  </si>
  <si>
    <t>40+</t>
  </si>
  <si>
    <t>60+</t>
  </si>
  <si>
    <t>100+</t>
  </si>
  <si>
    <t>180+</t>
  </si>
  <si>
    <t>85+</t>
  </si>
  <si>
    <t>130+</t>
  </si>
  <si>
    <t>245+</t>
  </si>
  <si>
    <t>65+</t>
  </si>
  <si>
    <t>125+</t>
  </si>
  <si>
    <t>1,740+</t>
  </si>
  <si>
    <t>3,239+</t>
  </si>
  <si>
    <t>1,769+</t>
  </si>
  <si>
    <t>3,271+</t>
  </si>
  <si>
    <t>Austria</t>
  </si>
  <si>
    <t>Vienna</t>
  </si>
  <si>
    <t>Belgium</t>
  </si>
  <si>
    <t>Brussels</t>
  </si>
  <si>
    <t>Botswana</t>
  </si>
  <si>
    <t>Gaborone</t>
  </si>
  <si>
    <t>Bulgaria</t>
  </si>
  <si>
    <t>Sofia</t>
  </si>
  <si>
    <t>Croatia</t>
  </si>
  <si>
    <t>Zagreb</t>
  </si>
  <si>
    <t>Denmark</t>
  </si>
  <si>
    <t>Copenhagen</t>
  </si>
  <si>
    <t>Egypt</t>
  </si>
  <si>
    <t>Cairo</t>
  </si>
  <si>
    <t>Estonia</t>
  </si>
  <si>
    <t>Tallinn</t>
  </si>
  <si>
    <t>Ethiopia</t>
  </si>
  <si>
    <t>Addis Ababa</t>
  </si>
  <si>
    <t>Finland</t>
  </si>
  <si>
    <t>Helsinki</t>
  </si>
  <si>
    <t>France</t>
  </si>
  <si>
    <t>Paris</t>
  </si>
  <si>
    <t>Germany</t>
  </si>
  <si>
    <t>Berlin</t>
  </si>
  <si>
    <t>Frankfurt</t>
  </si>
  <si>
    <t>Hamburg</t>
  </si>
  <si>
    <t>Munich</t>
  </si>
  <si>
    <t>Stuttgart</t>
  </si>
  <si>
    <t>Ghana</t>
  </si>
  <si>
    <t>Accra</t>
  </si>
  <si>
    <t>Greece</t>
  </si>
  <si>
    <t>Athens</t>
  </si>
  <si>
    <t>Hungary</t>
  </si>
  <si>
    <t>Budapest</t>
  </si>
  <si>
    <t>Ireland</t>
  </si>
  <si>
    <t>Dublin</t>
  </si>
  <si>
    <t>Israel</t>
  </si>
  <si>
    <t>Tel Aviv</t>
  </si>
  <si>
    <t>Italy</t>
  </si>
  <si>
    <t>Milan</t>
  </si>
  <si>
    <t>Rome</t>
  </si>
  <si>
    <t>Ivory Coast</t>
  </si>
  <si>
    <t>Abidjan</t>
  </si>
  <si>
    <t>Kazakhstan</t>
  </si>
  <si>
    <t>Almaty</t>
  </si>
  <si>
    <t>Kenya</t>
  </si>
  <si>
    <t>Nairobi</t>
  </si>
  <si>
    <t>Kuwait</t>
  </si>
  <si>
    <t>Kuwait City</t>
  </si>
  <si>
    <t>Latvia</t>
  </si>
  <si>
    <t>Riga</t>
  </si>
  <si>
    <t>Lebanon</t>
  </si>
  <si>
    <t>Beirut</t>
  </si>
  <si>
    <t>Lithuania</t>
  </si>
  <si>
    <t>Vilnius</t>
  </si>
  <si>
    <t>Luxembourg</t>
  </si>
  <si>
    <t>Morocco</t>
  </si>
  <si>
    <t>Casablanca</t>
  </si>
  <si>
    <t>Netherlands</t>
  </si>
  <si>
    <t>Amsterdam</t>
  </si>
  <si>
    <t>Nigeria</t>
  </si>
  <si>
    <t>Abuja</t>
  </si>
  <si>
    <t>1,871+</t>
  </si>
  <si>
    <t>3,547+</t>
  </si>
  <si>
    <t>1,895+</t>
  </si>
  <si>
    <t>3,564+</t>
  </si>
  <si>
    <t>Norway</t>
  </si>
  <si>
    <t>Oslo</t>
  </si>
  <si>
    <t>Oman</t>
  </si>
  <si>
    <t>Muscat</t>
  </si>
  <si>
    <t>Poland</t>
  </si>
  <si>
    <t>Warsaw</t>
  </si>
  <si>
    <t>Portugal</t>
  </si>
  <si>
    <t>Lisbon</t>
  </si>
  <si>
    <t>Qatar</t>
  </si>
  <si>
    <t>Doha</t>
  </si>
  <si>
    <t>Romania</t>
  </si>
  <si>
    <t>Bucharest</t>
  </si>
  <si>
    <t>Russia</t>
  </si>
  <si>
    <t>Moscow</t>
  </si>
  <si>
    <t>Saudi Arabia</t>
  </si>
  <si>
    <t>Riyadh</t>
  </si>
  <si>
    <t>Serbia</t>
  </si>
  <si>
    <t>Belgrade</t>
  </si>
  <si>
    <t>Slovakia</t>
  </si>
  <si>
    <t>Bratislava</t>
  </si>
  <si>
    <t>South Africa</t>
  </si>
  <si>
    <t>Cape Town</t>
  </si>
  <si>
    <t>Johannesburg</t>
  </si>
  <si>
    <t>Spain</t>
  </si>
  <si>
    <t>Barcelona</t>
  </si>
  <si>
    <t>Madrid</t>
  </si>
  <si>
    <t>Sweden</t>
  </si>
  <si>
    <t>Stockholm</t>
  </si>
  <si>
    <t>Switzerland</t>
  </si>
  <si>
    <t>Geneva</t>
  </si>
  <si>
    <t>Zurich</t>
  </si>
  <si>
    <t>Turkey</t>
  </si>
  <si>
    <t>Istanbul</t>
  </si>
  <si>
    <t>UAE</t>
  </si>
  <si>
    <t>Abu Dhabi</t>
  </si>
  <si>
    <t>Dubai</t>
  </si>
  <si>
    <t>Uganda</t>
  </si>
  <si>
    <t>Kampala</t>
  </si>
  <si>
    <t>UK</t>
  </si>
  <si>
    <t>Aberdeen</t>
  </si>
  <si>
    <t>Belfast</t>
  </si>
  <si>
    <t>Glasgow</t>
  </si>
  <si>
    <t>London</t>
  </si>
  <si>
    <t>Manchester</t>
  </si>
  <si>
    <t>Ukraine</t>
  </si>
  <si>
    <t>Kiev</t>
  </si>
  <si>
    <t>Zambia</t>
  </si>
  <si>
    <t>Lusaka</t>
  </si>
  <si>
    <t xml:space="preserve">Inflation rate </t>
  </si>
  <si>
    <t>Med High</t>
  </si>
  <si>
    <t>Medium grade benchmark</t>
  </si>
  <si>
    <t>Medium to high grade benchmark</t>
  </si>
  <si>
    <t>sqmt to sqft</t>
  </si>
  <si>
    <t>Local Consultant Rate</t>
  </si>
  <si>
    <t>Fit Out Quality Summary</t>
  </si>
  <si>
    <t>Low</t>
  </si>
  <si>
    <t>Medium</t>
  </si>
  <si>
    <t>High</t>
  </si>
  <si>
    <t>BENCHMARK</t>
  </si>
  <si>
    <t>MGTI 5 Year</t>
  </si>
  <si>
    <t>$/sqm</t>
  </si>
  <si>
    <t>Move</t>
  </si>
  <si>
    <t>$/ HC</t>
  </si>
  <si>
    <t>AV</t>
  </si>
  <si>
    <t>£/sqft</t>
  </si>
  <si>
    <t>medium eur/sqm</t>
  </si>
  <si>
    <t>incl inflation</t>
  </si>
  <si>
    <t>Local Consultant Advice</t>
  </si>
  <si>
    <t>medium to high eur/ sqm</t>
  </si>
  <si>
    <t>Global Benchmark</t>
  </si>
  <si>
    <t>Benchmark previous Project (N/A)</t>
  </si>
  <si>
    <t>TBC - Date</t>
  </si>
  <si>
    <t>Low grade</t>
  </si>
  <si>
    <t>Medium grade</t>
  </si>
  <si>
    <t>Medium to high grade</t>
  </si>
  <si>
    <t>£</t>
  </si>
  <si>
    <t>Moves per H/C</t>
  </si>
  <si>
    <t>USD</t>
  </si>
  <si>
    <t>PER SQ/M</t>
  </si>
  <si>
    <t>PER SQ FT</t>
  </si>
  <si>
    <t>sqm</t>
  </si>
  <si>
    <t>MARSH MCLENNAN</t>
  </si>
  <si>
    <t>2nd Pass</t>
  </si>
  <si>
    <t>HC</t>
  </si>
  <si>
    <t>MMC Fixed FX Rate 25</t>
  </si>
  <si>
    <t>2025 BUDGET</t>
  </si>
  <si>
    <t>*Based on 2024 Budget Rates</t>
  </si>
  <si>
    <t>USD/NGN</t>
  </si>
  <si>
    <t>Key Project Information</t>
  </si>
  <si>
    <t>Project Name:</t>
  </si>
  <si>
    <t>Marsh Nigeria Ibadan Office Fit Out</t>
  </si>
  <si>
    <t>Project Address:</t>
  </si>
  <si>
    <t>MMC Entity:</t>
  </si>
  <si>
    <t xml:space="preserve">Marsh  </t>
  </si>
  <si>
    <t>Floor Area sqft:</t>
  </si>
  <si>
    <t>Floor Area sqm:</t>
  </si>
  <si>
    <t>New HC:</t>
  </si>
  <si>
    <t>New Deskcount:</t>
  </si>
  <si>
    <t>Sharing Ratio:</t>
  </si>
  <si>
    <t>Capex Ref #:</t>
  </si>
  <si>
    <t>[UK Only]</t>
  </si>
  <si>
    <t>Seq Project Code:</t>
  </si>
  <si>
    <t>PMO to advise</t>
  </si>
  <si>
    <t>USD MMC FX rate:</t>
  </si>
  <si>
    <t>Financial Summary: Local Currency NGN</t>
  </si>
  <si>
    <t>AM Capex Budget</t>
  </si>
  <si>
    <t>Capex Committed</t>
  </si>
  <si>
    <t>Capex + P&amp;L Committed</t>
  </si>
  <si>
    <t>Capex Variance</t>
  </si>
  <si>
    <t>Variance 
%</t>
  </si>
  <si>
    <t>Project Actual Rates Calculator (Local)</t>
  </si>
  <si>
    <t>Professional fees</t>
  </si>
  <si>
    <t>What</t>
  </si>
  <si>
    <t>per</t>
  </si>
  <si>
    <t>Rate</t>
  </si>
  <si>
    <t>Fit-out Works</t>
  </si>
  <si>
    <t>sqft</t>
  </si>
  <si>
    <t>Fit out Works</t>
  </si>
  <si>
    <t>(Construction+Cabling)</t>
  </si>
  <si>
    <t>(Security)</t>
  </si>
  <si>
    <t>AV/Equipment</t>
  </si>
  <si>
    <t>Total D&amp;C</t>
  </si>
  <si>
    <t>Total Cost</t>
  </si>
  <si>
    <t>Legal (CAPEX)</t>
  </si>
  <si>
    <t>Broker (CAPEX)</t>
  </si>
  <si>
    <t>MMC Tech (5 years - CAPEX)</t>
  </si>
  <si>
    <t>Moves (P&amp;L)</t>
  </si>
  <si>
    <t>MMC Tech (P&amp;L)</t>
  </si>
  <si>
    <t>Total Capex</t>
  </si>
  <si>
    <t>Financial Summary: USD</t>
  </si>
  <si>
    <t>Project Actual Rates Calculator (USD)</t>
  </si>
  <si>
    <t>Square Area</t>
  </si>
  <si>
    <t>Total Construction Cost/Sqm</t>
  </si>
  <si>
    <t>(NGN)</t>
  </si>
  <si>
    <t>Rates (/ft²)</t>
  </si>
  <si>
    <t>Rates (NGN/ft²)</t>
  </si>
  <si>
    <t>Ibadan Relocation</t>
  </si>
  <si>
    <t xml:space="preserve">Full moves required </t>
  </si>
  <si>
    <t>No MMC Tech upgrades required.</t>
  </si>
  <si>
    <t>Office area estimated by Local MMC team</t>
  </si>
  <si>
    <t>NGN/Sqft</t>
  </si>
  <si>
    <t>NGN/HC</t>
  </si>
  <si>
    <t>NGN/sqft</t>
  </si>
  <si>
    <t>NGN /Sqft</t>
  </si>
  <si>
    <t xml:space="preserve">No structural works
New Partition works
No AV works
Allowance for security installation within fitout budget
No allowance made for WAPs and allowance for IT cabling within fitout budget
New Furniture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</si>
</sst>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_-[$£-809]* #,##0.00_-;\-[$£-809]* #,##0.00_-;_-[$£-809]* &quot;-&quot;??_-;_-@_-"/>
    <numFmt numFmtId="166" formatCode="_-[$$-409]* #,##0.00_ ;_-[$$-409]* \-#,##0.00\ ;_-[$$-409]* &quot;-&quot;??_ ;_-@_ "/>
    <numFmt numFmtId="167" formatCode="_-[$£-809]* #,##0.0_-;\-[$£-809]* #,##0.0_-;_-[$£-809]* &quot;-&quot;??_-;_-@_-"/>
    <numFmt numFmtId="168" formatCode="_-[$£-809]* #,##0_-;\-[$£-809]* #,##0_-;_-[$£-809]* &quot;-&quot;??_-;_-@_-"/>
    <numFmt numFmtId="169" formatCode="_-&quot;£&quot;* #,##0_-;\-&quot;£&quot;* #,##0_-;_-&quot;£&quot;* &quot;-&quot;??_-;_-@_-"/>
    <numFmt numFmtId="170" formatCode="_-* #,##0_-;\-* #,##0_-;_-* &quot;-&quot;??_-;_-@_-"/>
    <numFmt numFmtId="171" formatCode="0.00000000"/>
    <numFmt numFmtId="172" formatCode="_(* #,##0.000000_);_(* \(#,##0.000000\);_(* &quot;-&quot;??_);_(@_)"/>
    <numFmt numFmtId="173" formatCode="0.0%"/>
    <numFmt numFmtId="174" formatCode="_-[$$-409]* #,##0_ ;_-[$$-409]* \-#,##0\ ;_-[$$-409]* &quot;-&quot;??_ ;_-@_ "/>
    <numFmt numFmtId="177" formatCode="_-&quot;£&quot;* #,##0.0_-;\-&quot;£&quot;* #,##0.0_-;_-&quot;£&quot;* &quot;-&quot;??_-;_-@_-"/>
    <numFmt numFmtId="178" formatCode="_-[$ZAR]\ * #,##0.00_-;\-[$ZAR]\ * #,##0.00_-;_-[$ZAR]\ * &quot;-&quot;??_-;_-@_-"/>
    <numFmt numFmtId="180" formatCode="_-[$CHF]\ * #,##0.00_-;\-[$CHF]\ * #,##0.00_-;_-[$CHF]\ * &quot;-&quot;??_-;_-@_-"/>
    <numFmt numFmtId="181" formatCode="_-[$€-2]\ * #,##0.00_-;\-[$€-2]\ * #,##0.00_-;_-[$€-2]\ * &quot;-&quot;??_-;_-@_-"/>
    <numFmt numFmtId="182" formatCode="_-[$£-809]* #,##0.000_-;\-[$£-809]* #,##0.000_-;_-[$£-809]* &quot;-&quot;??_-;_-@_-"/>
    <numFmt numFmtId="183" formatCode="_-[$CZK]\ * #,##0.00_-;\-[$CZK]\ * #,##0.00_-;_-[$CZK]\ * &quot;-&quot;??_-;_-@_-"/>
    <numFmt numFmtId="193" formatCode="_-[$$-C09]* #,##0.00_-;\-[$$-C09]* #,##0.00_-;_-[$$-C09]* &quot;-&quot;??_-;_-@_-"/>
    <numFmt numFmtId="194" formatCode="_-[$$-2809]* #,##0.00_-;\-[$$-2809]* #,##0.00_-;_-[$$-2809]* &quot;-&quot;??_-;_-@_-"/>
    <numFmt numFmtId="195" formatCode="_([$CZK]\ * #,##0.00_);_([$CZK]\ * \(#,##0.00\);_([$CZK]\ * &quot;-&quot;??_);_(@_)"/>
    <numFmt numFmtId="196" formatCode="0.00000"/>
    <numFmt numFmtId="197" formatCode="[$NGN]\ #,##0.00;\-[$NGN]\ #,##0.00"/>
    <numFmt numFmtId="198" formatCode="[$USD]\ #,##0.00;\-[$USD]\ #,##0.00"/>
    <numFmt numFmtId="199" formatCode="_-[$NGN]\ * #,##0.00_-;\-[$NGN]\ * #,##0.00_-;_-[$NGN]\ 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i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KievitOT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 CE"/>
      <charset val="238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DE1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  <xf numFmtId="0" fontId="22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0"/>
  </cellStyleXfs>
  <cellXfs count="524">
    <xf numFmtId="0" fontId="0" fillId="0" borderId="0" xfId="0"/>
    <xf numFmtId="0" fontId="0" fillId="2" borderId="0" xfId="0" applyFill="1"/>
    <xf numFmtId="0" fontId="3" fillId="2" borderId="0" xfId="0" applyFont="1" applyFill="1"/>
    <xf numFmtId="165" fontId="0" fillId="2" borderId="0" xfId="1" applyNumberFormat="1" applyFont="1" applyFill="1" applyBorder="1"/>
    <xf numFmtId="166" fontId="0" fillId="2" borderId="0" xfId="0" applyNumberForma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right"/>
    </xf>
    <xf numFmtId="168" fontId="2" fillId="2" borderId="0" xfId="0" applyNumberFormat="1" applyFont="1" applyFill="1"/>
    <xf numFmtId="165" fontId="2" fillId="2" borderId="0" xfId="1" applyNumberFormat="1" applyFont="1" applyFill="1" applyBorder="1"/>
    <xf numFmtId="165" fontId="2" fillId="2" borderId="0" xfId="0" applyNumberFormat="1" applyFont="1" applyFill="1"/>
    <xf numFmtId="0" fontId="2" fillId="2" borderId="0" xfId="0" applyFont="1" applyFill="1"/>
    <xf numFmtId="0" fontId="2" fillId="2" borderId="3" xfId="0" applyFont="1" applyFill="1" applyBorder="1"/>
    <xf numFmtId="168" fontId="2" fillId="2" borderId="0" xfId="1" applyNumberFormat="1" applyFont="1" applyFill="1" applyBorder="1"/>
    <xf numFmtId="169" fontId="2" fillId="2" borderId="0" xfId="1" applyNumberFormat="1" applyFont="1" applyFill="1"/>
    <xf numFmtId="0" fontId="2" fillId="2" borderId="1" xfId="0" applyFont="1" applyFill="1" applyBorder="1"/>
    <xf numFmtId="0" fontId="5" fillId="3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right" vertical="top"/>
    </xf>
    <xf numFmtId="0" fontId="5" fillId="2" borderId="1" xfId="0" applyFont="1" applyFill="1" applyBorder="1" applyAlignment="1">
      <alignment horizontal="left" wrapText="1"/>
    </xf>
    <xf numFmtId="168" fontId="6" fillId="2" borderId="0" xfId="0" applyNumberFormat="1" applyFont="1" applyFill="1" applyAlignment="1">
      <alignment horizontal="right"/>
    </xf>
    <xf numFmtId="168" fontId="0" fillId="2" borderId="0" xfId="0" applyNumberFormat="1" applyFill="1"/>
    <xf numFmtId="0" fontId="5" fillId="2" borderId="1" xfId="0" applyFont="1" applyFill="1" applyBorder="1" applyAlignment="1">
      <alignment horizontal="left"/>
    </xf>
    <xf numFmtId="168" fontId="6" fillId="2" borderId="3" xfId="0" applyNumberFormat="1" applyFont="1" applyFill="1" applyBorder="1" applyAlignment="1">
      <alignment horizontal="right"/>
    </xf>
    <xf numFmtId="0" fontId="0" fillId="2" borderId="3" xfId="0" applyFill="1" applyBorder="1"/>
    <xf numFmtId="168" fontId="5" fillId="2" borderId="0" xfId="0" applyNumberFormat="1" applyFont="1" applyFill="1" applyAlignment="1">
      <alignment horizontal="left"/>
    </xf>
    <xf numFmtId="168" fontId="5" fillId="2" borderId="0" xfId="0" applyNumberFormat="1" applyFont="1" applyFill="1" applyAlignment="1">
      <alignment horizontal="right"/>
    </xf>
    <xf numFmtId="0" fontId="7" fillId="2" borderId="1" xfId="0" applyFont="1" applyFill="1" applyBorder="1"/>
    <xf numFmtId="0" fontId="7" fillId="2" borderId="0" xfId="0" applyFont="1" applyFill="1"/>
    <xf numFmtId="0" fontId="0" fillId="2" borderId="1" xfId="0" applyFill="1" applyBorder="1"/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horizontal="left" vertical="top"/>
    </xf>
    <xf numFmtId="167" fontId="0" fillId="2" borderId="0" xfId="0" applyNumberFormat="1" applyFill="1"/>
    <xf numFmtId="165" fontId="0" fillId="2" borderId="0" xfId="0" applyNumberFormat="1" applyFill="1"/>
    <xf numFmtId="0" fontId="8" fillId="2" borderId="0" xfId="0" applyFont="1" applyFill="1" applyAlignment="1">
      <alignment horizontal="left" wrapText="1" indent="1"/>
    </xf>
    <xf numFmtId="168" fontId="0" fillId="2" borderId="3" xfId="0" applyNumberForma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9" fontId="0" fillId="0" borderId="4" xfId="3" applyFont="1" applyBorder="1" applyAlignment="1">
      <alignment horizontal="center" vertical="center"/>
    </xf>
    <xf numFmtId="9" fontId="0" fillId="0" borderId="4" xfId="3" applyFont="1" applyBorder="1" applyAlignment="1">
      <alignment horizontal="center" vertical="center" wrapText="1"/>
    </xf>
    <xf numFmtId="0" fontId="0" fillId="4" borderId="4" xfId="0" applyFill="1" applyBorder="1"/>
    <xf numFmtId="3" fontId="0" fillId="4" borderId="4" xfId="0" applyNumberFormat="1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9" fontId="0" fillId="4" borderId="4" xfId="0" applyNumberFormat="1" applyFill="1" applyBorder="1" applyAlignment="1">
      <alignment horizontal="right"/>
    </xf>
    <xf numFmtId="9" fontId="0" fillId="4" borderId="4" xfId="3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/>
    <xf numFmtId="3" fontId="0" fillId="5" borderId="4" xfId="0" applyNumberFormat="1" applyFill="1" applyBorder="1"/>
    <xf numFmtId="9" fontId="0" fillId="5" borderId="4" xfId="0" applyNumberFormat="1" applyFill="1" applyBorder="1"/>
    <xf numFmtId="9" fontId="0" fillId="5" borderId="4" xfId="3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/>
    <xf numFmtId="9" fontId="0" fillId="6" borderId="4" xfId="0" applyNumberFormat="1" applyFill="1" applyBorder="1"/>
    <xf numFmtId="3" fontId="0" fillId="6" borderId="4" xfId="0" applyNumberFormat="1" applyFill="1" applyBorder="1"/>
    <xf numFmtId="9" fontId="0" fillId="6" borderId="4" xfId="3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3" fontId="0" fillId="5" borderId="4" xfId="0" applyNumberForma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9" fontId="0" fillId="5" borderId="4" xfId="0" applyNumberFormat="1" applyFill="1" applyBorder="1" applyAlignment="1">
      <alignment horizontal="right"/>
    </xf>
    <xf numFmtId="0" fontId="0" fillId="7" borderId="4" xfId="0" applyFill="1" applyBorder="1"/>
    <xf numFmtId="9" fontId="0" fillId="7" borderId="4" xfId="0" applyNumberFormat="1" applyFill="1" applyBorder="1"/>
    <xf numFmtId="3" fontId="0" fillId="7" borderId="4" xfId="0" applyNumberFormat="1" applyFill="1" applyBorder="1"/>
    <xf numFmtId="3" fontId="0" fillId="7" borderId="4" xfId="0" applyNumberFormat="1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9" fontId="0" fillId="7" borderId="4" xfId="0" applyNumberForma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9" fontId="0" fillId="6" borderId="4" xfId="0" applyNumberFormat="1" applyFill="1" applyBorder="1" applyAlignment="1">
      <alignment horizontal="right"/>
    </xf>
    <xf numFmtId="3" fontId="0" fillId="6" borderId="4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4" xfId="0" applyFill="1" applyBorder="1"/>
    <xf numFmtId="3" fontId="0" fillId="8" borderId="4" xfId="0" applyNumberFormat="1" applyFill="1" applyBorder="1"/>
    <xf numFmtId="9" fontId="0" fillId="8" borderId="4" xfId="0" applyNumberFormat="1" applyFill="1" applyBorder="1"/>
    <xf numFmtId="0" fontId="0" fillId="8" borderId="0" xfId="0" applyFill="1"/>
    <xf numFmtId="0" fontId="0" fillId="4" borderId="0" xfId="0" applyFill="1"/>
    <xf numFmtId="3" fontId="0" fillId="4" borderId="4" xfId="0" applyNumberFormat="1" applyFill="1" applyBorder="1"/>
    <xf numFmtId="9" fontId="0" fillId="4" borderId="4" xfId="0" applyNumberFormat="1" applyFill="1" applyBorder="1"/>
    <xf numFmtId="0" fontId="0" fillId="5" borderId="0" xfId="0" applyFill="1"/>
    <xf numFmtId="9" fontId="0" fillId="0" borderId="0" xfId="3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/>
    <xf numFmtId="171" fontId="11" fillId="0" borderId="0" xfId="0" applyNumberFormat="1" applyFont="1" applyAlignment="1">
      <alignment horizontal="right" vertical="top" wrapText="1"/>
    </xf>
    <xf numFmtId="174" fontId="0" fillId="0" borderId="0" xfId="0" applyNumberFormat="1"/>
    <xf numFmtId="165" fontId="0" fillId="0" borderId="0" xfId="0" applyNumberFormat="1"/>
    <xf numFmtId="168" fontId="6" fillId="2" borderId="0" xfId="0" applyNumberFormat="1" applyFont="1" applyFill="1" applyAlignment="1">
      <alignment horizontal="left" wrapText="1"/>
    </xf>
    <xf numFmtId="0" fontId="5" fillId="3" borderId="8" xfId="0" applyFont="1" applyFill="1" applyBorder="1" applyAlignment="1">
      <alignment horizontal="right" vertical="top"/>
    </xf>
    <xf numFmtId="165" fontId="0" fillId="2" borderId="8" xfId="0" applyNumberFormat="1" applyFill="1" applyBorder="1"/>
    <xf numFmtId="168" fontId="0" fillId="2" borderId="8" xfId="0" applyNumberFormat="1" applyFill="1" applyBorder="1"/>
    <xf numFmtId="168" fontId="0" fillId="2" borderId="9" xfId="0" applyNumberFormat="1" applyFill="1" applyBorder="1"/>
    <xf numFmtId="168" fontId="2" fillId="2" borderId="8" xfId="0" applyNumberFormat="1" applyFont="1" applyFill="1" applyBorder="1"/>
    <xf numFmtId="0" fontId="0" fillId="2" borderId="8" xfId="0" applyFill="1" applyBorder="1"/>
    <xf numFmtId="0" fontId="5" fillId="3" borderId="6" xfId="0" applyFont="1" applyFill="1" applyBorder="1" applyAlignment="1">
      <alignment horizontal="right" vertical="top"/>
    </xf>
    <xf numFmtId="165" fontId="0" fillId="2" borderId="6" xfId="0" applyNumberFormat="1" applyFill="1" applyBorder="1"/>
    <xf numFmtId="168" fontId="0" fillId="2" borderId="6" xfId="0" applyNumberFormat="1" applyFill="1" applyBorder="1"/>
    <xf numFmtId="168" fontId="0" fillId="2" borderId="10" xfId="0" applyNumberFormat="1" applyFill="1" applyBorder="1"/>
    <xf numFmtId="168" fontId="2" fillId="2" borderId="6" xfId="0" applyNumberFormat="1" applyFont="1" applyFill="1" applyBorder="1"/>
    <xf numFmtId="0" fontId="0" fillId="2" borderId="6" xfId="0" applyFill="1" applyBorder="1"/>
    <xf numFmtId="168" fontId="6" fillId="2" borderId="9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center" vertical="top" wrapText="1"/>
    </xf>
    <xf numFmtId="165" fontId="0" fillId="2" borderId="10" xfId="0" applyNumberFormat="1" applyFill="1" applyBorder="1"/>
    <xf numFmtId="0" fontId="5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right" vertical="top" wrapText="1"/>
    </xf>
    <xf numFmtId="0" fontId="2" fillId="0" borderId="0" xfId="0" applyFont="1"/>
    <xf numFmtId="165" fontId="5" fillId="3" borderId="0" xfId="0" applyNumberFormat="1" applyFont="1" applyFill="1" applyAlignment="1">
      <alignment horizontal="right" vertical="top"/>
    </xf>
    <xf numFmtId="0" fontId="0" fillId="11" borderId="0" xfId="0" applyFill="1"/>
    <xf numFmtId="44" fontId="0" fillId="2" borderId="0" xfId="0" applyNumberFormat="1" applyFill="1"/>
    <xf numFmtId="177" fontId="0" fillId="2" borderId="0" xfId="1" applyNumberFormat="1" applyFont="1" applyFill="1"/>
    <xf numFmtId="169" fontId="0" fillId="2" borderId="0" xfId="1" applyNumberFormat="1" applyFont="1" applyFill="1"/>
    <xf numFmtId="0" fontId="15" fillId="2" borderId="0" xfId="0" applyFont="1" applyFill="1"/>
    <xf numFmtId="44" fontId="15" fillId="2" borderId="0" xfId="0" applyNumberFormat="1" applyFont="1" applyFill="1"/>
    <xf numFmtId="0" fontId="2" fillId="12" borderId="1" xfId="0" applyFont="1" applyFill="1" applyBorder="1"/>
    <xf numFmtId="0" fontId="2" fillId="12" borderId="0" xfId="0" applyFont="1" applyFill="1" applyAlignment="1">
      <alignment vertical="top"/>
    </xf>
    <xf numFmtId="0" fontId="2" fillId="12" borderId="0" xfId="0" applyFont="1" applyFill="1"/>
    <xf numFmtId="166" fontId="2" fillId="12" borderId="0" xfId="0" applyNumberFormat="1" applyFont="1" applyFill="1"/>
    <xf numFmtId="174" fontId="0" fillId="2" borderId="0" xfId="0" applyNumberFormat="1" applyFill="1"/>
    <xf numFmtId="174" fontId="0" fillId="2" borderId="3" xfId="0" applyNumberFormat="1" applyFill="1" applyBorder="1"/>
    <xf numFmtId="174" fontId="2" fillId="2" borderId="0" xfId="0" applyNumberFormat="1" applyFont="1" applyFill="1"/>
    <xf numFmtId="174" fontId="2" fillId="12" borderId="0" xfId="0" applyNumberFormat="1" applyFont="1" applyFill="1"/>
    <xf numFmtId="174" fontId="5" fillId="3" borderId="0" xfId="0" applyNumberFormat="1" applyFont="1" applyFill="1" applyAlignment="1">
      <alignment horizontal="right" vertical="top"/>
    </xf>
    <xf numFmtId="174" fontId="0" fillId="2" borderId="0" xfId="1" applyNumberFormat="1" applyFont="1" applyFill="1"/>
    <xf numFmtId="169" fontId="0" fillId="2" borderId="0" xfId="0" applyNumberFormat="1" applyFill="1"/>
    <xf numFmtId="168" fontId="2" fillId="12" borderId="0" xfId="0" applyNumberFormat="1" applyFont="1" applyFill="1"/>
    <xf numFmtId="0" fontId="17" fillId="2" borderId="0" xfId="0" applyFont="1" applyFill="1"/>
    <xf numFmtId="0" fontId="5" fillId="2" borderId="0" xfId="0" applyFont="1" applyFill="1" applyAlignment="1">
      <alignment horizontal="left"/>
    </xf>
    <xf numFmtId="178" fontId="0" fillId="2" borderId="0" xfId="0" applyNumberFormat="1" applyFill="1"/>
    <xf numFmtId="0" fontId="0" fillId="11" borderId="3" xfId="0" applyFill="1" applyBorder="1"/>
    <xf numFmtId="168" fontId="6" fillId="2" borderId="3" xfId="0" applyNumberFormat="1" applyFont="1" applyFill="1" applyBorder="1" applyAlignment="1">
      <alignment horizontal="left" wrapText="1"/>
    </xf>
    <xf numFmtId="167" fontId="0" fillId="2" borderId="3" xfId="0" applyNumberFormat="1" applyFill="1" applyBorder="1"/>
    <xf numFmtId="169" fontId="0" fillId="2" borderId="3" xfId="1" applyNumberFormat="1" applyFont="1" applyFill="1" applyBorder="1"/>
    <xf numFmtId="165" fontId="0" fillId="2" borderId="3" xfId="0" applyNumberFormat="1" applyFill="1" applyBorder="1"/>
    <xf numFmtId="44" fontId="0" fillId="2" borderId="3" xfId="0" applyNumberFormat="1" applyFill="1" applyBorder="1"/>
    <xf numFmtId="174" fontId="0" fillId="2" borderId="3" xfId="1" applyNumberFormat="1" applyFont="1" applyFill="1" applyBorder="1"/>
    <xf numFmtId="0" fontId="0" fillId="11" borderId="11" xfId="0" applyFill="1" applyBorder="1"/>
    <xf numFmtId="0" fontId="7" fillId="3" borderId="14" xfId="0" applyFont="1" applyFill="1" applyBorder="1"/>
    <xf numFmtId="0" fontId="7" fillId="3" borderId="11" xfId="0" applyFont="1" applyFill="1" applyBorder="1"/>
    <xf numFmtId="165" fontId="2" fillId="3" borderId="11" xfId="1" applyNumberFormat="1" applyFont="1" applyFill="1" applyBorder="1"/>
    <xf numFmtId="0" fontId="2" fillId="3" borderId="11" xfId="0" applyFont="1" applyFill="1" applyBorder="1"/>
    <xf numFmtId="0" fontId="2" fillId="3" borderId="7" xfId="0" applyFont="1" applyFill="1" applyBorder="1"/>
    <xf numFmtId="0" fontId="2" fillId="3" borderId="12" xfId="0" applyFont="1" applyFill="1" applyBorder="1"/>
    <xf numFmtId="165" fontId="2" fillId="3" borderId="11" xfId="0" applyNumberFormat="1" applyFont="1" applyFill="1" applyBorder="1"/>
    <xf numFmtId="174" fontId="2" fillId="3" borderId="11" xfId="0" applyNumberFormat="1" applyFont="1" applyFill="1" applyBorder="1"/>
    <xf numFmtId="174" fontId="0" fillId="3" borderId="11" xfId="0" applyNumberFormat="1" applyFill="1" applyBorder="1"/>
    <xf numFmtId="0" fontId="0" fillId="2" borderId="2" xfId="0" applyFill="1" applyBorder="1"/>
    <xf numFmtId="165" fontId="0" fillId="2" borderId="3" xfId="1" applyNumberFormat="1" applyFont="1" applyFill="1" applyBorder="1"/>
    <xf numFmtId="165" fontId="2" fillId="2" borderId="3" xfId="0" applyNumberFormat="1" applyFont="1" applyFill="1" applyBorder="1"/>
    <xf numFmtId="174" fontId="2" fillId="2" borderId="3" xfId="0" applyNumberFormat="1" applyFont="1" applyFill="1" applyBorder="1"/>
    <xf numFmtId="0" fontId="0" fillId="3" borderId="11" xfId="0" applyFill="1" applyBorder="1"/>
    <xf numFmtId="165" fontId="0" fillId="3" borderId="11" xfId="1" applyNumberFormat="1" applyFont="1" applyFill="1" applyBorder="1"/>
    <xf numFmtId="0" fontId="0" fillId="3" borderId="12" xfId="0" applyFill="1" applyBorder="1"/>
    <xf numFmtId="165" fontId="0" fillId="3" borderId="11" xfId="0" applyNumberFormat="1" applyFill="1" applyBorder="1"/>
    <xf numFmtId="0" fontId="2" fillId="3" borderId="14" xfId="0" applyFont="1" applyFill="1" applyBorder="1"/>
    <xf numFmtId="0" fontId="0" fillId="0" borderId="11" xfId="0" applyBorder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9" fontId="0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6" fontId="0" fillId="14" borderId="0" xfId="0" applyNumberFormat="1" applyFill="1"/>
    <xf numFmtId="0" fontId="0" fillId="17" borderId="4" xfId="0" applyFill="1" applyBorder="1" applyAlignment="1">
      <alignment horizontal="center" wrapText="1"/>
    </xf>
    <xf numFmtId="9" fontId="0" fillId="9" borderId="4" xfId="0" applyNumberFormat="1" applyFill="1" applyBorder="1"/>
    <xf numFmtId="3" fontId="0" fillId="9" borderId="4" xfId="0" applyNumberFormat="1" applyFill="1" applyBorder="1"/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wrapText="1"/>
    </xf>
    <xf numFmtId="0" fontId="18" fillId="15" borderId="4" xfId="0" applyFont="1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9" fontId="0" fillId="2" borderId="0" xfId="3" applyFont="1" applyFill="1" applyAlignment="1">
      <alignment vertical="center"/>
    </xf>
    <xf numFmtId="0" fontId="19" fillId="2" borderId="0" xfId="0" applyFont="1" applyFill="1"/>
    <xf numFmtId="174" fontId="0" fillId="2" borderId="1" xfId="0" applyNumberFormat="1" applyFill="1" applyBorder="1"/>
    <xf numFmtId="174" fontId="0" fillId="2" borderId="1" xfId="0" applyNumberFormat="1" applyFill="1" applyBorder="1" applyAlignment="1">
      <alignment horizontal="left"/>
    </xf>
    <xf numFmtId="174" fontId="0" fillId="2" borderId="2" xfId="0" applyNumberFormat="1" applyFill="1" applyBorder="1" applyAlignment="1">
      <alignment horizontal="left"/>
    </xf>
    <xf numFmtId="0" fontId="2" fillId="2" borderId="8" xfId="0" applyFont="1" applyFill="1" applyBorder="1"/>
    <xf numFmtId="0" fontId="0" fillId="0" borderId="8" xfId="0" applyBorder="1"/>
    <xf numFmtId="0" fontId="0" fillId="0" borderId="1" xfId="0" applyBorder="1"/>
    <xf numFmtId="0" fontId="0" fillId="0" borderId="12" xfId="0" applyBorder="1"/>
    <xf numFmtId="0" fontId="0" fillId="0" borderId="14" xfId="0" applyBorder="1"/>
    <xf numFmtId="166" fontId="0" fillId="2" borderId="1" xfId="0" applyNumberFormat="1" applyFill="1" applyBorder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1" fontId="0" fillId="2" borderId="4" xfId="0" applyNumberForma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4" xfId="0" applyFill="1" applyBorder="1"/>
    <xf numFmtId="0" fontId="0" fillId="11" borderId="4" xfId="0" applyFill="1" applyBorder="1"/>
    <xf numFmtId="2" fontId="0" fillId="2" borderId="4" xfId="0" applyNumberFormat="1" applyFill="1" applyBorder="1"/>
    <xf numFmtId="0" fontId="21" fillId="2" borderId="0" xfId="0" applyFont="1" applyFill="1" applyAlignment="1">
      <alignment horizontal="right"/>
    </xf>
    <xf numFmtId="180" fontId="0" fillId="2" borderId="0" xfId="0" applyNumberFormat="1" applyFill="1"/>
    <xf numFmtId="174" fontId="0" fillId="14" borderId="1" xfId="0" applyNumberFormat="1" applyFill="1" applyBorder="1"/>
    <xf numFmtId="9" fontId="0" fillId="0" borderId="0" xfId="3" applyFont="1" applyAlignment="1">
      <alignment horizontal="left"/>
    </xf>
    <xf numFmtId="0" fontId="18" fillId="15" borderId="11" xfId="0" applyFont="1" applyFill="1" applyBorder="1" applyAlignment="1">
      <alignment vertical="center"/>
    </xf>
    <xf numFmtId="181" fontId="0" fillId="0" borderId="0" xfId="0" applyNumberFormat="1"/>
    <xf numFmtId="9" fontId="0" fillId="0" borderId="0" xfId="3" applyFont="1" applyFill="1" applyAlignment="1">
      <alignment horizontal="left"/>
    </xf>
    <xf numFmtId="9" fontId="0" fillId="0" borderId="0" xfId="3" applyFont="1" applyFill="1" applyAlignment="1">
      <alignment horizontal="center"/>
    </xf>
    <xf numFmtId="181" fontId="0" fillId="19" borderId="0" xfId="0" applyNumberFormat="1" applyFill="1"/>
    <xf numFmtId="181" fontId="0" fillId="2" borderId="0" xfId="0" applyNumberFormat="1" applyFill="1"/>
    <xf numFmtId="181" fontId="0" fillId="2" borderId="3" xfId="0" applyNumberFormat="1" applyFill="1" applyBorder="1"/>
    <xf numFmtId="181" fontId="2" fillId="2" borderId="0" xfId="0" applyNumberFormat="1" applyFont="1" applyFill="1"/>
    <xf numFmtId="181" fontId="0" fillId="3" borderId="11" xfId="0" applyNumberFormat="1" applyFill="1" applyBorder="1"/>
    <xf numFmtId="181" fontId="2" fillId="12" borderId="0" xfId="0" applyNumberFormat="1" applyFont="1" applyFill="1"/>
    <xf numFmtId="181" fontId="0" fillId="3" borderId="0" xfId="0" applyNumberFormat="1" applyFill="1"/>
    <xf numFmtId="181" fontId="0" fillId="2" borderId="0" xfId="0" applyNumberFormat="1" applyFill="1" applyAlignment="1">
      <alignment horizontal="right"/>
    </xf>
    <xf numFmtId="181" fontId="0" fillId="14" borderId="0" xfId="0" applyNumberFormat="1" applyFill="1"/>
    <xf numFmtId="181" fontId="0" fillId="2" borderId="0" xfId="1" applyNumberFormat="1" applyFont="1" applyFill="1" applyBorder="1"/>
    <xf numFmtId="181" fontId="0" fillId="14" borderId="0" xfId="1" applyNumberFormat="1" applyFont="1" applyFill="1" applyBorder="1"/>
    <xf numFmtId="181" fontId="18" fillId="15" borderId="4" xfId="0" applyNumberFormat="1" applyFont="1" applyFill="1" applyBorder="1" applyAlignment="1">
      <alignment horizontal="center" vertical="center"/>
    </xf>
    <xf numFmtId="166" fontId="0" fillId="2" borderId="2" xfId="0" applyNumberFormat="1" applyFill="1" applyBorder="1"/>
    <xf numFmtId="166" fontId="2" fillId="2" borderId="1" xfId="0" applyNumberFormat="1" applyFont="1" applyFill="1" applyBorder="1"/>
    <xf numFmtId="166" fontId="0" fillId="3" borderId="14" xfId="0" applyNumberFormat="1" applyFill="1" applyBorder="1"/>
    <xf numFmtId="166" fontId="2" fillId="12" borderId="1" xfId="0" applyNumberFormat="1" applyFont="1" applyFill="1" applyBorder="1"/>
    <xf numFmtId="166" fontId="0" fillId="3" borderId="1" xfId="0" applyNumberFormat="1" applyFill="1" applyBorder="1"/>
    <xf numFmtId="166" fontId="0" fillId="2" borderId="1" xfId="0" applyNumberFormat="1" applyFill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166" fontId="0" fillId="14" borderId="1" xfId="0" applyNumberFormat="1" applyFill="1" applyBorder="1"/>
    <xf numFmtId="166" fontId="0" fillId="2" borderId="3" xfId="0" applyNumberFormat="1" applyFill="1" applyBorder="1"/>
    <xf numFmtId="166" fontId="2" fillId="2" borderId="0" xfId="0" applyNumberFormat="1" applyFont="1" applyFill="1"/>
    <xf numFmtId="166" fontId="0" fillId="3" borderId="11" xfId="0" applyNumberFormat="1" applyFill="1" applyBorder="1"/>
    <xf numFmtId="166" fontId="0" fillId="2" borderId="0" xfId="0" applyNumberFormat="1" applyFill="1" applyAlignment="1">
      <alignment horizontal="left"/>
    </xf>
    <xf numFmtId="174" fontId="0" fillId="2" borderId="0" xfId="0" applyNumberFormat="1" applyFill="1" applyAlignment="1">
      <alignment horizontal="left"/>
    </xf>
    <xf numFmtId="174" fontId="0" fillId="14" borderId="0" xfId="0" applyNumberFormat="1" applyFill="1"/>
    <xf numFmtId="0" fontId="2" fillId="2" borderId="4" xfId="0" applyFont="1" applyFill="1" applyBorder="1" applyAlignment="1">
      <alignment horizontal="center" vertical="center"/>
    </xf>
    <xf numFmtId="2" fontId="0" fillId="2" borderId="0" xfId="0" applyNumberFormat="1" applyFill="1"/>
    <xf numFmtId="0" fontId="2" fillId="13" borderId="4" xfId="0" applyFont="1" applyFill="1" applyBorder="1"/>
    <xf numFmtId="165" fontId="2" fillId="13" borderId="4" xfId="0" applyNumberFormat="1" applyFont="1" applyFill="1" applyBorder="1" applyAlignment="1">
      <alignment horizontal="center" vertical="center" wrapText="1"/>
    </xf>
    <xf numFmtId="165" fontId="2" fillId="13" borderId="4" xfId="0" applyNumberFormat="1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 wrapText="1"/>
    </xf>
    <xf numFmtId="0" fontId="18" fillId="15" borderId="1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23" fillId="20" borderId="0" xfId="0" applyFont="1" applyFill="1" applyAlignment="1">
      <alignment horizontal="center" vertical="center" wrapText="1"/>
    </xf>
    <xf numFmtId="9" fontId="0" fillId="9" borderId="0" xfId="0" applyNumberFormat="1" applyFill="1" applyAlignment="1">
      <alignment horizontal="left" vertical="center"/>
    </xf>
    <xf numFmtId="174" fontId="0" fillId="2" borderId="17" xfId="0" applyNumberFormat="1" applyFill="1" applyBorder="1"/>
    <xf numFmtId="174" fontId="0" fillId="2" borderId="2" xfId="0" applyNumberFormat="1" applyFill="1" applyBorder="1"/>
    <xf numFmtId="174" fontId="2" fillId="2" borderId="1" xfId="0" applyNumberFormat="1" applyFont="1" applyFill="1" applyBorder="1"/>
    <xf numFmtId="174" fontId="0" fillId="3" borderId="14" xfId="0" applyNumberFormat="1" applyFill="1" applyBorder="1"/>
    <xf numFmtId="174" fontId="2" fillId="12" borderId="1" xfId="0" applyNumberFormat="1" applyFont="1" applyFill="1" applyBorder="1"/>
    <xf numFmtId="174" fontId="0" fillId="3" borderId="1" xfId="0" applyNumberFormat="1" applyFill="1" applyBorder="1"/>
    <xf numFmtId="181" fontId="0" fillId="2" borderId="3" xfId="1" applyNumberFormat="1" applyFont="1" applyFill="1" applyBorder="1"/>
    <xf numFmtId="181" fontId="2" fillId="2" borderId="0" xfId="1" applyNumberFormat="1" applyFont="1" applyFill="1" applyBorder="1"/>
    <xf numFmtId="181" fontId="0" fillId="3" borderId="11" xfId="1" applyNumberFormat="1" applyFont="1" applyFill="1" applyBorder="1"/>
    <xf numFmtId="181" fontId="2" fillId="12" borderId="19" xfId="1" applyNumberFormat="1" applyFont="1" applyFill="1" applyBorder="1"/>
    <xf numFmtId="181" fontId="0" fillId="3" borderId="0" xfId="1" applyNumberFormat="1" applyFont="1" applyFill="1" applyBorder="1"/>
    <xf numFmtId="181" fontId="0" fillId="2" borderId="0" xfId="1" applyNumberFormat="1" applyFont="1" applyFill="1" applyBorder="1" applyAlignment="1">
      <alignment horizontal="right"/>
    </xf>
    <xf numFmtId="174" fontId="0" fillId="2" borderId="18" xfId="0" applyNumberFormat="1" applyFill="1" applyBorder="1"/>
    <xf numFmtId="174" fontId="0" fillId="2" borderId="8" xfId="0" applyNumberFormat="1" applyFill="1" applyBorder="1"/>
    <xf numFmtId="174" fontId="0" fillId="2" borderId="9" xfId="0" applyNumberFormat="1" applyFill="1" applyBorder="1"/>
    <xf numFmtId="174" fontId="2" fillId="2" borderId="8" xfId="0" applyNumberFormat="1" applyFont="1" applyFill="1" applyBorder="1"/>
    <xf numFmtId="174" fontId="0" fillId="3" borderId="12" xfId="0" applyNumberFormat="1" applyFill="1" applyBorder="1"/>
    <xf numFmtId="174" fontId="2" fillId="12" borderId="8" xfId="0" applyNumberFormat="1" applyFont="1" applyFill="1" applyBorder="1"/>
    <xf numFmtId="9" fontId="0" fillId="2" borderId="8" xfId="3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9" fontId="0" fillId="2" borderId="0" xfId="3" applyFont="1" applyFill="1" applyAlignment="1">
      <alignment horizontal="center"/>
    </xf>
    <xf numFmtId="9" fontId="0" fillId="2" borderId="3" xfId="3" applyFont="1" applyFill="1" applyBorder="1" applyAlignment="1">
      <alignment horizontal="center"/>
    </xf>
    <xf numFmtId="9" fontId="0" fillId="2" borderId="0" xfId="3" applyFont="1" applyFill="1" applyBorder="1" applyAlignment="1">
      <alignment horizontal="center" vertical="center"/>
    </xf>
    <xf numFmtId="9" fontId="0" fillId="2" borderId="3" xfId="3" applyFont="1" applyFill="1" applyBorder="1" applyAlignment="1">
      <alignment horizontal="center" vertical="center"/>
    </xf>
    <xf numFmtId="181" fontId="0" fillId="2" borderId="3" xfId="0" applyNumberFormat="1" applyFill="1" applyBorder="1" applyAlignment="1">
      <alignment horizontal="left"/>
    </xf>
    <xf numFmtId="1" fontId="0" fillId="2" borderId="4" xfId="0" applyNumberFormat="1" applyFill="1" applyBorder="1"/>
    <xf numFmtId="9" fontId="0" fillId="2" borderId="0" xfId="3" applyFont="1" applyFill="1" applyAlignment="1">
      <alignment horizontal="center" vertical="center"/>
    </xf>
    <xf numFmtId="9" fontId="0" fillId="2" borderId="8" xfId="3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0" fillId="2" borderId="13" xfId="0" applyFill="1" applyBorder="1"/>
    <xf numFmtId="1" fontId="0" fillId="2" borderId="13" xfId="0" applyNumberFormat="1" applyFill="1" applyBorder="1"/>
    <xf numFmtId="0" fontId="0" fillId="2" borderId="15" xfId="0" applyFill="1" applyBorder="1"/>
    <xf numFmtId="1" fontId="0" fillId="2" borderId="15" xfId="0" applyNumberFormat="1" applyFill="1" applyBorder="1"/>
    <xf numFmtId="1" fontId="0" fillId="2" borderId="0" xfId="0" applyNumberFormat="1" applyFill="1"/>
    <xf numFmtId="0" fontId="18" fillId="2" borderId="0" xfId="0" applyFont="1" applyFill="1" applyAlignment="1">
      <alignment horizontal="center" vertical="center"/>
    </xf>
    <xf numFmtId="182" fontId="2" fillId="19" borderId="1" xfId="1" applyNumberFormat="1" applyFont="1" applyFill="1" applyBorder="1"/>
    <xf numFmtId="166" fontId="0" fillId="19" borderId="1" xfId="0" applyNumberFormat="1" applyFill="1" applyBorder="1"/>
    <xf numFmtId="183" fontId="0" fillId="0" borderId="0" xfId="0" applyNumberFormat="1"/>
    <xf numFmtId="183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 vertical="center"/>
    </xf>
    <xf numFmtId="183" fontId="0" fillId="2" borderId="8" xfId="0" applyNumberFormat="1" applyFill="1" applyBorder="1"/>
    <xf numFmtId="183" fontId="0" fillId="3" borderId="12" xfId="0" applyNumberFormat="1" applyFill="1" applyBorder="1"/>
    <xf numFmtId="183" fontId="0" fillId="3" borderId="8" xfId="0" applyNumberFormat="1" applyFill="1" applyBorder="1"/>
    <xf numFmtId="183" fontId="0" fillId="2" borderId="8" xfId="0" applyNumberFormat="1" applyFill="1" applyBorder="1" applyAlignment="1">
      <alignment horizontal="left"/>
    </xf>
    <xf numFmtId="0" fontId="0" fillId="9" borderId="0" xfId="0" applyFill="1"/>
    <xf numFmtId="0" fontId="0" fillId="17" borderId="0" xfId="0" applyFill="1"/>
    <xf numFmtId="183" fontId="0" fillId="17" borderId="0" xfId="0" applyNumberFormat="1" applyFill="1"/>
    <xf numFmtId="166" fontId="0" fillId="21" borderId="22" xfId="0" applyNumberFormat="1" applyFill="1" applyBorder="1"/>
    <xf numFmtId="0" fontId="0" fillId="21" borderId="0" xfId="0" applyFill="1"/>
    <xf numFmtId="9" fontId="24" fillId="21" borderId="0" xfId="0" applyNumberFormat="1" applyFont="1" applyFill="1" applyAlignment="1">
      <alignment horizontal="center" vertical="center"/>
    </xf>
    <xf numFmtId="0" fontId="0" fillId="17" borderId="24" xfId="0" applyFill="1" applyBorder="1"/>
    <xf numFmtId="0" fontId="2" fillId="21" borderId="27" xfId="0" applyFont="1" applyFill="1" applyBorder="1"/>
    <xf numFmtId="0" fontId="0" fillId="21" borderId="28" xfId="0" applyFill="1" applyBorder="1"/>
    <xf numFmtId="0" fontId="2" fillId="21" borderId="28" xfId="0" applyFont="1" applyFill="1" applyBorder="1"/>
    <xf numFmtId="0" fontId="2" fillId="17" borderId="26" xfId="0" applyFont="1" applyFill="1" applyBorder="1"/>
    <xf numFmtId="0" fontId="0" fillId="21" borderId="4" xfId="0" applyFill="1" applyBorder="1" applyAlignment="1">
      <alignment horizontal="center" wrapText="1"/>
    </xf>
    <xf numFmtId="182" fontId="2" fillId="0" borderId="1" xfId="1" applyNumberFormat="1" applyFont="1" applyFill="1" applyBorder="1"/>
    <xf numFmtId="0" fontId="7" fillId="0" borderId="0" xfId="0" applyFont="1"/>
    <xf numFmtId="165" fontId="2" fillId="0" borderId="0" xfId="1" applyNumberFormat="1" applyFont="1" applyFill="1" applyBorder="1"/>
    <xf numFmtId="0" fontId="0" fillId="0" borderId="6" xfId="0" applyBorder="1"/>
    <xf numFmtId="183" fontId="0" fillId="0" borderId="8" xfId="0" applyNumberFormat="1" applyBorder="1"/>
    <xf numFmtId="166" fontId="0" fillId="0" borderId="1" xfId="0" applyNumberFormat="1" applyBorder="1"/>
    <xf numFmtId="0" fontId="2" fillId="17" borderId="0" xfId="0" applyFont="1" applyFill="1"/>
    <xf numFmtId="168" fontId="6" fillId="17" borderId="0" xfId="0" applyNumberFormat="1" applyFont="1" applyFill="1" applyAlignment="1">
      <alignment horizontal="left" wrapText="1"/>
    </xf>
    <xf numFmtId="168" fontId="0" fillId="17" borderId="0" xfId="0" applyNumberFormat="1" applyFill="1"/>
    <xf numFmtId="169" fontId="0" fillId="17" borderId="0" xfId="1" applyNumberFormat="1" applyFont="1" applyFill="1"/>
    <xf numFmtId="44" fontId="0" fillId="17" borderId="0" xfId="0" applyNumberFormat="1" applyFill="1"/>
    <xf numFmtId="174" fontId="0" fillId="17" borderId="0" xfId="1" applyNumberFormat="1" applyFont="1" applyFill="1"/>
    <xf numFmtId="9" fontId="0" fillId="17" borderId="0" xfId="3" applyFont="1" applyFill="1" applyBorder="1" applyAlignment="1">
      <alignment horizontal="center"/>
    </xf>
    <xf numFmtId="194" fontId="0" fillId="17" borderId="1" xfId="0" applyNumberFormat="1" applyFill="1" applyBorder="1"/>
    <xf numFmtId="193" fontId="0" fillId="17" borderId="0" xfId="0" applyNumberFormat="1" applyFill="1"/>
    <xf numFmtId="0" fontId="11" fillId="0" borderId="0" xfId="0" applyFont="1" applyAlignment="1">
      <alignment vertical="top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171" fontId="11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172" fontId="11" fillId="0" borderId="0" xfId="7" applyNumberFormat="1" applyFont="1" applyFill="1" applyAlignment="1">
      <alignment horizontal="right" vertical="center"/>
    </xf>
    <xf numFmtId="173" fontId="11" fillId="0" borderId="0" xfId="8" applyNumberFormat="1" applyFont="1" applyFill="1" applyAlignment="1">
      <alignment horizontal="right" vertical="center"/>
    </xf>
    <xf numFmtId="195" fontId="0" fillId="2" borderId="0" xfId="0" applyNumberFormat="1" applyFill="1"/>
    <xf numFmtId="171" fontId="11" fillId="9" borderId="0" xfId="0" applyNumberFormat="1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0" fontId="18" fillId="22" borderId="29" xfId="0" applyFont="1" applyFill="1" applyBorder="1" applyAlignment="1">
      <alignment horizontal="center" vertical="center"/>
    </xf>
    <xf numFmtId="0" fontId="19" fillId="22" borderId="0" xfId="0" applyFont="1" applyFill="1" applyAlignment="1">
      <alignment horizontal="right"/>
    </xf>
    <xf numFmtId="0" fontId="27" fillId="2" borderId="0" xfId="0" applyFont="1" applyFill="1" applyAlignment="1">
      <alignment vertical="center"/>
    </xf>
    <xf numFmtId="0" fontId="19" fillId="22" borderId="18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horizontal="center" vertical="center"/>
    </xf>
    <xf numFmtId="43" fontId="0" fillId="2" borderId="0" xfId="2" applyFont="1" applyFill="1" applyBorder="1" applyAlignment="1">
      <alignment horizontal="center" vertical="center" wrapText="1"/>
    </xf>
    <xf numFmtId="43" fontId="0" fillId="2" borderId="0" xfId="2" applyFont="1" applyFill="1" applyBorder="1"/>
    <xf numFmtId="0" fontId="0" fillId="2" borderId="0" xfId="0" applyFill="1" applyAlignment="1">
      <alignment horizontal="center" vertical="center" wrapText="1"/>
    </xf>
    <xf numFmtId="0" fontId="0" fillId="2" borderId="18" xfId="0" applyFill="1" applyBorder="1"/>
    <xf numFmtId="0" fontId="0" fillId="2" borderId="20" xfId="0" applyFill="1" applyBorder="1"/>
    <xf numFmtId="0" fontId="0" fillId="2" borderId="17" xfId="0" applyFill="1" applyBorder="1"/>
    <xf numFmtId="43" fontId="0" fillId="2" borderId="0" xfId="2" applyFont="1" applyFill="1" applyBorder="1" applyAlignment="1">
      <alignment horizontal="center" vertical="center"/>
    </xf>
    <xf numFmtId="0" fontId="6" fillId="2" borderId="8" xfId="0" applyFont="1" applyFill="1" applyBorder="1"/>
    <xf numFmtId="0" fontId="6" fillId="2" borderId="11" xfId="0" applyFont="1" applyFill="1" applyBorder="1"/>
    <xf numFmtId="0" fontId="0" fillId="2" borderId="11" xfId="0" applyFill="1" applyBorder="1"/>
    <xf numFmtId="4" fontId="0" fillId="23" borderId="11" xfId="2" applyNumberFormat="1" applyFont="1" applyFill="1" applyBorder="1" applyAlignment="1">
      <alignment horizontal="center" vertical="center"/>
    </xf>
    <xf numFmtId="4" fontId="0" fillId="2" borderId="11" xfId="2" applyNumberFormat="1" applyFont="1" applyFill="1" applyBorder="1"/>
    <xf numFmtId="4" fontId="0" fillId="2" borderId="11" xfId="2" applyNumberFormat="1" applyFont="1" applyFill="1" applyBorder="1" applyAlignment="1">
      <alignment horizontal="center" vertical="center"/>
    </xf>
    <xf numFmtId="9" fontId="0" fillId="2" borderId="11" xfId="3" applyFont="1" applyFill="1" applyBorder="1"/>
    <xf numFmtId="0" fontId="0" fillId="5" borderId="11" xfId="0" applyFill="1" applyBorder="1"/>
    <xf numFmtId="0" fontId="2" fillId="5" borderId="11" xfId="0" applyFont="1" applyFill="1" applyBorder="1" applyAlignment="1">
      <alignment horizontal="center"/>
    </xf>
    <xf numFmtId="0" fontId="6" fillId="2" borderId="0" xfId="0" applyFont="1" applyFill="1"/>
    <xf numFmtId="4" fontId="0" fillId="23" borderId="0" xfId="2" applyNumberFormat="1" applyFont="1" applyFill="1" applyBorder="1" applyAlignment="1">
      <alignment horizontal="center" vertical="center"/>
    </xf>
    <xf numFmtId="4" fontId="0" fillId="2" borderId="0" xfId="2" applyNumberFormat="1" applyFont="1" applyFill="1" applyBorder="1"/>
    <xf numFmtId="4" fontId="0" fillId="2" borderId="0" xfId="2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2" borderId="11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3" fontId="0" fillId="2" borderId="16" xfId="2" applyNumberFormat="1" applyFont="1" applyFill="1" applyBorder="1" applyAlignment="1">
      <alignment horizontal="center"/>
    </xf>
    <xf numFmtId="0" fontId="0" fillId="2" borderId="16" xfId="0" applyFill="1" applyBorder="1" applyAlignment="1">
      <alignment horizontal="right"/>
    </xf>
    <xf numFmtId="4" fontId="0" fillId="2" borderId="0" xfId="0" applyNumberFormat="1" applyFill="1" applyAlignment="1">
      <alignment horizontal="center" vertical="center"/>
    </xf>
    <xf numFmtId="0" fontId="6" fillId="2" borderId="20" xfId="0" applyFont="1" applyFill="1" applyBorder="1"/>
    <xf numFmtId="4" fontId="0" fillId="23" borderId="20" xfId="2" applyNumberFormat="1" applyFont="1" applyFill="1" applyBorder="1" applyAlignment="1">
      <alignment horizontal="center" vertical="center"/>
    </xf>
    <xf numFmtId="4" fontId="0" fillId="2" borderId="20" xfId="2" applyNumberFormat="1" applyFont="1" applyFill="1" applyBorder="1"/>
    <xf numFmtId="4" fontId="0" fillId="2" borderId="20" xfId="2" applyNumberFormat="1" applyFont="1" applyFill="1" applyBorder="1" applyAlignment="1">
      <alignment horizontal="center" vertical="center"/>
    </xf>
    <xf numFmtId="10" fontId="0" fillId="2" borderId="16" xfId="3" applyNumberFormat="1" applyFont="1" applyFill="1" applyBorder="1" applyAlignment="1">
      <alignment horizontal="center"/>
    </xf>
    <xf numFmtId="4" fontId="2" fillId="23" borderId="3" xfId="2" applyNumberFormat="1" applyFont="1" applyFill="1" applyBorder="1" applyAlignment="1">
      <alignment horizontal="center" vertical="center"/>
    </xf>
    <xf numFmtId="4" fontId="2" fillId="2" borderId="3" xfId="2" applyNumberFormat="1" applyFont="1" applyFill="1" applyBorder="1"/>
    <xf numFmtId="4" fontId="2" fillId="2" borderId="3" xfId="2" applyNumberFormat="1" applyFont="1" applyFill="1" applyBorder="1" applyAlignment="1">
      <alignment horizontal="center" vertical="center"/>
    </xf>
    <xf numFmtId="10" fontId="2" fillId="2" borderId="3" xfId="3" applyNumberFormat="1" applyFont="1" applyFill="1" applyBorder="1"/>
    <xf numFmtId="0" fontId="6" fillId="2" borderId="19" xfId="0" applyFont="1" applyFill="1" applyBorder="1"/>
    <xf numFmtId="0" fontId="0" fillId="2" borderId="19" xfId="0" applyFill="1" applyBorder="1"/>
    <xf numFmtId="4" fontId="0" fillId="2" borderId="19" xfId="2" applyNumberFormat="1" applyFont="1" applyFill="1" applyBorder="1" applyAlignment="1">
      <alignment horizontal="center" vertical="center"/>
    </xf>
    <xf numFmtId="4" fontId="0" fillId="2" borderId="19" xfId="2" applyNumberFormat="1" applyFont="1" applyFill="1" applyBorder="1"/>
    <xf numFmtId="0" fontId="0" fillId="2" borderId="12" xfId="0" applyFill="1" applyBorder="1"/>
    <xf numFmtId="3" fontId="0" fillId="2" borderId="11" xfId="0" applyNumberFormat="1" applyFill="1" applyBorder="1" applyAlignment="1">
      <alignment horizontal="center"/>
    </xf>
    <xf numFmtId="0" fontId="0" fillId="2" borderId="14" xfId="0" applyFill="1" applyBorder="1"/>
    <xf numFmtId="0" fontId="6" fillId="2" borderId="16" xfId="0" applyFont="1" applyFill="1" applyBorder="1"/>
    <xf numFmtId="4" fontId="28" fillId="2" borderId="16" xfId="2" applyNumberFormat="1" applyFont="1" applyFill="1" applyBorder="1" applyAlignment="1">
      <alignment horizontal="center" vertical="center"/>
    </xf>
    <xf numFmtId="4" fontId="0" fillId="2" borderId="16" xfId="2" applyNumberFormat="1" applyFont="1" applyFill="1" applyBorder="1" applyAlignment="1">
      <alignment horizontal="center" vertical="center"/>
    </xf>
    <xf numFmtId="4" fontId="0" fillId="2" borderId="16" xfId="2" applyNumberFormat="1" applyFont="1" applyFill="1" applyBorder="1"/>
    <xf numFmtId="9" fontId="0" fillId="2" borderId="0" xfId="3" applyFont="1" applyFill="1" applyBorder="1"/>
    <xf numFmtId="0" fontId="6" fillId="24" borderId="11" xfId="0" applyFont="1" applyFill="1" applyBorder="1"/>
    <xf numFmtId="0" fontId="0" fillId="24" borderId="11" xfId="0" applyFill="1" applyBorder="1"/>
    <xf numFmtId="4" fontId="0" fillId="24" borderId="11" xfId="2" applyNumberFormat="1" applyFont="1" applyFill="1" applyBorder="1" applyAlignment="1">
      <alignment horizontal="center" vertical="center"/>
    </xf>
    <xf numFmtId="4" fontId="0" fillId="24" borderId="11" xfId="2" applyNumberFormat="1" applyFont="1" applyFill="1" applyBorder="1"/>
    <xf numFmtId="9" fontId="0" fillId="24" borderId="11" xfId="3" applyFont="1" applyFill="1" applyBorder="1"/>
    <xf numFmtId="0" fontId="6" fillId="24" borderId="0" xfId="0" applyFont="1" applyFill="1"/>
    <xf numFmtId="0" fontId="0" fillId="24" borderId="0" xfId="0" applyFill="1"/>
    <xf numFmtId="4" fontId="0" fillId="24" borderId="0" xfId="2" applyNumberFormat="1" applyFont="1" applyFill="1" applyBorder="1" applyAlignment="1">
      <alignment horizontal="center" vertical="center"/>
    </xf>
    <xf numFmtId="4" fontId="0" fillId="24" borderId="0" xfId="2" applyNumberFormat="1" applyFont="1" applyFill="1" applyBorder="1"/>
    <xf numFmtId="9" fontId="0" fillId="24" borderId="0" xfId="3" applyFont="1" applyFill="1" applyBorder="1"/>
    <xf numFmtId="0" fontId="0" fillId="2" borderId="11" xfId="0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70" fontId="0" fillId="2" borderId="11" xfId="0" applyNumberFormat="1" applyFill="1" applyBorder="1" applyAlignment="1">
      <alignment horizontal="center" vertical="center"/>
    </xf>
    <xf numFmtId="170" fontId="0" fillId="2" borderId="11" xfId="0" applyNumberFormat="1" applyFill="1" applyBorder="1"/>
    <xf numFmtId="43" fontId="0" fillId="2" borderId="0" xfId="2" applyFont="1" applyFill="1" applyAlignment="1">
      <alignment horizontal="center" vertical="center" wrapText="1"/>
    </xf>
    <xf numFmtId="43" fontId="0" fillId="2" borderId="0" xfId="2" applyFont="1" applyFill="1"/>
    <xf numFmtId="43" fontId="0" fillId="2" borderId="0" xfId="2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" fontId="24" fillId="23" borderId="11" xfId="2" applyNumberFormat="1" applyFont="1" applyFill="1" applyBorder="1" applyAlignment="1">
      <alignment horizontal="center" vertical="center"/>
    </xf>
    <xf numFmtId="43" fontId="0" fillId="0" borderId="0" xfId="2" applyFont="1"/>
    <xf numFmtId="170" fontId="0" fillId="0" borderId="0" xfId="2" applyNumberFormat="1" applyFont="1" applyAlignment="1">
      <alignment horizontal="center" vertical="center"/>
    </xf>
    <xf numFmtId="0" fontId="5" fillId="9" borderId="0" xfId="0" applyFont="1" applyFill="1"/>
    <xf numFmtId="197" fontId="5" fillId="9" borderId="0" xfId="0" applyNumberFormat="1" applyFont="1" applyFill="1" applyAlignment="1">
      <alignment horizontal="center" vertical="center"/>
    </xf>
    <xf numFmtId="198" fontId="5" fillId="9" borderId="0" xfId="0" applyNumberFormat="1" applyFont="1" applyFill="1" applyAlignment="1">
      <alignment horizontal="center" vertical="center"/>
    </xf>
    <xf numFmtId="199" fontId="0" fillId="21" borderId="21" xfId="0" applyNumberFormat="1" applyFill="1" applyBorder="1"/>
    <xf numFmtId="199" fontId="0" fillId="21" borderId="23" xfId="0" applyNumberFormat="1" applyFill="1" applyBorder="1"/>
    <xf numFmtId="199" fontId="0" fillId="17" borderId="25" xfId="0" applyNumberFormat="1" applyFill="1" applyBorder="1"/>
    <xf numFmtId="199" fontId="0" fillId="0" borderId="0" xfId="0" applyNumberFormat="1"/>
    <xf numFmtId="199" fontId="6" fillId="0" borderId="0" xfId="0" applyNumberFormat="1" applyFont="1"/>
    <xf numFmtId="199" fontId="0" fillId="21" borderId="0" xfId="0" applyNumberFormat="1" applyFill="1"/>
    <xf numFmtId="199" fontId="0" fillId="0" borderId="0" xfId="0" applyNumberFormat="1" applyAlignment="1">
      <alignment horizontal="center"/>
    </xf>
    <xf numFmtId="199" fontId="0" fillId="8" borderId="0" xfId="0" applyNumberFormat="1" applyFill="1"/>
    <xf numFmtId="199" fontId="0" fillId="2" borderId="8" xfId="0" applyNumberFormat="1" applyFill="1" applyBorder="1" applyAlignment="1">
      <alignment horizontal="right"/>
    </xf>
    <xf numFmtId="199" fontId="0" fillId="2" borderId="9" xfId="0" applyNumberFormat="1" applyFill="1" applyBorder="1" applyAlignment="1">
      <alignment horizontal="right"/>
    </xf>
    <xf numFmtId="166" fontId="0" fillId="4" borderId="4" xfId="0" applyNumberFormat="1" applyFill="1" applyBorder="1" applyAlignment="1">
      <alignment horizontal="right"/>
    </xf>
    <xf numFmtId="199" fontId="0" fillId="2" borderId="8" xfId="0" applyNumberFormat="1" applyFill="1" applyBorder="1"/>
    <xf numFmtId="199" fontId="0" fillId="2" borderId="9" xfId="0" applyNumberFormat="1" applyFill="1" applyBorder="1"/>
    <xf numFmtId="199" fontId="2" fillId="2" borderId="8" xfId="0" applyNumberFormat="1" applyFont="1" applyFill="1" applyBorder="1"/>
    <xf numFmtId="199" fontId="0" fillId="19" borderId="8" xfId="0" applyNumberFormat="1" applyFill="1" applyBorder="1"/>
    <xf numFmtId="199" fontId="0" fillId="14" borderId="8" xfId="0" applyNumberFormat="1" applyFill="1" applyBorder="1"/>
    <xf numFmtId="199" fontId="0" fillId="17" borderId="8" xfId="0" applyNumberFormat="1" applyFill="1" applyBorder="1"/>
    <xf numFmtId="199" fontId="0" fillId="3" borderId="12" xfId="0" applyNumberFormat="1" applyFill="1" applyBorder="1"/>
    <xf numFmtId="199" fontId="2" fillId="12" borderId="8" xfId="0" applyNumberFormat="1" applyFont="1" applyFill="1" applyBorder="1"/>
    <xf numFmtId="199" fontId="0" fillId="2" borderId="0" xfId="0" applyNumberFormat="1" applyFill="1"/>
    <xf numFmtId="199" fontId="0" fillId="21" borderId="4" xfId="0" applyNumberFormat="1" applyFill="1" applyBorder="1" applyAlignment="1">
      <alignment horizontal="center" vertical="center"/>
    </xf>
    <xf numFmtId="199" fontId="0" fillId="0" borderId="4" xfId="0" applyNumberFormat="1" applyBorder="1" applyAlignment="1">
      <alignment horizontal="center" vertical="center"/>
    </xf>
    <xf numFmtId="199" fontId="0" fillId="2" borderId="4" xfId="0" applyNumberFormat="1" applyFill="1" applyBorder="1" applyAlignment="1">
      <alignment horizontal="center" vertical="center"/>
    </xf>
    <xf numFmtId="199" fontId="0" fillId="14" borderId="0" xfId="0" applyNumberFormat="1" applyFill="1" applyAlignment="1">
      <alignment vertical="center"/>
    </xf>
    <xf numFmtId="199" fontId="0" fillId="9" borderId="5" xfId="0" applyNumberFormat="1" applyFill="1" applyBorder="1" applyAlignment="1">
      <alignment vertical="center"/>
    </xf>
    <xf numFmtId="183" fontId="0" fillId="9" borderId="5" xfId="0" applyNumberFormat="1" applyFill="1" applyBorder="1" applyAlignment="1">
      <alignment vertical="center"/>
    </xf>
    <xf numFmtId="199" fontId="0" fillId="0" borderId="5" xfId="0" applyNumberFormat="1" applyBorder="1" applyAlignment="1">
      <alignment vertical="center"/>
    </xf>
    <xf numFmtId="199" fontId="0" fillId="8" borderId="6" xfId="0" applyNumberFormat="1" applyFill="1" applyBorder="1"/>
    <xf numFmtId="183" fontId="0" fillId="8" borderId="6" xfId="0" applyNumberFormat="1" applyFill="1" applyBorder="1"/>
    <xf numFmtId="199" fontId="0" fillId="0" borderId="6" xfId="0" applyNumberFormat="1" applyBorder="1" applyAlignment="1">
      <alignment vertical="center"/>
    </xf>
    <xf numFmtId="183" fontId="0" fillId="0" borderId="6" xfId="0" applyNumberFormat="1" applyBorder="1" applyAlignment="1">
      <alignment vertical="center"/>
    </xf>
    <xf numFmtId="199" fontId="0" fillId="16" borderId="6" xfId="0" applyNumberFormat="1" applyFill="1" applyBorder="1"/>
    <xf numFmtId="183" fontId="0" fillId="16" borderId="6" xfId="0" applyNumberFormat="1" applyFill="1" applyBorder="1"/>
    <xf numFmtId="199" fontId="0" fillId="17" borderId="7" xfId="0" applyNumberFormat="1" applyFill="1" applyBorder="1" applyAlignment="1">
      <alignment vertical="center"/>
    </xf>
    <xf numFmtId="183" fontId="0" fillId="17" borderId="7" xfId="0" applyNumberFormat="1" applyFill="1" applyBorder="1" applyAlignment="1">
      <alignment vertical="center"/>
    </xf>
    <xf numFmtId="199" fontId="0" fillId="0" borderId="7" xfId="0" applyNumberFormat="1" applyBorder="1" applyAlignment="1">
      <alignment vertical="center"/>
    </xf>
    <xf numFmtId="199" fontId="19" fillId="18" borderId="7" xfId="0" applyNumberFormat="1" applyFont="1" applyFill="1" applyBorder="1" applyAlignment="1">
      <alignment vertical="center"/>
    </xf>
    <xf numFmtId="183" fontId="19" fillId="18" borderId="7" xfId="0" applyNumberFormat="1" applyFont="1" applyFill="1" applyBorder="1" applyAlignment="1">
      <alignment vertical="center"/>
    </xf>
    <xf numFmtId="199" fontId="0" fillId="2" borderId="7" xfId="0" applyNumberFormat="1" applyFill="1" applyBorder="1" applyAlignment="1">
      <alignment vertical="center"/>
    </xf>
    <xf numFmtId="166" fontId="0" fillId="9" borderId="1" xfId="0" applyNumberFormat="1" applyFill="1" applyBorder="1"/>
    <xf numFmtId="168" fontId="24" fillId="2" borderId="0" xfId="0" applyNumberFormat="1" applyFont="1" applyFill="1" applyAlignment="1">
      <alignment horizontal="right"/>
    </xf>
    <xf numFmtId="168" fontId="24" fillId="2" borderId="0" xfId="0" applyNumberFormat="1" applyFont="1" applyFill="1"/>
    <xf numFmtId="0" fontId="24" fillId="2" borderId="0" xfId="0" applyFont="1" applyFill="1"/>
    <xf numFmtId="165" fontId="24" fillId="2" borderId="6" xfId="0" applyNumberFormat="1" applyFont="1" applyFill="1" applyBorder="1"/>
    <xf numFmtId="168" fontId="24" fillId="2" borderId="6" xfId="0" applyNumberFormat="1" applyFont="1" applyFill="1" applyBorder="1"/>
    <xf numFmtId="168" fontId="24" fillId="2" borderId="8" xfId="0" applyNumberFormat="1" applyFont="1" applyFill="1" applyBorder="1"/>
    <xf numFmtId="169" fontId="24" fillId="2" borderId="0" xfId="0" applyNumberFormat="1" applyFont="1" applyFill="1"/>
    <xf numFmtId="0" fontId="24" fillId="11" borderId="0" xfId="0" applyFont="1" applyFill="1"/>
    <xf numFmtId="174" fontId="24" fillId="2" borderId="0" xfId="0" applyNumberFormat="1" applyFont="1" applyFill="1"/>
    <xf numFmtId="9" fontId="24" fillId="2" borderId="0" xfId="3" applyFont="1" applyFill="1" applyAlignment="1">
      <alignment horizontal="center" vertical="center"/>
    </xf>
    <xf numFmtId="199" fontId="24" fillId="2" borderId="8" xfId="0" applyNumberFormat="1" applyFont="1" applyFill="1" applyBorder="1"/>
    <xf numFmtId="166" fontId="24" fillId="9" borderId="1" xfId="0" applyNumberFormat="1" applyFont="1" applyFill="1" applyBorder="1"/>
    <xf numFmtId="166" fontId="0" fillId="9" borderId="0" xfId="0" applyNumberFormat="1" applyFill="1"/>
    <xf numFmtId="0" fontId="0" fillId="8" borderId="13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9" fontId="0" fillId="5" borderId="5" xfId="3" applyFont="1" applyFill="1" applyBorder="1" applyAlignment="1">
      <alignment horizontal="center" vertical="center"/>
    </xf>
    <xf numFmtId="9" fontId="0" fillId="5" borderId="6" xfId="3" applyFont="1" applyFill="1" applyBorder="1" applyAlignment="1">
      <alignment horizontal="center" vertical="center"/>
    </xf>
    <xf numFmtId="9" fontId="0" fillId="5" borderId="7" xfId="3" applyFont="1" applyFill="1" applyBorder="1" applyAlignment="1">
      <alignment horizontal="center" vertical="center"/>
    </xf>
    <xf numFmtId="170" fontId="0" fillId="5" borderId="5" xfId="2" applyNumberFormat="1" applyFont="1" applyFill="1" applyBorder="1" applyAlignment="1">
      <alignment horizontal="center" vertical="center"/>
    </xf>
    <xf numFmtId="170" fontId="0" fillId="5" borderId="6" xfId="2" applyNumberFormat="1" applyFont="1" applyFill="1" applyBorder="1" applyAlignment="1">
      <alignment horizontal="center" vertical="center"/>
    </xf>
    <xf numFmtId="170" fontId="0" fillId="5" borderId="7" xfId="2" applyNumberFormat="1" applyFont="1" applyFill="1" applyBorder="1" applyAlignment="1">
      <alignment horizontal="center" vertical="center"/>
    </xf>
    <xf numFmtId="9" fontId="0" fillId="7" borderId="5" xfId="3" applyFont="1" applyFill="1" applyBorder="1" applyAlignment="1">
      <alignment horizontal="center" vertical="center"/>
    </xf>
    <xf numFmtId="9" fontId="0" fillId="7" borderId="7" xfId="3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9" fontId="0" fillId="8" borderId="5" xfId="3" applyFont="1" applyFill="1" applyBorder="1" applyAlignment="1">
      <alignment horizontal="center" vertical="center"/>
    </xf>
    <xf numFmtId="9" fontId="0" fillId="8" borderId="7" xfId="3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9" fontId="0" fillId="4" borderId="5" xfId="3" applyFont="1" applyFill="1" applyBorder="1" applyAlignment="1">
      <alignment horizontal="center" vertical="center"/>
    </xf>
    <xf numFmtId="9" fontId="0" fillId="4" borderId="7" xfId="3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0" fillId="2" borderId="8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8" fillId="15" borderId="13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2" fillId="10" borderId="0" xfId="0" applyFont="1" applyFill="1" applyAlignment="1">
      <alignment horizontal="center"/>
    </xf>
    <xf numFmtId="0" fontId="18" fillId="15" borderId="16" xfId="0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0" fontId="18" fillId="19" borderId="13" xfId="0" applyFont="1" applyFill="1" applyBorder="1" applyAlignment="1">
      <alignment horizontal="center" vertical="center"/>
    </xf>
    <xf numFmtId="0" fontId="18" fillId="19" borderId="16" xfId="0" applyFont="1" applyFill="1" applyBorder="1" applyAlignment="1">
      <alignment horizontal="center" vertical="center"/>
    </xf>
    <xf numFmtId="0" fontId="18" fillId="19" borderId="15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199" fontId="0" fillId="0" borderId="0" xfId="0" applyNumberFormat="1" applyAlignment="1">
      <alignment horizontal="center"/>
    </xf>
    <xf numFmtId="199" fontId="0" fillId="0" borderId="0" xfId="0" applyNumberFormat="1" applyAlignment="1">
      <alignment horizontal="center" vertical="center"/>
    </xf>
    <xf numFmtId="199" fontId="19" fillId="18" borderId="0" xfId="0" applyNumberFormat="1" applyFont="1" applyFill="1" applyAlignment="1">
      <alignment horizontal="center" vertical="center"/>
    </xf>
    <xf numFmtId="199" fontId="6" fillId="0" borderId="0" xfId="0" applyNumberFormat="1" applyFont="1" applyAlignment="1">
      <alignment horizontal="center" vertical="center"/>
    </xf>
    <xf numFmtId="1" fontId="19" fillId="22" borderId="0" xfId="0" applyNumberFormat="1" applyFont="1" applyFill="1" applyAlignment="1">
      <alignment horizontal="left"/>
    </xf>
    <xf numFmtId="1" fontId="19" fillId="22" borderId="0" xfId="0" applyNumberFormat="1" applyFont="1" applyFill="1" applyAlignment="1">
      <alignment horizontal="center" vertical="center"/>
    </xf>
    <xf numFmtId="0" fontId="26" fillId="22" borderId="29" xfId="0" applyFont="1" applyFill="1" applyBorder="1" applyAlignment="1">
      <alignment horizontal="left" vertical="center"/>
    </xf>
    <xf numFmtId="0" fontId="19" fillId="22" borderId="0" xfId="0" applyFont="1" applyFill="1" applyAlignment="1">
      <alignment horizontal="left"/>
    </xf>
    <xf numFmtId="0" fontId="19" fillId="22" borderId="0" xfId="0" applyFont="1" applyFill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22" borderId="17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2" fontId="19" fillId="22" borderId="0" xfId="0" applyNumberFormat="1" applyFont="1" applyFill="1" applyAlignment="1">
      <alignment horizontal="left"/>
    </xf>
    <xf numFmtId="2" fontId="19" fillId="22" borderId="0" xfId="0" applyNumberFormat="1" applyFont="1" applyFill="1" applyAlignment="1">
      <alignment horizontal="center" vertical="center"/>
    </xf>
    <xf numFmtId="0" fontId="24" fillId="22" borderId="0" xfId="0" applyFont="1" applyFill="1" applyAlignment="1">
      <alignment horizontal="left"/>
    </xf>
    <xf numFmtId="196" fontId="19" fillId="22" borderId="0" xfId="0" applyNumberFormat="1" applyFont="1" applyFill="1" applyAlignment="1">
      <alignment horizontal="left"/>
    </xf>
    <xf numFmtId="196" fontId="19" fillId="2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9" borderId="0" xfId="0" applyFont="1" applyFill="1" applyAlignment="1">
      <alignment horizontal="center" vertical="top" wrapText="1"/>
    </xf>
    <xf numFmtId="0" fontId="10" fillId="9" borderId="0" xfId="0" applyFont="1" applyFill="1" applyAlignment="1">
      <alignment horizontal="center" vertical="center" wrapText="1"/>
    </xf>
    <xf numFmtId="171" fontId="11" fillId="9" borderId="0" xfId="0" applyNumberFormat="1" applyFont="1" applyFill="1" applyAlignment="1">
      <alignment horizontal="right" vertical="top" wrapText="1"/>
    </xf>
    <xf numFmtId="171" fontId="12" fillId="9" borderId="0" xfId="0" applyNumberFormat="1" applyFont="1" applyFill="1"/>
    <xf numFmtId="0" fontId="12" fillId="9" borderId="0" xfId="0" applyFont="1" applyFill="1"/>
  </cellXfs>
  <cellStyles count="10">
    <cellStyle name="Comma" xfId="2" builtinId="3"/>
    <cellStyle name="Comma 2" xfId="7" xr:uid="{47B5DC13-9998-4B8E-BB71-F8E81EB9428E}"/>
    <cellStyle name="Comma 30" xfId="4" xr:uid="{AABA075E-21BC-475A-A265-2F0610C181ED}"/>
    <cellStyle name="Currency" xfId="1" builtinId="4"/>
    <cellStyle name="Normal" xfId="0" builtinId="0"/>
    <cellStyle name="Normal 2" xfId="6" xr:uid="{60A1558A-BC9A-47E4-99A8-E926047B3EAE}"/>
    <cellStyle name="Normal 4" xfId="5" xr:uid="{55EC5298-C215-4BC2-A2BD-846EF15E45AD}"/>
    <cellStyle name="normální_SABLONY" xfId="9" xr:uid="{167D699B-FC21-4558-B0AA-83D5ABEE7C3F}"/>
    <cellStyle name="Percent" xfId="3" builtinId="5"/>
    <cellStyle name="Percent 2" xfId="8" xr:uid="{234FCBDE-2B1F-4541-A9B1-B993E4FB0A2A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Budget!$G$40:$G$45</c:f>
            </c:numRef>
          </c:val>
          <c:extLst>
            <c:ext xmlns:c16="http://schemas.microsoft.com/office/drawing/2014/chart" uri="{C3380CC4-5D6E-409C-BE32-E72D297353CC}">
              <c16:uniqueId val="{00000006-2E14-4710-91AE-295DA976E1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Budget!$H$40:$H$45</c:f>
            </c:numRef>
          </c:val>
          <c:extLst>
            <c:ext xmlns:c16="http://schemas.microsoft.com/office/drawing/2014/chart" uri="{C3380CC4-5D6E-409C-BE32-E72D297353CC}">
              <c16:uniqueId val="{00000008-576D-48DD-8C08-8E624BE38D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92382332208473938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Budget!$I$40:$I$45</c:f>
            </c:numRef>
          </c:val>
          <c:extLst>
            <c:ext xmlns:c16="http://schemas.microsoft.com/office/drawing/2014/chart" uri="{C3380CC4-5D6E-409C-BE32-E72D297353CC}">
              <c16:uniqueId val="{00000008-74E8-4C86-B2BB-F62E503E40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Budget!$J$40:$J$45</c:f>
            </c:numRef>
          </c:val>
          <c:extLst>
            <c:ext xmlns:c16="http://schemas.microsoft.com/office/drawing/2014/chart" uri="{C3380CC4-5D6E-409C-BE32-E72D297353CC}">
              <c16:uniqueId val="{00000008-E7DE-476A-A916-62DD0A6BAB4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Budget!$K$40:$K$45</c:f>
            </c:numRef>
          </c:val>
          <c:extLst>
            <c:ext xmlns:c16="http://schemas.microsoft.com/office/drawing/2014/chart" uri="{C3380CC4-5D6E-409C-BE32-E72D297353CC}">
              <c16:uniqueId val="{00000008-ADDA-443B-8359-6C46AD14AE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Budget!$O$40:$O$45</c:f>
            </c:numRef>
          </c:val>
          <c:extLst>
            <c:ext xmlns:c16="http://schemas.microsoft.com/office/drawing/2014/chart" uri="{C3380CC4-5D6E-409C-BE32-E72D297353CC}">
              <c16:uniqueId val="{00000008-04D7-4091-976B-120F92CE9E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Budget!$P$40:$P$45</c:f>
            </c:numRef>
          </c:val>
          <c:extLst>
            <c:ext xmlns:c16="http://schemas.microsoft.com/office/drawing/2014/chart" uri="{C3380CC4-5D6E-409C-BE32-E72D297353CC}">
              <c16:uniqueId val="{00000008-1E02-4700-A3AC-7963A06BCE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Budget!$N$40:$N$45</c:f>
            </c:numRef>
          </c:val>
          <c:extLst>
            <c:ext xmlns:c16="http://schemas.microsoft.com/office/drawing/2014/chart" uri="{C3380CC4-5D6E-409C-BE32-E72D297353CC}">
              <c16:uniqueId val="{00000008-D34F-40EF-88BD-FC5C0DAB11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Budget!$M$40:$M$45</c:f>
            </c:numRef>
          </c:val>
          <c:extLst>
            <c:ext xmlns:c16="http://schemas.microsoft.com/office/drawing/2014/chart" uri="{C3380CC4-5D6E-409C-BE32-E72D297353CC}">
              <c16:uniqueId val="{00000008-D977-4CEC-BE71-33AEDB8E10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Budget!$S$40:$S$45</c:f>
            </c:numRef>
          </c:val>
          <c:extLst>
            <c:ext xmlns:c16="http://schemas.microsoft.com/office/drawing/2014/chart" uri="{C3380CC4-5D6E-409C-BE32-E72D297353CC}">
              <c16:uniqueId val="{00000008-3C70-4329-B8AC-4BEB1E3632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Budget!$T$40:$T$45</c:f>
            </c:numRef>
          </c:val>
          <c:extLst>
            <c:ext xmlns:c16="http://schemas.microsoft.com/office/drawing/2014/chart" uri="{C3380CC4-5D6E-409C-BE32-E72D297353CC}">
              <c16:uniqueId val="{00000008-988B-4E55-8B94-C7B016701C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Budget!$U$40:$U$45</c:f>
            </c:numRef>
          </c:val>
          <c:extLst>
            <c:ext xmlns:c16="http://schemas.microsoft.com/office/drawing/2014/chart" uri="{C3380CC4-5D6E-409C-BE32-E72D297353CC}">
              <c16:uniqueId val="{00000008-461D-4475-B5B6-782DA6268E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Budget!$V$40:$V$45</c:f>
            </c:numRef>
          </c:val>
          <c:extLst>
            <c:ext xmlns:c16="http://schemas.microsoft.com/office/drawing/2014/chart" uri="{C3380CC4-5D6E-409C-BE32-E72D297353CC}">
              <c16:uniqueId val="{00000008-9E53-43B3-8B2D-637EA121D6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Budget!$W$40:$W$45</c:f>
            </c:numRef>
          </c:val>
          <c:extLst>
            <c:ext xmlns:c16="http://schemas.microsoft.com/office/drawing/2014/chart" uri="{C3380CC4-5D6E-409C-BE32-E72D297353CC}">
              <c16:uniqueId val="{00000008-CC63-4AE5-BD93-CCA995297F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Budget!$X$40:$X$45</c:f>
            </c:numRef>
          </c:val>
          <c:extLst>
            <c:ext xmlns:c16="http://schemas.microsoft.com/office/drawing/2014/chart" uri="{C3380CC4-5D6E-409C-BE32-E72D297353CC}">
              <c16:uniqueId val="{00000008-005E-4CCA-B21D-B710617A62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Budget!$Y$40:$Y$45</c:f>
            </c:numRef>
          </c:val>
          <c:extLst>
            <c:ext xmlns:c16="http://schemas.microsoft.com/office/drawing/2014/chart" uri="{C3380CC4-5D6E-409C-BE32-E72D297353CC}">
              <c16:uniqueId val="{00000008-06B1-476E-A29D-5951AAC463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Budget!$Z$40:$Z$45</c:f>
            </c:numRef>
          </c:val>
          <c:extLst>
            <c:ext xmlns:c16="http://schemas.microsoft.com/office/drawing/2014/chart" uri="{C3380CC4-5D6E-409C-BE32-E72D297353CC}">
              <c16:uniqueId val="{00000008-1051-44BC-842E-871E227773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13-45E8-4A24-ACA0-35F3470E0B10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12-45E8-4A24-ACA0-35F3470E0B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Budget!$AB$40:$AB$45</c:f>
            </c:numRef>
          </c:val>
          <c:extLst>
            <c:ext xmlns:c16="http://schemas.microsoft.com/office/drawing/2014/chart" uri="{C3380CC4-5D6E-409C-BE32-E72D297353CC}">
              <c16:uniqueId val="{00000000-892A-4C58-8A9E-42F9A8AAEE7C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892A-4C58-8A9E-42F9A8AAEE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Budget!$AD$40:$AD$45</c:f>
            </c:numRef>
          </c:val>
          <c:extLst>
            <c:ext xmlns:c16="http://schemas.microsoft.com/office/drawing/2014/chart" uri="{C3380CC4-5D6E-409C-BE32-E72D297353CC}">
              <c16:uniqueId val="{00000000-F2B9-4F3F-9B75-3DBED122270F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F2B9-4F3F-9B75-3DBED12227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Budget!$AE$40:$AE$45</c:f>
            </c:numRef>
          </c:val>
          <c:extLst>
            <c:ext xmlns:c16="http://schemas.microsoft.com/office/drawing/2014/chart" uri="{C3380CC4-5D6E-409C-BE32-E72D297353CC}">
              <c16:uniqueId val="{00000000-0FC4-448B-A6D2-EC249E21CFFF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0FC4-448B-A6D2-EC249E21CF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Budget!$AF$40:$AF$45</c:f>
            </c:numRef>
          </c:val>
          <c:extLst>
            <c:ext xmlns:c16="http://schemas.microsoft.com/office/drawing/2014/chart" uri="{C3380CC4-5D6E-409C-BE32-E72D297353CC}">
              <c16:uniqueId val="{00000000-C6F3-46DE-8C4A-622129A8ED30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C6F3-46DE-8C4A-622129A8ED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Budget!$AG$40:$AG$45</c:f>
            </c:numRef>
          </c:val>
          <c:extLst>
            <c:ext xmlns:c16="http://schemas.microsoft.com/office/drawing/2014/chart" uri="{C3380CC4-5D6E-409C-BE32-E72D297353CC}">
              <c16:uniqueId val="{00000000-730F-4FF4-B962-E1F3DCB9B27B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730F-4FF4-B962-E1F3DCB9B2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Budget!$AH$40:$AH$45</c:f>
            </c:numRef>
          </c:val>
          <c:extLst>
            <c:ext xmlns:c16="http://schemas.microsoft.com/office/drawing/2014/chart" uri="{C3380CC4-5D6E-409C-BE32-E72D297353CC}">
              <c16:uniqueId val="{00000000-343B-4C6F-82BD-62A61104A971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343B-4C6F-82BD-62A61104A9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55455756472649"/>
          <c:y val="8.5313214175224292E-2"/>
          <c:w val="0.58689088487054697"/>
          <c:h val="0.44407333113779029"/>
        </c:manualLayout>
      </c:layout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Budget!$AD$40:$AD$45</c:f>
            </c:numRef>
          </c:val>
          <c:extLst>
            <c:ext xmlns:c16="http://schemas.microsoft.com/office/drawing/2014/chart" uri="{C3380CC4-5D6E-409C-BE32-E72D297353CC}">
              <c16:uniqueId val="{00000000-006E-4B55-8F62-2BE49E199FA8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Budget!$F$40:$F$45</c:f>
              <c:strCache>
                <c:ptCount val="6"/>
                <c:pt idx="0">
                  <c:v>Professional Fees</c:v>
                </c:pt>
                <c:pt idx="1">
                  <c:v>Fit Out</c:v>
                </c:pt>
                <c:pt idx="2">
                  <c:v>Security</c:v>
                </c:pt>
                <c:pt idx="3">
                  <c:v>IT</c:v>
                </c:pt>
                <c:pt idx="4">
                  <c:v>Furniture</c:v>
                </c:pt>
                <c:pt idx="5">
                  <c:v>AV &amp; Equipment</c:v>
                </c:pt>
              </c:strCache>
            </c:strRef>
          </c:cat>
          <c:val>
            <c:numRef>
              <c:f>Budget!$AA$40:$AA$45</c:f>
            </c:numRef>
          </c:val>
          <c:extLst>
            <c:ext xmlns:c16="http://schemas.microsoft.com/office/drawing/2014/chart" uri="{C3380CC4-5D6E-409C-BE32-E72D297353CC}">
              <c16:uniqueId val="{00000009-006E-4B55-8F62-2BE49E199F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4.570708661417322E-2"/>
          <c:y val="0.61626900793148554"/>
          <c:w val="0.55659148538636061"/>
          <c:h val="0.3611323484076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52</xdr:row>
      <xdr:rowOff>19049</xdr:rowOff>
    </xdr:from>
    <xdr:to>
      <xdr:col>7</xdr:col>
      <xdr:colOff>1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51</xdr:row>
      <xdr:rowOff>189034</xdr:rowOff>
    </xdr:from>
    <xdr:to>
      <xdr:col>7</xdr:col>
      <xdr:colOff>1685925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52</xdr:row>
      <xdr:rowOff>9525</xdr:rowOff>
    </xdr:from>
    <xdr:to>
      <xdr:col>9</xdr:col>
      <xdr:colOff>9525</xdr:colOff>
      <xdr:row>62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52</xdr:row>
      <xdr:rowOff>9525</xdr:rowOff>
    </xdr:from>
    <xdr:to>
      <xdr:col>10</xdr:col>
      <xdr:colOff>142875</xdr:colOff>
      <xdr:row>62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142875</xdr:colOff>
      <xdr:row>52</xdr:row>
      <xdr:rowOff>19050</xdr:rowOff>
    </xdr:from>
    <xdr:to>
      <xdr:col>11</xdr:col>
      <xdr:colOff>266700</xdr:colOff>
      <xdr:row>62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52</xdr:row>
      <xdr:rowOff>0</xdr:rowOff>
    </xdr:from>
    <xdr:to>
      <xdr:col>15</xdr:col>
      <xdr:colOff>66674</xdr:colOff>
      <xdr:row>62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85725</xdr:colOff>
      <xdr:row>52</xdr:row>
      <xdr:rowOff>0</xdr:rowOff>
    </xdr:from>
    <xdr:to>
      <xdr:col>16</xdr:col>
      <xdr:colOff>133350</xdr:colOff>
      <xdr:row>62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1552574</xdr:colOff>
      <xdr:row>51</xdr:row>
      <xdr:rowOff>180975</xdr:rowOff>
    </xdr:from>
    <xdr:to>
      <xdr:col>13</xdr:col>
      <xdr:colOff>1543049</xdr:colOff>
      <xdr:row>62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1438275</xdr:colOff>
      <xdr:row>52</xdr:row>
      <xdr:rowOff>1</xdr:rowOff>
    </xdr:from>
    <xdr:to>
      <xdr:col>12</xdr:col>
      <xdr:colOff>1543050</xdr:colOff>
      <xdr:row>62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38099</xdr:colOff>
      <xdr:row>52</xdr:row>
      <xdr:rowOff>47625</xdr:rowOff>
    </xdr:from>
    <xdr:to>
      <xdr:col>18</xdr:col>
      <xdr:colOff>1524000</xdr:colOff>
      <xdr:row>62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52</xdr:row>
      <xdr:rowOff>0</xdr:rowOff>
    </xdr:from>
    <xdr:to>
      <xdr:col>20</xdr:col>
      <xdr:colOff>323850</xdr:colOff>
      <xdr:row>62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19050</xdr:colOff>
      <xdr:row>62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1</xdr:colOff>
      <xdr:row>52</xdr:row>
      <xdr:rowOff>0</xdr:rowOff>
    </xdr:from>
    <xdr:to>
      <xdr:col>22</xdr:col>
      <xdr:colOff>104776</xdr:colOff>
      <xdr:row>62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123826</xdr:colOff>
      <xdr:row>52</xdr:row>
      <xdr:rowOff>0</xdr:rowOff>
    </xdr:from>
    <xdr:to>
      <xdr:col>23</xdr:col>
      <xdr:colOff>47626</xdr:colOff>
      <xdr:row>62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266700</xdr:colOff>
      <xdr:row>52</xdr:row>
      <xdr:rowOff>0</xdr:rowOff>
    </xdr:from>
    <xdr:to>
      <xdr:col>23</xdr:col>
      <xdr:colOff>1981200</xdr:colOff>
      <xdr:row>62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25</xdr:col>
      <xdr:colOff>76200</xdr:colOff>
      <xdr:row>62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190499</xdr:colOff>
      <xdr:row>52</xdr:row>
      <xdr:rowOff>0</xdr:rowOff>
    </xdr:from>
    <xdr:to>
      <xdr:col>25</xdr:col>
      <xdr:colOff>2073088</xdr:colOff>
      <xdr:row>62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2106706</xdr:colOff>
      <xdr:row>51</xdr:row>
      <xdr:rowOff>190499</xdr:rowOff>
    </xdr:from>
    <xdr:to>
      <xdr:col>26</xdr:col>
      <xdr:colOff>1725705</xdr:colOff>
      <xdr:row>62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0</xdr:colOff>
      <xdr:row>52</xdr:row>
      <xdr:rowOff>0</xdr:rowOff>
    </xdr:from>
    <xdr:to>
      <xdr:col>27</xdr:col>
      <xdr:colOff>1624853</xdr:colOff>
      <xdr:row>62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0</xdr:colOff>
      <xdr:row>52</xdr:row>
      <xdr:rowOff>0</xdr:rowOff>
    </xdr:from>
    <xdr:to>
      <xdr:col>30</xdr:col>
      <xdr:colOff>134471</xdr:colOff>
      <xdr:row>62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190500</xdr:colOff>
      <xdr:row>52</xdr:row>
      <xdr:rowOff>0</xdr:rowOff>
    </xdr:from>
    <xdr:to>
      <xdr:col>30</xdr:col>
      <xdr:colOff>1983441</xdr:colOff>
      <xdr:row>62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0</xdr:colOff>
      <xdr:row>52</xdr:row>
      <xdr:rowOff>0</xdr:rowOff>
    </xdr:from>
    <xdr:to>
      <xdr:col>31</xdr:col>
      <xdr:colOff>1792941</xdr:colOff>
      <xdr:row>62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0</xdr:colOff>
      <xdr:row>52</xdr:row>
      <xdr:rowOff>0</xdr:rowOff>
    </xdr:from>
    <xdr:to>
      <xdr:col>32</xdr:col>
      <xdr:colOff>1792941</xdr:colOff>
      <xdr:row>62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52</xdr:row>
      <xdr:rowOff>0</xdr:rowOff>
    </xdr:from>
    <xdr:to>
      <xdr:col>34</xdr:col>
      <xdr:colOff>11206</xdr:colOff>
      <xdr:row>62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52</xdr:row>
      <xdr:rowOff>0</xdr:rowOff>
    </xdr:from>
    <xdr:to>
      <xdr:col>35</xdr:col>
      <xdr:colOff>0</xdr:colOff>
      <xdr:row>62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59765</xdr:colOff>
      <xdr:row>1</xdr:row>
      <xdr:rowOff>149412</xdr:rowOff>
    </xdr:from>
    <xdr:to>
      <xdr:col>10</xdr:col>
      <xdr:colOff>1191675</xdr:colOff>
      <xdr:row>1</xdr:row>
      <xdr:rowOff>582266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A597A-0637-4FA1-8AFC-745C412E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365" y="333562"/>
          <a:ext cx="2735286" cy="4296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dub61ns3vf1.emea.mrshmc.com\ldna-bhome$\U1105656\My%20Documents\All%20in\00.Projects\UK\Worcester\03.Economics\01.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1341198\AppData\Local\Microsoft\Windows\INetCache\Content.Outlook\2EWKO40I\MMC-Nigeria-Ibadan-Project%20Budget%20Tracker-2025_03_24.xlsx" TargetMode="External"/><Relationship Id="rId1" Type="http://schemas.openxmlformats.org/officeDocument/2006/relationships/externalLinkPath" Target="file:///C:\Users\u1341198\AppData\Local\Microsoft\Windows\INetCache\Content.Outlook\2EWKO40I\MMC-Nigeria-Ibadan-Project%20Budget%20Tracker-2025_03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Mercer"/>
      <sheetName val="Detail Guy Carpenter"/>
      <sheetName val="Detail OWG"/>
      <sheetName val="Detail MMC"/>
      <sheetName val="Detail Vendor"/>
      <sheetName val="Job Levels - SAMPLE"/>
      <sheetName val="Definitions"/>
      <sheetName val="Project Budget"/>
      <sheetName val="Final Account"/>
      <sheetName val="Approved CAPEX"/>
      <sheetName val="Summay Analysis"/>
      <sheetName val="TSK TSA"/>
      <sheetName val="Paramount TSA"/>
      <sheetName val="Overbury TSA"/>
      <sheetName val="Overbury Furni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I9">
            <v>45360.5</v>
          </cell>
        </row>
        <row r="10">
          <cell r="I10">
            <v>398819.33999999997</v>
          </cell>
        </row>
        <row r="11">
          <cell r="I11">
            <v>193768.66999999998</v>
          </cell>
        </row>
        <row r="12">
          <cell r="I12">
            <v>70503</v>
          </cell>
        </row>
        <row r="15">
          <cell r="I15">
            <v>20343.650000000001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EX FORM 2022"/>
      <sheetName val="Budget_Summary"/>
      <sheetName val="LocalCurrency_Detail"/>
      <sheetName val="USD_Detail"/>
      <sheetName val="Cost Analysis"/>
      <sheetName val="Variation Schedule"/>
      <sheetName val="Cost Avoidance"/>
      <sheetName val="Expenditure Forecast"/>
      <sheetName val="Purchasing Codes"/>
      <sheetName val="RC's"/>
      <sheetName val="2025 Fixed MMC FX Rates"/>
    </sheetNames>
    <sheetDataSet>
      <sheetData sheetId="0"/>
      <sheetData sheetId="1"/>
      <sheetData sheetId="2"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95">
          <cell r="F95">
            <v>5.9416000000000004E-4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1"/>
  <sheetViews>
    <sheetView tabSelected="1" view="pageBreakPreview" topLeftCell="F1" zoomScale="115" zoomScaleNormal="115" zoomScaleSheetLayoutView="115" workbookViewId="0">
      <pane xSplit="1" topLeftCell="AJ1" activePane="topRight" state="frozen"/>
      <selection activeCell="F1" sqref="F1"/>
      <selection pane="topRight" activeCell="F4" sqref="F4"/>
    </sheetView>
  </sheetViews>
  <sheetFormatPr defaultRowHeight="14.5" outlineLevelCol="1"/>
  <cols>
    <col min="3" max="3" width="10.453125" customWidth="1"/>
    <col min="5" max="5" width="11.81640625" customWidth="1"/>
    <col min="6" max="6" width="27.54296875" customWidth="1"/>
    <col min="7" max="7" width="24.81640625" hidden="1" customWidth="1"/>
    <col min="8" max="8" width="25.453125" hidden="1" customWidth="1"/>
    <col min="9" max="9" width="25.54296875" hidden="1" customWidth="1"/>
    <col min="10" max="10" width="24" hidden="1" customWidth="1"/>
    <col min="11" max="11" width="22.1796875" hidden="1" customWidth="1"/>
    <col min="12" max="12" width="22.453125" hidden="1" customWidth="1"/>
    <col min="13" max="13" width="23.81640625" hidden="1" customWidth="1"/>
    <col min="14" max="14" width="23.453125" hidden="1" customWidth="1"/>
    <col min="15" max="15" width="23.1796875" hidden="1" customWidth="1"/>
    <col min="16" max="16" width="25.54296875" hidden="1" customWidth="1"/>
    <col min="17" max="17" width="21.453125" hidden="1" customWidth="1"/>
    <col min="18" max="18" width="21.81640625" hidden="1" customWidth="1"/>
    <col min="19" max="19" width="23.54296875" hidden="1" customWidth="1"/>
    <col min="20" max="20" width="23.453125" hidden="1" customWidth="1"/>
    <col min="21" max="21" width="24.1796875" hidden="1" customWidth="1"/>
    <col min="22" max="22" width="22.453125" hidden="1" customWidth="1"/>
    <col min="23" max="23" width="26.81640625" hidden="1" customWidth="1"/>
    <col min="24" max="24" width="30.54296875" hidden="1" customWidth="1"/>
    <col min="25" max="25" width="29.81640625" hidden="1" customWidth="1"/>
    <col min="26" max="26" width="31.81640625" hidden="1" customWidth="1"/>
    <col min="27" max="27" width="26.453125" hidden="1" customWidth="1"/>
    <col min="28" max="28" width="24.81640625" hidden="1" customWidth="1"/>
    <col min="29" max="29" width="3.453125" hidden="1" customWidth="1"/>
    <col min="30" max="30" width="22.453125" hidden="1" customWidth="1"/>
    <col min="31" max="31" width="29.81640625" hidden="1" customWidth="1"/>
    <col min="32" max="32" width="28.81640625" hidden="1" customWidth="1"/>
    <col min="33" max="33" width="27" hidden="1" customWidth="1"/>
    <col min="34" max="34" width="26" hidden="1" customWidth="1"/>
    <col min="35" max="35" width="27" hidden="1" customWidth="1"/>
    <col min="36" max="36" width="15.54296875" customWidth="1"/>
    <col min="37" max="37" width="21.81640625" customWidth="1"/>
    <col min="38" max="38" width="22.453125" customWidth="1"/>
    <col min="39" max="39" width="0.453125" style="1" customWidth="1"/>
    <col min="40" max="45" width="10.1796875" hidden="1" customWidth="1" outlineLevel="1"/>
    <col min="46" max="46" width="10.1796875" hidden="1" customWidth="1" outlineLevel="1" collapsed="1"/>
    <col min="47" max="51" width="10.1796875" hidden="1" customWidth="1" outlineLevel="1"/>
    <col min="52" max="52" width="16" customWidth="1" collapsed="1"/>
    <col min="53" max="53" width="10.54296875" bestFit="1" customWidth="1"/>
    <col min="57" max="57" width="14.1796875" bestFit="1" customWidth="1"/>
  </cols>
  <sheetData>
    <row r="1" spans="1:6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13"/>
      <c r="AD1" s="1"/>
      <c r="AE1" s="1"/>
      <c r="AF1" s="1"/>
      <c r="AG1" s="1"/>
      <c r="AH1" s="1"/>
      <c r="AI1" s="1"/>
      <c r="AJ1" s="1"/>
      <c r="AK1" s="1"/>
      <c r="AL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31"/>
      <c r="Z2" s="1"/>
      <c r="AA2" s="1"/>
      <c r="AB2" s="1"/>
      <c r="AC2" s="113"/>
      <c r="AD2" s="1"/>
      <c r="AE2" s="1"/>
      <c r="AF2" s="1"/>
      <c r="AG2" s="1"/>
      <c r="AH2" s="1"/>
      <c r="AI2" s="1"/>
      <c r="AJ2" s="1"/>
      <c r="AK2" s="1"/>
      <c r="AL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78">
        <f>304*Benchmarks!B71</f>
        <v>3272.2255999999998</v>
      </c>
      <c r="BK2" s="1"/>
      <c r="BL2" s="1"/>
      <c r="BM2" s="1"/>
      <c r="BN2" s="1"/>
      <c r="BO2" s="1"/>
    </row>
    <row r="3" spans="1:6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485" t="s">
        <v>0</v>
      </c>
      <c r="Z3" s="1"/>
      <c r="AA3" s="1"/>
      <c r="AB3" s="1"/>
      <c r="AC3" s="113"/>
      <c r="AD3" s="1"/>
      <c r="AE3" s="1"/>
      <c r="AF3" s="485" t="s">
        <v>1</v>
      </c>
      <c r="AG3" s="1"/>
      <c r="AH3" s="1"/>
      <c r="AI3" s="1"/>
      <c r="AJ3" s="1"/>
      <c r="AK3" s="1"/>
      <c r="AL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485"/>
      <c r="Z4" s="1"/>
      <c r="AA4" s="1"/>
      <c r="AB4" s="1"/>
      <c r="AC4" s="113"/>
      <c r="AD4" s="1"/>
      <c r="AE4" s="1"/>
      <c r="AF4" s="485"/>
      <c r="AG4" s="1"/>
      <c r="AH4" s="1"/>
      <c r="AI4" s="1"/>
      <c r="AJ4" s="1"/>
      <c r="AK4" s="1"/>
      <c r="AL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23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13"/>
      <c r="AD5" s="1"/>
      <c r="AE5" s="1"/>
      <c r="AF5" s="1"/>
      <c r="AG5" s="1"/>
      <c r="AH5" s="1"/>
      <c r="AI5" s="1"/>
      <c r="AJ5" s="1"/>
      <c r="AK5" s="1"/>
      <c r="AL5" s="1"/>
      <c r="AN5" s="1"/>
      <c r="AO5" s="1"/>
      <c r="AP5" s="1"/>
      <c r="AQ5" s="1"/>
      <c r="AR5" s="1"/>
      <c r="AS5" s="485"/>
      <c r="AT5" s="237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ht="23.5">
      <c r="A6" s="1"/>
      <c r="B6" s="1"/>
      <c r="C6" s="1"/>
      <c r="D6" s="1"/>
      <c r="E6" s="1"/>
      <c r="F6" s="6" t="s">
        <v>638</v>
      </c>
      <c r="G6" s="5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17" t="s">
        <v>2</v>
      </c>
      <c r="Y6" s="118" t="e">
        <f>W45*Y10</f>
        <v>#REF!</v>
      </c>
      <c r="Z6" s="118" t="e">
        <f>Y6</f>
        <v>#REF!</v>
      </c>
      <c r="AA6" s="1"/>
      <c r="AB6" s="1"/>
      <c r="AC6" s="113"/>
      <c r="AD6" s="1"/>
      <c r="AE6" s="117" t="s">
        <v>2</v>
      </c>
      <c r="AF6" s="118" t="e">
        <f>AD45*AF10</f>
        <v>#REF!</v>
      </c>
      <c r="AG6" s="118" t="e">
        <f>AF6</f>
        <v>#REF!</v>
      </c>
      <c r="AH6" s="1"/>
      <c r="AI6" s="1"/>
      <c r="AJ6" s="287">
        <f>'2025 FX Rates'!$F$95</f>
        <v>5.9416000000000004E-4</v>
      </c>
      <c r="AK6" s="1"/>
      <c r="AO6" s="1"/>
      <c r="AP6" s="1"/>
      <c r="AQ6" s="1"/>
      <c r="AR6" s="1"/>
      <c r="AS6" s="485"/>
      <c r="AT6" s="237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>
      <c r="A7" s="1"/>
      <c r="B7" s="1"/>
      <c r="C7" s="1"/>
      <c r="D7" s="1"/>
      <c r="E7" s="1"/>
      <c r="F7" s="195" t="s">
        <v>3</v>
      </c>
      <c r="G7" s="6"/>
      <c r="H7" s="6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13"/>
      <c r="AD7" s="1"/>
      <c r="AE7" s="1"/>
      <c r="AF7" s="1"/>
      <c r="AG7" s="1"/>
      <c r="AH7" s="1"/>
      <c r="AI7" s="1"/>
      <c r="AJ7" s="1"/>
      <c r="AK7" s="1"/>
      <c r="AL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>
      <c r="A8" s="1"/>
      <c r="B8" s="1"/>
      <c r="C8" s="1"/>
      <c r="D8" s="1"/>
      <c r="E8" s="1"/>
      <c r="F8" s="6"/>
      <c r="G8" s="8">
        <v>79</v>
      </c>
      <c r="H8" s="7">
        <v>165</v>
      </c>
      <c r="I8" s="7">
        <v>34</v>
      </c>
      <c r="J8" s="7">
        <v>159</v>
      </c>
      <c r="K8" s="1">
        <v>4550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13"/>
      <c r="AD8" s="1"/>
      <c r="AE8" s="1"/>
      <c r="AF8" s="1"/>
      <c r="AG8" s="1"/>
      <c r="AH8" s="1"/>
      <c r="AI8" s="1"/>
      <c r="AJ8" s="1"/>
      <c r="AK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>
      <c r="A9" s="1"/>
      <c r="B9" s="1"/>
      <c r="C9" s="1"/>
      <c r="D9" s="1"/>
      <c r="E9" s="1"/>
      <c r="F9" s="188" t="s">
        <v>4</v>
      </c>
      <c r="G9" s="189"/>
      <c r="H9" s="190">
        <v>116</v>
      </c>
      <c r="I9" s="191">
        <v>25</v>
      </c>
      <c r="J9" s="191"/>
      <c r="K9" s="192"/>
      <c r="L9" s="192"/>
      <c r="M9" s="192">
        <v>78</v>
      </c>
      <c r="N9" s="192">
        <v>78</v>
      </c>
      <c r="O9" s="192">
        <f>72+36+36+72+36+24</f>
        <v>276</v>
      </c>
      <c r="P9" s="192">
        <f>O9</f>
        <v>276</v>
      </c>
      <c r="Q9" s="192">
        <v>270</v>
      </c>
      <c r="R9" s="192">
        <v>270</v>
      </c>
      <c r="S9" s="192">
        <v>600</v>
      </c>
      <c r="T9" s="192">
        <v>600</v>
      </c>
      <c r="U9" s="192">
        <f>S9</f>
        <v>600</v>
      </c>
      <c r="V9" s="192">
        <v>600</v>
      </c>
      <c r="W9" s="191">
        <v>1050</v>
      </c>
      <c r="X9" s="191">
        <v>1050</v>
      </c>
      <c r="Y9" s="191">
        <v>1050</v>
      </c>
      <c r="Z9" s="191">
        <f>Y9</f>
        <v>1050</v>
      </c>
      <c r="AA9" s="191">
        <v>1050</v>
      </c>
      <c r="AB9" s="191">
        <f>AA9</f>
        <v>1050</v>
      </c>
      <c r="AC9" s="193"/>
      <c r="AD9" s="191">
        <v>1050</v>
      </c>
      <c r="AE9" s="191">
        <v>1050</v>
      </c>
      <c r="AF9" s="191">
        <v>1050</v>
      </c>
      <c r="AG9" s="191">
        <f>AF9</f>
        <v>1050</v>
      </c>
      <c r="AH9" s="191">
        <v>1050</v>
      </c>
      <c r="AI9" s="191">
        <f>AH9</f>
        <v>1050</v>
      </c>
      <c r="AJ9" s="191"/>
      <c r="AK9" s="192"/>
      <c r="AL9" s="272"/>
      <c r="AN9" s="274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>
      <c r="A10" s="1"/>
      <c r="B10" s="1"/>
      <c r="C10" s="1"/>
      <c r="D10" s="1"/>
      <c r="E10" s="1"/>
      <c r="F10" s="188" t="s">
        <v>5</v>
      </c>
      <c r="G10" s="189">
        <v>6405</v>
      </c>
      <c r="H10" s="191">
        <v>8143</v>
      </c>
      <c r="I10" s="191">
        <v>3280</v>
      </c>
      <c r="J10" s="191">
        <v>8477</v>
      </c>
      <c r="K10" s="192">
        <v>350000</v>
      </c>
      <c r="L10" s="192"/>
      <c r="M10" s="192">
        <f>3114+3916</f>
        <v>7030</v>
      </c>
      <c r="N10" s="192">
        <f>M10</f>
        <v>7030</v>
      </c>
      <c r="O10" s="192">
        <v>25953</v>
      </c>
      <c r="P10" s="192">
        <f>O10</f>
        <v>25953</v>
      </c>
      <c r="Q10" s="192">
        <v>26000</v>
      </c>
      <c r="R10" s="192">
        <v>26000</v>
      </c>
      <c r="S10" s="192">
        <v>67382</v>
      </c>
      <c r="T10" s="192">
        <f>S10/2</f>
        <v>33691</v>
      </c>
      <c r="U10" s="192">
        <f>S10</f>
        <v>67382</v>
      </c>
      <c r="V10" s="192">
        <v>42000</v>
      </c>
      <c r="W10" s="192">
        <v>61718</v>
      </c>
      <c r="X10" s="192">
        <v>61718</v>
      </c>
      <c r="Y10" s="192">
        <v>66978</v>
      </c>
      <c r="Z10" s="192">
        <f>Y10</f>
        <v>66978</v>
      </c>
      <c r="AA10" s="192">
        <f>Y10</f>
        <v>66978</v>
      </c>
      <c r="AB10" s="192">
        <f>AA10</f>
        <v>66978</v>
      </c>
      <c r="AC10" s="193"/>
      <c r="AD10" s="192">
        <v>61718</v>
      </c>
      <c r="AE10" s="192">
        <v>61718</v>
      </c>
      <c r="AF10" s="192">
        <v>66978</v>
      </c>
      <c r="AG10" s="192">
        <f>AF10</f>
        <v>66978</v>
      </c>
      <c r="AH10" s="192">
        <f>AF10</f>
        <v>66978</v>
      </c>
      <c r="AI10" s="192">
        <f>AH10</f>
        <v>66978</v>
      </c>
      <c r="AJ10" s="192"/>
      <c r="AK10" s="266">
        <v>4465</v>
      </c>
      <c r="AL10" s="273"/>
      <c r="AM10" s="276"/>
      <c r="AN10" s="275"/>
      <c r="AO10" s="266"/>
      <c r="AP10" s="266"/>
      <c r="AQ10" s="266"/>
      <c r="AR10" s="266"/>
      <c r="AS10" s="266"/>
      <c r="AT10" s="266"/>
      <c r="AU10" s="194"/>
      <c r="AV10" s="192"/>
      <c r="AW10" s="192"/>
      <c r="AX10" s="194"/>
      <c r="AY10" s="192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>
      <c r="A11" s="1"/>
      <c r="B11" s="1"/>
      <c r="C11" s="1"/>
      <c r="D11" s="1"/>
      <c r="E11" s="1"/>
      <c r="F11" s="188" t="s">
        <v>6</v>
      </c>
      <c r="G11" s="189"/>
      <c r="H11" s="191"/>
      <c r="I11" s="191"/>
      <c r="J11" s="191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3"/>
      <c r="AD11" s="192"/>
      <c r="AE11" s="192"/>
      <c r="AF11" s="192"/>
      <c r="AG11" s="192"/>
      <c r="AH11" s="192"/>
      <c r="AI11" s="192"/>
      <c r="AJ11" s="192"/>
      <c r="AK11" s="194">
        <f>AK10*Benchmarks!B71</f>
        <v>48060.813499999997</v>
      </c>
      <c r="AL11" s="273"/>
      <c r="AM11" s="276"/>
      <c r="AN11" s="275"/>
      <c r="AO11" s="266"/>
      <c r="AP11" s="266"/>
      <c r="AQ11" s="266"/>
      <c r="AR11" s="266"/>
      <c r="AS11" s="266"/>
      <c r="AT11" s="266"/>
      <c r="AU11" s="194"/>
      <c r="AV11" s="192"/>
      <c r="AW11" s="192"/>
      <c r="AX11" s="194"/>
      <c r="AY11" s="192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>
      <c r="A12" s="1"/>
      <c r="B12" s="1"/>
      <c r="C12" s="1"/>
      <c r="D12" s="1"/>
      <c r="E12" s="1"/>
      <c r="F12" s="7"/>
      <c r="G12" s="7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13"/>
      <c r="AD12" s="1"/>
      <c r="AE12" s="1"/>
      <c r="AF12" s="1"/>
      <c r="AG12" s="1"/>
      <c r="AH12" s="1"/>
      <c r="AI12" s="1"/>
      <c r="AJ12" s="1"/>
      <c r="AK12" s="1"/>
      <c r="AL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>
      <c r="A13" s="1"/>
      <c r="B13" s="1"/>
      <c r="C13" s="1"/>
      <c r="D13" s="1"/>
      <c r="E13" s="1"/>
      <c r="F13" s="490"/>
      <c r="G13" s="490"/>
      <c r="H13" s="490"/>
      <c r="I13" s="7"/>
      <c r="J13" s="7"/>
      <c r="K13" s="1"/>
      <c r="L13" s="1"/>
      <c r="M13" s="1"/>
      <c r="N13" s="1"/>
      <c r="O13" s="1"/>
      <c r="P13" s="1"/>
      <c r="Q13" s="1"/>
      <c r="R13" s="1"/>
      <c r="S13" s="491" t="s">
        <v>7</v>
      </c>
      <c r="T13" s="491"/>
      <c r="U13" s="491"/>
      <c r="V13" s="491"/>
      <c r="X13" s="1"/>
      <c r="Y13" s="1"/>
      <c r="Z13" s="1"/>
      <c r="AA13" s="1"/>
      <c r="AB13" s="1"/>
      <c r="AC13" s="113"/>
      <c r="AE13" s="1"/>
      <c r="AF13" s="1"/>
      <c r="AG13" s="1"/>
      <c r="AH13" s="1"/>
      <c r="AI13" s="1"/>
      <c r="AJ13" s="1"/>
      <c r="AK13" s="1"/>
      <c r="AL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53.25" customHeight="1">
      <c r="A14" s="1"/>
      <c r="B14" s="1"/>
      <c r="C14" s="1"/>
      <c r="D14" s="1"/>
      <c r="E14" s="1"/>
      <c r="F14" s="238" t="s">
        <v>690</v>
      </c>
      <c r="G14" s="106" t="s">
        <v>8</v>
      </c>
      <c r="H14" s="106" t="s">
        <v>9</v>
      </c>
      <c r="I14" s="106" t="s">
        <v>10</v>
      </c>
      <c r="J14" s="106" t="s">
        <v>11</v>
      </c>
      <c r="K14" s="106" t="s">
        <v>12</v>
      </c>
      <c r="L14" s="110" t="s">
        <v>13</v>
      </c>
      <c r="M14" s="107" t="s">
        <v>14</v>
      </c>
      <c r="N14" s="107" t="s">
        <v>15</v>
      </c>
      <c r="O14" s="107" t="s">
        <v>16</v>
      </c>
      <c r="P14" s="107" t="s">
        <v>17</v>
      </c>
      <c r="Q14" s="107" t="s">
        <v>18</v>
      </c>
      <c r="R14" s="107" t="s">
        <v>19</v>
      </c>
      <c r="S14" s="107" t="s">
        <v>20</v>
      </c>
      <c r="T14" s="107" t="s">
        <v>21</v>
      </c>
      <c r="U14" s="107" t="s">
        <v>22</v>
      </c>
      <c r="V14" s="107" t="s">
        <v>23</v>
      </c>
      <c r="W14" s="107" t="s">
        <v>24</v>
      </c>
      <c r="X14" s="107" t="s">
        <v>25</v>
      </c>
      <c r="Y14" s="107" t="s">
        <v>26</v>
      </c>
      <c r="Z14" s="107" t="s">
        <v>27</v>
      </c>
      <c r="AA14" s="107" t="s">
        <v>28</v>
      </c>
      <c r="AB14" s="107" t="s">
        <v>29</v>
      </c>
      <c r="AC14" s="113"/>
      <c r="AD14" s="107" t="s">
        <v>24</v>
      </c>
      <c r="AE14" s="107" t="s">
        <v>25</v>
      </c>
      <c r="AF14" s="107" t="s">
        <v>26</v>
      </c>
      <c r="AG14" s="107" t="s">
        <v>27</v>
      </c>
      <c r="AH14" s="107" t="s">
        <v>28</v>
      </c>
      <c r="AI14" s="107" t="s">
        <v>29</v>
      </c>
      <c r="AJ14" s="107"/>
      <c r="AK14" s="488"/>
      <c r="AL14" s="48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269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ht="23.25" customHeight="1">
      <c r="A15" s="1"/>
      <c r="B15" s="1"/>
      <c r="C15" s="1"/>
      <c r="D15" s="1"/>
      <c r="E15" s="1"/>
      <c r="F15" s="106"/>
      <c r="G15" s="106"/>
      <c r="H15" s="106"/>
      <c r="I15" s="106"/>
      <c r="J15" s="106"/>
      <c r="K15" s="106"/>
      <c r="L15" s="110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13"/>
      <c r="AD15" s="107"/>
      <c r="AE15" s="107"/>
      <c r="AF15" s="107"/>
      <c r="AG15" s="107"/>
      <c r="AH15" s="107"/>
      <c r="AI15" s="107"/>
      <c r="AJ15" s="107"/>
      <c r="AK15" s="488" t="s">
        <v>30</v>
      </c>
      <c r="AL15" s="489"/>
      <c r="AM15" s="277"/>
      <c r="AN15" s="496" t="s">
        <v>31</v>
      </c>
      <c r="AO15" s="497"/>
      <c r="AP15" s="498"/>
      <c r="AQ15" s="488" t="s">
        <v>32</v>
      </c>
      <c r="AR15" s="492"/>
      <c r="AS15" s="489"/>
      <c r="AT15" s="493" t="s">
        <v>33</v>
      </c>
      <c r="AU15" s="494"/>
      <c r="AV15" s="494"/>
      <c r="AW15" s="494" t="s">
        <v>34</v>
      </c>
      <c r="AX15" s="494"/>
      <c r="AY15" s="495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>
      <c r="A16" s="1"/>
      <c r="B16" s="1"/>
      <c r="C16" s="1"/>
      <c r="D16" s="1"/>
      <c r="E16" s="1"/>
      <c r="F16" s="17" t="s">
        <v>35</v>
      </c>
      <c r="G16" s="18"/>
      <c r="H16" s="19"/>
      <c r="I16" s="19"/>
      <c r="J16" s="19" t="s">
        <v>36</v>
      </c>
      <c r="K16" s="19" t="s">
        <v>37</v>
      </c>
      <c r="L16" s="19"/>
      <c r="M16" s="99"/>
      <c r="N16" s="99"/>
      <c r="O16" s="99"/>
      <c r="P16" s="93"/>
      <c r="Q16" s="93"/>
      <c r="R16" s="93"/>
      <c r="S16" s="93"/>
      <c r="T16" s="19"/>
      <c r="U16" s="19"/>
      <c r="V16" s="19"/>
      <c r="W16" s="19"/>
      <c r="X16" s="19"/>
      <c r="Y16" s="19"/>
      <c r="Z16" s="19"/>
      <c r="AA16" s="19"/>
      <c r="AB16" s="19"/>
      <c r="AC16" s="113"/>
      <c r="AD16" s="19"/>
      <c r="AE16" s="19"/>
      <c r="AF16" s="19"/>
      <c r="AG16" s="19"/>
      <c r="AH16" s="19"/>
      <c r="AI16" s="19"/>
      <c r="AJ16" s="19" t="s">
        <v>38</v>
      </c>
      <c r="AK16" s="175" t="s">
        <v>687</v>
      </c>
      <c r="AL16" s="175" t="s">
        <v>39</v>
      </c>
      <c r="AM16" s="277"/>
      <c r="AN16" s="236"/>
      <c r="AO16" s="175" t="s">
        <v>40</v>
      </c>
      <c r="AP16" s="175" t="s">
        <v>39</v>
      </c>
      <c r="AQ16" s="176"/>
      <c r="AR16" s="175" t="s">
        <v>40</v>
      </c>
      <c r="AS16" s="176" t="s">
        <v>39</v>
      </c>
      <c r="AT16" s="176"/>
      <c r="AU16" s="214" t="s">
        <v>40</v>
      </c>
      <c r="AV16" s="175" t="s">
        <v>39</v>
      </c>
      <c r="AW16" s="176"/>
      <c r="AX16" s="175" t="s">
        <v>40</v>
      </c>
      <c r="AY16" s="175" t="s">
        <v>39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>
      <c r="A17" s="1"/>
      <c r="B17" s="1"/>
      <c r="C17" s="1"/>
      <c r="D17" s="1"/>
      <c r="E17" s="1"/>
      <c r="F17" s="20" t="s">
        <v>41</v>
      </c>
      <c r="G17" s="21">
        <v>47582</v>
      </c>
      <c r="H17" s="21">
        <f>'[1]Final Account'!I9</f>
        <v>45360.5</v>
      </c>
      <c r="I17" s="21">
        <v>20991.5</v>
      </c>
      <c r="J17" s="22">
        <v>23550</v>
      </c>
      <c r="K17" s="22">
        <f>4164229</f>
        <v>4164229</v>
      </c>
      <c r="L17" s="1"/>
      <c r="M17" s="100">
        <f>M40*$M$10</f>
        <v>39160.544639567728</v>
      </c>
      <c r="N17" s="100">
        <f>$N$10*N40</f>
        <v>39160.544639567728</v>
      </c>
      <c r="O17" s="101">
        <f>O10*$H$40</f>
        <v>144570.92674689917</v>
      </c>
      <c r="P17" s="94">
        <f>P10*$H$40</f>
        <v>144570.92674689917</v>
      </c>
      <c r="Q17" s="95">
        <v>45000</v>
      </c>
      <c r="R17" s="94">
        <f>R40*R10</f>
        <v>117000</v>
      </c>
      <c r="S17" s="95">
        <v>750000</v>
      </c>
      <c r="T17" s="22">
        <f>T40*T10</f>
        <v>375000</v>
      </c>
      <c r="U17" s="22">
        <f>U40*U10</f>
        <v>336910</v>
      </c>
      <c r="V17" s="22">
        <f>V40*$V$10</f>
        <v>467483.89777685434</v>
      </c>
      <c r="W17" s="22" t="e">
        <f>#REF!</f>
        <v>#REF!</v>
      </c>
      <c r="X17" s="22">
        <f>X40*$X$10</f>
        <v>370308</v>
      </c>
      <c r="Y17" s="22" t="e">
        <f>#REF!</f>
        <v>#REF!</v>
      </c>
      <c r="Z17" s="129" t="e">
        <f>#REF!</f>
        <v>#REF!</v>
      </c>
      <c r="AA17" s="129" t="e">
        <f>AA40*AA10</f>
        <v>#REF!</v>
      </c>
      <c r="AB17" s="129" t="e">
        <f>AB40*AB10</f>
        <v>#REF!</v>
      </c>
      <c r="AC17" s="113"/>
      <c r="AD17" s="123" t="e">
        <f t="shared" ref="AD17:AI18" si="0">W17*$W$82</f>
        <v>#REF!</v>
      </c>
      <c r="AE17" s="123">
        <f t="shared" si="0"/>
        <v>499915.80000000005</v>
      </c>
      <c r="AF17" s="123" t="e">
        <f t="shared" si="0"/>
        <v>#REF!</v>
      </c>
      <c r="AG17" s="123" t="e">
        <f t="shared" si="0"/>
        <v>#REF!</v>
      </c>
      <c r="AH17" s="123" t="e">
        <f t="shared" si="0"/>
        <v>#REF!</v>
      </c>
      <c r="AI17" s="123" t="e">
        <f t="shared" si="0"/>
        <v>#REF!</v>
      </c>
      <c r="AJ17" s="267"/>
      <c r="AK17" s="413"/>
      <c r="AL17" s="441"/>
      <c r="AM17" s="4"/>
      <c r="AN17" s="4"/>
      <c r="AO17" s="204" t="e">
        <f>AO40*$AO$10</f>
        <v>#REF!</v>
      </c>
      <c r="AP17" s="240">
        <f>AP40*$AO$10</f>
        <v>0</v>
      </c>
      <c r="AQ17" s="252"/>
      <c r="AR17" s="212">
        <f>AR40*$AR$10</f>
        <v>0</v>
      </c>
      <c r="AS17" s="240">
        <f>AS40*$AO$10</f>
        <v>0</v>
      </c>
      <c r="AT17" s="123"/>
      <c r="AU17" s="204" t="e">
        <f>SUM(AU18:AU22)*Benchmarks!A91</f>
        <v>#REF!</v>
      </c>
      <c r="AV17" s="240" t="e">
        <f>SUM(AV18:AV22)*Benchmarks!A91</f>
        <v>#REF!</v>
      </c>
      <c r="AW17" s="123"/>
      <c r="AX17" s="204" t="e">
        <f>SUM(AX18:AX22)*Benchmarks!A91</f>
        <v>#REF!</v>
      </c>
      <c r="AY17" s="179" t="e">
        <f>SUM(AY18:AY22)*Benchmarks!A91</f>
        <v>#REF!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>
      <c r="A18" s="1"/>
      <c r="B18" s="1"/>
      <c r="C18" s="1"/>
      <c r="D18" s="1"/>
      <c r="E18" s="1"/>
      <c r="F18" s="23" t="s">
        <v>42</v>
      </c>
      <c r="G18" s="21">
        <v>336979</v>
      </c>
      <c r="H18" s="21">
        <f>'[1]Final Account'!I10</f>
        <v>398819.33999999997</v>
      </c>
      <c r="I18" s="21">
        <v>224045.83</v>
      </c>
      <c r="J18" s="22">
        <v>541514</v>
      </c>
      <c r="K18" s="22">
        <f>48062290+2694850+2508770</f>
        <v>53265910</v>
      </c>
      <c r="L18" s="1"/>
      <c r="M18" s="100">
        <f>M41*$M$10</f>
        <v>1069883.8494285715</v>
      </c>
      <c r="N18" s="100">
        <f>$N$10*N41</f>
        <v>492100</v>
      </c>
      <c r="O18" s="101">
        <f>K41*O10</f>
        <v>3949743.3206571429</v>
      </c>
      <c r="P18" s="95">
        <f>L41*P10</f>
        <v>1816710</v>
      </c>
      <c r="Q18" s="95">
        <f>Q41*Q10</f>
        <v>260000</v>
      </c>
      <c r="R18" s="95">
        <f>R41*R10</f>
        <v>1560000</v>
      </c>
      <c r="S18" s="95">
        <f>S41*S10+(S10*S41)*10%</f>
        <v>11280228.29252</v>
      </c>
      <c r="T18" s="22">
        <f>T41*T10+(T41+T10)*10%</f>
        <v>5130760.8154314291</v>
      </c>
      <c r="U18" s="22">
        <f>U41*U10+(U10*U41)*10%</f>
        <v>5188414</v>
      </c>
      <c r="V18" s="22">
        <f>V41*$V$10</f>
        <v>6391909.2000000002</v>
      </c>
      <c r="W18" s="22" t="e">
        <f>#REF!+#REF!</f>
        <v>#REF!</v>
      </c>
      <c r="X18" s="22">
        <f>X41*$X$10</f>
        <v>3703080</v>
      </c>
      <c r="Y18" s="22" t="e">
        <f>#REF!+#REF!+#REF!+#REF!-Y6</f>
        <v>#REF!</v>
      </c>
      <c r="Z18" s="129" t="e">
        <f>#REF!+#REF!+#REF!+#REF!-Z6</f>
        <v>#REF!</v>
      </c>
      <c r="AA18" s="129" t="e">
        <f>AA41*AA10</f>
        <v>#REF!</v>
      </c>
      <c r="AB18" s="129" t="e">
        <f>AB41*AB10</f>
        <v>#REF!</v>
      </c>
      <c r="AC18" s="113"/>
      <c r="AD18" s="123" t="e">
        <f t="shared" si="0"/>
        <v>#REF!</v>
      </c>
      <c r="AE18" s="123">
        <f t="shared" si="0"/>
        <v>4999158</v>
      </c>
      <c r="AF18" s="123" t="e">
        <f t="shared" si="0"/>
        <v>#REF!</v>
      </c>
      <c r="AG18" s="123" t="e">
        <f t="shared" si="0"/>
        <v>#REF!</v>
      </c>
      <c r="AH18" s="123" t="e">
        <f t="shared" si="0"/>
        <v>#REF!</v>
      </c>
      <c r="AI18" s="123" t="e">
        <f t="shared" si="0"/>
        <v>#REF!</v>
      </c>
      <c r="AJ18" s="267"/>
      <c r="AK18" s="415">
        <f>AK41*AK11</f>
        <v>139388161.90000001</v>
      </c>
      <c r="AL18" s="187">
        <f>AL41*$AK$11</f>
        <v>82818.870274504006</v>
      </c>
      <c r="AM18" s="4"/>
      <c r="AN18" s="267">
        <f>AN41</f>
        <v>1</v>
      </c>
      <c r="AO18" s="204">
        <f>AO41*$AO$10</f>
        <v>0</v>
      </c>
      <c r="AP18" s="179">
        <f>AP41*$AO$10</f>
        <v>0</v>
      </c>
      <c r="AQ18" s="267">
        <f>AQ41</f>
        <v>1</v>
      </c>
      <c r="AR18" s="212">
        <f>AR41*$AR$10</f>
        <v>0</v>
      </c>
      <c r="AS18" s="179">
        <f>AS41*$AR$10</f>
        <v>0</v>
      </c>
      <c r="AT18" s="123"/>
      <c r="AU18" s="204">
        <f>AU41*$AU$10</f>
        <v>0</v>
      </c>
      <c r="AV18" s="179">
        <f>AV41*$AU$10</f>
        <v>0</v>
      </c>
      <c r="AW18" s="123"/>
      <c r="AX18" s="204">
        <f>AX41*$AU$10</f>
        <v>0</v>
      </c>
      <c r="AY18" s="179">
        <f>AY41*$AU$10</f>
        <v>0</v>
      </c>
      <c r="AZ18" s="4"/>
      <c r="BA18" s="1"/>
      <c r="BB18" s="1"/>
      <c r="BC18" s="1"/>
      <c r="BD18" s="1"/>
      <c r="BE18" s="322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>
      <c r="A19" s="1"/>
      <c r="B19" s="1"/>
      <c r="C19" s="1"/>
      <c r="D19" s="1"/>
      <c r="E19" s="1"/>
      <c r="F19" s="23" t="s">
        <v>451</v>
      </c>
      <c r="G19" s="21"/>
      <c r="H19" s="21"/>
      <c r="I19" s="21"/>
      <c r="J19" s="22"/>
      <c r="K19" s="22"/>
      <c r="L19" s="1"/>
      <c r="M19" s="100"/>
      <c r="N19" s="100"/>
      <c r="O19" s="101"/>
      <c r="P19" s="95"/>
      <c r="Q19" s="95"/>
      <c r="R19" s="95"/>
      <c r="S19" s="95"/>
      <c r="T19" s="22"/>
      <c r="U19" s="22"/>
      <c r="V19" s="22"/>
      <c r="W19" s="22"/>
      <c r="X19" s="22"/>
      <c r="Y19" s="22"/>
      <c r="Z19" s="129"/>
      <c r="AA19" s="129"/>
      <c r="AB19" s="129"/>
      <c r="AC19" s="113"/>
      <c r="AD19" s="123"/>
      <c r="AE19" s="123"/>
      <c r="AF19" s="123"/>
      <c r="AG19" s="123"/>
      <c r="AH19" s="123"/>
      <c r="AI19" s="123"/>
      <c r="AJ19" s="267"/>
      <c r="AK19" s="452">
        <f>AL19/AJ6</f>
        <v>8415241.6857412141</v>
      </c>
      <c r="AL19" s="453">
        <v>5000</v>
      </c>
      <c r="AM19" s="4"/>
      <c r="AN19" s="267"/>
      <c r="AO19" s="204"/>
      <c r="AP19" s="179"/>
      <c r="AQ19" s="267"/>
      <c r="AR19" s="212"/>
      <c r="AS19" s="179"/>
      <c r="AT19" s="123"/>
      <c r="AU19" s="204"/>
      <c r="AV19" s="179"/>
      <c r="AW19" s="123"/>
      <c r="AX19" s="204"/>
      <c r="AY19" s="179"/>
      <c r="AZ19" s="4"/>
      <c r="BA19" s="1"/>
      <c r="BB19" s="1"/>
      <c r="BC19" s="1"/>
      <c r="BD19" s="1"/>
      <c r="BE19" s="322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>
      <c r="A20" s="1"/>
      <c r="B20" s="1"/>
      <c r="C20" s="1"/>
      <c r="D20" s="1"/>
      <c r="E20" s="1"/>
      <c r="F20" s="23" t="s">
        <v>455</v>
      </c>
      <c r="G20" s="442"/>
      <c r="H20" s="442"/>
      <c r="I20" s="442"/>
      <c r="J20" s="443"/>
      <c r="K20" s="443"/>
      <c r="L20" s="444"/>
      <c r="M20" s="445"/>
      <c r="N20" s="445"/>
      <c r="O20" s="446"/>
      <c r="P20" s="447"/>
      <c r="Q20" s="447"/>
      <c r="R20" s="447"/>
      <c r="S20" s="447"/>
      <c r="T20" s="443"/>
      <c r="U20" s="443"/>
      <c r="V20" s="443"/>
      <c r="W20" s="443">
        <v>0</v>
      </c>
      <c r="X20" s="443">
        <v>0</v>
      </c>
      <c r="Y20" s="443" t="e">
        <f>SUM(#REF!)</f>
        <v>#REF!</v>
      </c>
      <c r="Z20" s="448" t="e">
        <f>SUM(#REF!)</f>
        <v>#REF!</v>
      </c>
      <c r="AA20" s="448" t="e">
        <f>SUM(#REF!)</f>
        <v>#REF!</v>
      </c>
      <c r="AB20" s="448" t="e">
        <f>SUM(#REF!)</f>
        <v>#REF!</v>
      </c>
      <c r="AC20" s="449"/>
      <c r="AD20" s="450">
        <v>0</v>
      </c>
      <c r="AE20" s="450">
        <v>0</v>
      </c>
      <c r="AF20" s="450" t="e">
        <f t="shared" ref="AF20:AI22" si="1">Y20*$W$82</f>
        <v>#REF!</v>
      </c>
      <c r="AG20" s="450" t="e">
        <f t="shared" si="1"/>
        <v>#REF!</v>
      </c>
      <c r="AH20" s="450" t="e">
        <f t="shared" si="1"/>
        <v>#REF!</v>
      </c>
      <c r="AI20" s="450" t="e">
        <f t="shared" si="1"/>
        <v>#REF!</v>
      </c>
      <c r="AJ20" s="451"/>
      <c r="AK20" s="452"/>
      <c r="AM20" s="4"/>
      <c r="AN20" s="267" t="e">
        <f>#REF!</f>
        <v>#REF!</v>
      </c>
      <c r="AO20" s="204" t="e">
        <f>#REF!*$AO$10</f>
        <v>#REF!</v>
      </c>
      <c r="AP20" s="179" t="e">
        <f>#REF!*$AO$10</f>
        <v>#REF!</v>
      </c>
      <c r="AQ20" s="267" t="e">
        <f>#REF!</f>
        <v>#REF!</v>
      </c>
      <c r="AR20" s="212" t="e">
        <f>#REF!*$AR$10</f>
        <v>#REF!</v>
      </c>
      <c r="AS20" s="179" t="e">
        <f>#REF!*$AR$10</f>
        <v>#REF!</v>
      </c>
      <c r="AT20" s="123"/>
      <c r="AU20" s="204" t="e">
        <f>#REF!*$AU$10</f>
        <v>#REF!</v>
      </c>
      <c r="AV20" s="179" t="e">
        <f>#REF!*$AU$10</f>
        <v>#REF!</v>
      </c>
      <c r="AW20" s="123"/>
      <c r="AX20" s="204" t="e">
        <f>#REF!*$AU$10</f>
        <v>#REF!</v>
      </c>
      <c r="AY20" s="179" t="e">
        <f>#REF!*$AU$10</f>
        <v>#REF!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>
      <c r="A21" s="1"/>
      <c r="B21" s="1"/>
      <c r="C21" s="1"/>
      <c r="D21" s="1"/>
      <c r="E21" s="1"/>
      <c r="F21" s="23" t="s">
        <v>43</v>
      </c>
      <c r="G21" s="21">
        <v>144402</v>
      </c>
      <c r="H21" s="21">
        <f>'[1]Final Account'!I11</f>
        <v>193768.66999999998</v>
      </c>
      <c r="I21" s="21">
        <v>0</v>
      </c>
      <c r="J21" s="22">
        <v>150288</v>
      </c>
      <c r="K21" s="22">
        <f>7975676</f>
        <v>7975676</v>
      </c>
      <c r="L21" s="1"/>
      <c r="M21" s="100">
        <f>M44*$M$10</f>
        <v>160197.14937142856</v>
      </c>
      <c r="N21" s="100">
        <f>$N$10*N44</f>
        <v>160197.14937142856</v>
      </c>
      <c r="O21" s="101">
        <f>K44*O10</f>
        <v>591407.76922285708</v>
      </c>
      <c r="P21" s="95">
        <f>L44*P10</f>
        <v>591407.76922285708</v>
      </c>
      <c r="Q21" s="95">
        <v>0</v>
      </c>
      <c r="R21" s="95">
        <v>0</v>
      </c>
      <c r="S21" s="95">
        <f>S44*S10</f>
        <v>1535477.1435199999</v>
      </c>
      <c r="T21" s="22">
        <f>T10*T44</f>
        <v>767738.57175999996</v>
      </c>
      <c r="U21" s="22">
        <f>U44*U10</f>
        <v>1347640</v>
      </c>
      <c r="V21" s="22">
        <f>V44*$V$10</f>
        <v>957081.11999999988</v>
      </c>
      <c r="W21" s="22" t="e">
        <f>#REF!</f>
        <v>#REF!</v>
      </c>
      <c r="X21" s="22">
        <f>X44*$X$10</f>
        <v>1419514</v>
      </c>
      <c r="Y21" s="22" t="e">
        <f>#REF!</f>
        <v>#REF!</v>
      </c>
      <c r="Z21" s="129" t="e">
        <f>#REF!</f>
        <v>#REF!</v>
      </c>
      <c r="AA21" s="22">
        <f>AA44*AA10</f>
        <v>1540494</v>
      </c>
      <c r="AB21" s="129">
        <f>AB44*AB10</f>
        <v>1540494</v>
      </c>
      <c r="AC21" s="113"/>
      <c r="AD21" s="123" t="e">
        <f>W21*$W$82</f>
        <v>#REF!</v>
      </c>
      <c r="AE21" s="123">
        <f>X21*$W$82</f>
        <v>1916343.9000000001</v>
      </c>
      <c r="AF21" s="123" t="e">
        <f t="shared" si="1"/>
        <v>#REF!</v>
      </c>
      <c r="AG21" s="123" t="e">
        <f t="shared" si="1"/>
        <v>#REF!</v>
      </c>
      <c r="AH21" s="123">
        <f t="shared" si="1"/>
        <v>2079666.9000000001</v>
      </c>
      <c r="AI21" s="123">
        <f t="shared" si="1"/>
        <v>2079666.9000000001</v>
      </c>
      <c r="AJ21" s="267"/>
      <c r="AK21" s="415">
        <f>AK44*AK11</f>
        <v>70200000</v>
      </c>
      <c r="AL21" s="187">
        <f>AL44*AK11</f>
        <v>41710.032000000007</v>
      </c>
      <c r="AM21" s="4"/>
      <c r="AN21" s="267">
        <f>AN44</f>
        <v>1</v>
      </c>
      <c r="AO21" s="204" t="e">
        <f>AO44*$AO$10</f>
        <v>#REF!</v>
      </c>
      <c r="AP21" s="179">
        <f>AP44*$AO$10</f>
        <v>0</v>
      </c>
      <c r="AQ21" s="267">
        <f>AQ44</f>
        <v>1</v>
      </c>
      <c r="AR21" s="212">
        <f>AR44*$AR$10</f>
        <v>0</v>
      </c>
      <c r="AS21" s="179">
        <f>AS44*$AR$10</f>
        <v>0</v>
      </c>
      <c r="AT21" s="123"/>
      <c r="AU21" s="204" t="e">
        <f>AU44*$AU$10</f>
        <v>#REF!</v>
      </c>
      <c r="AV21" s="179">
        <f>AV44*$AU$10</f>
        <v>0</v>
      </c>
      <c r="AW21" s="123"/>
      <c r="AX21" s="204">
        <f>AX44*$AU$10</f>
        <v>0</v>
      </c>
      <c r="AY21" s="179">
        <f>AY44*$AU$10</f>
        <v>0</v>
      </c>
      <c r="AZ21" s="287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ht="15" thickBot="1">
      <c r="A22" s="1"/>
      <c r="B22" s="1"/>
      <c r="C22" s="1"/>
      <c r="D22" s="1"/>
      <c r="E22" s="1"/>
      <c r="F22" s="109" t="s">
        <v>44</v>
      </c>
      <c r="G22" s="105">
        <v>108580.29</v>
      </c>
      <c r="H22" s="24">
        <f>'[1]Final Account'!I12</f>
        <v>70503</v>
      </c>
      <c r="I22" s="24">
        <v>30111</v>
      </c>
      <c r="J22" s="38">
        <v>130681</v>
      </c>
      <c r="K22" s="38">
        <f>4578826</f>
        <v>4578826</v>
      </c>
      <c r="L22" s="25"/>
      <c r="M22" s="108">
        <f>M45*$M$10</f>
        <v>105450</v>
      </c>
      <c r="N22" s="108">
        <f>N45*$N$10</f>
        <v>91968.9908</v>
      </c>
      <c r="O22" s="102">
        <f>L45*O10</f>
        <v>389295</v>
      </c>
      <c r="P22" s="96">
        <f>P10*K45</f>
        <v>339526.48907999997</v>
      </c>
      <c r="Q22" s="96">
        <v>50000</v>
      </c>
      <c r="R22" s="96">
        <f>R45*R10</f>
        <v>340600</v>
      </c>
      <c r="S22" s="96">
        <f>S45*S10</f>
        <v>1010730</v>
      </c>
      <c r="T22" s="38">
        <f>T45*T10</f>
        <v>505365</v>
      </c>
      <c r="U22" s="38">
        <f>U45*U10</f>
        <v>881515.58152000001</v>
      </c>
      <c r="V22" s="38">
        <f>V45*$V$10</f>
        <v>630000</v>
      </c>
      <c r="W22" s="38" t="e">
        <f>#REF!</f>
        <v>#REF!</v>
      </c>
      <c r="X22" s="38">
        <f>X45*X10</f>
        <v>925770</v>
      </c>
      <c r="Y22" s="38" t="e">
        <f>Y6</f>
        <v>#REF!</v>
      </c>
      <c r="Z22" s="38" t="e">
        <f>Z6</f>
        <v>#REF!</v>
      </c>
      <c r="AA22" s="38">
        <f>AA45*AA10</f>
        <v>1004670</v>
      </c>
      <c r="AB22" s="38">
        <f>AB45*AB10</f>
        <v>1004670</v>
      </c>
      <c r="AC22" s="134"/>
      <c r="AD22" s="124" t="e">
        <f>W22*$W$82</f>
        <v>#REF!</v>
      </c>
      <c r="AE22" s="124">
        <f>X22*$W$82</f>
        <v>1249789.5</v>
      </c>
      <c r="AF22" s="124" t="e">
        <f t="shared" si="1"/>
        <v>#REF!</v>
      </c>
      <c r="AG22" s="124" t="e">
        <f t="shared" si="1"/>
        <v>#REF!</v>
      </c>
      <c r="AH22" s="124">
        <f t="shared" si="1"/>
        <v>1356304.5</v>
      </c>
      <c r="AI22" s="124">
        <f t="shared" si="1"/>
        <v>1356304.5</v>
      </c>
      <c r="AJ22" s="264"/>
      <c r="AK22" s="414"/>
      <c r="AL22" s="215"/>
      <c r="AM22" s="4"/>
      <c r="AN22" s="264">
        <f>AN45</f>
        <v>1</v>
      </c>
      <c r="AO22" s="205" t="e">
        <f>AO45*$AO$10</f>
        <v>#REF!</v>
      </c>
      <c r="AP22" s="241">
        <f>AP45*$AO$10</f>
        <v>0</v>
      </c>
      <c r="AQ22" s="264">
        <f>AQ45</f>
        <v>1</v>
      </c>
      <c r="AR22" s="246">
        <f>AR45*$AR$10</f>
        <v>0</v>
      </c>
      <c r="AS22" s="241">
        <f>AS45*$AR$10</f>
        <v>0</v>
      </c>
      <c r="AT22" s="124"/>
      <c r="AU22" s="205" t="e">
        <f>AU45*$AU$10</f>
        <v>#REF!</v>
      </c>
      <c r="AV22" s="241">
        <f>AV45*$AU$10</f>
        <v>0</v>
      </c>
      <c r="AW22" s="124"/>
      <c r="AX22" s="205">
        <f>AX45*$AU$10</f>
        <v>0</v>
      </c>
      <c r="AY22" s="241">
        <f>AY45*$AU$10</f>
        <v>0</v>
      </c>
      <c r="AZ22" s="454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ht="15" thickTop="1">
      <c r="A23" s="1"/>
      <c r="B23" s="1"/>
      <c r="C23" s="1"/>
      <c r="D23" s="1"/>
      <c r="E23" s="1"/>
      <c r="F23" s="23" t="s">
        <v>45</v>
      </c>
      <c r="G23" s="26">
        <f>SUM(G17:G22)</f>
        <v>637543.29</v>
      </c>
      <c r="H23" s="27">
        <f>SUM(H17:H22)</f>
        <v>708451.51</v>
      </c>
      <c r="I23" s="27">
        <f>SUM(I17:I22)</f>
        <v>275148.32999999996</v>
      </c>
      <c r="J23" s="9">
        <f>SUM(J17:J22)</f>
        <v>846033</v>
      </c>
      <c r="K23" s="9">
        <f>SUM(K17:K22)</f>
        <v>69984641</v>
      </c>
      <c r="L23" s="36"/>
      <c r="M23" s="103">
        <f t="shared" ref="M23:X23" si="2">SUM(M17:M22)</f>
        <v>1374691.5434395678</v>
      </c>
      <c r="N23" s="103">
        <f t="shared" si="2"/>
        <v>783426.68481099629</v>
      </c>
      <c r="O23" s="103">
        <f t="shared" si="2"/>
        <v>5075017.0166268991</v>
      </c>
      <c r="P23" s="97">
        <f t="shared" si="2"/>
        <v>2892215.1850497564</v>
      </c>
      <c r="Q23" s="97">
        <f t="shared" si="2"/>
        <v>355000</v>
      </c>
      <c r="R23" s="97">
        <f t="shared" si="2"/>
        <v>2017600</v>
      </c>
      <c r="S23" s="97">
        <f t="shared" si="2"/>
        <v>14576435.436039999</v>
      </c>
      <c r="T23" s="9">
        <f t="shared" si="2"/>
        <v>6778864.3871914288</v>
      </c>
      <c r="U23" s="9">
        <f t="shared" si="2"/>
        <v>7754479.5815200005</v>
      </c>
      <c r="V23" s="9">
        <f t="shared" si="2"/>
        <v>8446474.2177768536</v>
      </c>
      <c r="W23" s="9" t="e">
        <f t="shared" si="2"/>
        <v>#REF!</v>
      </c>
      <c r="X23" s="9">
        <f t="shared" si="2"/>
        <v>6418672</v>
      </c>
      <c r="Y23" s="9" t="e">
        <f>Y22+Y21+Y20+Y18+Y17</f>
        <v>#REF!</v>
      </c>
      <c r="Z23" s="9" t="e">
        <f>Z22+Z21+Z20+Z18+Z17</f>
        <v>#REF!</v>
      </c>
      <c r="AA23" s="9" t="e">
        <f>AA22+AA21+AA20+AA18+AA17</f>
        <v>#REF!</v>
      </c>
      <c r="AB23" s="9" t="e">
        <f>AB22+AB21+AB20+AB18+AB17</f>
        <v>#REF!</v>
      </c>
      <c r="AC23" s="113"/>
      <c r="AD23" s="125" t="e">
        <f>SUM(AD17:AD22)</f>
        <v>#REF!</v>
      </c>
      <c r="AE23" s="125">
        <f>SUM(AE17:AE22)</f>
        <v>8665207.1999999993</v>
      </c>
      <c r="AF23" s="125" t="e">
        <f>AF22+AF21+AF20+AF18+AF17</f>
        <v>#REF!</v>
      </c>
      <c r="AG23" s="125" t="e">
        <f>AG22+AG21+AG20+AG18+AG17</f>
        <v>#REF!</v>
      </c>
      <c r="AH23" s="125" t="e">
        <f>AH22+AH21+AH20+AH18+AH17</f>
        <v>#REF!</v>
      </c>
      <c r="AI23" s="125" t="e">
        <f>AI22+AI21+AI20+AI18+AI17</f>
        <v>#REF!</v>
      </c>
      <c r="AJ23" s="125"/>
      <c r="AK23" s="415">
        <f>SUM(AK17:AK22)</f>
        <v>218003403.58574122</v>
      </c>
      <c r="AL23" s="216">
        <f>SUM(AL17:AL22)</f>
        <v>129528.90227450401</v>
      </c>
      <c r="AM23" s="224"/>
      <c r="AN23" s="224"/>
      <c r="AO23" s="206" t="e">
        <f>SUM(AO17:AO22)</f>
        <v>#REF!</v>
      </c>
      <c r="AP23" s="242" t="e">
        <f>SUM(AP17:AP22)</f>
        <v>#REF!</v>
      </c>
      <c r="AQ23" s="255"/>
      <c r="AR23" s="247" t="e">
        <f>SUM(AR17:AR22)</f>
        <v>#REF!</v>
      </c>
      <c r="AS23" s="242" t="e">
        <f>SUM(AS17:AS22)</f>
        <v>#REF!</v>
      </c>
      <c r="AT23" s="125"/>
      <c r="AU23" s="206" t="e">
        <f>SUM(AU17:AU22)</f>
        <v>#REF!</v>
      </c>
      <c r="AV23" s="242" t="e">
        <f>SUM(AV17:AV22)</f>
        <v>#REF!</v>
      </c>
      <c r="AW23" s="125"/>
      <c r="AX23" s="206" t="e">
        <f>SUM(AX17:AX22)</f>
        <v>#REF!</v>
      </c>
      <c r="AY23" s="242" t="e">
        <f>SUM(AY17:AY22)</f>
        <v>#REF!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>
      <c r="A24" s="1"/>
      <c r="B24" s="1"/>
      <c r="C24" s="1"/>
      <c r="D24" s="1"/>
      <c r="E24" s="1"/>
      <c r="F24" s="278" t="s">
        <v>46</v>
      </c>
      <c r="G24" s="10"/>
      <c r="H24" s="10"/>
      <c r="I24" s="11"/>
      <c r="J24" s="12"/>
      <c r="K24" s="1"/>
      <c r="L24" s="1"/>
      <c r="M24" s="104"/>
      <c r="N24" s="104"/>
      <c r="O24" s="104"/>
      <c r="P24" s="98"/>
      <c r="Q24" s="98"/>
      <c r="R24" s="98"/>
      <c r="S24" s="98"/>
      <c r="T24" s="1"/>
      <c r="U24" s="1"/>
      <c r="V24" s="1"/>
      <c r="W24" s="36"/>
      <c r="X24" s="1"/>
      <c r="Y24" s="1"/>
      <c r="Z24" s="1"/>
      <c r="AA24" s="1"/>
      <c r="AB24" s="1"/>
      <c r="AC24" s="113"/>
      <c r="AD24" s="123"/>
      <c r="AE24" s="123"/>
      <c r="AF24" s="123"/>
      <c r="AG24" s="123"/>
      <c r="AH24" s="123"/>
      <c r="AI24" s="123"/>
      <c r="AJ24" s="123"/>
      <c r="AK24" s="416">
        <f>AK23/AK10</f>
        <v>48824.950411140249</v>
      </c>
      <c r="AL24" s="279">
        <f>AL23/AK10</f>
        <v>29.009832536283092</v>
      </c>
      <c r="AM24" s="4"/>
      <c r="AN24" s="4"/>
      <c r="AO24" s="203" t="e">
        <f>AO23/AO10</f>
        <v>#REF!</v>
      </c>
      <c r="AP24" s="179"/>
      <c r="AQ24" s="253"/>
      <c r="AR24" s="212" t="e">
        <f>AR23/AR10</f>
        <v>#REF!</v>
      </c>
      <c r="AS24" s="179"/>
      <c r="AT24" s="123"/>
      <c r="AU24" s="204"/>
      <c r="AV24" s="30"/>
      <c r="AW24" s="1"/>
      <c r="AX24" s="204"/>
      <c r="AY24" s="30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1:67">
      <c r="A25" s="1"/>
      <c r="B25" s="1"/>
      <c r="C25" s="1"/>
      <c r="D25" s="1"/>
      <c r="E25" s="1"/>
      <c r="F25" s="278" t="s">
        <v>47</v>
      </c>
      <c r="G25" s="29"/>
      <c r="H25" s="10"/>
      <c r="I25" s="12"/>
      <c r="J25" s="12"/>
      <c r="K25" s="1"/>
      <c r="L25" s="1"/>
      <c r="M25" s="104"/>
      <c r="N25" s="104"/>
      <c r="O25" s="104"/>
      <c r="P25" s="98"/>
      <c r="Q25" s="98"/>
      <c r="R25" s="98"/>
      <c r="S25" s="98"/>
      <c r="T25" s="1"/>
      <c r="U25" s="1"/>
      <c r="V25" s="1"/>
      <c r="W25" s="36"/>
      <c r="X25" s="1"/>
      <c r="Y25" s="1"/>
      <c r="Z25" s="1"/>
      <c r="AA25" s="1"/>
      <c r="AB25" s="1"/>
      <c r="AC25" s="113"/>
      <c r="AD25" s="123"/>
      <c r="AE25" s="123"/>
      <c r="AF25" s="123"/>
      <c r="AG25" s="123"/>
      <c r="AH25" s="123"/>
      <c r="AI25" s="123"/>
      <c r="AJ25" s="123"/>
      <c r="AK25" s="416">
        <f>AK23/AK11</f>
        <v>4535.9907107219742</v>
      </c>
      <c r="AL25" s="279">
        <f>AL23/AK11</f>
        <v>2.6951042406825683</v>
      </c>
      <c r="AM25" s="4"/>
      <c r="AN25" s="4"/>
      <c r="AO25" s="204"/>
      <c r="AP25" s="179"/>
      <c r="AQ25" s="253"/>
      <c r="AR25" s="212"/>
      <c r="AS25" s="179"/>
      <c r="AT25" s="123"/>
      <c r="AU25" s="204"/>
      <c r="AV25" s="30"/>
      <c r="AW25" s="1"/>
      <c r="AX25" s="204"/>
      <c r="AY25" s="30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1:67">
      <c r="A26" s="1"/>
      <c r="B26" s="1"/>
      <c r="C26" s="1"/>
      <c r="D26" s="1"/>
      <c r="E26" s="1"/>
      <c r="F26" s="299"/>
      <c r="G26" s="300"/>
      <c r="H26" s="301"/>
      <c r="I26" s="111"/>
      <c r="J26" s="111"/>
      <c r="M26" s="302"/>
      <c r="N26" s="302"/>
      <c r="O26" s="302"/>
      <c r="P26" s="183"/>
      <c r="Q26" s="183"/>
      <c r="R26" s="183"/>
      <c r="S26" s="183"/>
      <c r="W26" s="91"/>
      <c r="AD26" s="90"/>
      <c r="AE26" s="90"/>
      <c r="AF26" s="90"/>
      <c r="AG26" s="90"/>
      <c r="AH26" s="90"/>
      <c r="AI26" s="90"/>
      <c r="AJ26" s="90"/>
      <c r="AK26" s="303"/>
      <c r="AL26" s="304"/>
      <c r="AM26" s="4"/>
      <c r="AN26" s="4"/>
      <c r="AO26" s="204"/>
      <c r="AP26" s="179"/>
      <c r="AQ26" s="253"/>
      <c r="AR26" s="212"/>
      <c r="AS26" s="179"/>
      <c r="AT26" s="123"/>
      <c r="AU26" s="204"/>
      <c r="AV26" s="30"/>
      <c r="AW26" s="1"/>
      <c r="AX26" s="204"/>
      <c r="AY26" s="30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>
      <c r="A27" s="1"/>
      <c r="B27" s="1"/>
      <c r="C27" s="1"/>
      <c r="D27" s="1"/>
      <c r="E27" s="1"/>
      <c r="F27" s="278" t="s">
        <v>48</v>
      </c>
      <c r="G27" s="29"/>
      <c r="H27" s="10"/>
      <c r="I27" s="12"/>
      <c r="J27" s="12"/>
      <c r="K27" s="1"/>
      <c r="L27" s="1"/>
      <c r="M27" s="104"/>
      <c r="N27" s="104"/>
      <c r="O27" s="104"/>
      <c r="P27" s="98"/>
      <c r="Q27" s="98"/>
      <c r="R27" s="98"/>
      <c r="S27" s="98"/>
      <c r="T27" s="1"/>
      <c r="U27" s="1"/>
      <c r="V27" s="1"/>
      <c r="W27" s="36"/>
      <c r="X27" s="1"/>
      <c r="Y27" s="1"/>
      <c r="Z27" s="1"/>
      <c r="AA27" s="1"/>
      <c r="AB27" s="1"/>
      <c r="AC27" s="113"/>
      <c r="AD27" s="123"/>
      <c r="AE27" s="123"/>
      <c r="AF27" s="123"/>
      <c r="AG27" s="123"/>
      <c r="AH27" s="123"/>
      <c r="AI27" s="123"/>
      <c r="AJ27" s="123"/>
      <c r="AK27" s="416">
        <f>AK51*AK11</f>
        <v>0</v>
      </c>
      <c r="AL27" s="279">
        <f>AL51*AK11</f>
        <v>0</v>
      </c>
      <c r="AM27" s="4"/>
      <c r="AN27" s="4"/>
      <c r="AO27" s="204"/>
      <c r="AP27" s="179"/>
      <c r="AQ27" s="253"/>
      <c r="AR27" s="212"/>
      <c r="AS27" s="179"/>
      <c r="AT27" s="123"/>
      <c r="AU27" s="204"/>
      <c r="AV27" s="30"/>
      <c r="AW27" s="1"/>
      <c r="AX27" s="204"/>
      <c r="AY27" s="30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>
      <c r="A28" s="1"/>
      <c r="B28" s="1"/>
      <c r="C28" s="1"/>
      <c r="D28" s="1"/>
      <c r="E28" s="1"/>
      <c r="F28" s="28"/>
      <c r="G28" s="29"/>
      <c r="H28" s="10"/>
      <c r="I28" s="12"/>
      <c r="J28" s="12"/>
      <c r="K28" s="1"/>
      <c r="L28" s="1"/>
      <c r="M28" s="104"/>
      <c r="N28" s="104"/>
      <c r="O28" s="104"/>
      <c r="P28" s="98"/>
      <c r="Q28" s="98"/>
      <c r="R28" s="98"/>
      <c r="S28" s="98"/>
      <c r="T28" s="1"/>
      <c r="U28" s="1"/>
      <c r="V28" s="1"/>
      <c r="W28" s="36"/>
      <c r="X28" s="1"/>
      <c r="Y28" s="1"/>
      <c r="Z28" s="1"/>
      <c r="AA28" s="1"/>
      <c r="AB28" s="1"/>
      <c r="AC28" s="113"/>
      <c r="AD28" s="123"/>
      <c r="AE28" s="123"/>
      <c r="AF28" s="123"/>
      <c r="AG28" s="123"/>
      <c r="AH28" s="123"/>
      <c r="AI28" s="123"/>
      <c r="AJ28" s="123"/>
      <c r="AK28" s="283"/>
      <c r="AL28" s="187"/>
      <c r="AM28" s="4"/>
      <c r="AN28" s="4"/>
      <c r="AO28" s="204"/>
      <c r="AP28" s="179"/>
      <c r="AQ28" s="253"/>
      <c r="AR28" s="212"/>
      <c r="AS28" s="179"/>
      <c r="AT28" s="123"/>
      <c r="AU28" s="204"/>
      <c r="AV28" s="30"/>
      <c r="AW28" s="1"/>
      <c r="AX28" s="204"/>
      <c r="AY28" s="30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>
      <c r="A29" s="1"/>
      <c r="B29" s="1"/>
      <c r="C29" s="1"/>
      <c r="D29" s="1"/>
      <c r="E29" s="1"/>
      <c r="F29" s="142" t="s">
        <v>49</v>
      </c>
      <c r="G29" s="143"/>
      <c r="H29" s="144"/>
      <c r="I29" s="145"/>
      <c r="J29" s="145"/>
      <c r="K29" s="145"/>
      <c r="L29" s="145"/>
      <c r="M29" s="146"/>
      <c r="N29" s="146"/>
      <c r="O29" s="146"/>
      <c r="P29" s="147"/>
      <c r="Q29" s="147"/>
      <c r="R29" s="147"/>
      <c r="S29" s="147"/>
      <c r="T29" s="145"/>
      <c r="U29" s="145"/>
      <c r="V29" s="145"/>
      <c r="W29" s="148"/>
      <c r="X29" s="148"/>
      <c r="Y29" s="148"/>
      <c r="Z29" s="148"/>
      <c r="AA29" s="148"/>
      <c r="AB29" s="148"/>
      <c r="AC29" s="141"/>
      <c r="AD29" s="149"/>
      <c r="AE29" s="149"/>
      <c r="AF29" s="149"/>
      <c r="AG29" s="149"/>
      <c r="AH29" s="149"/>
      <c r="AI29" s="149"/>
      <c r="AJ29" s="149"/>
      <c r="AK29" s="284"/>
      <c r="AL29" s="217"/>
      <c r="AM29" s="4"/>
      <c r="AN29" s="225"/>
      <c r="AO29" s="207"/>
      <c r="AP29" s="243"/>
      <c r="AQ29" s="256"/>
      <c r="AR29" s="248"/>
      <c r="AS29" s="243"/>
      <c r="AT29" s="150"/>
      <c r="AU29" s="207"/>
      <c r="AV29" s="243"/>
      <c r="AW29" s="150"/>
      <c r="AX29" s="207"/>
      <c r="AY29" s="24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>
      <c r="A30" s="1"/>
      <c r="B30" s="1"/>
      <c r="C30" s="1"/>
      <c r="D30" s="1"/>
      <c r="E30" s="1"/>
      <c r="F30" s="28" t="s">
        <v>50</v>
      </c>
      <c r="G30" s="14">
        <v>31699</v>
      </c>
      <c r="H30" s="14">
        <f>'[1]Final Account'!I15</f>
        <v>20343.650000000001</v>
      </c>
      <c r="I30" s="15">
        <v>49200</v>
      </c>
      <c r="J30" s="15"/>
      <c r="K30" s="9">
        <v>1000000</v>
      </c>
      <c r="L30" s="1"/>
      <c r="M30" s="103" t="e">
        <f>N30</f>
        <v>#VALUE!</v>
      </c>
      <c r="N30" s="103" t="e">
        <f>N9*Benchmarks!C90</f>
        <v>#VALUE!</v>
      </c>
      <c r="O30" s="103" t="e">
        <f>Benchmarks!C90*Budget!O9</f>
        <v>#VALUE!</v>
      </c>
      <c r="P30" s="97" t="e">
        <f>O30</f>
        <v>#VALUE!</v>
      </c>
      <c r="Q30" s="97" t="e">
        <f>Benchmarks!C90*270</f>
        <v>#VALUE!</v>
      </c>
      <c r="R30" s="97" t="e">
        <f>Q30</f>
        <v>#VALUE!</v>
      </c>
      <c r="S30" s="97" t="e">
        <f>S49*S9*2</f>
        <v>#VALUE!</v>
      </c>
      <c r="T30" s="9" t="e">
        <f>T49*T9*2</f>
        <v>#VALUE!</v>
      </c>
      <c r="U30" s="11" t="e">
        <f>U9*U49*2</f>
        <v>#VALUE!</v>
      </c>
      <c r="V30" s="9" t="e">
        <f>V9*V49</f>
        <v>#VALUE!</v>
      </c>
      <c r="W30" s="22" t="e">
        <f>#REF!</f>
        <v>#REF!</v>
      </c>
      <c r="X30" s="22">
        <f>X49*750</f>
        <v>83250</v>
      </c>
      <c r="Y30" s="114" t="e">
        <f>#REF!</f>
        <v>#REF!</v>
      </c>
      <c r="Z30" s="114" t="e">
        <f>#REF!</f>
        <v>#REF!</v>
      </c>
      <c r="AA30" s="114" t="e">
        <f>AA49*750</f>
        <v>#REF!</v>
      </c>
      <c r="AB30" s="114" t="e">
        <f>AB49*750</f>
        <v>#REF!</v>
      </c>
      <c r="AC30" s="113"/>
      <c r="AD30" s="123" t="e">
        <f t="shared" ref="AD30:AI30" si="3">W30*$W$82</f>
        <v>#REF!</v>
      </c>
      <c r="AE30" s="123">
        <f t="shared" si="3"/>
        <v>112387.50000000001</v>
      </c>
      <c r="AF30" s="123" t="e">
        <f t="shared" si="3"/>
        <v>#REF!</v>
      </c>
      <c r="AG30" s="123" t="e">
        <f t="shared" si="3"/>
        <v>#REF!</v>
      </c>
      <c r="AH30" s="123" t="e">
        <f t="shared" si="3"/>
        <v>#REF!</v>
      </c>
      <c r="AI30" s="123" t="e">
        <f t="shared" si="3"/>
        <v>#REF!</v>
      </c>
      <c r="AJ30" s="123"/>
      <c r="AK30" s="413">
        <f>AK49*AK11</f>
        <v>7745192.3477499615</v>
      </c>
      <c r="AL30" s="187">
        <f>AL49*AK11</f>
        <v>4601.8834853391172</v>
      </c>
      <c r="AM30" s="4"/>
      <c r="AN30" s="4"/>
      <c r="AO30" s="204">
        <f>AO49*AO9</f>
        <v>0</v>
      </c>
      <c r="AP30" s="179">
        <f>AP49*AO9</f>
        <v>0</v>
      </c>
      <c r="AQ30" s="253"/>
      <c r="AR30" s="212">
        <f>AR49*AR9</f>
        <v>0</v>
      </c>
      <c r="AS30" s="179">
        <f>AS49*AR9</f>
        <v>0</v>
      </c>
      <c r="AT30" s="123"/>
      <c r="AU30" s="204">
        <f>AU49*AU9</f>
        <v>0</v>
      </c>
      <c r="AV30" s="179">
        <f>AV49*AU9</f>
        <v>0</v>
      </c>
      <c r="AW30" s="123"/>
      <c r="AX30" s="204">
        <f>AX49*AX9</f>
        <v>0</v>
      </c>
      <c r="AY30" s="179">
        <f>AY49*AX9</f>
        <v>0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>
      <c r="A31" s="1"/>
      <c r="B31" s="1"/>
      <c r="C31" s="1"/>
      <c r="D31" s="1"/>
      <c r="E31" s="1"/>
      <c r="F31" s="159" t="s">
        <v>51</v>
      </c>
      <c r="G31" s="155"/>
      <c r="H31" s="156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7"/>
      <c r="T31" s="155"/>
      <c r="U31" s="155"/>
      <c r="V31" s="155"/>
      <c r="W31" s="158"/>
      <c r="X31" s="155"/>
      <c r="Y31" s="155"/>
      <c r="Z31" s="155"/>
      <c r="AA31" s="155"/>
      <c r="AB31" s="155"/>
      <c r="AC31" s="155"/>
      <c r="AD31" s="150"/>
      <c r="AE31" s="150"/>
      <c r="AF31" s="150"/>
      <c r="AG31" s="150"/>
      <c r="AH31" s="150"/>
      <c r="AI31" s="150"/>
      <c r="AJ31" s="150"/>
      <c r="AK31" s="419"/>
      <c r="AL31" s="217"/>
      <c r="AM31" s="4"/>
      <c r="AN31" s="225"/>
      <c r="AO31" s="207"/>
      <c r="AP31" s="243"/>
      <c r="AQ31" s="256"/>
      <c r="AR31" s="248"/>
      <c r="AS31" s="243"/>
      <c r="AT31" s="150"/>
      <c r="AU31" s="207"/>
      <c r="AV31" s="243"/>
      <c r="AW31" s="150"/>
      <c r="AX31" s="207"/>
      <c r="AY31" s="24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>
      <c r="A32" s="1"/>
      <c r="B32" s="1"/>
      <c r="C32" s="1"/>
      <c r="D32" s="1"/>
      <c r="E32" s="1"/>
      <c r="F32" s="16" t="s">
        <v>51</v>
      </c>
      <c r="G32" s="1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97">
        <f>S50*S10</f>
        <v>1010730</v>
      </c>
      <c r="T32" s="9">
        <f>T50*T10</f>
        <v>505365</v>
      </c>
      <c r="U32" s="9">
        <f>U50*U10</f>
        <v>1010730</v>
      </c>
      <c r="V32" s="9">
        <f>V50*V10</f>
        <v>630000</v>
      </c>
      <c r="W32" s="22" t="e">
        <f>#REF!</f>
        <v>#REF!</v>
      </c>
      <c r="X32" s="22">
        <f>X50*X10</f>
        <v>925770</v>
      </c>
      <c r="Y32" s="114" t="e">
        <f>#REF!</f>
        <v>#REF!</v>
      </c>
      <c r="Z32" s="114" t="e">
        <f>#REF!</f>
        <v>#REF!</v>
      </c>
      <c r="AA32" s="114" t="e">
        <f>AA50*AA10</f>
        <v>#REF!</v>
      </c>
      <c r="AB32" s="114" t="e">
        <f>AB50*AB10</f>
        <v>#REF!</v>
      </c>
      <c r="AC32" s="113"/>
      <c r="AD32" s="123" t="e">
        <f t="shared" ref="AD32:AI32" si="4">W32*$W$82</f>
        <v>#REF!</v>
      </c>
      <c r="AE32" s="123">
        <f t="shared" si="4"/>
        <v>1249789.5</v>
      </c>
      <c r="AF32" s="123" t="e">
        <f t="shared" si="4"/>
        <v>#REF!</v>
      </c>
      <c r="AG32" s="123" t="e">
        <f t="shared" si="4"/>
        <v>#REF!</v>
      </c>
      <c r="AH32" s="123" t="e">
        <f t="shared" si="4"/>
        <v>#REF!</v>
      </c>
      <c r="AI32" s="123" t="e">
        <f t="shared" si="4"/>
        <v>#REF!</v>
      </c>
      <c r="AJ32" s="123"/>
      <c r="AK32" s="413">
        <f>AK50*AK10</f>
        <v>0</v>
      </c>
      <c r="AL32" s="187">
        <f>AL50*AK10</f>
        <v>0</v>
      </c>
      <c r="AM32" s="4"/>
      <c r="AN32" s="4"/>
      <c r="AO32" s="204">
        <f>AO50*AO10</f>
        <v>0</v>
      </c>
      <c r="AP32" s="179">
        <f>AP50*AO10</f>
        <v>0</v>
      </c>
      <c r="AQ32" s="253"/>
      <c r="AR32" s="212">
        <f>AR50*AR10</f>
        <v>0</v>
      </c>
      <c r="AS32" s="179">
        <f>AS50*AR10</f>
        <v>0</v>
      </c>
      <c r="AT32" s="123"/>
      <c r="AU32" s="204">
        <f>AU10*AU50</f>
        <v>0</v>
      </c>
      <c r="AV32" s="179">
        <f>AV50*AU10</f>
        <v>0</v>
      </c>
      <c r="AW32" s="123"/>
      <c r="AX32" s="204">
        <f>AX10*AX50</f>
        <v>0</v>
      </c>
      <c r="AY32" s="179">
        <f>AY50*AX10</f>
        <v>0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>
      <c r="A33" s="1"/>
      <c r="B33" s="1"/>
      <c r="C33" s="1"/>
      <c r="D33" s="1"/>
      <c r="E33" s="1"/>
      <c r="F33" s="30"/>
      <c r="G33" s="1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36"/>
      <c r="X33" s="1"/>
      <c r="Y33" s="1"/>
      <c r="Z33" s="1"/>
      <c r="AA33" s="1"/>
      <c r="AB33" s="1"/>
      <c r="AC33" s="113"/>
      <c r="AD33" s="123"/>
      <c r="AE33" s="123"/>
      <c r="AF33" s="123"/>
      <c r="AG33" s="123"/>
      <c r="AH33" s="123"/>
      <c r="AI33" s="123"/>
      <c r="AJ33" s="123"/>
      <c r="AK33" s="413"/>
      <c r="AL33" s="187"/>
      <c r="AM33" s="4"/>
      <c r="AN33" s="4"/>
      <c r="AO33" s="204"/>
      <c r="AP33" s="179"/>
      <c r="AQ33" s="253"/>
      <c r="AR33" s="212"/>
      <c r="AS33" s="179"/>
      <c r="AT33" s="123"/>
      <c r="AU33" s="204"/>
      <c r="AV33" s="30"/>
      <c r="AW33" s="1"/>
      <c r="AX33" s="204"/>
      <c r="AY33" s="30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5" thickBot="1">
      <c r="A34" s="1"/>
      <c r="B34" s="1"/>
      <c r="C34" s="1"/>
      <c r="D34" s="1"/>
      <c r="E34" s="1"/>
      <c r="F34" s="151"/>
      <c r="G34" s="25"/>
      <c r="H34" s="15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138"/>
      <c r="X34" s="25"/>
      <c r="Y34" s="153"/>
      <c r="Z34" s="153"/>
      <c r="AA34" s="153"/>
      <c r="AB34" s="153"/>
      <c r="AC34" s="134"/>
      <c r="AD34" s="124"/>
      <c r="AE34" s="124"/>
      <c r="AF34" s="154"/>
      <c r="AG34" s="154"/>
      <c r="AH34" s="154"/>
      <c r="AI34" s="154"/>
      <c r="AJ34" s="154"/>
      <c r="AK34" s="414"/>
      <c r="AL34" s="215"/>
      <c r="AM34" s="4"/>
      <c r="AN34" s="223"/>
      <c r="AO34" s="205"/>
      <c r="AP34" s="241"/>
      <c r="AQ34" s="254"/>
      <c r="AR34" s="246"/>
      <c r="AS34" s="241"/>
      <c r="AT34" s="124"/>
      <c r="AU34" s="205"/>
      <c r="AV34" s="151"/>
      <c r="AW34" s="25"/>
      <c r="AX34" s="205"/>
      <c r="AY34" s="15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5" thickTop="1">
      <c r="A35" s="1"/>
      <c r="B35" s="1"/>
      <c r="C35" s="1"/>
      <c r="D35" s="1"/>
      <c r="E35" s="1"/>
      <c r="F35" s="119" t="s">
        <v>52</v>
      </c>
      <c r="G35" s="120" t="s">
        <v>53</v>
      </c>
      <c r="H35" s="120" t="s">
        <v>54</v>
      </c>
      <c r="I35" s="120" t="s">
        <v>55</v>
      </c>
      <c r="J35" s="120" t="s">
        <v>56</v>
      </c>
      <c r="K35" s="121"/>
      <c r="L35" s="122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30" t="e">
        <f>W32+W30+W23</f>
        <v>#REF!</v>
      </c>
      <c r="X35" s="130">
        <f t="shared" ref="X35:AB35" si="5">X32+X30+X23</f>
        <v>7427692</v>
      </c>
      <c r="Y35" s="130" t="e">
        <f t="shared" si="5"/>
        <v>#REF!</v>
      </c>
      <c r="Z35" s="130" t="e">
        <f t="shared" si="5"/>
        <v>#REF!</v>
      </c>
      <c r="AA35" s="130" t="e">
        <f t="shared" si="5"/>
        <v>#REF!</v>
      </c>
      <c r="AB35" s="130" t="e">
        <f t="shared" si="5"/>
        <v>#REF!</v>
      </c>
      <c r="AC35" s="113"/>
      <c r="AD35" s="126" t="e">
        <f>AD32+AD30+AD23</f>
        <v>#REF!</v>
      </c>
      <c r="AE35" s="126">
        <f t="shared" ref="AE35:AI35" si="6">AE32+AE30+AE23</f>
        <v>10027384.199999999</v>
      </c>
      <c r="AF35" s="126" t="e">
        <f t="shared" si="6"/>
        <v>#REF!</v>
      </c>
      <c r="AG35" s="126" t="e">
        <f t="shared" si="6"/>
        <v>#REF!</v>
      </c>
      <c r="AH35" s="126" t="e">
        <f t="shared" si="6"/>
        <v>#REF!</v>
      </c>
      <c r="AI35" s="126" t="e">
        <f t="shared" si="6"/>
        <v>#REF!</v>
      </c>
      <c r="AJ35" s="126"/>
      <c r="AK35" s="420">
        <f>AK32+AK30+AK23-AK27</f>
        <v>225748595.93349117</v>
      </c>
      <c r="AL35" s="218">
        <f>AL32+AL30+AL23-AL27</f>
        <v>134130.78575984313</v>
      </c>
      <c r="AM35" s="224"/>
      <c r="AN35" s="122"/>
      <c r="AO35" s="208" t="e">
        <f t="shared" ref="AO35:AS35" si="7">AO32+AO30+AO23</f>
        <v>#REF!</v>
      </c>
      <c r="AP35" s="244" t="e">
        <f t="shared" si="7"/>
        <v>#REF!</v>
      </c>
      <c r="AQ35" s="257"/>
      <c r="AR35" s="249" t="e">
        <f t="shared" si="7"/>
        <v>#REF!</v>
      </c>
      <c r="AS35" s="244" t="e">
        <f t="shared" si="7"/>
        <v>#REF!</v>
      </c>
      <c r="AT35" s="126"/>
      <c r="AU35" s="208" t="e">
        <f t="shared" ref="AU35:AV35" si="8">AU32+AU30+AU23</f>
        <v>#REF!</v>
      </c>
      <c r="AV35" s="244" t="e">
        <f t="shared" si="8"/>
        <v>#REF!</v>
      </c>
      <c r="AW35" s="126"/>
      <c r="AX35" s="208" t="e">
        <f t="shared" ref="AX35:AY35" si="9">AX32+AX30+AX23</f>
        <v>#REF!</v>
      </c>
      <c r="AY35" s="244" t="e">
        <f t="shared" si="9"/>
        <v>#REF!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29">
      <c r="A36" s="1"/>
      <c r="B36" s="1"/>
      <c r="C36" s="1"/>
      <c r="D36" s="1"/>
      <c r="E36" s="1"/>
      <c r="F36" s="30"/>
      <c r="G36" s="32" t="s">
        <v>57</v>
      </c>
      <c r="H36" s="33" t="s">
        <v>58</v>
      </c>
      <c r="I36" s="31" t="s">
        <v>59</v>
      </c>
      <c r="J36" s="31" t="s">
        <v>60</v>
      </c>
      <c r="K36" s="1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36"/>
      <c r="X36" s="1"/>
      <c r="Y36" s="1"/>
      <c r="Z36" s="1"/>
      <c r="AA36" s="36"/>
      <c r="AB36" s="36"/>
      <c r="AC36" s="113"/>
      <c r="AD36" s="123"/>
      <c r="AE36" s="123"/>
      <c r="AF36" s="123"/>
      <c r="AG36" s="123"/>
      <c r="AH36" s="123"/>
      <c r="AI36" s="123"/>
      <c r="AJ36" s="123"/>
      <c r="AK36" s="283"/>
      <c r="AL36" s="187"/>
      <c r="AM36" s="4"/>
      <c r="AN36" s="4"/>
      <c r="AO36" s="204"/>
      <c r="AP36" s="179"/>
      <c r="AQ36" s="253"/>
      <c r="AR36" s="212"/>
      <c r="AS36" s="30"/>
      <c r="AT36" s="1"/>
      <c r="AU36" s="204"/>
      <c r="AV36" s="30"/>
      <c r="AW36" s="1"/>
      <c r="AX36" s="204"/>
      <c r="AY36" s="30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>
      <c r="A37" s="1"/>
      <c r="B37" s="1"/>
      <c r="C37" s="1"/>
      <c r="D37" s="1"/>
      <c r="E37" s="1"/>
      <c r="F37" s="30"/>
      <c r="G37" s="31" t="s">
        <v>61</v>
      </c>
      <c r="H37" s="34" t="s">
        <v>62</v>
      </c>
      <c r="I37" s="31" t="s">
        <v>63</v>
      </c>
      <c r="J37" s="31" t="s">
        <v>63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36"/>
      <c r="X37" s="22"/>
      <c r="Y37" s="1"/>
      <c r="Z37" s="36"/>
      <c r="AA37" s="22"/>
      <c r="AB37" s="22"/>
      <c r="AC37" s="113"/>
      <c r="AD37" s="123"/>
      <c r="AE37" s="123"/>
      <c r="AF37" s="123"/>
      <c r="AG37" s="123"/>
      <c r="AH37" s="123"/>
      <c r="AI37" s="123"/>
      <c r="AJ37" s="123"/>
      <c r="AK37" s="283"/>
      <c r="AL37" s="187"/>
      <c r="AM37" s="4"/>
      <c r="AN37" s="4"/>
      <c r="AO37" s="204"/>
      <c r="AP37" s="179"/>
      <c r="AQ37" s="253"/>
      <c r="AR37" s="212"/>
      <c r="AS37" s="30"/>
      <c r="AT37" s="1"/>
      <c r="AU37" s="204"/>
      <c r="AV37" s="30"/>
      <c r="AW37" s="1"/>
      <c r="AX37" s="204"/>
      <c r="AY37" s="30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29">
      <c r="A38" s="1"/>
      <c r="B38" s="1"/>
      <c r="C38" s="1"/>
      <c r="D38" s="1"/>
      <c r="E38" s="1"/>
      <c r="F38" s="30"/>
      <c r="G38" s="31"/>
      <c r="H38" s="31"/>
      <c r="I38" s="31"/>
      <c r="J38" s="32" t="s">
        <v>64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36"/>
      <c r="X38" s="1"/>
      <c r="Y38" s="1"/>
      <c r="Z38" s="1"/>
      <c r="AA38" s="1"/>
      <c r="AB38" s="1"/>
      <c r="AC38" s="113"/>
      <c r="AD38" s="123"/>
      <c r="AE38" s="123"/>
      <c r="AF38" s="123"/>
      <c r="AG38" s="123"/>
      <c r="AH38" s="123"/>
      <c r="AI38" s="123"/>
      <c r="AJ38" s="123"/>
      <c r="AK38" s="283"/>
      <c r="AL38" s="187"/>
      <c r="AM38" s="4"/>
      <c r="AN38" s="4"/>
      <c r="AO38" s="204"/>
      <c r="AP38" s="179"/>
      <c r="AQ38" s="253"/>
      <c r="AR38" s="212"/>
      <c r="AS38" s="30"/>
      <c r="AT38" s="1"/>
      <c r="AU38" s="204"/>
      <c r="AV38" s="30"/>
      <c r="AW38" s="1"/>
      <c r="AX38" s="204"/>
      <c r="AY38" s="30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>
      <c r="A39" s="1"/>
      <c r="B39" s="1"/>
      <c r="C39" s="1"/>
      <c r="D39" s="1"/>
      <c r="E39" s="1"/>
      <c r="F39" s="17" t="s">
        <v>688</v>
      </c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12"/>
      <c r="X39" s="112"/>
      <c r="Y39" s="112"/>
      <c r="Z39" s="112"/>
      <c r="AA39" s="112"/>
      <c r="AB39" s="112"/>
      <c r="AC39" s="113"/>
      <c r="AD39" s="17" t="s">
        <v>65</v>
      </c>
      <c r="AE39" s="127"/>
      <c r="AF39" s="127"/>
      <c r="AG39" s="127"/>
      <c r="AH39" s="127"/>
      <c r="AI39" s="127"/>
      <c r="AJ39" s="19" t="s">
        <v>38</v>
      </c>
      <c r="AK39" s="285"/>
      <c r="AL39" s="219"/>
      <c r="AM39" s="4"/>
      <c r="AN39" s="259" t="s">
        <v>38</v>
      </c>
      <c r="AO39" s="209"/>
      <c r="AP39" s="245"/>
      <c r="AQ39" s="260" t="s">
        <v>38</v>
      </c>
      <c r="AR39" s="250"/>
      <c r="AS39" s="245"/>
      <c r="AT39" s="260" t="s">
        <v>38</v>
      </c>
      <c r="AU39" s="209"/>
      <c r="AV39" s="245"/>
      <c r="AW39" s="260" t="s">
        <v>38</v>
      </c>
      <c r="AX39" s="209"/>
      <c r="AY39" s="245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>
      <c r="A40" s="1"/>
      <c r="B40" s="1"/>
      <c r="C40" s="1"/>
      <c r="D40" s="1"/>
      <c r="E40" s="1"/>
      <c r="F40" s="20" t="s">
        <v>41</v>
      </c>
      <c r="G40" s="92">
        <f>G17/$G$10</f>
        <v>7.4288836846213897</v>
      </c>
      <c r="H40" s="22">
        <f>H17/$H$10</f>
        <v>5.5704899914036599</v>
      </c>
      <c r="I40" s="22">
        <f>I17/$I$10</f>
        <v>6.3998475609756094</v>
      </c>
      <c r="J40" s="22">
        <f>J17/$J$10</f>
        <v>2.7781054618379142</v>
      </c>
      <c r="K40" s="22">
        <f>K17/$K$10</f>
        <v>11.897797142857144</v>
      </c>
      <c r="L40" s="22"/>
      <c r="M40" s="35">
        <f>O40</f>
        <v>5.5704899914036599</v>
      </c>
      <c r="N40" s="35">
        <f>O40</f>
        <v>5.5704899914036599</v>
      </c>
      <c r="O40" s="35">
        <f>O17/$O$10</f>
        <v>5.5704899914036599</v>
      </c>
      <c r="P40" s="35">
        <f>P17/$P$10</f>
        <v>5.5704899914036599</v>
      </c>
      <c r="Q40" s="22">
        <f>Q17/Q10</f>
        <v>1.7307692307692308</v>
      </c>
      <c r="R40" s="35">
        <v>4.5</v>
      </c>
      <c r="S40" s="35">
        <f>S17/S10</f>
        <v>11.130568994687009</v>
      </c>
      <c r="T40" s="35">
        <f>S40</f>
        <v>11.130568994687009</v>
      </c>
      <c r="U40" s="22">
        <v>5</v>
      </c>
      <c r="V40" s="35">
        <f>S40</f>
        <v>11.130568994687009</v>
      </c>
      <c r="W40" s="115" t="e">
        <f>W17/$W$10</f>
        <v>#REF!</v>
      </c>
      <c r="X40" s="115">
        <v>6</v>
      </c>
      <c r="Y40" s="36" t="e">
        <f>Y17/Y10</f>
        <v>#REF!</v>
      </c>
      <c r="Z40" s="114" t="e">
        <f>Z17/Z10</f>
        <v>#REF!</v>
      </c>
      <c r="AA40" s="35" t="e">
        <f>Z40</f>
        <v>#REF!</v>
      </c>
      <c r="AB40" s="35" t="e">
        <f>AA40</f>
        <v>#REF!</v>
      </c>
      <c r="AC40" s="113"/>
      <c r="AD40" s="128" t="e">
        <f t="shared" ref="AD40:AI41" si="10">W40*$W$82</f>
        <v>#REF!</v>
      </c>
      <c r="AE40" s="128">
        <f t="shared" si="10"/>
        <v>8.1000000000000014</v>
      </c>
      <c r="AF40" s="128" t="e">
        <f t="shared" si="10"/>
        <v>#REF!</v>
      </c>
      <c r="AG40" s="128" t="e">
        <f t="shared" si="10"/>
        <v>#REF!</v>
      </c>
      <c r="AH40" s="128" t="e">
        <f t="shared" si="10"/>
        <v>#REF!</v>
      </c>
      <c r="AI40" s="128" t="e">
        <f t="shared" si="10"/>
        <v>#REF!</v>
      </c>
      <c r="AJ40" s="267">
        <v>1</v>
      </c>
      <c r="AK40" s="410">
        <f>Benchmarks!$C$91*AJ40</f>
        <v>436.08950127321509</v>
      </c>
      <c r="AL40" s="220">
        <f>AK40*$AJ$6</f>
        <v>0.25910693807649349</v>
      </c>
      <c r="AM40" s="226"/>
      <c r="AN40" s="263"/>
      <c r="AO40" s="210" t="e">
        <f>Benchmarks!E91</f>
        <v>#REF!</v>
      </c>
      <c r="AP40" s="180">
        <f>Benchmarks!I91</f>
        <v>0</v>
      </c>
      <c r="AQ40" s="258"/>
      <c r="AR40" s="251">
        <f>10%*SUM(AR41:AR45)</f>
        <v>158.32569000000001</v>
      </c>
      <c r="AS40" s="180">
        <f>AR40*$AJ$6</f>
        <v>9.4070791970400011E-2</v>
      </c>
      <c r="AT40" s="258"/>
      <c r="AU40" s="210" t="e">
        <f>(AU41+AU44+AU45)*Benchmarks!$A$91</f>
        <v>#REF!</v>
      </c>
      <c r="AV40" s="180">
        <f>Benchmarks!$G$91</f>
        <v>0</v>
      </c>
      <c r="AW40" s="258"/>
      <c r="AX40" s="210">
        <f>(AX41+AX44+AX45)*Benchmarks!$A$91</f>
        <v>395.57501794885792</v>
      </c>
      <c r="AY40" s="180">
        <f>Benchmarks!$G$91</f>
        <v>0</v>
      </c>
      <c r="AZ40" s="42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>
      <c r="A41" s="1"/>
      <c r="B41" s="1"/>
      <c r="C41" s="1"/>
      <c r="D41" s="1"/>
      <c r="E41" s="1"/>
      <c r="F41" s="23" t="s">
        <v>66</v>
      </c>
      <c r="G41" s="92">
        <f>G18/$G$10</f>
        <v>52.611865729898518</v>
      </c>
      <c r="H41" s="22">
        <f>H18/$H$10</f>
        <v>48.976954439395797</v>
      </c>
      <c r="I41" s="22">
        <f>I18/$I$10</f>
        <v>68.306655487804875</v>
      </c>
      <c r="J41" s="22">
        <f>J18/$J$10</f>
        <v>63.880382210687742</v>
      </c>
      <c r="K41" s="22">
        <f>K18/$K$10</f>
        <v>152.18831428571428</v>
      </c>
      <c r="L41" s="22">
        <v>70</v>
      </c>
      <c r="M41" s="35">
        <f>O41</f>
        <v>152.18831428571428</v>
      </c>
      <c r="N41" s="22">
        <f>P41</f>
        <v>70</v>
      </c>
      <c r="O41" s="35">
        <f>O18/$O$10</f>
        <v>152.18831428571428</v>
      </c>
      <c r="P41" s="22">
        <f>P18/$P$10</f>
        <v>70</v>
      </c>
      <c r="Q41" s="22">
        <v>10</v>
      </c>
      <c r="R41" s="22">
        <v>60</v>
      </c>
      <c r="S41" s="22">
        <f>O41</f>
        <v>152.18831428571428</v>
      </c>
      <c r="T41" s="35">
        <f t="shared" ref="T41:T50" si="11">S41</f>
        <v>152.18831428571428</v>
      </c>
      <c r="U41" s="22">
        <f>P41</f>
        <v>70</v>
      </c>
      <c r="V41" s="22">
        <f>S41</f>
        <v>152.18831428571428</v>
      </c>
      <c r="W41" s="116" t="e">
        <f>W18/$W$10</f>
        <v>#REF!</v>
      </c>
      <c r="X41" s="116">
        <v>60</v>
      </c>
      <c r="Y41" s="36" t="e">
        <f>Y18/Y10</f>
        <v>#REF!</v>
      </c>
      <c r="Z41" s="114" t="e">
        <f>Z18/Z10</f>
        <v>#REF!</v>
      </c>
      <c r="AA41" s="35" t="e">
        <f>Y41</f>
        <v>#REF!</v>
      </c>
      <c r="AB41" s="35" t="e">
        <f>Z41</f>
        <v>#REF!</v>
      </c>
      <c r="AC41" s="113"/>
      <c r="AD41" s="128" t="e">
        <f t="shared" si="10"/>
        <v>#REF!</v>
      </c>
      <c r="AE41" s="128">
        <f t="shared" si="10"/>
        <v>81</v>
      </c>
      <c r="AF41" s="128" t="e">
        <f t="shared" si="10"/>
        <v>#REF!</v>
      </c>
      <c r="AG41" s="128" t="e">
        <f t="shared" si="10"/>
        <v>#REF!</v>
      </c>
      <c r="AH41" s="128" t="e">
        <f t="shared" si="10"/>
        <v>#REF!</v>
      </c>
      <c r="AI41" s="128" t="e">
        <f t="shared" si="10"/>
        <v>#REF!</v>
      </c>
      <c r="AJ41" s="261">
        <v>1</v>
      </c>
      <c r="AK41" s="410">
        <f>Benchmarks!$C$76*AJ41</f>
        <v>2900.2455794885786</v>
      </c>
      <c r="AL41" s="220">
        <f>AK41*$AJ$6</f>
        <v>1.723209913508934</v>
      </c>
      <c r="AM41" s="226"/>
      <c r="AN41" s="263">
        <v>1</v>
      </c>
      <c r="AO41" s="210">
        <f>Benchmarks!E92*AN41</f>
        <v>2900.2455794885786</v>
      </c>
      <c r="AP41" s="180">
        <f>Benchmarks!I92</f>
        <v>0</v>
      </c>
      <c r="AQ41" s="268">
        <v>1</v>
      </c>
      <c r="AR41" s="251">
        <f>527.7523*AQ41</f>
        <v>527.75229999999999</v>
      </c>
      <c r="AS41" s="180">
        <f>AR41*$AJ$6</f>
        <v>0.31356930656800003</v>
      </c>
      <c r="AT41" s="268">
        <v>1</v>
      </c>
      <c r="AU41" s="204">
        <f>AK41</f>
        <v>2900.2455794885786</v>
      </c>
      <c r="AV41" s="187">
        <f>AL41</f>
        <v>1.723209913508934</v>
      </c>
      <c r="AW41" s="268">
        <v>1</v>
      </c>
      <c r="AX41" s="204">
        <f>AO41</f>
        <v>2900.2455794885786</v>
      </c>
      <c r="AY41" s="187">
        <f>AP41*80%</f>
        <v>0</v>
      </c>
      <c r="AZ41" s="42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>
      <c r="A42" s="1"/>
      <c r="B42" s="1"/>
      <c r="C42" s="1"/>
      <c r="D42" s="1"/>
      <c r="E42" s="1"/>
      <c r="F42" s="23" t="s">
        <v>451</v>
      </c>
      <c r="G42" s="92"/>
      <c r="H42" s="22"/>
      <c r="I42" s="22"/>
      <c r="J42" s="22"/>
      <c r="K42" s="22"/>
      <c r="L42" s="22"/>
      <c r="M42" s="35"/>
      <c r="N42" s="22"/>
      <c r="O42" s="35"/>
      <c r="P42" s="22"/>
      <c r="Q42" s="22"/>
      <c r="R42" s="22"/>
      <c r="S42" s="22"/>
      <c r="T42" s="35"/>
      <c r="U42" s="22"/>
      <c r="V42" s="22"/>
      <c r="W42" s="116"/>
      <c r="X42" s="116"/>
      <c r="Y42" s="36"/>
      <c r="Z42" s="114"/>
      <c r="AA42" s="35"/>
      <c r="AB42" s="35"/>
      <c r="AC42" s="113"/>
      <c r="AD42" s="128"/>
      <c r="AE42" s="128"/>
      <c r="AF42" s="128"/>
      <c r="AG42" s="128"/>
      <c r="AH42" s="128"/>
      <c r="AI42" s="128"/>
      <c r="AJ42" s="261">
        <v>0.1</v>
      </c>
      <c r="AK42" s="410">
        <f>Benchmarks!$L$71*AJ42</f>
        <v>656.71392488063066</v>
      </c>
      <c r="AL42" s="220">
        <f>AK42*$AJ$6</f>
        <v>0.39019314560707552</v>
      </c>
      <c r="AM42" s="226"/>
      <c r="AN42" s="263"/>
      <c r="AO42" s="210"/>
      <c r="AP42" s="180"/>
      <c r="AQ42" s="268"/>
      <c r="AR42" s="251"/>
      <c r="AS42" s="180"/>
      <c r="AT42" s="268"/>
      <c r="AU42" s="204"/>
      <c r="AV42" s="187"/>
      <c r="AW42" s="268"/>
      <c r="AX42" s="204"/>
      <c r="AY42" s="187"/>
      <c r="AZ42" s="42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>
      <c r="A43" s="1"/>
      <c r="B43" s="1"/>
      <c r="C43" s="1"/>
      <c r="D43" s="1"/>
      <c r="E43" s="1"/>
      <c r="F43" s="23" t="s">
        <v>455</v>
      </c>
      <c r="G43" s="92"/>
      <c r="H43" s="22"/>
      <c r="I43" s="22"/>
      <c r="J43" s="22"/>
      <c r="K43" s="22"/>
      <c r="L43" s="22"/>
      <c r="M43" s="35"/>
      <c r="N43" s="22"/>
      <c r="O43" s="35"/>
      <c r="P43" s="22"/>
      <c r="Q43" s="22"/>
      <c r="R43" s="22"/>
      <c r="S43" s="22"/>
      <c r="T43" s="35"/>
      <c r="U43" s="22"/>
      <c r="V43" s="22"/>
      <c r="W43" s="116"/>
      <c r="X43" s="116"/>
      <c r="Y43" s="36"/>
      <c r="Z43" s="114"/>
      <c r="AA43" s="35"/>
      <c r="AB43" s="35"/>
      <c r="AC43" s="113"/>
      <c r="AD43" s="128"/>
      <c r="AE43" s="128"/>
      <c r="AF43" s="128"/>
      <c r="AG43" s="128"/>
      <c r="AH43" s="128"/>
      <c r="AI43" s="128"/>
      <c r="AJ43" s="261">
        <v>0.1</v>
      </c>
      <c r="AK43" s="410">
        <f>Benchmarks!$T$71*AJ43</f>
        <v>1067.1601279310248</v>
      </c>
      <c r="AL43" s="220">
        <f>AK43*$AJ$6</f>
        <v>0.63406386161149775</v>
      </c>
      <c r="AM43" s="226"/>
      <c r="AN43" s="263"/>
      <c r="AO43" s="210"/>
      <c r="AP43" s="180"/>
      <c r="AQ43" s="268"/>
      <c r="AR43" s="251"/>
      <c r="AS43" s="180"/>
      <c r="AT43" s="268"/>
      <c r="AU43" s="204"/>
      <c r="AV43" s="187"/>
      <c r="AW43" s="268"/>
      <c r="AX43" s="204"/>
      <c r="AY43" s="187"/>
      <c r="AZ43" s="42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>
      <c r="A44" s="1"/>
      <c r="B44" s="1"/>
      <c r="C44" s="1"/>
      <c r="D44" s="1"/>
      <c r="E44" s="1"/>
      <c r="F44" s="23" t="s">
        <v>43</v>
      </c>
      <c r="G44" s="92">
        <f>G21/$G$10</f>
        <v>22.545199063231848</v>
      </c>
      <c r="H44" s="22">
        <f>H21/$H$10</f>
        <v>23.795734987105487</v>
      </c>
      <c r="I44" s="22">
        <f>I21/$I$10</f>
        <v>0</v>
      </c>
      <c r="J44" s="22">
        <f>J21/$J$10</f>
        <v>17.72891353073021</v>
      </c>
      <c r="K44" s="22">
        <f>K21/$K$10</f>
        <v>22.787645714285713</v>
      </c>
      <c r="L44" s="22">
        <f>K44</f>
        <v>22.787645714285713</v>
      </c>
      <c r="M44" s="35">
        <f>O44</f>
        <v>22.787645714285713</v>
      </c>
      <c r="N44" s="35">
        <f>P44</f>
        <v>22.787645714285713</v>
      </c>
      <c r="O44" s="35">
        <f>O21/$O$10</f>
        <v>22.787645714285713</v>
      </c>
      <c r="P44" s="22">
        <f>P21/$P$10</f>
        <v>22.787645714285713</v>
      </c>
      <c r="Q44" s="22">
        <v>0</v>
      </c>
      <c r="R44" s="22">
        <v>0</v>
      </c>
      <c r="S44" s="35">
        <f>O44</f>
        <v>22.787645714285713</v>
      </c>
      <c r="T44" s="35">
        <f t="shared" si="11"/>
        <v>22.787645714285713</v>
      </c>
      <c r="U44" s="22">
        <v>20</v>
      </c>
      <c r="V44" s="22">
        <f>P44</f>
        <v>22.787645714285713</v>
      </c>
      <c r="W44" s="116" t="e">
        <f>W21/$W$10</f>
        <v>#REF!</v>
      </c>
      <c r="X44" s="116">
        <v>23</v>
      </c>
      <c r="Y44" s="36" t="e">
        <f>Y21/$Y$10</f>
        <v>#REF!</v>
      </c>
      <c r="Z44" s="114" t="e">
        <f>Z21/$Z$10</f>
        <v>#REF!</v>
      </c>
      <c r="AA44" s="22">
        <f>X44</f>
        <v>23</v>
      </c>
      <c r="AB44" s="22">
        <f>X44</f>
        <v>23</v>
      </c>
      <c r="AC44" s="113"/>
      <c r="AD44" s="128" t="e">
        <f t="shared" ref="AD44:AI45" si="12">W44*$W$82</f>
        <v>#REF!</v>
      </c>
      <c r="AE44" s="128">
        <f t="shared" si="12"/>
        <v>31.05</v>
      </c>
      <c r="AF44" s="128" t="e">
        <f t="shared" si="12"/>
        <v>#REF!</v>
      </c>
      <c r="AG44" s="128" t="e">
        <f t="shared" si="12"/>
        <v>#REF!</v>
      </c>
      <c r="AH44" s="128">
        <f t="shared" si="12"/>
        <v>31.05</v>
      </c>
      <c r="AI44" s="128">
        <f t="shared" si="12"/>
        <v>31.05</v>
      </c>
      <c r="AJ44" s="261">
        <v>1</v>
      </c>
      <c r="AK44" s="410">
        <f>'Local consultant_Summary'!E27/AK11</f>
        <v>1460.6494332435718</v>
      </c>
      <c r="AL44" s="220">
        <f t="shared" ref="AL44" si="13">AK44*$AJ$6</f>
        <v>0.86785946725600072</v>
      </c>
      <c r="AM44" s="226"/>
      <c r="AN44" s="263">
        <v>1</v>
      </c>
      <c r="AO44" s="210" t="e">
        <f>Benchmarks!E95*AN44</f>
        <v>#REF!</v>
      </c>
      <c r="AP44" s="180">
        <f>Benchmarks!I95</f>
        <v>0</v>
      </c>
      <c r="AQ44" s="263">
        <v>1</v>
      </c>
      <c r="AR44" s="251">
        <f t="shared" ref="AR44:AR45" si="14">527.7523*AQ44</f>
        <v>527.75229999999999</v>
      </c>
      <c r="AS44" s="180">
        <f>AR44*$AJ$6</f>
        <v>0.31356930656800003</v>
      </c>
      <c r="AT44" s="263">
        <v>1</v>
      </c>
      <c r="AU44" s="204" t="e">
        <f>AO44</f>
        <v>#REF!</v>
      </c>
      <c r="AV44" s="187">
        <f>AP44</f>
        <v>0</v>
      </c>
      <c r="AW44" s="263">
        <v>1</v>
      </c>
      <c r="AX44" s="204">
        <f>AR44</f>
        <v>527.75229999999999</v>
      </c>
      <c r="AY44" s="187">
        <f>AS44</f>
        <v>0.31356930656800003</v>
      </c>
      <c r="AZ44" s="42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5" thickBot="1">
      <c r="A45" s="1"/>
      <c r="B45" s="1"/>
      <c r="C45" s="1"/>
      <c r="D45" s="1"/>
      <c r="E45" s="1"/>
      <c r="F45" s="109" t="s">
        <v>44</v>
      </c>
      <c r="G45" s="135">
        <f>G22/$G$10</f>
        <v>16.952426229508195</v>
      </c>
      <c r="H45" s="38">
        <f>H22/$H$10</f>
        <v>8.6581112612059439</v>
      </c>
      <c r="I45" s="38">
        <f>I22/$I$10</f>
        <v>9.1801829268292678</v>
      </c>
      <c r="J45" s="38">
        <f>J22/$J$10</f>
        <v>15.415949038574967</v>
      </c>
      <c r="K45" s="38">
        <f>K22/$K$10</f>
        <v>13.08236</v>
      </c>
      <c r="L45" s="38">
        <v>15</v>
      </c>
      <c r="M45" s="136">
        <f>O45</f>
        <v>15</v>
      </c>
      <c r="N45" s="136">
        <f>P45</f>
        <v>13.08236</v>
      </c>
      <c r="O45" s="136">
        <f>O22/$O$10</f>
        <v>15</v>
      </c>
      <c r="P45" s="38">
        <f>P22/$P$10</f>
        <v>13.08236</v>
      </c>
      <c r="Q45" s="38">
        <f>Q22/Q10</f>
        <v>1.9230769230769231</v>
      </c>
      <c r="R45" s="38">
        <v>13.1</v>
      </c>
      <c r="S45" s="38">
        <f>O45</f>
        <v>15</v>
      </c>
      <c r="T45" s="136">
        <f t="shared" si="11"/>
        <v>15</v>
      </c>
      <c r="U45" s="38">
        <f>P45</f>
        <v>13.08236</v>
      </c>
      <c r="V45" s="38">
        <f>S45</f>
        <v>15</v>
      </c>
      <c r="W45" s="137" t="e">
        <f>W22/$W$10</f>
        <v>#REF!</v>
      </c>
      <c r="X45" s="137">
        <v>15</v>
      </c>
      <c r="Y45" s="138" t="e">
        <f>Y22/$Y$10</f>
        <v>#REF!</v>
      </c>
      <c r="Z45" s="139" t="e">
        <f>Z22/$Z$10</f>
        <v>#REF!</v>
      </c>
      <c r="AA45" s="38">
        <v>15</v>
      </c>
      <c r="AB45" s="38">
        <v>15</v>
      </c>
      <c r="AC45" s="134"/>
      <c r="AD45" s="140" t="e">
        <f t="shared" si="12"/>
        <v>#REF!</v>
      </c>
      <c r="AE45" s="140">
        <f t="shared" si="12"/>
        <v>20.25</v>
      </c>
      <c r="AF45" s="140" t="e">
        <f t="shared" si="12"/>
        <v>#REF!</v>
      </c>
      <c r="AG45" s="140" t="e">
        <f t="shared" si="12"/>
        <v>#REF!</v>
      </c>
      <c r="AH45" s="140">
        <f t="shared" si="12"/>
        <v>20.25</v>
      </c>
      <c r="AI45" s="140">
        <f t="shared" si="12"/>
        <v>20.25</v>
      </c>
      <c r="AJ45" s="262"/>
      <c r="AK45" s="411">
        <f>Benchmarks!$C$96*AJ45</f>
        <v>0</v>
      </c>
      <c r="AL45" s="221">
        <f>Benchmarks!$G$96*AJ45</f>
        <v>0</v>
      </c>
      <c r="AM45" s="226"/>
      <c r="AN45" s="264">
        <v>1</v>
      </c>
      <c r="AO45" s="265" t="e">
        <f>Benchmarks!E96*AN45</f>
        <v>#REF!</v>
      </c>
      <c r="AP45" s="181">
        <f>Benchmarks!I96</f>
        <v>0</v>
      </c>
      <c r="AQ45" s="264">
        <v>1</v>
      </c>
      <c r="AR45" s="265">
        <f t="shared" si="14"/>
        <v>527.75229999999999</v>
      </c>
      <c r="AS45" s="181">
        <f>AR45*AJ6</f>
        <v>0.31356930656800003</v>
      </c>
      <c r="AT45" s="264">
        <v>1</v>
      </c>
      <c r="AU45" s="205" t="e">
        <f>AO45</f>
        <v>#REF!</v>
      </c>
      <c r="AV45" s="241">
        <f>AP45</f>
        <v>0</v>
      </c>
      <c r="AW45" s="264">
        <v>1</v>
      </c>
      <c r="AX45" s="205">
        <f>AR45</f>
        <v>527.75229999999999</v>
      </c>
      <c r="AY45" s="241">
        <f>AS45</f>
        <v>0.31356930656800003</v>
      </c>
      <c r="AZ45" s="42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5" thickTop="1">
      <c r="A46" s="1"/>
      <c r="B46" s="1"/>
      <c r="C46" s="1"/>
      <c r="D46" s="1"/>
      <c r="E46" s="1"/>
      <c r="F46" s="132" t="s">
        <v>67</v>
      </c>
      <c r="G46" s="92"/>
      <c r="H46" s="22"/>
      <c r="I46" s="22"/>
      <c r="J46" s="22"/>
      <c r="K46" s="22"/>
      <c r="L46" s="22"/>
      <c r="M46" s="35"/>
      <c r="N46" s="35"/>
      <c r="O46" s="35"/>
      <c r="P46" s="22"/>
      <c r="Q46" s="22"/>
      <c r="R46" s="22"/>
      <c r="S46" s="22"/>
      <c r="T46" s="35"/>
      <c r="U46" s="22"/>
      <c r="V46" s="22"/>
      <c r="W46" s="116"/>
      <c r="X46" s="116"/>
      <c r="Y46" s="36"/>
      <c r="Z46" s="114"/>
      <c r="AA46" s="22"/>
      <c r="AB46" s="22"/>
      <c r="AC46" s="113"/>
      <c r="AD46" s="128"/>
      <c r="AE46" s="128"/>
      <c r="AF46" s="128"/>
      <c r="AG46" s="128"/>
      <c r="AH46" s="128"/>
      <c r="AI46" s="128"/>
      <c r="AJ46" s="128"/>
      <c r="AK46" s="410">
        <f>SUM(AK40:AK45)</f>
        <v>6520.8585668170217</v>
      </c>
      <c r="AL46" s="220">
        <f>SUM(AL40:AL45)</f>
        <v>3.8744333260600015</v>
      </c>
      <c r="AM46" s="226"/>
      <c r="AN46" s="226"/>
      <c r="AO46" s="210" t="e">
        <f>SUM(AO40:AO45)</f>
        <v>#REF!</v>
      </c>
      <c r="AP46" s="180">
        <f>SUM(AP40:AP45)</f>
        <v>0</v>
      </c>
      <c r="AQ46" s="227"/>
      <c r="AR46" s="212">
        <f>SUM(AR40:AR45)</f>
        <v>1741.58259</v>
      </c>
      <c r="AS46" s="179">
        <f>SUM(AS40:AS45)</f>
        <v>1.0347787116744001</v>
      </c>
      <c r="AT46" s="123"/>
      <c r="AU46" s="204" t="e">
        <f>SUM(AU40:AU45)</f>
        <v>#REF!</v>
      </c>
      <c r="AV46" s="179">
        <f>SUM(AV40:AV45)</f>
        <v>1.723209913508934</v>
      </c>
      <c r="AW46" s="123"/>
      <c r="AX46" s="204">
        <f>SUM(AX40:AX45)</f>
        <v>4351.3251974374361</v>
      </c>
      <c r="AY46" s="179">
        <f>SUM(AY40:AY45)</f>
        <v>0.62713861313600006</v>
      </c>
      <c r="AZ46" s="421"/>
      <c r="BA46" s="4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>
      <c r="A47" s="1"/>
      <c r="B47" s="1"/>
      <c r="C47" s="1"/>
      <c r="D47" s="1"/>
      <c r="E47" s="1"/>
      <c r="F47" s="132"/>
      <c r="G47" s="92"/>
      <c r="H47" s="22"/>
      <c r="I47" s="22"/>
      <c r="J47" s="22"/>
      <c r="K47" s="22"/>
      <c r="L47" s="22"/>
      <c r="M47" s="35"/>
      <c r="N47" s="35"/>
      <c r="O47" s="35"/>
      <c r="P47" s="22"/>
      <c r="Q47" s="22"/>
      <c r="R47" s="22"/>
      <c r="S47" s="22"/>
      <c r="T47" s="35"/>
      <c r="U47" s="22"/>
      <c r="V47" s="22"/>
      <c r="W47" s="116"/>
      <c r="X47" s="116"/>
      <c r="Y47" s="36"/>
      <c r="Z47" s="114"/>
      <c r="AA47" s="22"/>
      <c r="AB47" s="22"/>
      <c r="AC47" s="113"/>
      <c r="AD47" s="128"/>
      <c r="AE47" s="128"/>
      <c r="AF47" s="128"/>
      <c r="AG47" s="128"/>
      <c r="AH47" s="128"/>
      <c r="AI47" s="128"/>
      <c r="AJ47" s="128"/>
      <c r="AK47" s="286"/>
      <c r="AL47" s="220"/>
      <c r="AM47" s="226"/>
      <c r="AN47" s="226"/>
      <c r="AO47" s="204"/>
      <c r="AP47" s="179"/>
      <c r="AQ47" s="123"/>
      <c r="AR47" s="212"/>
      <c r="AS47" s="30"/>
      <c r="AT47" s="1"/>
      <c r="AU47" s="204"/>
      <c r="AV47" s="30"/>
      <c r="AW47" s="1"/>
      <c r="AX47" s="204"/>
      <c r="AY47" s="30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>
      <c r="A48" s="1"/>
      <c r="B48" s="1"/>
      <c r="C48" s="1"/>
      <c r="D48" s="1"/>
      <c r="E48" s="1"/>
      <c r="F48" s="37"/>
      <c r="G48" s="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5"/>
      <c r="U48" s="1"/>
      <c r="V48" s="1"/>
      <c r="W48" s="116"/>
      <c r="X48" s="116"/>
      <c r="Y48" s="1"/>
      <c r="Z48" s="1"/>
      <c r="AA48" s="1"/>
      <c r="AB48" s="1"/>
      <c r="AC48" s="113"/>
      <c r="AD48" s="128"/>
      <c r="AE48" s="128"/>
      <c r="AF48" s="128"/>
      <c r="AG48" s="128"/>
      <c r="AH48" s="128"/>
      <c r="AI48" s="128"/>
      <c r="AJ48" s="128"/>
      <c r="AK48" s="283"/>
      <c r="AL48" s="187"/>
      <c r="AM48" s="4"/>
      <c r="AN48" s="4"/>
      <c r="AO48" s="204"/>
      <c r="AP48" s="179"/>
      <c r="AQ48" s="123"/>
      <c r="AR48" s="212"/>
      <c r="AS48" s="30"/>
      <c r="AT48" s="1"/>
      <c r="AU48" s="204"/>
      <c r="AV48" s="30"/>
      <c r="AW48" s="1"/>
      <c r="AX48" s="204"/>
      <c r="AY48" s="30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>
      <c r="A49" s="1"/>
      <c r="B49" s="1"/>
      <c r="C49" s="1"/>
      <c r="D49" s="1"/>
      <c r="E49" s="1"/>
      <c r="F49" s="16" t="s">
        <v>68</v>
      </c>
      <c r="G49" s="92" t="str">
        <f>Benchmarks!C90</f>
        <v>Global Benchmark</v>
      </c>
      <c r="H49" s="92" t="str">
        <f>G49</f>
        <v>Global Benchmark</v>
      </c>
      <c r="I49" s="92" t="str">
        <f t="shared" ref="I49:S49" si="15">H49</f>
        <v>Global Benchmark</v>
      </c>
      <c r="J49" s="92" t="str">
        <f t="shared" si="15"/>
        <v>Global Benchmark</v>
      </c>
      <c r="K49" s="92" t="str">
        <f t="shared" si="15"/>
        <v>Global Benchmark</v>
      </c>
      <c r="L49" s="92" t="str">
        <f t="shared" si="15"/>
        <v>Global Benchmark</v>
      </c>
      <c r="M49" s="92" t="str">
        <f t="shared" si="15"/>
        <v>Global Benchmark</v>
      </c>
      <c r="N49" s="92" t="str">
        <f t="shared" si="15"/>
        <v>Global Benchmark</v>
      </c>
      <c r="O49" s="92" t="str">
        <f t="shared" si="15"/>
        <v>Global Benchmark</v>
      </c>
      <c r="P49" s="92" t="str">
        <f t="shared" si="15"/>
        <v>Global Benchmark</v>
      </c>
      <c r="Q49" s="92" t="str">
        <f t="shared" si="15"/>
        <v>Global Benchmark</v>
      </c>
      <c r="R49" s="92" t="str">
        <f t="shared" si="15"/>
        <v>Global Benchmark</v>
      </c>
      <c r="S49" s="92" t="str">
        <f t="shared" si="15"/>
        <v>Global Benchmark</v>
      </c>
      <c r="T49" s="35" t="str">
        <f t="shared" si="11"/>
        <v>Global Benchmark</v>
      </c>
      <c r="U49" s="92" t="str">
        <f>S49</f>
        <v>Global Benchmark</v>
      </c>
      <c r="V49" s="92" t="str">
        <f t="shared" ref="V49" si="16">S49</f>
        <v>Global Benchmark</v>
      </c>
      <c r="W49" s="116" t="e">
        <f>W30/750</f>
        <v>#REF!</v>
      </c>
      <c r="X49" s="116">
        <v>111</v>
      </c>
      <c r="Y49" s="114" t="e">
        <f>Y30/750</f>
        <v>#REF!</v>
      </c>
      <c r="Z49" s="114" t="e">
        <f>Z30/750</f>
        <v>#REF!</v>
      </c>
      <c r="AA49" s="114" t="e">
        <f>Y49</f>
        <v>#REF!</v>
      </c>
      <c r="AB49" s="114" t="e">
        <f>Z49</f>
        <v>#REF!</v>
      </c>
      <c r="AC49" s="113"/>
      <c r="AD49" s="128" t="e">
        <f>W49*$W$82</f>
        <v>#REF!</v>
      </c>
      <c r="AE49" s="128">
        <f t="shared" ref="AE49:AE50" si="17">X49*$W$82</f>
        <v>149.85000000000002</v>
      </c>
      <c r="AF49" s="128" t="e">
        <f t="shared" ref="AF49:AF50" si="18">Y49*$W$82</f>
        <v>#REF!</v>
      </c>
      <c r="AG49" s="128" t="e">
        <f t="shared" ref="AG49:AG50" si="19">Z49*$W$82</f>
        <v>#REF!</v>
      </c>
      <c r="AH49" s="128" t="e">
        <f t="shared" ref="AH49:AH50" si="20">AA49*$W$82</f>
        <v>#REF!</v>
      </c>
      <c r="AI49" s="128" t="e">
        <f t="shared" ref="AI49:AI50" si="21">AB49*$W$82</f>
        <v>#REF!</v>
      </c>
      <c r="AJ49" s="261">
        <v>1</v>
      </c>
      <c r="AK49" s="417">
        <f>'Local consultant_Summary'!E35/Budget!AK11</f>
        <v>161.15400018665855</v>
      </c>
      <c r="AL49" s="222">
        <f>AK49*AJ6</f>
        <v>9.5751260750905051E-2</v>
      </c>
      <c r="AM49" s="4"/>
      <c r="AN49" s="169"/>
      <c r="AO49" s="211">
        <f>AP49/Benchmarks!B67</f>
        <v>161.15400018665855</v>
      </c>
      <c r="AP49" s="197">
        <f>AL49</f>
        <v>9.5751260750905051E-2</v>
      </c>
      <c r="AQ49" s="228"/>
      <c r="AR49" s="213">
        <f>AO49</f>
        <v>161.15400018665855</v>
      </c>
      <c r="AS49" s="197">
        <f>AP49</f>
        <v>9.5751260750905051E-2</v>
      </c>
      <c r="AT49" s="228"/>
      <c r="AU49" s="211">
        <f>AR49</f>
        <v>161.15400018665855</v>
      </c>
      <c r="AV49" s="197">
        <f>AS49</f>
        <v>9.5751260750905051E-2</v>
      </c>
      <c r="AW49" s="228"/>
      <c r="AX49" s="211">
        <f>AU49</f>
        <v>161.15400018665855</v>
      </c>
      <c r="AY49" s="197">
        <f t="shared" ref="AY49:AY50" si="22">AV49</f>
        <v>9.5751260750905051E-2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5" thickBot="1">
      <c r="A50" s="1"/>
      <c r="B50" s="1"/>
      <c r="C50" s="1"/>
      <c r="D50" s="1"/>
      <c r="E50" s="1"/>
      <c r="F50" s="16" t="s">
        <v>51</v>
      </c>
      <c r="G50" s="92">
        <v>15</v>
      </c>
      <c r="H50" s="22">
        <f>G50</f>
        <v>15</v>
      </c>
      <c r="I50" s="22">
        <f t="shared" ref="I50:S50" si="23">H50</f>
        <v>15</v>
      </c>
      <c r="J50" s="22">
        <f t="shared" si="23"/>
        <v>15</v>
      </c>
      <c r="K50" s="22">
        <f t="shared" si="23"/>
        <v>15</v>
      </c>
      <c r="L50" s="22">
        <f t="shared" si="23"/>
        <v>15</v>
      </c>
      <c r="M50" s="22">
        <f t="shared" si="23"/>
        <v>15</v>
      </c>
      <c r="N50" s="22">
        <f t="shared" si="23"/>
        <v>15</v>
      </c>
      <c r="O50" s="22">
        <f t="shared" si="23"/>
        <v>15</v>
      </c>
      <c r="P50" s="22">
        <f t="shared" si="23"/>
        <v>15</v>
      </c>
      <c r="Q50" s="22">
        <f t="shared" si="23"/>
        <v>15</v>
      </c>
      <c r="R50" s="22">
        <f t="shared" si="23"/>
        <v>15</v>
      </c>
      <c r="S50" s="22">
        <f t="shared" si="23"/>
        <v>15</v>
      </c>
      <c r="T50" s="22">
        <f t="shared" si="11"/>
        <v>15</v>
      </c>
      <c r="U50" s="22">
        <f>S50</f>
        <v>15</v>
      </c>
      <c r="V50" s="22">
        <f t="shared" ref="V50" si="24">S50</f>
        <v>15</v>
      </c>
      <c r="W50" s="116" t="e">
        <f>W32/W10</f>
        <v>#REF!</v>
      </c>
      <c r="X50" s="116">
        <v>15</v>
      </c>
      <c r="Y50" s="114" t="e">
        <f>Y32/Y10</f>
        <v>#REF!</v>
      </c>
      <c r="Z50" s="114" t="e">
        <f>Z32/Z10</f>
        <v>#REF!</v>
      </c>
      <c r="AA50" s="114" t="e">
        <f>Y50</f>
        <v>#REF!</v>
      </c>
      <c r="AB50" s="114" t="e">
        <f>Z50</f>
        <v>#REF!</v>
      </c>
      <c r="AC50" s="113"/>
      <c r="AD50" s="128" t="e">
        <f>W50*$W$82</f>
        <v>#REF!</v>
      </c>
      <c r="AE50" s="128">
        <f t="shared" si="17"/>
        <v>20.25</v>
      </c>
      <c r="AF50" s="128" t="e">
        <f t="shared" si="18"/>
        <v>#REF!</v>
      </c>
      <c r="AG50" s="128" t="e">
        <f t="shared" si="19"/>
        <v>#REF!</v>
      </c>
      <c r="AH50" s="128" t="e">
        <f t="shared" si="20"/>
        <v>#REF!</v>
      </c>
      <c r="AI50" s="128" t="e">
        <f t="shared" si="21"/>
        <v>#REF!</v>
      </c>
      <c r="AJ50" s="262"/>
      <c r="AK50" s="417"/>
      <c r="AL50" s="222">
        <f>Benchmarks!B83*Budget!AJ50</f>
        <v>0</v>
      </c>
      <c r="AM50" s="4"/>
      <c r="AN50" s="169"/>
      <c r="AO50" s="211">
        <f>AP50/Benchmarks!B67</f>
        <v>0</v>
      </c>
      <c r="AP50" s="197">
        <f>AL50</f>
        <v>0</v>
      </c>
      <c r="AQ50" s="228"/>
      <c r="AR50" s="213">
        <f>AO50</f>
        <v>0</v>
      </c>
      <c r="AS50" s="197">
        <f>AL50</f>
        <v>0</v>
      </c>
      <c r="AT50" s="228"/>
      <c r="AU50" s="211">
        <f>AR50</f>
        <v>0</v>
      </c>
      <c r="AV50" s="197">
        <f>AS50</f>
        <v>0</v>
      </c>
      <c r="AW50" s="228"/>
      <c r="AX50" s="211">
        <f>AU50</f>
        <v>0</v>
      </c>
      <c r="AY50" s="197">
        <f t="shared" si="22"/>
        <v>0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5" thickTop="1">
      <c r="A51" s="1"/>
      <c r="B51" s="1"/>
      <c r="C51" s="1"/>
      <c r="D51" s="1"/>
      <c r="E51" s="1"/>
      <c r="F51" s="305" t="s">
        <v>48</v>
      </c>
      <c r="G51" s="306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8"/>
      <c r="X51" s="308"/>
      <c r="Y51" s="309"/>
      <c r="Z51" s="309"/>
      <c r="AA51" s="309"/>
      <c r="AB51" s="309"/>
      <c r="AC51" s="288"/>
      <c r="AD51" s="310"/>
      <c r="AE51" s="310"/>
      <c r="AF51" s="310"/>
      <c r="AG51" s="310"/>
      <c r="AH51" s="310"/>
      <c r="AI51" s="310"/>
      <c r="AJ51" s="311"/>
      <c r="AK51" s="418">
        <v>0</v>
      </c>
      <c r="AL51" s="312">
        <f>AK51*AJ6</f>
        <v>0</v>
      </c>
      <c r="AM51" s="4"/>
      <c r="AN51" s="169"/>
      <c r="AO51" s="211"/>
      <c r="AP51" s="197"/>
      <c r="AQ51" s="228"/>
      <c r="AR51" s="213"/>
      <c r="AS51" s="197"/>
      <c r="AT51" s="228"/>
      <c r="AU51" s="211"/>
      <c r="AV51" s="197"/>
      <c r="AW51" s="228"/>
      <c r="AX51" s="211"/>
      <c r="AY51" s="19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13"/>
      <c r="AD52" s="1"/>
      <c r="AE52" s="1"/>
      <c r="AF52" s="1"/>
      <c r="AG52" s="1"/>
      <c r="AH52" s="1"/>
      <c r="AI52" s="1"/>
      <c r="AJ52" s="1"/>
      <c r="AK52" s="283"/>
      <c r="AN52" s="1"/>
      <c r="AO52" s="133"/>
      <c r="AP52" s="187"/>
      <c r="AQ52" s="4"/>
      <c r="AR52" s="1"/>
      <c r="AS52" s="30"/>
      <c r="AT52" s="1"/>
      <c r="AU52" s="1"/>
      <c r="AV52" s="30"/>
      <c r="AW52" s="1"/>
      <c r="AX52" s="1"/>
      <c r="AY52" s="30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13"/>
      <c r="AD53" s="1"/>
      <c r="AE53" s="1"/>
      <c r="AF53" s="1"/>
      <c r="AG53" s="1"/>
      <c r="AH53" s="1"/>
      <c r="AI53" s="1"/>
      <c r="AJ53" s="1"/>
      <c r="AK53" s="98"/>
      <c r="AL53" s="30"/>
      <c r="AN53" s="1"/>
      <c r="AO53" s="1"/>
      <c r="AP53" s="30"/>
      <c r="AQ53" s="1"/>
      <c r="AR53" s="1"/>
      <c r="AS53" s="30"/>
      <c r="AT53" s="1"/>
      <c r="AU53" s="1"/>
      <c r="AV53" s="30"/>
      <c r="AW53" s="1"/>
      <c r="AX53" s="1"/>
      <c r="AY53" s="30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13"/>
      <c r="AD54" s="1"/>
      <c r="AE54" s="1"/>
      <c r="AF54" s="1"/>
      <c r="AG54" s="1"/>
      <c r="AH54" s="1"/>
      <c r="AI54" s="1"/>
      <c r="AJ54" s="1"/>
      <c r="AK54" s="98"/>
      <c r="AL54" s="30"/>
      <c r="AN54" s="1"/>
      <c r="AO54" s="1"/>
      <c r="AP54" s="30"/>
      <c r="AQ54" s="1"/>
      <c r="AR54" s="1"/>
      <c r="AS54" s="30"/>
      <c r="AT54" s="1"/>
      <c r="AU54" s="1"/>
      <c r="AV54" s="30"/>
      <c r="AW54" s="1"/>
      <c r="AX54" s="1"/>
      <c r="AY54" s="30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13"/>
      <c r="AD55" s="1"/>
      <c r="AE55" s="1"/>
      <c r="AF55" s="1"/>
      <c r="AG55" s="1"/>
      <c r="AH55" s="1"/>
      <c r="AI55" s="1"/>
      <c r="AJ55" s="1"/>
      <c r="AK55" s="98"/>
      <c r="AL55" s="30"/>
      <c r="AN55" s="1"/>
      <c r="AO55" s="1"/>
      <c r="AP55" s="30"/>
      <c r="AQ55" s="1"/>
      <c r="AR55" s="1"/>
      <c r="AS55" s="30"/>
      <c r="AT55" s="1"/>
      <c r="AU55" s="1"/>
      <c r="AV55" s="30"/>
      <c r="AW55" s="1"/>
      <c r="AX55" s="1"/>
      <c r="AY55" s="30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13"/>
      <c r="AD56" s="1"/>
      <c r="AE56" s="1"/>
      <c r="AF56" s="1"/>
      <c r="AG56" s="1"/>
      <c r="AH56" s="1"/>
      <c r="AI56" s="1"/>
      <c r="AJ56" s="1"/>
      <c r="AK56" s="182" t="s">
        <v>69</v>
      </c>
      <c r="AL56" s="16"/>
      <c r="AM56" s="12"/>
      <c r="AN56" s="12"/>
      <c r="AO56" s="12" t="s">
        <v>69</v>
      </c>
      <c r="AP56" s="30"/>
      <c r="AQ56" s="1"/>
      <c r="AR56" s="12" t="s">
        <v>69</v>
      </c>
      <c r="AS56" s="30"/>
      <c r="AT56" s="1"/>
      <c r="AU56" s="12" t="s">
        <v>69</v>
      </c>
      <c r="AV56" s="30"/>
      <c r="AW56" s="1"/>
      <c r="AX56" s="12" t="s">
        <v>69</v>
      </c>
      <c r="AY56" s="30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13"/>
      <c r="AD57" s="1"/>
      <c r="AE57" s="1"/>
      <c r="AF57" s="1"/>
      <c r="AG57" s="1"/>
      <c r="AH57" s="1"/>
      <c r="AI57" s="1"/>
      <c r="AJ57" s="1"/>
      <c r="AK57" s="98"/>
      <c r="AL57" s="30"/>
      <c r="AN57" s="1"/>
      <c r="AO57" s="1"/>
      <c r="AP57" s="30"/>
      <c r="AQ57" s="1"/>
      <c r="AR57" s="1"/>
      <c r="AS57" s="30"/>
      <c r="AT57" s="1"/>
      <c r="AU57" s="1"/>
      <c r="AV57" s="30"/>
      <c r="AW57" s="1"/>
      <c r="AX57" s="1"/>
      <c r="AY57" s="30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27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13"/>
      <c r="AD58" s="1"/>
      <c r="AE58" s="1"/>
      <c r="AF58" s="1"/>
      <c r="AG58" s="1"/>
      <c r="AH58" s="1"/>
      <c r="AI58" s="1"/>
      <c r="AJ58" s="1"/>
      <c r="AK58" s="486" t="s">
        <v>698</v>
      </c>
      <c r="AL58" s="487"/>
      <c r="AN58" s="1"/>
      <c r="AO58" s="1"/>
      <c r="AP58" s="30"/>
      <c r="AQ58" s="1"/>
      <c r="AR58" s="1"/>
      <c r="AS58" s="30"/>
      <c r="AT58" s="1"/>
      <c r="AU58" s="1"/>
      <c r="AV58" s="30"/>
      <c r="AW58" s="1"/>
      <c r="AX58" s="1"/>
      <c r="AY58" s="30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13"/>
      <c r="AD59" s="1"/>
      <c r="AE59" s="1"/>
      <c r="AF59" s="1"/>
      <c r="AG59" s="1"/>
      <c r="AH59" s="1"/>
      <c r="AI59" s="1"/>
      <c r="AJ59" s="1"/>
      <c r="AK59" s="98" t="s">
        <v>691</v>
      </c>
      <c r="AL59" s="30"/>
      <c r="AN59" s="1"/>
      <c r="AO59" s="1"/>
      <c r="AP59" s="30"/>
      <c r="AQ59" s="1"/>
      <c r="AR59" s="1"/>
      <c r="AS59" s="30"/>
      <c r="AT59" s="1"/>
      <c r="AU59" s="1"/>
      <c r="AV59" s="30"/>
      <c r="AW59" s="1"/>
      <c r="AX59" s="1"/>
      <c r="AY59" s="30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13"/>
      <c r="AD60" s="1"/>
      <c r="AE60" s="1"/>
      <c r="AF60" s="1"/>
      <c r="AG60" s="1"/>
      <c r="AH60" s="1"/>
      <c r="AI60" s="1"/>
      <c r="AJ60" s="1"/>
      <c r="AK60" s="98" t="s">
        <v>692</v>
      </c>
      <c r="AL60" s="30"/>
      <c r="AN60" s="1"/>
      <c r="AO60" s="1"/>
      <c r="AP60" s="30"/>
      <c r="AQ60" s="1"/>
      <c r="AR60" s="1"/>
      <c r="AS60" s="30"/>
      <c r="AT60" s="1"/>
      <c r="AU60" s="1"/>
      <c r="AV60" s="30"/>
      <c r="AW60" s="1"/>
      <c r="AX60" s="1"/>
      <c r="AY60" s="30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13"/>
      <c r="AD61" s="1"/>
      <c r="AE61" s="1"/>
      <c r="AF61" s="1"/>
      <c r="AG61" s="1"/>
      <c r="AH61" s="1"/>
      <c r="AI61" s="1"/>
      <c r="AJ61" s="1"/>
      <c r="AK61" s="98" t="s">
        <v>693</v>
      </c>
      <c r="AL61" s="30"/>
      <c r="AN61" s="1"/>
      <c r="AO61" s="1"/>
      <c r="AP61" s="30"/>
      <c r="AQ61" s="1"/>
      <c r="AR61" s="1"/>
      <c r="AS61" s="30"/>
      <c r="AT61" s="1"/>
      <c r="AU61" s="1"/>
      <c r="AV61" s="30"/>
      <c r="AW61" s="1"/>
      <c r="AX61" s="1"/>
      <c r="AY61" s="30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13"/>
      <c r="AD62" s="1"/>
      <c r="AE62" s="1"/>
      <c r="AF62" s="1"/>
      <c r="AG62" s="1"/>
      <c r="AH62" s="1"/>
      <c r="AI62" s="1"/>
      <c r="AJ62" s="1"/>
      <c r="AK62" s="98"/>
      <c r="AL62" s="30"/>
      <c r="AN62" s="1"/>
      <c r="AO62" s="1"/>
      <c r="AP62" s="30"/>
      <c r="AQ62" s="1"/>
      <c r="AR62" s="1"/>
      <c r="AS62" s="30"/>
      <c r="AT62" s="1"/>
      <c r="AU62" s="1"/>
      <c r="AV62" s="30"/>
      <c r="AW62" s="1"/>
      <c r="AX62" s="1"/>
      <c r="AY62" s="30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13"/>
      <c r="AD63" s="1"/>
      <c r="AE63" s="1"/>
      <c r="AF63" s="1"/>
      <c r="AG63" s="1"/>
      <c r="AH63" s="1"/>
      <c r="AI63" s="1"/>
      <c r="AJ63" s="1"/>
      <c r="AK63" s="98"/>
      <c r="AL63" s="30"/>
      <c r="AN63" s="1"/>
      <c r="AO63" s="1"/>
      <c r="AP63" s="30"/>
      <c r="AQ63" s="1"/>
      <c r="AR63" s="1"/>
      <c r="AS63" s="30"/>
      <c r="AT63" s="1"/>
      <c r="AU63" s="1"/>
      <c r="AV63" s="30"/>
      <c r="AW63" s="1"/>
      <c r="AX63" s="1"/>
      <c r="AY63" s="30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13"/>
      <c r="AD64" s="1"/>
      <c r="AE64" s="1"/>
      <c r="AF64" s="1"/>
      <c r="AG64" s="1"/>
      <c r="AH64" s="1"/>
      <c r="AI64" s="1"/>
      <c r="AJ64" s="1"/>
      <c r="AK64" s="98"/>
      <c r="AL64" s="30"/>
      <c r="AN64" s="1"/>
      <c r="AO64" s="1"/>
      <c r="AP64" s="30"/>
      <c r="AQ64" s="1"/>
      <c r="AR64" s="1"/>
      <c r="AS64" s="30"/>
      <c r="AT64" s="1"/>
      <c r="AU64" s="1"/>
      <c r="AV64" s="30"/>
      <c r="AW64" s="1"/>
      <c r="AX64" s="1"/>
      <c r="AY64" s="30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6:67">
      <c r="F65" s="12"/>
      <c r="G65" s="1"/>
      <c r="H65" s="1"/>
      <c r="I65" s="1"/>
      <c r="J65" s="1"/>
      <c r="K65" s="1"/>
      <c r="L65" s="1"/>
      <c r="M65" s="1" t="s">
        <v>70</v>
      </c>
      <c r="N65" s="1" t="s">
        <v>70</v>
      </c>
      <c r="O65" s="1" t="s">
        <v>70</v>
      </c>
      <c r="P65" s="1" t="s">
        <v>70</v>
      </c>
      <c r="Q65" s="1"/>
      <c r="R65" s="1"/>
      <c r="S65" s="1" t="s">
        <v>70</v>
      </c>
      <c r="T65" s="1" t="s">
        <v>70</v>
      </c>
      <c r="U65" s="1" t="s">
        <v>70</v>
      </c>
      <c r="V65" s="1" t="s">
        <v>70</v>
      </c>
      <c r="W65" s="1"/>
      <c r="X65" s="1"/>
      <c r="Y65" s="1"/>
      <c r="Z65" s="1"/>
      <c r="AA65" s="1"/>
      <c r="AB65" s="1"/>
      <c r="AC65" s="113"/>
      <c r="AD65" s="1"/>
      <c r="AE65" s="1"/>
      <c r="AF65" s="1"/>
      <c r="AG65" s="1"/>
      <c r="AH65" s="1"/>
      <c r="AI65" s="1"/>
      <c r="AJ65" s="1"/>
      <c r="AK65" s="98"/>
      <c r="AL65" s="30"/>
      <c r="AN65" s="1"/>
      <c r="AO65" s="1"/>
      <c r="AP65" s="30"/>
      <c r="AQ65" s="1"/>
      <c r="AR65" s="1"/>
      <c r="AS65" s="30"/>
      <c r="AT65" s="1"/>
      <c r="AU65" s="1"/>
      <c r="AV65" s="30"/>
      <c r="AW65" s="1"/>
      <c r="AX65" s="1"/>
      <c r="AY65" s="30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6:67">
      <c r="F66" s="1"/>
      <c r="G66" s="1"/>
      <c r="H66" s="1"/>
      <c r="I66" s="1"/>
      <c r="J66" s="1"/>
      <c r="K66" s="1"/>
      <c r="L66" s="1"/>
      <c r="M66" s="1" t="s">
        <v>71</v>
      </c>
      <c r="N66" s="1" t="s">
        <v>71</v>
      </c>
      <c r="O66" s="1" t="s">
        <v>71</v>
      </c>
      <c r="P66" s="1" t="s">
        <v>71</v>
      </c>
      <c r="Q66" s="1"/>
      <c r="R66" s="1"/>
      <c r="S66" s="1" t="s">
        <v>71</v>
      </c>
      <c r="T66" s="1" t="s">
        <v>71</v>
      </c>
      <c r="U66" s="1" t="s">
        <v>71</v>
      </c>
      <c r="V66" s="1" t="s">
        <v>71</v>
      </c>
      <c r="W66" s="1"/>
      <c r="X66" s="1"/>
      <c r="Y66" s="1"/>
      <c r="Z66" s="1"/>
      <c r="AA66" s="1"/>
      <c r="AB66" s="1"/>
      <c r="AC66" s="113"/>
      <c r="AD66" s="1"/>
      <c r="AE66" s="1"/>
      <c r="AF66" s="1"/>
      <c r="AG66" s="1"/>
      <c r="AH66" s="1"/>
      <c r="AI66" s="1"/>
      <c r="AJ66" s="1"/>
      <c r="AK66" s="98"/>
      <c r="AL66" s="30"/>
      <c r="AN66" s="1"/>
      <c r="AO66" s="1"/>
      <c r="AP66" s="30"/>
      <c r="AQ66" s="1"/>
      <c r="AR66" s="1"/>
      <c r="AS66" s="30"/>
      <c r="AT66" s="1"/>
      <c r="AU66" s="1"/>
      <c r="AV66" s="30"/>
      <c r="AW66" s="1"/>
      <c r="AX66" s="1"/>
      <c r="AY66" s="30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6:67">
      <c r="F67" s="1"/>
      <c r="G67" s="1"/>
      <c r="H67" s="1"/>
      <c r="I67" s="1"/>
      <c r="J67" s="1"/>
      <c r="K67" s="1"/>
      <c r="L67" s="1"/>
      <c r="M67" s="1" t="s">
        <v>63</v>
      </c>
      <c r="N67" s="1" t="s">
        <v>63</v>
      </c>
      <c r="O67" s="1" t="s">
        <v>63</v>
      </c>
      <c r="P67" s="1" t="s">
        <v>63</v>
      </c>
      <c r="Q67" s="1"/>
      <c r="R67" s="1"/>
      <c r="S67" s="1" t="s">
        <v>63</v>
      </c>
      <c r="T67" s="1" t="s">
        <v>63</v>
      </c>
      <c r="U67" s="1" t="s">
        <v>72</v>
      </c>
      <c r="V67" s="1" t="s">
        <v>63</v>
      </c>
      <c r="W67" s="1"/>
      <c r="X67" s="1"/>
      <c r="Y67" s="1"/>
      <c r="Z67" s="1"/>
      <c r="AA67" s="1"/>
      <c r="AB67" s="1"/>
      <c r="AC67" s="113"/>
      <c r="AD67" s="1"/>
      <c r="AE67" s="1"/>
      <c r="AF67" s="1"/>
      <c r="AG67" s="1"/>
      <c r="AH67" s="1"/>
      <c r="AI67" s="1"/>
      <c r="AJ67" s="1"/>
      <c r="AK67" s="1"/>
      <c r="AL67" s="1"/>
      <c r="AN67" s="1"/>
      <c r="AO67" s="1"/>
      <c r="AP67" s="30"/>
      <c r="AQ67" s="1"/>
      <c r="AR67" s="1"/>
      <c r="AS67" s="30"/>
      <c r="AT67" s="1"/>
      <c r="AU67" s="1"/>
      <c r="AV67" s="30"/>
      <c r="AW67" s="1"/>
      <c r="AX67" s="1"/>
      <c r="AY67" s="30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6:67">
      <c r="F68" s="1"/>
      <c r="G68" s="1"/>
      <c r="H68" s="1"/>
      <c r="I68" s="1"/>
      <c r="J68" s="1"/>
      <c r="K68" s="1"/>
      <c r="L68" s="1"/>
      <c r="M68" s="1" t="s">
        <v>73</v>
      </c>
      <c r="N68" s="1" t="s">
        <v>73</v>
      </c>
      <c r="O68" s="1" t="s">
        <v>73</v>
      </c>
      <c r="P68" s="1" t="s">
        <v>73</v>
      </c>
      <c r="Q68" s="1"/>
      <c r="R68" s="1"/>
      <c r="S68" s="1" t="s">
        <v>74</v>
      </c>
      <c r="T68" s="1" t="s">
        <v>74</v>
      </c>
      <c r="U68" s="1" t="s">
        <v>74</v>
      </c>
      <c r="V68" s="1" t="s">
        <v>75</v>
      </c>
      <c r="W68" s="1"/>
      <c r="X68" s="1"/>
      <c r="Y68" s="1"/>
      <c r="Z68" s="1"/>
      <c r="AA68" s="1"/>
      <c r="AB68" s="1"/>
      <c r="AC68" s="113"/>
      <c r="AD68" s="1"/>
      <c r="AE68" s="1"/>
      <c r="AF68" s="1"/>
      <c r="AG68" s="1"/>
      <c r="AH68" s="1"/>
      <c r="AI68" s="1"/>
      <c r="AJ68" s="1"/>
      <c r="AK68" s="1"/>
      <c r="AL68" s="1"/>
      <c r="AN68" s="1"/>
      <c r="AO68" s="1"/>
      <c r="AP68" s="30"/>
      <c r="AQ68" s="1"/>
      <c r="AR68" s="1"/>
      <c r="AS68" s="30"/>
      <c r="AT68" s="1"/>
      <c r="AU68" s="1"/>
      <c r="AV68" s="30"/>
      <c r="AW68" s="1"/>
      <c r="AX68" s="1"/>
      <c r="AY68" s="30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6:67">
      <c r="F69" s="1"/>
      <c r="G69" s="1"/>
      <c r="H69" s="1"/>
      <c r="I69" s="1"/>
      <c r="J69" s="1"/>
      <c r="K69" s="1"/>
      <c r="L69" s="1"/>
      <c r="M69" s="1" t="s">
        <v>76</v>
      </c>
      <c r="N69" s="1" t="s">
        <v>76</v>
      </c>
      <c r="O69" s="1" t="s">
        <v>76</v>
      </c>
      <c r="P69" s="1" t="s">
        <v>76</v>
      </c>
      <c r="Q69" s="1"/>
      <c r="R69" s="1"/>
      <c r="S69" s="1" t="s">
        <v>76</v>
      </c>
      <c r="T69" s="1" t="s">
        <v>76</v>
      </c>
      <c r="U69" s="1" t="s">
        <v>76</v>
      </c>
      <c r="V69" s="1" t="s">
        <v>76</v>
      </c>
      <c r="W69" s="1"/>
      <c r="X69" s="1"/>
      <c r="Y69" s="1"/>
      <c r="Z69" s="1"/>
      <c r="AA69" s="1"/>
      <c r="AB69" s="1"/>
      <c r="AC69" s="113"/>
      <c r="AD69" s="1"/>
      <c r="AE69" s="1"/>
      <c r="AF69" s="1"/>
      <c r="AG69" s="1"/>
      <c r="AH69" s="1"/>
      <c r="AI69" s="1"/>
      <c r="AJ69" s="1"/>
      <c r="AK69" s="1"/>
      <c r="AL69" s="1"/>
      <c r="AN69" s="1"/>
      <c r="AO69" s="1"/>
      <c r="AP69" s="30"/>
      <c r="AQ69" s="1"/>
      <c r="AR69" s="1"/>
      <c r="AS69" s="30"/>
      <c r="AT69" s="1"/>
      <c r="AU69" s="1"/>
      <c r="AV69" s="30"/>
      <c r="AW69" s="1"/>
      <c r="AX69" s="1"/>
      <c r="AY69" s="30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6:67">
      <c r="F70" s="1"/>
      <c r="G70" s="1"/>
      <c r="H70" s="1"/>
      <c r="I70" s="1"/>
      <c r="J70" s="1"/>
      <c r="K70" s="1"/>
      <c r="L70" s="1"/>
      <c r="M70" s="1"/>
      <c r="N70" s="1" t="s">
        <v>77</v>
      </c>
      <c r="O70" s="1"/>
      <c r="P70" s="1" t="s">
        <v>77</v>
      </c>
      <c r="Q70" s="1"/>
      <c r="R70" s="1"/>
      <c r="S70" s="1"/>
      <c r="T70" s="1" t="s">
        <v>78</v>
      </c>
      <c r="U70" s="1" t="s">
        <v>79</v>
      </c>
      <c r="V70" s="1"/>
      <c r="W70" s="1"/>
      <c r="X70" s="1"/>
      <c r="Y70" s="1"/>
      <c r="Z70" s="1"/>
      <c r="AA70" s="1"/>
      <c r="AB70" s="1"/>
      <c r="AC70" s="113"/>
      <c r="AD70" s="1"/>
      <c r="AE70" s="1"/>
      <c r="AF70" s="1"/>
      <c r="AG70" s="1"/>
      <c r="AH70" s="1"/>
      <c r="AI70" s="1"/>
      <c r="AJ70" s="1"/>
      <c r="AK70" s="1"/>
      <c r="AL70" s="1"/>
      <c r="AN70" s="1"/>
      <c r="AO70" s="1"/>
      <c r="AP70" s="30"/>
      <c r="AQ70" s="1"/>
      <c r="AR70" s="1"/>
      <c r="AS70" s="30"/>
      <c r="AT70" s="1"/>
      <c r="AU70" s="1"/>
      <c r="AV70" s="30"/>
      <c r="AW70" s="1"/>
      <c r="AX70" s="1"/>
      <c r="AY70" s="30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6:67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13"/>
      <c r="AD71" s="1"/>
      <c r="AE71" s="1"/>
      <c r="AF71" s="1"/>
      <c r="AG71" s="1"/>
      <c r="AH71" s="1"/>
      <c r="AI71" s="1"/>
      <c r="AJ71" s="1"/>
      <c r="AK71" s="1"/>
      <c r="AL71" s="1"/>
      <c r="AN71" s="1"/>
      <c r="AO71" s="1"/>
      <c r="AP71" s="30"/>
      <c r="AQ71" s="1"/>
      <c r="AR71" s="1"/>
      <c r="AS71" s="30"/>
      <c r="AT71" s="1"/>
      <c r="AU71" s="1"/>
      <c r="AV71" s="30"/>
      <c r="AW71" s="1"/>
      <c r="AX71" s="1"/>
      <c r="AY71" s="30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6:67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13"/>
      <c r="AD72" s="1"/>
      <c r="AE72" s="1"/>
      <c r="AF72" s="1"/>
      <c r="AG72" s="1"/>
      <c r="AH72" s="1"/>
      <c r="AI72" s="1"/>
      <c r="AJ72" s="1"/>
      <c r="AK72" s="1"/>
      <c r="AL72" s="1"/>
      <c r="AN72" s="1"/>
      <c r="AO72" s="1"/>
      <c r="AP72" s="30"/>
      <c r="AQ72" s="1"/>
      <c r="AR72" s="1"/>
      <c r="AS72" s="30"/>
      <c r="AT72" s="1"/>
      <c r="AU72" s="1"/>
      <c r="AV72" s="30"/>
      <c r="AW72" s="1"/>
      <c r="AX72" s="1"/>
      <c r="AY72" s="30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6:67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13"/>
      <c r="AD73" s="1"/>
      <c r="AE73" s="1"/>
      <c r="AF73" s="1"/>
      <c r="AG73" s="1"/>
      <c r="AH73" s="1"/>
      <c r="AI73" s="1"/>
      <c r="AJ73" s="1"/>
      <c r="AK73" s="1"/>
      <c r="AL73" s="1"/>
      <c r="AN73" s="1"/>
      <c r="AO73" s="1"/>
      <c r="AP73" s="30"/>
      <c r="AQ73" s="1"/>
      <c r="AR73" s="1"/>
      <c r="AS73" s="30"/>
      <c r="AT73" s="1"/>
      <c r="AU73" s="1"/>
      <c r="AV73" s="30"/>
      <c r="AW73" s="1"/>
      <c r="AX73" s="1"/>
      <c r="AY73" s="30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6:67"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13"/>
      <c r="AD74" s="1"/>
      <c r="AE74" s="1"/>
      <c r="AF74" s="1"/>
      <c r="AG74" s="1"/>
      <c r="AH74" s="1"/>
      <c r="AI74" s="1"/>
      <c r="AJ74" s="1"/>
      <c r="AK74" s="1"/>
      <c r="AL74" s="1"/>
      <c r="AN74" s="1"/>
      <c r="AO74" s="1"/>
      <c r="AP74" s="30"/>
      <c r="AQ74" s="1"/>
      <c r="AR74" s="1"/>
      <c r="AS74" s="30"/>
      <c r="AT74" s="1"/>
      <c r="AU74" s="1"/>
      <c r="AV74" s="30"/>
      <c r="AW74" s="1"/>
      <c r="AX74" s="1"/>
      <c r="AY74" s="30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6:67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13"/>
      <c r="AD75" s="1"/>
      <c r="AE75" s="1"/>
      <c r="AF75" s="1"/>
      <c r="AG75" s="1"/>
      <c r="AH75" s="1"/>
      <c r="AI75" s="1"/>
      <c r="AJ75" s="1"/>
      <c r="AK75" s="1"/>
      <c r="AL75" s="1"/>
      <c r="AN75" s="1"/>
      <c r="AO75" s="1"/>
      <c r="AP75" s="30"/>
      <c r="AQ75" s="1"/>
      <c r="AR75" s="1"/>
      <c r="AS75" s="30"/>
      <c r="AT75" s="1"/>
      <c r="AU75" s="1"/>
      <c r="AV75" s="30"/>
      <c r="AW75" s="1"/>
      <c r="AX75" s="1"/>
      <c r="AY75" s="30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6:67"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13"/>
      <c r="AD76" s="1"/>
      <c r="AE76" s="1"/>
      <c r="AF76" s="1"/>
      <c r="AG76" s="1"/>
      <c r="AH76" s="1"/>
      <c r="AI76" s="1"/>
      <c r="AJ76" s="1"/>
      <c r="AK76" s="1"/>
      <c r="AL76" s="1"/>
      <c r="AN76" s="1"/>
      <c r="AO76" s="1"/>
      <c r="AP76" s="30"/>
      <c r="AQ76" s="1"/>
      <c r="AR76" s="1"/>
      <c r="AS76" s="30"/>
      <c r="AT76" s="1"/>
      <c r="AU76" s="1"/>
      <c r="AV76" s="30"/>
      <c r="AW76" s="1"/>
      <c r="AX76" s="1"/>
      <c r="AY76" s="30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6:67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13"/>
      <c r="AD77" s="1"/>
      <c r="AE77" s="1"/>
      <c r="AF77" s="1"/>
      <c r="AG77" s="1"/>
      <c r="AH77" s="1"/>
      <c r="AI77" s="1"/>
      <c r="AJ77" s="1"/>
      <c r="AK77" s="1"/>
      <c r="AL77" s="1"/>
      <c r="AN77" s="1"/>
      <c r="AO77" s="1"/>
      <c r="AP77" s="30"/>
      <c r="AQ77" s="1"/>
      <c r="AR77" s="1"/>
      <c r="AS77" s="30"/>
      <c r="AT77" s="1"/>
      <c r="AU77" s="1"/>
      <c r="AV77" s="30"/>
      <c r="AW77" s="1"/>
      <c r="AX77" s="1"/>
      <c r="AY77" s="30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6:67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13"/>
      <c r="AD78" s="1"/>
      <c r="AE78" s="1"/>
      <c r="AF78" s="1"/>
      <c r="AG78" s="1"/>
      <c r="AH78" s="1"/>
      <c r="AI78" s="1"/>
      <c r="AJ78" s="1"/>
      <c r="AK78" s="1"/>
      <c r="AL78" s="1"/>
      <c r="AN78" s="1"/>
      <c r="AO78" s="1"/>
      <c r="AP78" s="30"/>
      <c r="AQ78" s="1"/>
      <c r="AR78" s="1"/>
      <c r="AS78" s="30"/>
      <c r="AT78" s="1"/>
      <c r="AU78" s="1"/>
      <c r="AV78" s="30"/>
      <c r="AW78" s="1"/>
      <c r="AX78" s="1"/>
      <c r="AY78" s="30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6:67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13"/>
      <c r="AD79" s="1"/>
      <c r="AE79" s="1"/>
      <c r="AF79" s="1"/>
      <c r="AG79" s="1"/>
      <c r="AH79" s="1"/>
      <c r="AI79" s="1"/>
      <c r="AJ79" s="1"/>
      <c r="AK79" s="1"/>
      <c r="AL79" s="1"/>
      <c r="AN79" s="1"/>
      <c r="AO79" s="1"/>
      <c r="AP79" s="30"/>
      <c r="AQ79" s="1"/>
      <c r="AR79" s="1"/>
      <c r="AS79" s="30"/>
      <c r="AT79" s="1"/>
      <c r="AU79" s="1"/>
      <c r="AV79" s="30"/>
      <c r="AW79" s="1"/>
      <c r="AX79" s="1"/>
      <c r="AY79" s="30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6:67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13"/>
      <c r="AD80" s="1"/>
      <c r="AE80" s="1"/>
      <c r="AF80" s="1"/>
      <c r="AG80" s="1"/>
      <c r="AH80" s="1"/>
      <c r="AI80" s="1"/>
      <c r="AJ80" s="1"/>
      <c r="AK80" s="1"/>
      <c r="AL80" s="1"/>
      <c r="AN80" s="1"/>
      <c r="AO80" s="1"/>
      <c r="AP80" s="30"/>
      <c r="AQ80" s="1"/>
      <c r="AR80" s="1"/>
      <c r="AS80" s="30"/>
      <c r="AT80" s="1"/>
      <c r="AU80" s="1"/>
      <c r="AV80" s="30"/>
      <c r="AW80" s="1"/>
      <c r="AX80" s="1"/>
      <c r="AY80" s="30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6:67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N81" s="1"/>
      <c r="AO81" s="1"/>
      <c r="AP81" s="30"/>
      <c r="AQ81" s="1"/>
      <c r="AR81" s="1"/>
      <c r="AS81" s="30"/>
      <c r="AT81" s="1"/>
      <c r="AU81" s="1"/>
      <c r="AV81" s="30"/>
      <c r="AW81" s="1"/>
      <c r="AX81" s="1"/>
      <c r="AY81" s="30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6:67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1.35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N82" s="1"/>
      <c r="AO82" s="1"/>
      <c r="AP82" s="30"/>
      <c r="AQ82" s="1"/>
      <c r="AR82" s="1"/>
      <c r="AS82" s="30"/>
      <c r="AT82" s="1"/>
      <c r="AU82" s="1"/>
      <c r="AV82" s="30"/>
      <c r="AW82" s="1"/>
      <c r="AX82" s="1"/>
      <c r="AY82" s="30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6:67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N83" s="1"/>
      <c r="AO83" s="1"/>
      <c r="AP83" s="30"/>
      <c r="AQ83" s="1"/>
      <c r="AR83" s="1"/>
      <c r="AS83" s="30"/>
      <c r="AT83" s="1"/>
      <c r="AU83" s="1"/>
      <c r="AV83" s="30"/>
      <c r="AW83" s="1"/>
      <c r="AX83" s="1"/>
      <c r="AY83" s="30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6:67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N84" s="1"/>
      <c r="AO84" s="1"/>
      <c r="AP84" s="30"/>
      <c r="AQ84" s="1"/>
      <c r="AR84" s="1"/>
      <c r="AS84" s="30"/>
      <c r="AT84" s="1"/>
      <c r="AU84" s="1"/>
      <c r="AV84" s="30"/>
      <c r="AW84" s="1"/>
      <c r="AX84" s="1"/>
      <c r="AY84" s="30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6:67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N85" s="1"/>
      <c r="AO85" s="1"/>
      <c r="AP85" s="30"/>
      <c r="AQ85" s="1"/>
      <c r="AR85" s="1"/>
      <c r="AS85" s="30"/>
      <c r="AT85" s="1"/>
      <c r="AU85" s="1"/>
      <c r="AV85" s="30"/>
      <c r="AW85" s="1"/>
      <c r="AX85" s="1"/>
      <c r="AY85" s="30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6:67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N86" s="1"/>
      <c r="AO86" s="1"/>
      <c r="AP86" s="30"/>
      <c r="AQ86" s="1"/>
      <c r="AR86" s="1"/>
      <c r="AS86" s="30"/>
      <c r="AT86" s="1"/>
      <c r="AU86" s="1"/>
      <c r="AV86" s="30"/>
      <c r="AW86" s="1"/>
      <c r="AX86" s="1"/>
      <c r="AY86" s="30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6:67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N87" s="1"/>
      <c r="AO87" s="1"/>
      <c r="AP87" s="30"/>
      <c r="AQ87" s="1"/>
      <c r="AR87" s="1"/>
      <c r="AS87" s="30"/>
      <c r="AT87" s="1"/>
      <c r="AU87" s="1"/>
      <c r="AV87" s="30"/>
      <c r="AW87" s="1"/>
      <c r="AX87" s="1"/>
      <c r="AY87" s="30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6:67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N88" s="1"/>
      <c r="AO88" s="1"/>
      <c r="AP88" s="30"/>
      <c r="AQ88" s="1"/>
      <c r="AR88" s="1"/>
      <c r="AS88" s="30"/>
      <c r="AT88" s="1"/>
      <c r="AU88" s="1"/>
      <c r="AV88" s="30"/>
      <c r="AW88" s="1"/>
      <c r="AX88" s="1"/>
      <c r="AY88" s="30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6:67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N89" s="1"/>
      <c r="AO89" s="1"/>
      <c r="AP89" s="30"/>
      <c r="AQ89" s="1"/>
      <c r="AR89" s="1"/>
      <c r="AS89" s="30"/>
      <c r="AT89" s="1"/>
      <c r="AU89" s="1"/>
      <c r="AV89" s="30"/>
      <c r="AW89" s="1"/>
      <c r="AX89" s="1"/>
      <c r="AY89" s="30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6:67">
      <c r="AA90" s="1"/>
      <c r="AB90" s="1"/>
      <c r="AC90" s="1"/>
      <c r="AD90" s="1"/>
      <c r="AP90" s="184"/>
      <c r="AS90" s="184"/>
      <c r="AV90" s="184"/>
      <c r="AY90" s="184"/>
    </row>
    <row r="91" spans="6:67">
      <c r="AN91" s="160"/>
      <c r="AO91" s="160"/>
      <c r="AP91" s="186"/>
      <c r="AQ91" s="160"/>
      <c r="AR91" s="160"/>
      <c r="AS91" s="186"/>
      <c r="AT91" s="160"/>
      <c r="AU91" s="160"/>
      <c r="AV91" s="160"/>
      <c r="AW91" s="185"/>
      <c r="AX91" s="160"/>
      <c r="AY91" s="186"/>
    </row>
  </sheetData>
  <mergeCells count="12">
    <mergeCell ref="AS5:AS6"/>
    <mergeCell ref="AK15:AL15"/>
    <mergeCell ref="AQ15:AS15"/>
    <mergeCell ref="AT15:AV15"/>
    <mergeCell ref="AW15:AY15"/>
    <mergeCell ref="AN15:AP15"/>
    <mergeCell ref="AF3:AF4"/>
    <mergeCell ref="Y3:Y4"/>
    <mergeCell ref="AK58:AL58"/>
    <mergeCell ref="AK14:AL14"/>
    <mergeCell ref="F13:H13"/>
    <mergeCell ref="S13:V13"/>
  </mergeCells>
  <pageMargins left="0.7" right="0.7" top="0.75" bottom="0.75" header="0.3" footer="0.3"/>
  <pageSetup paperSize="9" scale="63" orientation="portrait" r:id="rId1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2"/>
  <sheetViews>
    <sheetView zoomScale="85" zoomScaleNormal="85" workbookViewId="0">
      <selection activeCell="G79" sqref="G79"/>
    </sheetView>
  </sheetViews>
  <sheetFormatPr defaultRowHeight="14.5"/>
  <cols>
    <col min="1" max="1" width="20.81640625" customWidth="1"/>
    <col min="2" max="2" width="19.1796875" customWidth="1"/>
    <col min="3" max="3" width="18.7265625" customWidth="1"/>
    <col min="4" max="4" width="18.54296875" customWidth="1"/>
    <col min="5" max="5" width="17" customWidth="1"/>
    <col min="6" max="6" width="20.81640625" customWidth="1"/>
    <col min="7" max="7" width="18.54296875" customWidth="1"/>
    <col min="8" max="8" width="15.1796875" customWidth="1"/>
    <col min="9" max="9" width="16.54296875" customWidth="1"/>
    <col min="10" max="10" width="17.1796875" customWidth="1"/>
    <col min="11" max="11" width="16" customWidth="1"/>
    <col min="12" max="12" width="17.26953125" customWidth="1"/>
    <col min="13" max="15" width="15.54296875" hidden="1" customWidth="1"/>
    <col min="16" max="18" width="15.54296875" bestFit="1" customWidth="1"/>
    <col min="19" max="19" width="12" bestFit="1" customWidth="1"/>
    <col min="20" max="20" width="15.54296875" bestFit="1" customWidth="1"/>
    <col min="21" max="21" width="14.54296875" bestFit="1" customWidth="1"/>
    <col min="22" max="22" width="15.54296875" bestFit="1" customWidth="1"/>
    <col min="23" max="23" width="12" bestFit="1" customWidth="1"/>
    <col min="24" max="25" width="17.26953125" bestFit="1" customWidth="1"/>
    <col min="26" max="27" width="17.1796875" bestFit="1" customWidth="1"/>
    <col min="28" max="28" width="7.81640625" hidden="1" customWidth="1"/>
    <col min="29" max="29" width="8" style="82" bestFit="1" customWidth="1"/>
    <col min="30" max="30" width="10" style="82" bestFit="1" customWidth="1"/>
    <col min="31" max="31" width="8" style="82" customWidth="1"/>
    <col min="32" max="32" width="6" style="83" customWidth="1"/>
    <col min="50" max="50" width="15" bestFit="1" customWidth="1"/>
  </cols>
  <sheetData>
    <row r="1" spans="1:32" s="40" customFormat="1" ht="29.25" customHeight="1">
      <c r="A1" s="39" t="s">
        <v>447</v>
      </c>
      <c r="B1" s="39" t="s">
        <v>80</v>
      </c>
      <c r="C1" s="458" t="s">
        <v>448</v>
      </c>
      <c r="D1" s="458"/>
      <c r="E1" s="458"/>
      <c r="F1" s="459" t="s">
        <v>449</v>
      </c>
      <c r="G1" s="459"/>
      <c r="H1" s="459"/>
      <c r="I1" s="460" t="s">
        <v>450</v>
      </c>
      <c r="J1" s="460"/>
      <c r="K1" s="460"/>
      <c r="L1" s="173" t="s">
        <v>451</v>
      </c>
      <c r="M1" s="459" t="s">
        <v>452</v>
      </c>
      <c r="N1" s="459"/>
      <c r="O1" s="459"/>
      <c r="P1" s="461" t="s">
        <v>453</v>
      </c>
      <c r="Q1" s="461"/>
      <c r="R1" s="461"/>
      <c r="S1" s="39" t="s">
        <v>454</v>
      </c>
      <c r="T1" s="455" t="s">
        <v>455</v>
      </c>
      <c r="U1" s="456"/>
      <c r="V1" s="457"/>
      <c r="W1" s="39" t="s">
        <v>456</v>
      </c>
      <c r="X1" s="459" t="s">
        <v>457</v>
      </c>
      <c r="Y1" s="459"/>
      <c r="Z1" s="462" t="s">
        <v>458</v>
      </c>
      <c r="AA1" s="462"/>
      <c r="AC1" s="459" t="s">
        <v>43</v>
      </c>
      <c r="AD1" s="459"/>
      <c r="AE1" s="459"/>
      <c r="AF1" s="459"/>
    </row>
    <row r="2" spans="1:32" s="42" customFormat="1" ht="30" customHeight="1">
      <c r="A2" s="41"/>
      <c r="B2" s="41"/>
      <c r="C2" s="41" t="s">
        <v>459</v>
      </c>
      <c r="D2" s="174" t="s">
        <v>460</v>
      </c>
      <c r="E2" s="41" t="s">
        <v>461</v>
      </c>
      <c r="F2" s="41" t="s">
        <v>459</v>
      </c>
      <c r="G2" s="41" t="s">
        <v>460</v>
      </c>
      <c r="H2" s="41" t="s">
        <v>461</v>
      </c>
      <c r="I2" s="298" t="s">
        <v>459</v>
      </c>
      <c r="J2" s="41" t="s">
        <v>460</v>
      </c>
      <c r="K2" s="41" t="s">
        <v>461</v>
      </c>
      <c r="L2" s="298" t="s">
        <v>462</v>
      </c>
      <c r="M2" s="41" t="s">
        <v>459</v>
      </c>
      <c r="N2" s="41" t="s">
        <v>460</v>
      </c>
      <c r="O2" s="41" t="s">
        <v>461</v>
      </c>
      <c r="P2" s="41" t="s">
        <v>459</v>
      </c>
      <c r="Q2" s="170" t="s">
        <v>460</v>
      </c>
      <c r="R2" s="41" t="s">
        <v>461</v>
      </c>
      <c r="S2" s="41" t="s">
        <v>94</v>
      </c>
      <c r="T2" s="41" t="s">
        <v>459</v>
      </c>
      <c r="U2" s="41" t="s">
        <v>460</v>
      </c>
      <c r="V2" s="174" t="s">
        <v>461</v>
      </c>
      <c r="W2" s="41" t="s">
        <v>94</v>
      </c>
      <c r="X2" s="41" t="s">
        <v>459</v>
      </c>
      <c r="Y2" s="41" t="s">
        <v>461</v>
      </c>
      <c r="Z2" s="41" t="s">
        <v>459</v>
      </c>
      <c r="AA2" s="41" t="s">
        <v>461</v>
      </c>
      <c r="AC2" s="43" t="s">
        <v>463</v>
      </c>
      <c r="AD2" s="43" t="s">
        <v>464</v>
      </c>
      <c r="AE2" s="44" t="s">
        <v>465</v>
      </c>
      <c r="AF2" s="39" t="s">
        <v>466</v>
      </c>
    </row>
    <row r="3" spans="1:32" hidden="1">
      <c r="A3" s="45" t="s">
        <v>467</v>
      </c>
      <c r="B3" s="45" t="s">
        <v>468</v>
      </c>
      <c r="C3" s="46">
        <v>995</v>
      </c>
      <c r="D3" s="46">
        <v>1194</v>
      </c>
      <c r="E3" s="46">
        <v>1830</v>
      </c>
      <c r="F3" s="47" t="s">
        <v>469</v>
      </c>
      <c r="G3" s="47" t="s">
        <v>470</v>
      </c>
      <c r="H3" s="47" t="s">
        <v>471</v>
      </c>
      <c r="I3" s="47" t="s">
        <v>472</v>
      </c>
      <c r="J3" s="47" t="s">
        <v>473</v>
      </c>
      <c r="K3" s="47" t="s">
        <v>474</v>
      </c>
      <c r="L3" s="47" t="s">
        <v>475</v>
      </c>
      <c r="M3" s="47" t="s">
        <v>476</v>
      </c>
      <c r="N3" s="47" t="s">
        <v>477</v>
      </c>
      <c r="O3" s="47" t="s">
        <v>478</v>
      </c>
      <c r="P3" s="47" t="s">
        <v>479</v>
      </c>
      <c r="Q3" s="47" t="s">
        <v>480</v>
      </c>
      <c r="R3" s="47" t="s">
        <v>481</v>
      </c>
      <c r="S3" s="48">
        <v>0.22</v>
      </c>
      <c r="T3" s="47" t="s">
        <v>482</v>
      </c>
      <c r="U3" s="47"/>
      <c r="V3" s="47" t="s">
        <v>483</v>
      </c>
      <c r="W3" s="48">
        <v>0.1</v>
      </c>
      <c r="X3" s="47" t="s">
        <v>484</v>
      </c>
      <c r="Y3" s="47" t="s">
        <v>485</v>
      </c>
      <c r="Z3" s="47" t="s">
        <v>486</v>
      </c>
      <c r="AA3" s="47" t="s">
        <v>487</v>
      </c>
      <c r="AC3" s="49"/>
      <c r="AD3" s="49"/>
      <c r="AE3" s="49"/>
      <c r="AF3" s="50"/>
    </row>
    <row r="4" spans="1:32" hidden="1">
      <c r="A4" s="51" t="s">
        <v>488</v>
      </c>
      <c r="B4" s="51" t="s">
        <v>489</v>
      </c>
      <c r="C4" s="51">
        <v>547</v>
      </c>
      <c r="D4" s="51">
        <v>670</v>
      </c>
      <c r="E4" s="52">
        <v>1022</v>
      </c>
      <c r="F4" s="51">
        <v>105</v>
      </c>
      <c r="G4" s="51">
        <v>132</v>
      </c>
      <c r="H4" s="51">
        <v>182</v>
      </c>
      <c r="I4" s="51">
        <v>160</v>
      </c>
      <c r="J4" s="51">
        <v>193</v>
      </c>
      <c r="K4" s="51">
        <v>242</v>
      </c>
      <c r="L4" s="51">
        <v>40</v>
      </c>
      <c r="M4" s="51">
        <v>60</v>
      </c>
      <c r="N4" s="51">
        <v>100</v>
      </c>
      <c r="O4" s="51">
        <v>180</v>
      </c>
      <c r="P4" s="51">
        <v>85</v>
      </c>
      <c r="Q4" s="51">
        <v>131</v>
      </c>
      <c r="R4" s="51">
        <v>246</v>
      </c>
      <c r="S4" s="53">
        <v>0.18</v>
      </c>
      <c r="T4" s="51">
        <v>65</v>
      </c>
      <c r="U4" s="51"/>
      <c r="V4" s="51">
        <v>125</v>
      </c>
      <c r="W4" s="53">
        <v>0.1</v>
      </c>
      <c r="X4" s="52">
        <v>1084</v>
      </c>
      <c r="Y4" s="52">
        <v>2056</v>
      </c>
      <c r="Z4" s="52">
        <v>1150</v>
      </c>
      <c r="AA4" s="52">
        <v>2150</v>
      </c>
      <c r="AC4" s="54"/>
      <c r="AD4" s="54"/>
      <c r="AE4" s="54"/>
      <c r="AF4" s="55"/>
    </row>
    <row r="5" spans="1:32" hidden="1">
      <c r="A5" s="56" t="s">
        <v>490</v>
      </c>
      <c r="B5" s="56" t="s">
        <v>491</v>
      </c>
      <c r="C5" s="56">
        <v>436</v>
      </c>
      <c r="D5" s="56">
        <v>551</v>
      </c>
      <c r="E5" s="56">
        <v>847</v>
      </c>
      <c r="F5" s="56">
        <v>105</v>
      </c>
      <c r="G5" s="56">
        <v>132</v>
      </c>
      <c r="H5" s="56">
        <v>182</v>
      </c>
      <c r="I5" s="56">
        <v>160</v>
      </c>
      <c r="J5" s="56">
        <v>193</v>
      </c>
      <c r="K5" s="56">
        <v>242</v>
      </c>
      <c r="L5" s="56">
        <v>40</v>
      </c>
      <c r="M5" s="56">
        <v>60</v>
      </c>
      <c r="N5" s="56">
        <v>100</v>
      </c>
      <c r="O5" s="56">
        <v>180</v>
      </c>
      <c r="P5" s="56">
        <v>85</v>
      </c>
      <c r="Q5" s="56">
        <v>131</v>
      </c>
      <c r="R5" s="56">
        <v>246</v>
      </c>
      <c r="S5" s="57">
        <v>0.18</v>
      </c>
      <c r="T5" s="56">
        <v>65</v>
      </c>
      <c r="U5" s="56"/>
      <c r="V5" s="56">
        <v>125</v>
      </c>
      <c r="W5" s="57">
        <v>0.1</v>
      </c>
      <c r="X5" s="56">
        <v>933</v>
      </c>
      <c r="Y5" s="58">
        <v>1816</v>
      </c>
      <c r="Z5" s="56">
        <v>1006</v>
      </c>
      <c r="AA5" s="58">
        <v>1923</v>
      </c>
      <c r="AC5" s="59"/>
      <c r="AD5" s="59"/>
      <c r="AE5" s="59"/>
      <c r="AF5" s="60"/>
    </row>
    <row r="6" spans="1:32" hidden="1">
      <c r="A6" s="45" t="s">
        <v>492</v>
      </c>
      <c r="B6" s="45" t="s">
        <v>493</v>
      </c>
      <c r="C6" s="46">
        <v>752</v>
      </c>
      <c r="D6" s="46">
        <v>896</v>
      </c>
      <c r="E6" s="46">
        <v>1368</v>
      </c>
      <c r="F6" s="47">
        <v>151</v>
      </c>
      <c r="G6" s="47">
        <v>191</v>
      </c>
      <c r="H6" s="47">
        <v>262</v>
      </c>
      <c r="I6" s="47">
        <v>231</v>
      </c>
      <c r="J6" s="47">
        <v>278</v>
      </c>
      <c r="K6" s="47">
        <v>350</v>
      </c>
      <c r="L6" s="47">
        <v>48</v>
      </c>
      <c r="M6" s="47">
        <v>72</v>
      </c>
      <c r="N6" s="47">
        <v>120</v>
      </c>
      <c r="O6" s="47">
        <v>216</v>
      </c>
      <c r="P6" s="47">
        <v>102</v>
      </c>
      <c r="Q6" s="47">
        <v>157</v>
      </c>
      <c r="R6" s="47">
        <v>296</v>
      </c>
      <c r="S6" s="48">
        <v>0.19</v>
      </c>
      <c r="T6" s="47">
        <v>78</v>
      </c>
      <c r="U6" s="47"/>
      <c r="V6" s="47">
        <v>150</v>
      </c>
      <c r="W6" s="48">
        <v>0.1</v>
      </c>
      <c r="X6" s="47">
        <v>1477</v>
      </c>
      <c r="Y6" s="47">
        <v>2738</v>
      </c>
      <c r="Z6" s="47">
        <v>1568</v>
      </c>
      <c r="AA6" s="47">
        <v>2863</v>
      </c>
      <c r="AC6" s="49"/>
      <c r="AD6" s="49"/>
      <c r="AE6" s="49"/>
      <c r="AF6" s="50"/>
    </row>
    <row r="7" spans="1:32" hidden="1">
      <c r="A7" s="51" t="s">
        <v>494</v>
      </c>
      <c r="B7" s="51" t="s">
        <v>495</v>
      </c>
      <c r="C7" s="51">
        <v>320</v>
      </c>
      <c r="D7" s="51">
        <v>498</v>
      </c>
      <c r="E7" s="52">
        <v>682</v>
      </c>
      <c r="F7" s="51">
        <v>108</v>
      </c>
      <c r="G7" s="51">
        <v>137</v>
      </c>
      <c r="H7" s="51">
        <v>188</v>
      </c>
      <c r="I7" s="51">
        <v>165</v>
      </c>
      <c r="J7" s="51">
        <v>200</v>
      </c>
      <c r="K7" s="51">
        <v>251</v>
      </c>
      <c r="L7" s="51">
        <v>40</v>
      </c>
      <c r="M7" s="51">
        <v>60</v>
      </c>
      <c r="N7" s="51">
        <v>100</v>
      </c>
      <c r="O7" s="51">
        <v>180</v>
      </c>
      <c r="P7" s="51">
        <v>85</v>
      </c>
      <c r="Q7" s="51">
        <v>131</v>
      </c>
      <c r="R7" s="51">
        <v>246</v>
      </c>
      <c r="S7" s="53">
        <v>0.17</v>
      </c>
      <c r="T7" s="51">
        <v>65</v>
      </c>
      <c r="U7" s="51"/>
      <c r="V7" s="51">
        <v>125</v>
      </c>
      <c r="W7" s="53">
        <v>0.1</v>
      </c>
      <c r="X7" s="52">
        <v>773</v>
      </c>
      <c r="Y7" s="52">
        <v>1586</v>
      </c>
      <c r="Z7" s="52">
        <v>857</v>
      </c>
      <c r="AA7" s="52">
        <v>1706</v>
      </c>
      <c r="AC7" s="54"/>
      <c r="AD7" s="54"/>
      <c r="AE7" s="54"/>
      <c r="AF7" s="55"/>
    </row>
    <row r="8" spans="1:32" hidden="1">
      <c r="A8" s="56" t="s">
        <v>496</v>
      </c>
      <c r="B8" s="56" t="s">
        <v>497</v>
      </c>
      <c r="C8" s="56">
        <v>445</v>
      </c>
      <c r="D8" s="56">
        <v>540</v>
      </c>
      <c r="E8" s="56">
        <v>782</v>
      </c>
      <c r="F8" s="56">
        <v>109</v>
      </c>
      <c r="G8" s="56">
        <v>138</v>
      </c>
      <c r="H8" s="56">
        <v>190</v>
      </c>
      <c r="I8" s="56">
        <v>167</v>
      </c>
      <c r="J8" s="56">
        <v>201</v>
      </c>
      <c r="K8" s="56">
        <v>253</v>
      </c>
      <c r="L8" s="56">
        <v>40</v>
      </c>
      <c r="M8" s="56">
        <v>60</v>
      </c>
      <c r="N8" s="56">
        <v>100</v>
      </c>
      <c r="O8" s="56">
        <v>180</v>
      </c>
      <c r="P8" s="56">
        <v>85</v>
      </c>
      <c r="Q8" s="56">
        <v>131</v>
      </c>
      <c r="R8" s="56">
        <v>246</v>
      </c>
      <c r="S8" s="57">
        <v>0.21</v>
      </c>
      <c r="T8" s="56">
        <v>65</v>
      </c>
      <c r="U8" s="56"/>
      <c r="V8" s="56">
        <v>125</v>
      </c>
      <c r="W8" s="57">
        <v>0.1</v>
      </c>
      <c r="X8" s="56">
        <v>973</v>
      </c>
      <c r="Y8" s="58">
        <v>1778</v>
      </c>
      <c r="Z8" s="56">
        <v>1052</v>
      </c>
      <c r="AA8" s="58">
        <v>1896</v>
      </c>
      <c r="AC8" s="59"/>
      <c r="AD8" s="59"/>
      <c r="AE8" s="59"/>
      <c r="AF8" s="60"/>
    </row>
    <row r="9" spans="1:32" hidden="1">
      <c r="A9" s="51" t="s">
        <v>498</v>
      </c>
      <c r="B9" s="51" t="s">
        <v>499</v>
      </c>
      <c r="C9" s="51">
        <v>588</v>
      </c>
      <c r="D9" s="51">
        <v>728</v>
      </c>
      <c r="E9" s="52">
        <v>1192</v>
      </c>
      <c r="F9" s="51">
        <v>110</v>
      </c>
      <c r="G9" s="51">
        <v>139</v>
      </c>
      <c r="H9" s="51">
        <v>191</v>
      </c>
      <c r="I9" s="51">
        <v>168</v>
      </c>
      <c r="J9" s="51">
        <v>203</v>
      </c>
      <c r="K9" s="51">
        <v>255</v>
      </c>
      <c r="L9" s="51">
        <v>40</v>
      </c>
      <c r="M9" s="51">
        <v>60</v>
      </c>
      <c r="N9" s="51">
        <v>100</v>
      </c>
      <c r="O9" s="51">
        <v>180</v>
      </c>
      <c r="P9" s="51">
        <v>85</v>
      </c>
      <c r="Q9" s="51">
        <v>131</v>
      </c>
      <c r="R9" s="51">
        <v>246</v>
      </c>
      <c r="S9" s="53">
        <v>0.26</v>
      </c>
      <c r="T9" s="51">
        <v>65</v>
      </c>
      <c r="U9" s="51"/>
      <c r="V9" s="51">
        <v>125</v>
      </c>
      <c r="W9" s="53">
        <v>0.1</v>
      </c>
      <c r="X9" s="52">
        <v>1220</v>
      </c>
      <c r="Y9" s="52">
        <v>2447</v>
      </c>
      <c r="Z9" s="52">
        <v>1292</v>
      </c>
      <c r="AA9" s="52">
        <v>2541</v>
      </c>
      <c r="AC9" s="54"/>
      <c r="AD9" s="54"/>
      <c r="AE9" s="54"/>
      <c r="AF9" s="55"/>
    </row>
    <row r="10" spans="1:32" hidden="1">
      <c r="A10" s="56" t="s">
        <v>500</v>
      </c>
      <c r="B10" s="56" t="s">
        <v>501</v>
      </c>
      <c r="C10" s="56">
        <v>525</v>
      </c>
      <c r="D10" s="56">
        <v>783</v>
      </c>
      <c r="E10" s="56">
        <v>1142</v>
      </c>
      <c r="F10" s="56">
        <v>182</v>
      </c>
      <c r="G10" s="56">
        <v>230</v>
      </c>
      <c r="H10" s="56">
        <v>317</v>
      </c>
      <c r="I10" s="56">
        <v>278</v>
      </c>
      <c r="J10" s="56">
        <v>336</v>
      </c>
      <c r="K10" s="56">
        <v>422</v>
      </c>
      <c r="L10" s="56">
        <v>64</v>
      </c>
      <c r="M10" s="56">
        <v>96</v>
      </c>
      <c r="N10" s="56">
        <v>160</v>
      </c>
      <c r="O10" s="56">
        <v>288</v>
      </c>
      <c r="P10" s="56">
        <v>136</v>
      </c>
      <c r="Q10" s="56">
        <v>209</v>
      </c>
      <c r="R10" s="56">
        <v>394</v>
      </c>
      <c r="S10" s="57">
        <v>0.15</v>
      </c>
      <c r="T10" s="56">
        <v>104</v>
      </c>
      <c r="U10" s="56"/>
      <c r="V10" s="56">
        <v>200</v>
      </c>
      <c r="W10" s="57">
        <v>0.1</v>
      </c>
      <c r="X10" s="56">
        <v>1247</v>
      </c>
      <c r="Y10" s="58">
        <v>2586</v>
      </c>
      <c r="Z10" s="56">
        <v>1383</v>
      </c>
      <c r="AA10" s="58">
        <v>2778</v>
      </c>
      <c r="AC10" s="59"/>
      <c r="AD10" s="59"/>
      <c r="AE10" s="59"/>
      <c r="AF10" s="60"/>
    </row>
    <row r="11" spans="1:32" hidden="1">
      <c r="A11" s="45" t="s">
        <v>502</v>
      </c>
      <c r="B11" s="45" t="s">
        <v>503</v>
      </c>
      <c r="C11" s="46">
        <v>431</v>
      </c>
      <c r="D11" s="46">
        <v>522</v>
      </c>
      <c r="E11" s="46">
        <v>857</v>
      </c>
      <c r="F11" s="47">
        <v>109</v>
      </c>
      <c r="G11" s="47">
        <v>138</v>
      </c>
      <c r="H11" s="47">
        <v>190</v>
      </c>
      <c r="I11" s="47">
        <v>167</v>
      </c>
      <c r="J11" s="47">
        <v>201</v>
      </c>
      <c r="K11" s="47">
        <v>253</v>
      </c>
      <c r="L11" s="47">
        <v>40</v>
      </c>
      <c r="M11" s="47">
        <v>60</v>
      </c>
      <c r="N11" s="47">
        <v>100</v>
      </c>
      <c r="O11" s="47">
        <v>180</v>
      </c>
      <c r="P11" s="47">
        <v>85</v>
      </c>
      <c r="Q11" s="47">
        <v>131</v>
      </c>
      <c r="R11" s="47">
        <v>246</v>
      </c>
      <c r="S11" s="48">
        <v>0.14000000000000001</v>
      </c>
      <c r="T11" s="47">
        <v>65</v>
      </c>
      <c r="U11" s="47"/>
      <c r="V11" s="47">
        <v>125</v>
      </c>
      <c r="W11" s="48">
        <v>0.1</v>
      </c>
      <c r="X11" s="47">
        <v>903</v>
      </c>
      <c r="Y11" s="47">
        <v>1782</v>
      </c>
      <c r="Z11" s="47">
        <v>978</v>
      </c>
      <c r="AA11" s="47">
        <v>1888</v>
      </c>
      <c r="AC11" s="49"/>
      <c r="AD11" s="49"/>
      <c r="AE11" s="49"/>
      <c r="AF11" s="50"/>
    </row>
    <row r="12" spans="1:32" hidden="1">
      <c r="A12" s="51" t="s">
        <v>504</v>
      </c>
      <c r="B12" s="51" t="s">
        <v>505</v>
      </c>
      <c r="C12" s="51">
        <v>768</v>
      </c>
      <c r="D12" s="51">
        <v>917</v>
      </c>
      <c r="E12" s="52">
        <v>1409</v>
      </c>
      <c r="F12" s="51">
        <v>161</v>
      </c>
      <c r="G12" s="51">
        <v>203</v>
      </c>
      <c r="H12" s="51">
        <v>279</v>
      </c>
      <c r="I12" s="51">
        <v>245</v>
      </c>
      <c r="J12" s="51">
        <v>296</v>
      </c>
      <c r="K12" s="51">
        <v>372</v>
      </c>
      <c r="L12" s="51">
        <v>52</v>
      </c>
      <c r="M12" s="51">
        <v>78</v>
      </c>
      <c r="N12" s="51">
        <v>130</v>
      </c>
      <c r="O12" s="51">
        <v>234</v>
      </c>
      <c r="P12" s="51">
        <v>110</v>
      </c>
      <c r="Q12" s="51">
        <v>170</v>
      </c>
      <c r="R12" s="51">
        <v>320</v>
      </c>
      <c r="S12" s="53">
        <v>0.17</v>
      </c>
      <c r="T12" s="51">
        <v>85</v>
      </c>
      <c r="U12" s="51"/>
      <c r="V12" s="51">
        <v>163</v>
      </c>
      <c r="W12" s="53">
        <v>0.1</v>
      </c>
      <c r="X12" s="52">
        <v>1508</v>
      </c>
      <c r="Y12" s="52">
        <v>2815</v>
      </c>
      <c r="Z12" s="52">
        <v>1606</v>
      </c>
      <c r="AA12" s="52">
        <v>2950</v>
      </c>
      <c r="AC12" s="54"/>
      <c r="AD12" s="54"/>
      <c r="AE12" s="54"/>
      <c r="AF12" s="55"/>
    </row>
    <row r="13" spans="1:32" hidden="1">
      <c r="A13" s="56" t="s">
        <v>506</v>
      </c>
      <c r="B13" s="56" t="s">
        <v>507</v>
      </c>
      <c r="C13" s="56">
        <v>775</v>
      </c>
      <c r="D13" s="56">
        <v>928</v>
      </c>
      <c r="E13" s="56">
        <v>1382</v>
      </c>
      <c r="F13" s="56">
        <v>114</v>
      </c>
      <c r="G13" s="56">
        <v>144</v>
      </c>
      <c r="H13" s="56">
        <v>198</v>
      </c>
      <c r="I13" s="56">
        <v>174</v>
      </c>
      <c r="J13" s="56">
        <v>210</v>
      </c>
      <c r="K13" s="56">
        <v>264</v>
      </c>
      <c r="L13" s="56">
        <v>40</v>
      </c>
      <c r="M13" s="56">
        <v>60</v>
      </c>
      <c r="N13" s="56">
        <v>100</v>
      </c>
      <c r="O13" s="56">
        <v>180</v>
      </c>
      <c r="P13" s="56">
        <v>85</v>
      </c>
      <c r="Q13" s="56">
        <v>131</v>
      </c>
      <c r="R13" s="56">
        <v>246</v>
      </c>
      <c r="S13" s="57">
        <v>0.16</v>
      </c>
      <c r="T13" s="56">
        <v>65</v>
      </c>
      <c r="U13" s="56"/>
      <c r="V13" s="56">
        <v>125</v>
      </c>
      <c r="W13" s="57">
        <v>0.1</v>
      </c>
      <c r="X13" s="56">
        <v>1386</v>
      </c>
      <c r="Y13" s="58">
        <v>2530</v>
      </c>
      <c r="Z13" s="56">
        <v>1442</v>
      </c>
      <c r="AA13" s="58">
        <v>2606</v>
      </c>
      <c r="AC13" s="59"/>
      <c r="AD13" s="59"/>
      <c r="AE13" s="59"/>
      <c r="AF13" s="60"/>
    </row>
    <row r="14" spans="1:32" hidden="1">
      <c r="A14" s="45" t="s">
        <v>508</v>
      </c>
      <c r="B14" s="45" t="s">
        <v>509</v>
      </c>
      <c r="C14" s="46">
        <v>737</v>
      </c>
      <c r="D14" s="46">
        <v>890</v>
      </c>
      <c r="E14" s="46">
        <v>1384</v>
      </c>
      <c r="F14" s="47">
        <v>105</v>
      </c>
      <c r="G14" s="47">
        <v>132</v>
      </c>
      <c r="H14" s="47">
        <v>182</v>
      </c>
      <c r="I14" s="47">
        <v>160</v>
      </c>
      <c r="J14" s="47">
        <v>193</v>
      </c>
      <c r="K14" s="47">
        <v>242</v>
      </c>
      <c r="L14" s="47">
        <v>40</v>
      </c>
      <c r="M14" s="47">
        <v>60</v>
      </c>
      <c r="N14" s="47">
        <v>100</v>
      </c>
      <c r="O14" s="47">
        <v>180</v>
      </c>
      <c r="P14" s="47">
        <v>85</v>
      </c>
      <c r="Q14" s="47">
        <v>131</v>
      </c>
      <c r="R14" s="47">
        <v>246</v>
      </c>
      <c r="S14" s="48">
        <v>0.18</v>
      </c>
      <c r="T14" s="47">
        <v>65</v>
      </c>
      <c r="U14" s="47"/>
      <c r="V14" s="47">
        <v>125</v>
      </c>
      <c r="W14" s="48">
        <v>0.1</v>
      </c>
      <c r="X14" s="47">
        <v>1344</v>
      </c>
      <c r="Y14" s="47">
        <v>2550</v>
      </c>
      <c r="Z14" s="47">
        <v>1397</v>
      </c>
      <c r="AA14" s="47">
        <v>2620</v>
      </c>
      <c r="AC14" s="49"/>
      <c r="AD14" s="49"/>
      <c r="AE14" s="49"/>
      <c r="AF14" s="50"/>
    </row>
    <row r="15" spans="1:32" hidden="1">
      <c r="A15" s="51" t="s">
        <v>510</v>
      </c>
      <c r="B15" s="51" t="s">
        <v>511</v>
      </c>
      <c r="C15" s="51">
        <v>686</v>
      </c>
      <c r="D15" s="51">
        <v>884</v>
      </c>
      <c r="E15" s="52">
        <v>1369</v>
      </c>
      <c r="F15" s="51">
        <v>103</v>
      </c>
      <c r="G15" s="51">
        <v>130</v>
      </c>
      <c r="H15" s="51">
        <v>178</v>
      </c>
      <c r="I15" s="51">
        <v>157</v>
      </c>
      <c r="J15" s="51">
        <v>189</v>
      </c>
      <c r="K15" s="51">
        <v>238</v>
      </c>
      <c r="L15" s="51">
        <v>40</v>
      </c>
      <c r="M15" s="51">
        <v>60</v>
      </c>
      <c r="N15" s="51">
        <v>100</v>
      </c>
      <c r="O15" s="51">
        <v>180</v>
      </c>
      <c r="P15" s="51">
        <v>85</v>
      </c>
      <c r="Q15" s="51">
        <v>131</v>
      </c>
      <c r="R15" s="51">
        <v>246</v>
      </c>
      <c r="S15" s="53">
        <v>0.26</v>
      </c>
      <c r="T15" s="51">
        <v>65</v>
      </c>
      <c r="U15" s="51"/>
      <c r="V15" s="51">
        <v>125</v>
      </c>
      <c r="W15" s="53">
        <v>0.1</v>
      </c>
      <c r="X15" s="52">
        <v>1354</v>
      </c>
      <c r="Y15" s="52">
        <v>2687</v>
      </c>
      <c r="Z15" s="52">
        <v>1413</v>
      </c>
      <c r="AA15" s="52">
        <v>2761</v>
      </c>
      <c r="AC15" s="463"/>
      <c r="AD15" s="463"/>
      <c r="AE15" s="463"/>
      <c r="AF15" s="466"/>
    </row>
    <row r="16" spans="1:32" hidden="1">
      <c r="A16" s="51" t="s">
        <v>510</v>
      </c>
      <c r="B16" s="51" t="s">
        <v>512</v>
      </c>
      <c r="C16" s="51">
        <v>748</v>
      </c>
      <c r="D16" s="51">
        <v>899</v>
      </c>
      <c r="E16" s="51">
        <v>1391</v>
      </c>
      <c r="F16" s="51">
        <v>103</v>
      </c>
      <c r="G16" s="51">
        <v>130</v>
      </c>
      <c r="H16" s="51">
        <v>178</v>
      </c>
      <c r="I16" s="51">
        <v>157</v>
      </c>
      <c r="J16" s="51">
        <v>189</v>
      </c>
      <c r="K16" s="51">
        <v>238</v>
      </c>
      <c r="L16" s="51">
        <v>40</v>
      </c>
      <c r="M16" s="51">
        <v>60</v>
      </c>
      <c r="N16" s="51">
        <v>100</v>
      </c>
      <c r="O16" s="51">
        <v>180</v>
      </c>
      <c r="P16" s="51">
        <v>85</v>
      </c>
      <c r="Q16" s="51">
        <v>131</v>
      </c>
      <c r="R16" s="51">
        <v>246</v>
      </c>
      <c r="S16" s="53">
        <v>0.26</v>
      </c>
      <c r="T16" s="51">
        <v>65</v>
      </c>
      <c r="U16" s="51"/>
      <c r="V16" s="51">
        <v>125</v>
      </c>
      <c r="W16" s="53">
        <v>0.1</v>
      </c>
      <c r="X16" s="51">
        <v>1444</v>
      </c>
      <c r="Y16" s="52">
        <v>2718</v>
      </c>
      <c r="Z16" s="51">
        <v>1498</v>
      </c>
      <c r="AA16" s="52">
        <v>2791</v>
      </c>
      <c r="AC16" s="464"/>
      <c r="AD16" s="464"/>
      <c r="AE16" s="464"/>
      <c r="AF16" s="467"/>
    </row>
    <row r="17" spans="1:32" hidden="1">
      <c r="A17" s="51" t="s">
        <v>510</v>
      </c>
      <c r="B17" s="51" t="s">
        <v>513</v>
      </c>
      <c r="C17" s="61">
        <v>765</v>
      </c>
      <c r="D17" s="61">
        <v>920</v>
      </c>
      <c r="E17" s="61">
        <v>1423</v>
      </c>
      <c r="F17" s="62">
        <v>103</v>
      </c>
      <c r="G17" s="62">
        <v>130</v>
      </c>
      <c r="H17" s="62">
        <v>178</v>
      </c>
      <c r="I17" s="62">
        <v>157</v>
      </c>
      <c r="J17" s="62">
        <v>189</v>
      </c>
      <c r="K17" s="62">
        <v>238</v>
      </c>
      <c r="L17" s="62">
        <v>40</v>
      </c>
      <c r="M17" s="62">
        <v>60</v>
      </c>
      <c r="N17" s="62">
        <v>100</v>
      </c>
      <c r="O17" s="62">
        <v>180</v>
      </c>
      <c r="P17" s="62">
        <v>85</v>
      </c>
      <c r="Q17" s="62">
        <v>131</v>
      </c>
      <c r="R17" s="62">
        <v>246</v>
      </c>
      <c r="S17" s="63">
        <v>0.26</v>
      </c>
      <c r="T17" s="62">
        <v>65</v>
      </c>
      <c r="U17" s="62"/>
      <c r="V17" s="62">
        <v>125</v>
      </c>
      <c r="W17" s="63">
        <v>0.1</v>
      </c>
      <c r="X17" s="62">
        <v>1469</v>
      </c>
      <c r="Y17" s="62">
        <v>2766</v>
      </c>
      <c r="Z17" s="62">
        <v>1522</v>
      </c>
      <c r="AA17" s="62">
        <v>2836</v>
      </c>
      <c r="AC17" s="464"/>
      <c r="AD17" s="464"/>
      <c r="AE17" s="464"/>
      <c r="AF17" s="467"/>
    </row>
    <row r="18" spans="1:32" hidden="1">
      <c r="A18" s="51" t="s">
        <v>510</v>
      </c>
      <c r="B18" s="51" t="s">
        <v>514</v>
      </c>
      <c r="C18" s="51">
        <v>783</v>
      </c>
      <c r="D18" s="51">
        <v>941</v>
      </c>
      <c r="E18" s="52">
        <v>1456</v>
      </c>
      <c r="F18" s="51">
        <v>103</v>
      </c>
      <c r="G18" s="51">
        <v>130</v>
      </c>
      <c r="H18" s="51">
        <v>178</v>
      </c>
      <c r="I18" s="51">
        <v>157</v>
      </c>
      <c r="J18" s="51">
        <v>189</v>
      </c>
      <c r="K18" s="51">
        <v>238</v>
      </c>
      <c r="L18" s="51">
        <v>40</v>
      </c>
      <c r="M18" s="51">
        <v>60</v>
      </c>
      <c r="N18" s="51">
        <v>100</v>
      </c>
      <c r="O18" s="51">
        <v>180</v>
      </c>
      <c r="P18" s="51">
        <v>85</v>
      </c>
      <c r="Q18" s="51">
        <v>131</v>
      </c>
      <c r="R18" s="51">
        <v>246</v>
      </c>
      <c r="S18" s="53">
        <v>0.26</v>
      </c>
      <c r="T18" s="51">
        <v>65</v>
      </c>
      <c r="U18" s="51"/>
      <c r="V18" s="51">
        <v>125</v>
      </c>
      <c r="W18" s="53">
        <v>0.1</v>
      </c>
      <c r="X18" s="52">
        <v>1495</v>
      </c>
      <c r="Y18" s="52">
        <v>2813</v>
      </c>
      <c r="Z18" s="52">
        <v>1547</v>
      </c>
      <c r="AA18" s="52">
        <v>2881</v>
      </c>
      <c r="AC18" s="464"/>
      <c r="AD18" s="464"/>
      <c r="AE18" s="464"/>
      <c r="AF18" s="467"/>
    </row>
    <row r="19" spans="1:32" hidden="1">
      <c r="A19" s="51" t="s">
        <v>510</v>
      </c>
      <c r="B19" s="51" t="s">
        <v>515</v>
      </c>
      <c r="C19" s="51">
        <v>750</v>
      </c>
      <c r="D19" s="51">
        <v>913</v>
      </c>
      <c r="E19" s="51">
        <v>1412</v>
      </c>
      <c r="F19" s="51">
        <v>103</v>
      </c>
      <c r="G19" s="51">
        <v>130</v>
      </c>
      <c r="H19" s="51">
        <v>178</v>
      </c>
      <c r="I19" s="51">
        <v>157</v>
      </c>
      <c r="J19" s="51">
        <v>189</v>
      </c>
      <c r="K19" s="51">
        <v>238</v>
      </c>
      <c r="L19" s="51">
        <v>40</v>
      </c>
      <c r="M19" s="51">
        <v>60</v>
      </c>
      <c r="N19" s="51">
        <v>100</v>
      </c>
      <c r="O19" s="51">
        <v>180</v>
      </c>
      <c r="P19" s="51">
        <v>85</v>
      </c>
      <c r="Q19" s="51">
        <v>131</v>
      </c>
      <c r="R19" s="51">
        <v>246</v>
      </c>
      <c r="S19" s="53">
        <v>0.26</v>
      </c>
      <c r="T19" s="51">
        <v>65</v>
      </c>
      <c r="U19" s="51"/>
      <c r="V19" s="51">
        <v>125</v>
      </c>
      <c r="W19" s="53">
        <v>0.1</v>
      </c>
      <c r="X19" s="51">
        <v>1446</v>
      </c>
      <c r="Y19" s="52">
        <v>2750</v>
      </c>
      <c r="Z19" s="51">
        <v>1500</v>
      </c>
      <c r="AA19" s="52">
        <v>2821</v>
      </c>
      <c r="AC19" s="465"/>
      <c r="AD19" s="465"/>
      <c r="AE19" s="465"/>
      <c r="AF19" s="468"/>
    </row>
    <row r="20" spans="1:32" hidden="1">
      <c r="A20" s="45" t="s">
        <v>516</v>
      </c>
      <c r="B20" s="45" t="s">
        <v>517</v>
      </c>
      <c r="C20" s="46">
        <v>860</v>
      </c>
      <c r="D20" s="46">
        <v>1033</v>
      </c>
      <c r="E20" s="46">
        <v>1662</v>
      </c>
      <c r="F20" s="47">
        <v>145</v>
      </c>
      <c r="G20" s="47">
        <v>184</v>
      </c>
      <c r="H20" s="47">
        <v>252</v>
      </c>
      <c r="I20" s="47">
        <v>222</v>
      </c>
      <c r="J20" s="47">
        <v>268</v>
      </c>
      <c r="K20" s="47">
        <v>337</v>
      </c>
      <c r="L20" s="47">
        <v>48</v>
      </c>
      <c r="M20" s="47">
        <v>72</v>
      </c>
      <c r="N20" s="47">
        <v>120</v>
      </c>
      <c r="O20" s="47">
        <v>216</v>
      </c>
      <c r="P20" s="47">
        <v>102</v>
      </c>
      <c r="Q20" s="47">
        <v>157</v>
      </c>
      <c r="R20" s="47">
        <v>296</v>
      </c>
      <c r="S20" s="48">
        <v>0.2</v>
      </c>
      <c r="T20" s="47">
        <v>78</v>
      </c>
      <c r="U20" s="47"/>
      <c r="V20" s="47">
        <v>150</v>
      </c>
      <c r="W20" s="48">
        <v>0.1</v>
      </c>
      <c r="X20" s="47">
        <v>1630</v>
      </c>
      <c r="Y20" s="47">
        <v>3156</v>
      </c>
      <c r="Z20" s="47">
        <v>1711</v>
      </c>
      <c r="AA20" s="47">
        <v>3257</v>
      </c>
      <c r="AC20" s="49"/>
      <c r="AD20" s="49"/>
      <c r="AE20" s="49"/>
      <c r="AF20" s="50"/>
    </row>
    <row r="21" spans="1:32" hidden="1">
      <c r="A21" s="51" t="s">
        <v>518</v>
      </c>
      <c r="B21" s="51" t="s">
        <v>519</v>
      </c>
      <c r="C21" s="51">
        <v>327</v>
      </c>
      <c r="D21" s="51">
        <v>400</v>
      </c>
      <c r="E21" s="52">
        <v>640</v>
      </c>
      <c r="F21" s="51">
        <v>118</v>
      </c>
      <c r="G21" s="51">
        <v>149</v>
      </c>
      <c r="H21" s="51">
        <v>205</v>
      </c>
      <c r="I21" s="51">
        <v>180</v>
      </c>
      <c r="J21" s="51">
        <v>217</v>
      </c>
      <c r="K21" s="51">
        <v>273</v>
      </c>
      <c r="L21" s="51">
        <v>40</v>
      </c>
      <c r="M21" s="51">
        <v>60</v>
      </c>
      <c r="N21" s="51">
        <v>100</v>
      </c>
      <c r="O21" s="51">
        <v>180</v>
      </c>
      <c r="P21" s="51">
        <v>85</v>
      </c>
      <c r="Q21" s="51">
        <v>131</v>
      </c>
      <c r="R21" s="51">
        <v>246</v>
      </c>
      <c r="S21" s="53">
        <v>0.19</v>
      </c>
      <c r="T21" s="51">
        <v>65</v>
      </c>
      <c r="U21" s="51"/>
      <c r="V21" s="51">
        <v>125</v>
      </c>
      <c r="W21" s="53">
        <v>0.1</v>
      </c>
      <c r="X21" s="52">
        <v>807</v>
      </c>
      <c r="Y21" s="52">
        <v>1575</v>
      </c>
      <c r="Z21" s="52">
        <v>898</v>
      </c>
      <c r="AA21" s="52">
        <v>1707</v>
      </c>
      <c r="AC21" s="54"/>
      <c r="AD21" s="54"/>
      <c r="AE21" s="54"/>
      <c r="AF21" s="55"/>
    </row>
    <row r="22" spans="1:32" hidden="1">
      <c r="A22" s="56" t="s">
        <v>520</v>
      </c>
      <c r="B22" s="56" t="s">
        <v>521</v>
      </c>
      <c r="C22" s="56">
        <v>496</v>
      </c>
      <c r="D22" s="56">
        <v>647</v>
      </c>
      <c r="E22" s="56">
        <v>1007</v>
      </c>
      <c r="F22" s="56">
        <v>109</v>
      </c>
      <c r="G22" s="56">
        <v>138</v>
      </c>
      <c r="H22" s="56">
        <v>190</v>
      </c>
      <c r="I22" s="56">
        <v>167</v>
      </c>
      <c r="J22" s="56">
        <v>201</v>
      </c>
      <c r="K22" s="56">
        <v>253</v>
      </c>
      <c r="L22" s="56">
        <v>40</v>
      </c>
      <c r="M22" s="56">
        <v>60</v>
      </c>
      <c r="N22" s="56">
        <v>100</v>
      </c>
      <c r="O22" s="56">
        <v>180</v>
      </c>
      <c r="P22" s="56">
        <v>85</v>
      </c>
      <c r="Q22" s="56">
        <v>131</v>
      </c>
      <c r="R22" s="56">
        <v>246</v>
      </c>
      <c r="S22" s="57">
        <v>0.15</v>
      </c>
      <c r="T22" s="56">
        <v>65</v>
      </c>
      <c r="U22" s="56"/>
      <c r="V22" s="56">
        <v>125</v>
      </c>
      <c r="W22" s="57">
        <v>0.1</v>
      </c>
      <c r="X22" s="56">
        <v>997</v>
      </c>
      <c r="Y22" s="58">
        <v>1997</v>
      </c>
      <c r="Z22" s="56">
        <v>1068</v>
      </c>
      <c r="AA22" s="58">
        <v>2094</v>
      </c>
      <c r="AC22" s="59"/>
      <c r="AD22" s="59"/>
      <c r="AE22" s="59"/>
      <c r="AF22" s="60"/>
    </row>
    <row r="23" spans="1:32" hidden="1">
      <c r="A23" s="45" t="s">
        <v>522</v>
      </c>
      <c r="B23" s="45" t="s">
        <v>523</v>
      </c>
      <c r="C23" s="46">
        <v>550</v>
      </c>
      <c r="D23" s="46">
        <v>660</v>
      </c>
      <c r="E23" s="46">
        <v>1033</v>
      </c>
      <c r="F23" s="47">
        <v>106</v>
      </c>
      <c r="G23" s="47">
        <v>134</v>
      </c>
      <c r="H23" s="47">
        <v>185</v>
      </c>
      <c r="I23" s="47">
        <v>162</v>
      </c>
      <c r="J23" s="47">
        <v>196</v>
      </c>
      <c r="K23" s="47">
        <v>246</v>
      </c>
      <c r="L23" s="47">
        <v>40</v>
      </c>
      <c r="M23" s="47">
        <v>60</v>
      </c>
      <c r="N23" s="47">
        <v>100</v>
      </c>
      <c r="O23" s="47">
        <v>180</v>
      </c>
      <c r="P23" s="47">
        <v>85</v>
      </c>
      <c r="Q23" s="47">
        <v>131</v>
      </c>
      <c r="R23" s="47">
        <v>246</v>
      </c>
      <c r="S23" s="48">
        <v>0.14000000000000001</v>
      </c>
      <c r="T23" s="47">
        <v>65</v>
      </c>
      <c r="U23" s="47"/>
      <c r="V23" s="47">
        <v>125</v>
      </c>
      <c r="W23" s="48">
        <v>0.1</v>
      </c>
      <c r="X23" s="47">
        <v>1056</v>
      </c>
      <c r="Y23" s="47">
        <v>2009</v>
      </c>
      <c r="Z23" s="47">
        <v>1121</v>
      </c>
      <c r="AA23" s="47">
        <v>2101</v>
      </c>
      <c r="AC23" s="49"/>
      <c r="AD23" s="49"/>
      <c r="AE23" s="49"/>
      <c r="AF23" s="50"/>
    </row>
    <row r="24" spans="1:32" hidden="1">
      <c r="A24" s="51" t="s">
        <v>524</v>
      </c>
      <c r="B24" s="51" t="s">
        <v>525</v>
      </c>
      <c r="C24" s="51">
        <v>567</v>
      </c>
      <c r="D24" s="51">
        <v>794</v>
      </c>
      <c r="E24" s="52">
        <v>1152</v>
      </c>
      <c r="F24" s="51">
        <v>133</v>
      </c>
      <c r="G24" s="51">
        <v>168</v>
      </c>
      <c r="H24" s="51">
        <v>231</v>
      </c>
      <c r="I24" s="51">
        <v>203</v>
      </c>
      <c r="J24" s="51">
        <v>245</v>
      </c>
      <c r="K24" s="51">
        <v>308</v>
      </c>
      <c r="L24" s="51">
        <v>45</v>
      </c>
      <c r="M24" s="51">
        <v>67</v>
      </c>
      <c r="N24" s="51">
        <v>112</v>
      </c>
      <c r="O24" s="51">
        <v>202</v>
      </c>
      <c r="P24" s="51">
        <v>95</v>
      </c>
      <c r="Q24" s="51">
        <v>147</v>
      </c>
      <c r="R24" s="51">
        <v>276</v>
      </c>
      <c r="S24" s="53">
        <v>0.14000000000000001</v>
      </c>
      <c r="T24" s="51">
        <v>73</v>
      </c>
      <c r="U24" s="51"/>
      <c r="V24" s="51">
        <v>140</v>
      </c>
      <c r="W24" s="53">
        <v>0.1</v>
      </c>
      <c r="X24" s="52">
        <v>1135</v>
      </c>
      <c r="Y24" s="52">
        <v>2273</v>
      </c>
      <c r="Z24" s="52">
        <v>1220</v>
      </c>
      <c r="AA24" s="52">
        <v>2387</v>
      </c>
      <c r="AC24" s="54"/>
      <c r="AD24" s="54"/>
      <c r="AE24" s="54"/>
      <c r="AF24" s="55"/>
    </row>
    <row r="25" spans="1:32" hidden="1">
      <c r="A25" s="64" t="s">
        <v>526</v>
      </c>
      <c r="B25" s="64" t="s">
        <v>527</v>
      </c>
      <c r="C25" s="64">
        <v>531</v>
      </c>
      <c r="D25" s="64">
        <v>669</v>
      </c>
      <c r="E25" s="64">
        <v>1062</v>
      </c>
      <c r="F25" s="64">
        <v>108</v>
      </c>
      <c r="G25" s="64">
        <v>137</v>
      </c>
      <c r="H25" s="64">
        <v>188</v>
      </c>
      <c r="I25" s="64">
        <v>165</v>
      </c>
      <c r="J25" s="64">
        <v>200</v>
      </c>
      <c r="K25" s="64">
        <v>251</v>
      </c>
      <c r="L25" s="64">
        <v>40</v>
      </c>
      <c r="M25" s="64">
        <v>60</v>
      </c>
      <c r="N25" s="64">
        <v>100</v>
      </c>
      <c r="O25" s="64">
        <v>180</v>
      </c>
      <c r="P25" s="64">
        <v>85</v>
      </c>
      <c r="Q25" s="64">
        <v>131</v>
      </c>
      <c r="R25" s="64">
        <v>246</v>
      </c>
      <c r="S25" s="65">
        <v>0.17</v>
      </c>
      <c r="T25" s="64">
        <v>65</v>
      </c>
      <c r="U25" s="64"/>
      <c r="V25" s="64">
        <v>125</v>
      </c>
      <c r="W25" s="65">
        <v>0.1</v>
      </c>
      <c r="X25" s="64">
        <v>1058</v>
      </c>
      <c r="Y25" s="66">
        <v>2102</v>
      </c>
      <c r="Z25" s="64">
        <v>1128</v>
      </c>
      <c r="AA25" s="66">
        <v>2196</v>
      </c>
      <c r="AC25" s="469"/>
      <c r="AD25" s="469"/>
      <c r="AE25" s="469"/>
      <c r="AF25" s="471"/>
    </row>
    <row r="26" spans="1:32" hidden="1">
      <c r="A26" s="64" t="s">
        <v>526</v>
      </c>
      <c r="B26" s="64" t="s">
        <v>528</v>
      </c>
      <c r="C26" s="67">
        <v>554</v>
      </c>
      <c r="D26" s="67">
        <v>651</v>
      </c>
      <c r="E26" s="67">
        <v>1054</v>
      </c>
      <c r="F26" s="68">
        <v>108</v>
      </c>
      <c r="G26" s="68">
        <v>137</v>
      </c>
      <c r="H26" s="68">
        <v>188</v>
      </c>
      <c r="I26" s="68">
        <v>165</v>
      </c>
      <c r="J26" s="68">
        <v>200</v>
      </c>
      <c r="K26" s="68">
        <v>251</v>
      </c>
      <c r="L26" s="68">
        <v>40</v>
      </c>
      <c r="M26" s="68">
        <v>60</v>
      </c>
      <c r="N26" s="68">
        <v>100</v>
      </c>
      <c r="O26" s="68">
        <v>180</v>
      </c>
      <c r="P26" s="68">
        <v>85</v>
      </c>
      <c r="Q26" s="68">
        <v>131</v>
      </c>
      <c r="R26" s="68">
        <v>246</v>
      </c>
      <c r="S26" s="69">
        <v>0.17</v>
      </c>
      <c r="T26" s="68">
        <v>65</v>
      </c>
      <c r="U26" s="68"/>
      <c r="V26" s="68">
        <v>125</v>
      </c>
      <c r="W26" s="69">
        <v>0.1</v>
      </c>
      <c r="X26" s="68">
        <v>1090</v>
      </c>
      <c r="Y26" s="68">
        <v>2091</v>
      </c>
      <c r="Z26" s="68">
        <v>1158</v>
      </c>
      <c r="AA26" s="68">
        <v>2186</v>
      </c>
      <c r="AC26" s="470"/>
      <c r="AD26" s="470"/>
      <c r="AE26" s="470"/>
      <c r="AF26" s="472"/>
    </row>
    <row r="27" spans="1:32" hidden="1">
      <c r="A27" s="51" t="s">
        <v>529</v>
      </c>
      <c r="B27" s="51" t="s">
        <v>530</v>
      </c>
      <c r="C27" s="51">
        <v>1051</v>
      </c>
      <c r="D27" s="51">
        <v>1281</v>
      </c>
      <c r="E27" s="52">
        <v>1967</v>
      </c>
      <c r="F27" s="51">
        <v>145</v>
      </c>
      <c r="G27" s="51">
        <v>184</v>
      </c>
      <c r="H27" s="51">
        <v>252</v>
      </c>
      <c r="I27" s="51">
        <v>222</v>
      </c>
      <c r="J27" s="51">
        <v>268</v>
      </c>
      <c r="K27" s="51">
        <v>337</v>
      </c>
      <c r="L27" s="51">
        <v>48</v>
      </c>
      <c r="M27" s="51">
        <v>72</v>
      </c>
      <c r="N27" s="51">
        <v>120</v>
      </c>
      <c r="O27" s="51">
        <v>216</v>
      </c>
      <c r="P27" s="51">
        <v>102</v>
      </c>
      <c r="Q27" s="51">
        <v>157</v>
      </c>
      <c r="R27" s="51">
        <v>296</v>
      </c>
      <c r="S27" s="53">
        <v>0.21</v>
      </c>
      <c r="T27" s="51">
        <v>78</v>
      </c>
      <c r="U27" s="51"/>
      <c r="V27" s="51">
        <v>150</v>
      </c>
      <c r="W27" s="53">
        <v>0.1</v>
      </c>
      <c r="X27" s="52">
        <v>1911</v>
      </c>
      <c r="Y27" s="52">
        <v>3608</v>
      </c>
      <c r="Z27" s="52">
        <v>1979</v>
      </c>
      <c r="AA27" s="52">
        <v>3688</v>
      </c>
      <c r="AC27" s="54"/>
      <c r="AD27" s="54"/>
      <c r="AE27" s="54"/>
      <c r="AF27" s="55"/>
    </row>
    <row r="28" spans="1:32" hidden="1">
      <c r="A28" s="56" t="s">
        <v>531</v>
      </c>
      <c r="B28" s="56" t="s">
        <v>532</v>
      </c>
      <c r="C28" s="56">
        <v>469</v>
      </c>
      <c r="D28" s="56">
        <v>552</v>
      </c>
      <c r="E28" s="56">
        <v>886</v>
      </c>
      <c r="F28" s="56">
        <v>139</v>
      </c>
      <c r="G28" s="56">
        <v>175</v>
      </c>
      <c r="H28" s="56">
        <v>241</v>
      </c>
      <c r="I28" s="56">
        <v>212</v>
      </c>
      <c r="J28" s="56">
        <v>256</v>
      </c>
      <c r="K28" s="56">
        <v>321</v>
      </c>
      <c r="L28" s="56">
        <v>46</v>
      </c>
      <c r="M28" s="56">
        <v>69</v>
      </c>
      <c r="N28" s="56">
        <v>115</v>
      </c>
      <c r="O28" s="56">
        <v>207</v>
      </c>
      <c r="P28" s="56">
        <v>97</v>
      </c>
      <c r="Q28" s="56">
        <v>151</v>
      </c>
      <c r="R28" s="56">
        <v>283</v>
      </c>
      <c r="S28" s="57">
        <v>0.19</v>
      </c>
      <c r="T28" s="56">
        <v>75</v>
      </c>
      <c r="U28" s="56"/>
      <c r="V28" s="56">
        <v>144</v>
      </c>
      <c r="W28" s="57">
        <v>0.1</v>
      </c>
      <c r="X28" s="56">
        <v>1061</v>
      </c>
      <c r="Y28" s="58">
        <v>2025</v>
      </c>
      <c r="Z28" s="56">
        <v>1161</v>
      </c>
      <c r="AA28" s="58">
        <v>2169</v>
      </c>
      <c r="AC28" s="59"/>
      <c r="AD28" s="59"/>
      <c r="AE28" s="59"/>
      <c r="AF28" s="60"/>
    </row>
    <row r="29" spans="1:32" hidden="1">
      <c r="A29" s="45" t="s">
        <v>533</v>
      </c>
      <c r="B29" s="45" t="s">
        <v>534</v>
      </c>
      <c r="C29" s="46">
        <v>780</v>
      </c>
      <c r="D29" s="46">
        <v>950</v>
      </c>
      <c r="E29" s="46">
        <v>1416</v>
      </c>
      <c r="F29" s="47">
        <v>156</v>
      </c>
      <c r="G29" s="47">
        <v>197</v>
      </c>
      <c r="H29" s="47">
        <v>271</v>
      </c>
      <c r="I29" s="47">
        <v>238</v>
      </c>
      <c r="J29" s="47">
        <v>287</v>
      </c>
      <c r="K29" s="47">
        <v>361</v>
      </c>
      <c r="L29" s="47">
        <v>50</v>
      </c>
      <c r="M29" s="47">
        <v>75</v>
      </c>
      <c r="N29" s="47">
        <v>125</v>
      </c>
      <c r="O29" s="47">
        <v>225</v>
      </c>
      <c r="P29" s="47">
        <v>106</v>
      </c>
      <c r="Q29" s="47">
        <v>164</v>
      </c>
      <c r="R29" s="47">
        <v>308</v>
      </c>
      <c r="S29" s="48">
        <v>0.2</v>
      </c>
      <c r="T29" s="47">
        <v>81</v>
      </c>
      <c r="U29" s="47"/>
      <c r="V29" s="47">
        <v>156</v>
      </c>
      <c r="W29" s="48">
        <v>0.1</v>
      </c>
      <c r="X29" s="47">
        <v>1544</v>
      </c>
      <c r="Y29" s="47">
        <v>2859</v>
      </c>
      <c r="Z29" s="47">
        <v>1639</v>
      </c>
      <c r="AA29" s="47">
        <v>2989</v>
      </c>
      <c r="AC29" s="49"/>
      <c r="AD29" s="49"/>
      <c r="AE29" s="49"/>
      <c r="AF29" s="50"/>
    </row>
    <row r="30" spans="1:32" hidden="1">
      <c r="A30" s="51" t="s">
        <v>535</v>
      </c>
      <c r="B30" s="51" t="s">
        <v>536</v>
      </c>
      <c r="C30" s="51">
        <v>708</v>
      </c>
      <c r="D30" s="51">
        <v>938</v>
      </c>
      <c r="E30" s="52">
        <v>1358</v>
      </c>
      <c r="F30" s="51">
        <v>127</v>
      </c>
      <c r="G30" s="51">
        <v>161</v>
      </c>
      <c r="H30" s="51">
        <v>221</v>
      </c>
      <c r="I30" s="51">
        <v>194</v>
      </c>
      <c r="J30" s="51">
        <v>235</v>
      </c>
      <c r="K30" s="51">
        <v>295</v>
      </c>
      <c r="L30" s="51">
        <v>42</v>
      </c>
      <c r="M30" s="51">
        <v>63</v>
      </c>
      <c r="N30" s="51">
        <v>105</v>
      </c>
      <c r="O30" s="51">
        <v>189</v>
      </c>
      <c r="P30" s="51">
        <v>89</v>
      </c>
      <c r="Q30" s="51">
        <v>137</v>
      </c>
      <c r="R30" s="51">
        <v>259</v>
      </c>
      <c r="S30" s="53">
        <v>0.18</v>
      </c>
      <c r="T30" s="51">
        <v>68</v>
      </c>
      <c r="U30" s="51"/>
      <c r="V30" s="51">
        <v>131</v>
      </c>
      <c r="W30" s="53">
        <v>0.1</v>
      </c>
      <c r="X30" s="52">
        <v>1344</v>
      </c>
      <c r="Y30" s="52">
        <v>2587</v>
      </c>
      <c r="Z30" s="52">
        <v>1416</v>
      </c>
      <c r="AA30" s="52">
        <v>2680</v>
      </c>
      <c r="AC30" s="54"/>
      <c r="AD30" s="54"/>
      <c r="AE30" s="54"/>
      <c r="AF30" s="55"/>
    </row>
    <row r="31" spans="1:32" hidden="1">
      <c r="A31" s="56" t="s">
        <v>537</v>
      </c>
      <c r="B31" s="56" t="s">
        <v>538</v>
      </c>
      <c r="C31" s="56">
        <v>474</v>
      </c>
      <c r="D31" s="56">
        <v>555</v>
      </c>
      <c r="E31" s="56">
        <v>793</v>
      </c>
      <c r="F31" s="56">
        <v>109</v>
      </c>
      <c r="G31" s="56">
        <v>138</v>
      </c>
      <c r="H31" s="56">
        <v>190</v>
      </c>
      <c r="I31" s="56">
        <v>167</v>
      </c>
      <c r="J31" s="56">
        <v>201</v>
      </c>
      <c r="K31" s="56">
        <v>253</v>
      </c>
      <c r="L31" s="56">
        <v>40</v>
      </c>
      <c r="M31" s="56">
        <v>60</v>
      </c>
      <c r="N31" s="56">
        <v>100</v>
      </c>
      <c r="O31" s="56">
        <v>180</v>
      </c>
      <c r="P31" s="56">
        <v>85</v>
      </c>
      <c r="Q31" s="56">
        <v>131</v>
      </c>
      <c r="R31" s="56">
        <v>246</v>
      </c>
      <c r="S31" s="57">
        <v>0.16</v>
      </c>
      <c r="T31" s="56">
        <v>65</v>
      </c>
      <c r="U31" s="56"/>
      <c r="V31" s="56">
        <v>125</v>
      </c>
      <c r="W31" s="57">
        <v>0.1</v>
      </c>
      <c r="X31" s="56">
        <v>976</v>
      </c>
      <c r="Y31" s="58">
        <v>1725</v>
      </c>
      <c r="Z31" s="56">
        <v>1049</v>
      </c>
      <c r="AA31" s="58">
        <v>1837</v>
      </c>
      <c r="AC31" s="59"/>
      <c r="AD31" s="59"/>
      <c r="AE31" s="59"/>
      <c r="AF31" s="60"/>
    </row>
    <row r="32" spans="1:32" hidden="1">
      <c r="A32" s="45" t="s">
        <v>539</v>
      </c>
      <c r="B32" s="45" t="s">
        <v>540</v>
      </c>
      <c r="C32" s="46">
        <v>690</v>
      </c>
      <c r="D32" s="46">
        <v>840</v>
      </c>
      <c r="E32" s="46">
        <v>1303</v>
      </c>
      <c r="F32" s="47">
        <v>170</v>
      </c>
      <c r="G32" s="47">
        <v>215</v>
      </c>
      <c r="H32" s="47">
        <v>295</v>
      </c>
      <c r="I32" s="47">
        <v>260</v>
      </c>
      <c r="J32" s="47">
        <v>313</v>
      </c>
      <c r="K32" s="47">
        <v>394</v>
      </c>
      <c r="L32" s="47">
        <v>60</v>
      </c>
      <c r="M32" s="47">
        <v>90</v>
      </c>
      <c r="N32" s="47">
        <v>150</v>
      </c>
      <c r="O32" s="47">
        <v>270</v>
      </c>
      <c r="P32" s="47">
        <v>127</v>
      </c>
      <c r="Q32" s="47">
        <v>196</v>
      </c>
      <c r="R32" s="47">
        <v>370</v>
      </c>
      <c r="S32" s="48">
        <v>0.18</v>
      </c>
      <c r="T32" s="47">
        <v>98</v>
      </c>
      <c r="U32" s="47"/>
      <c r="V32" s="47">
        <v>188</v>
      </c>
      <c r="W32" s="48">
        <v>0.1</v>
      </c>
      <c r="X32" s="47">
        <v>1465</v>
      </c>
      <c r="Y32" s="47">
        <v>2799</v>
      </c>
      <c r="Z32" s="47">
        <v>1582</v>
      </c>
      <c r="AA32" s="47">
        <v>2967</v>
      </c>
      <c r="AC32" s="49"/>
      <c r="AD32" s="49"/>
      <c r="AE32" s="49"/>
      <c r="AF32" s="50"/>
    </row>
    <row r="33" spans="1:32" hidden="1">
      <c r="A33" s="51" t="s">
        <v>541</v>
      </c>
      <c r="B33" s="51" t="s">
        <v>542</v>
      </c>
      <c r="C33" s="51">
        <v>543</v>
      </c>
      <c r="D33" s="51">
        <v>632</v>
      </c>
      <c r="E33" s="52">
        <v>953</v>
      </c>
      <c r="F33" s="51">
        <v>109</v>
      </c>
      <c r="G33" s="51">
        <v>138</v>
      </c>
      <c r="H33" s="51">
        <v>190</v>
      </c>
      <c r="I33" s="51">
        <v>167</v>
      </c>
      <c r="J33" s="51">
        <v>201</v>
      </c>
      <c r="K33" s="51">
        <v>253</v>
      </c>
      <c r="L33" s="51">
        <v>40</v>
      </c>
      <c r="M33" s="51">
        <v>60</v>
      </c>
      <c r="N33" s="51">
        <v>100</v>
      </c>
      <c r="O33" s="51">
        <v>180</v>
      </c>
      <c r="P33" s="51">
        <v>85</v>
      </c>
      <c r="Q33" s="51">
        <v>131</v>
      </c>
      <c r="R33" s="51">
        <v>246</v>
      </c>
      <c r="S33" s="53">
        <v>0.1</v>
      </c>
      <c r="T33" s="51">
        <v>65</v>
      </c>
      <c r="U33" s="51"/>
      <c r="V33" s="51">
        <v>125</v>
      </c>
      <c r="W33" s="53">
        <v>0.1</v>
      </c>
      <c r="X33" s="52">
        <v>1018</v>
      </c>
      <c r="Y33" s="52">
        <v>1850</v>
      </c>
      <c r="Z33" s="52">
        <v>1083</v>
      </c>
      <c r="AA33" s="52">
        <v>1946</v>
      </c>
      <c r="AC33" s="54"/>
      <c r="AD33" s="54"/>
      <c r="AE33" s="54"/>
      <c r="AF33" s="55"/>
    </row>
    <row r="34" spans="1:32" hidden="1">
      <c r="A34" s="56" t="s">
        <v>543</v>
      </c>
      <c r="B34" s="56" t="s">
        <v>543</v>
      </c>
      <c r="C34" s="56">
        <v>606</v>
      </c>
      <c r="D34" s="56">
        <v>786</v>
      </c>
      <c r="E34" s="56">
        <v>1128</v>
      </c>
      <c r="F34" s="56">
        <v>105</v>
      </c>
      <c r="G34" s="56">
        <v>132</v>
      </c>
      <c r="H34" s="56">
        <v>182</v>
      </c>
      <c r="I34" s="56">
        <v>160</v>
      </c>
      <c r="J34" s="56">
        <v>193</v>
      </c>
      <c r="K34" s="56">
        <v>242</v>
      </c>
      <c r="L34" s="56">
        <v>40</v>
      </c>
      <c r="M34" s="56">
        <v>60</v>
      </c>
      <c r="N34" s="56">
        <v>100</v>
      </c>
      <c r="O34" s="56">
        <v>180</v>
      </c>
      <c r="P34" s="56">
        <v>85</v>
      </c>
      <c r="Q34" s="56">
        <v>131</v>
      </c>
      <c r="R34" s="56">
        <v>246</v>
      </c>
      <c r="S34" s="57">
        <v>0.18</v>
      </c>
      <c r="T34" s="56">
        <v>65</v>
      </c>
      <c r="U34" s="56"/>
      <c r="V34" s="56">
        <v>125</v>
      </c>
      <c r="W34" s="57">
        <v>0.1</v>
      </c>
      <c r="X34" s="56">
        <v>1165</v>
      </c>
      <c r="Y34" s="58">
        <v>2199</v>
      </c>
      <c r="Z34" s="56">
        <v>1227</v>
      </c>
      <c r="AA34" s="58">
        <v>2287</v>
      </c>
      <c r="AC34" s="59"/>
      <c r="AD34" s="59"/>
      <c r="AE34" s="59"/>
      <c r="AF34" s="60"/>
    </row>
    <row r="35" spans="1:32" hidden="1">
      <c r="A35" s="45" t="s">
        <v>544</v>
      </c>
      <c r="B35" s="45" t="s">
        <v>545</v>
      </c>
      <c r="C35" s="46">
        <v>402</v>
      </c>
      <c r="D35" s="46">
        <v>502</v>
      </c>
      <c r="E35" s="46">
        <v>749</v>
      </c>
      <c r="F35" s="47">
        <v>147</v>
      </c>
      <c r="G35" s="47">
        <v>186</v>
      </c>
      <c r="H35" s="47">
        <v>256</v>
      </c>
      <c r="I35" s="47">
        <v>225</v>
      </c>
      <c r="J35" s="47">
        <v>271</v>
      </c>
      <c r="K35" s="47">
        <v>341</v>
      </c>
      <c r="L35" s="47">
        <v>50</v>
      </c>
      <c r="M35" s="47">
        <v>75</v>
      </c>
      <c r="N35" s="47">
        <v>125</v>
      </c>
      <c r="O35" s="47">
        <v>225</v>
      </c>
      <c r="P35" s="47">
        <v>106</v>
      </c>
      <c r="Q35" s="47">
        <v>164</v>
      </c>
      <c r="R35" s="47">
        <v>308</v>
      </c>
      <c r="S35" s="48">
        <v>0.14000000000000001</v>
      </c>
      <c r="T35" s="47">
        <v>81</v>
      </c>
      <c r="U35" s="47"/>
      <c r="V35" s="47">
        <v>156</v>
      </c>
      <c r="W35" s="48">
        <v>0.1</v>
      </c>
      <c r="X35" s="47">
        <v>961</v>
      </c>
      <c r="Y35" s="47">
        <v>1826</v>
      </c>
      <c r="Z35" s="47">
        <v>1070</v>
      </c>
      <c r="AA35" s="47">
        <v>1987</v>
      </c>
      <c r="AC35" s="49"/>
      <c r="AD35" s="49"/>
      <c r="AE35" s="49"/>
      <c r="AF35" s="50"/>
    </row>
    <row r="36" spans="1:32" hidden="1">
      <c r="A36" s="51" t="s">
        <v>546</v>
      </c>
      <c r="B36" s="51" t="s">
        <v>547</v>
      </c>
      <c r="C36" s="51">
        <v>650</v>
      </c>
      <c r="D36" s="51">
        <v>800</v>
      </c>
      <c r="E36" s="52">
        <v>1090</v>
      </c>
      <c r="F36" s="51">
        <v>105</v>
      </c>
      <c r="G36" s="51">
        <v>132</v>
      </c>
      <c r="H36" s="51">
        <v>182</v>
      </c>
      <c r="I36" s="51">
        <v>160</v>
      </c>
      <c r="J36" s="51">
        <v>193</v>
      </c>
      <c r="K36" s="51">
        <v>242</v>
      </c>
      <c r="L36" s="51">
        <v>40</v>
      </c>
      <c r="M36" s="51">
        <v>60</v>
      </c>
      <c r="N36" s="51">
        <v>100</v>
      </c>
      <c r="O36" s="51">
        <v>180</v>
      </c>
      <c r="P36" s="51">
        <v>85</v>
      </c>
      <c r="Q36" s="51">
        <v>131</v>
      </c>
      <c r="R36" s="51">
        <v>246</v>
      </c>
      <c r="S36" s="53">
        <v>0.18</v>
      </c>
      <c r="T36" s="51">
        <v>65</v>
      </c>
      <c r="U36" s="51"/>
      <c r="V36" s="51">
        <v>125</v>
      </c>
      <c r="W36" s="53">
        <v>0.1</v>
      </c>
      <c r="X36" s="52">
        <v>1224</v>
      </c>
      <c r="Y36" s="52">
        <v>2147</v>
      </c>
      <c r="Z36" s="52">
        <v>1284</v>
      </c>
      <c r="AA36" s="52">
        <v>2238</v>
      </c>
      <c r="AC36" s="54"/>
      <c r="AD36" s="54"/>
      <c r="AE36" s="54"/>
      <c r="AF36" s="55"/>
    </row>
    <row r="37" spans="1:32" ht="15.65" hidden="1" customHeight="1">
      <c r="A37" s="56" t="s">
        <v>548</v>
      </c>
      <c r="B37" s="56" t="s">
        <v>549</v>
      </c>
      <c r="C37" s="70">
        <v>1089</v>
      </c>
      <c r="D37" s="70">
        <v>1445</v>
      </c>
      <c r="E37" s="70">
        <v>2048</v>
      </c>
      <c r="F37" s="70" t="s">
        <v>469</v>
      </c>
      <c r="G37" s="70" t="s">
        <v>470</v>
      </c>
      <c r="H37" s="70" t="s">
        <v>471</v>
      </c>
      <c r="I37" s="70" t="s">
        <v>472</v>
      </c>
      <c r="J37" s="70" t="s">
        <v>473</v>
      </c>
      <c r="K37" s="70" t="s">
        <v>474</v>
      </c>
      <c r="L37" s="70" t="s">
        <v>475</v>
      </c>
      <c r="M37" s="70" t="s">
        <v>476</v>
      </c>
      <c r="N37" s="70" t="s">
        <v>477</v>
      </c>
      <c r="O37" s="70" t="s">
        <v>478</v>
      </c>
      <c r="P37" s="70" t="s">
        <v>479</v>
      </c>
      <c r="Q37" s="70" t="s">
        <v>480</v>
      </c>
      <c r="R37" s="70" t="s">
        <v>481</v>
      </c>
      <c r="S37" s="71">
        <v>0.22</v>
      </c>
      <c r="T37" s="70" t="s">
        <v>482</v>
      </c>
      <c r="U37" s="70"/>
      <c r="V37" s="70" t="s">
        <v>483</v>
      </c>
      <c r="W37" s="71">
        <v>0.1</v>
      </c>
      <c r="X37" s="70" t="s">
        <v>550</v>
      </c>
      <c r="Y37" s="72" t="s">
        <v>551</v>
      </c>
      <c r="Z37" s="70" t="s">
        <v>552</v>
      </c>
      <c r="AA37" s="72" t="s">
        <v>553</v>
      </c>
      <c r="AB37" s="73"/>
      <c r="AC37" s="59"/>
      <c r="AD37" s="59"/>
      <c r="AE37" s="59"/>
      <c r="AF37" s="60"/>
    </row>
    <row r="38" spans="1:32" hidden="1">
      <c r="A38" s="45" t="s">
        <v>554</v>
      </c>
      <c r="B38" s="45" t="s">
        <v>555</v>
      </c>
      <c r="C38" s="46">
        <v>697</v>
      </c>
      <c r="D38" s="46">
        <v>1100</v>
      </c>
      <c r="E38" s="46">
        <v>1667</v>
      </c>
      <c r="F38" s="47">
        <v>114</v>
      </c>
      <c r="G38" s="47">
        <v>144</v>
      </c>
      <c r="H38" s="47">
        <v>198</v>
      </c>
      <c r="I38" s="47">
        <v>174</v>
      </c>
      <c r="J38" s="47">
        <v>210</v>
      </c>
      <c r="K38" s="47">
        <v>264</v>
      </c>
      <c r="L38" s="47">
        <v>40</v>
      </c>
      <c r="M38" s="47">
        <v>60</v>
      </c>
      <c r="N38" s="47">
        <v>100</v>
      </c>
      <c r="O38" s="47">
        <v>180</v>
      </c>
      <c r="P38" s="47">
        <v>85</v>
      </c>
      <c r="Q38" s="47">
        <v>131</v>
      </c>
      <c r="R38" s="47">
        <v>246</v>
      </c>
      <c r="S38" s="48">
        <v>0.19</v>
      </c>
      <c r="T38" s="47">
        <v>65</v>
      </c>
      <c r="U38" s="47"/>
      <c r="V38" s="47">
        <v>125</v>
      </c>
      <c r="W38" s="48">
        <v>0.1</v>
      </c>
      <c r="X38" s="47">
        <v>1312</v>
      </c>
      <c r="Y38" s="47">
        <v>2981</v>
      </c>
      <c r="Z38" s="47">
        <v>1374</v>
      </c>
      <c r="AA38" s="47">
        <v>3040</v>
      </c>
      <c r="AC38" s="49"/>
      <c r="AD38" s="49"/>
      <c r="AE38" s="49"/>
      <c r="AF38" s="50"/>
    </row>
    <row r="39" spans="1:32" hidden="1">
      <c r="A39" s="51" t="s">
        <v>556</v>
      </c>
      <c r="B39" s="51" t="s">
        <v>557</v>
      </c>
      <c r="C39" s="51">
        <v>672</v>
      </c>
      <c r="D39" s="51">
        <v>877</v>
      </c>
      <c r="E39" s="52">
        <v>1271</v>
      </c>
      <c r="F39" s="51">
        <v>126</v>
      </c>
      <c r="G39" s="51">
        <v>160</v>
      </c>
      <c r="H39" s="51">
        <v>219</v>
      </c>
      <c r="I39" s="51">
        <v>193</v>
      </c>
      <c r="J39" s="51">
        <v>233</v>
      </c>
      <c r="K39" s="51">
        <v>293</v>
      </c>
      <c r="L39" s="51">
        <v>42</v>
      </c>
      <c r="M39" s="51">
        <v>63</v>
      </c>
      <c r="N39" s="51">
        <v>105</v>
      </c>
      <c r="O39" s="51">
        <v>189</v>
      </c>
      <c r="P39" s="51">
        <v>89</v>
      </c>
      <c r="Q39" s="51">
        <v>137</v>
      </c>
      <c r="R39" s="51">
        <v>259</v>
      </c>
      <c r="S39" s="53">
        <v>0.18</v>
      </c>
      <c r="T39" s="51">
        <v>68</v>
      </c>
      <c r="U39" s="51"/>
      <c r="V39" s="51">
        <v>131</v>
      </c>
      <c r="W39" s="53">
        <v>0.1</v>
      </c>
      <c r="X39" s="52">
        <v>1293</v>
      </c>
      <c r="Y39" s="52">
        <v>2466</v>
      </c>
      <c r="Z39" s="52">
        <v>1368</v>
      </c>
      <c r="AA39" s="52">
        <v>2565</v>
      </c>
      <c r="AC39" s="54"/>
      <c r="AD39" s="54"/>
      <c r="AE39" s="54"/>
      <c r="AF39" s="55"/>
    </row>
    <row r="40" spans="1:32" hidden="1">
      <c r="A40" s="56" t="s">
        <v>558</v>
      </c>
      <c r="B40" s="56" t="s">
        <v>559</v>
      </c>
      <c r="C40" s="56">
        <v>486</v>
      </c>
      <c r="D40" s="56">
        <v>604</v>
      </c>
      <c r="E40" s="56">
        <v>863</v>
      </c>
      <c r="F40" s="56">
        <v>109</v>
      </c>
      <c r="G40" s="56">
        <v>138</v>
      </c>
      <c r="H40" s="56">
        <v>190</v>
      </c>
      <c r="I40" s="56">
        <v>167</v>
      </c>
      <c r="J40" s="56">
        <v>201</v>
      </c>
      <c r="K40" s="56">
        <v>253</v>
      </c>
      <c r="L40" s="56">
        <v>40</v>
      </c>
      <c r="M40" s="56">
        <v>60</v>
      </c>
      <c r="N40" s="56">
        <v>100</v>
      </c>
      <c r="O40" s="56">
        <v>180</v>
      </c>
      <c r="P40" s="56">
        <v>85</v>
      </c>
      <c r="Q40" s="56">
        <v>131</v>
      </c>
      <c r="R40" s="56">
        <v>246</v>
      </c>
      <c r="S40" s="57">
        <v>0.17</v>
      </c>
      <c r="T40" s="56">
        <v>65</v>
      </c>
      <c r="U40" s="56"/>
      <c r="V40" s="56">
        <v>125</v>
      </c>
      <c r="W40" s="57">
        <v>0.1</v>
      </c>
      <c r="X40" s="56">
        <v>1000</v>
      </c>
      <c r="Y40" s="58">
        <v>1834</v>
      </c>
      <c r="Z40" s="56">
        <v>1073</v>
      </c>
      <c r="AA40" s="58">
        <v>1942</v>
      </c>
      <c r="AC40" s="59"/>
      <c r="AD40" s="59"/>
      <c r="AE40" s="59"/>
      <c r="AF40" s="60"/>
    </row>
    <row r="41" spans="1:32" hidden="1">
      <c r="A41" s="45" t="s">
        <v>560</v>
      </c>
      <c r="B41" s="45" t="s">
        <v>561</v>
      </c>
      <c r="C41" s="46">
        <v>454</v>
      </c>
      <c r="D41" s="46">
        <v>608</v>
      </c>
      <c r="E41" s="46">
        <v>922</v>
      </c>
      <c r="F41" s="47">
        <v>105</v>
      </c>
      <c r="G41" s="47">
        <v>132</v>
      </c>
      <c r="H41" s="47">
        <v>182</v>
      </c>
      <c r="I41" s="47">
        <v>160</v>
      </c>
      <c r="J41" s="47">
        <v>193</v>
      </c>
      <c r="K41" s="47">
        <v>242</v>
      </c>
      <c r="L41" s="47">
        <v>40</v>
      </c>
      <c r="M41" s="47">
        <v>60</v>
      </c>
      <c r="N41" s="47">
        <v>100</v>
      </c>
      <c r="O41" s="47">
        <v>180</v>
      </c>
      <c r="P41" s="47">
        <v>85</v>
      </c>
      <c r="Q41" s="47">
        <v>131</v>
      </c>
      <c r="R41" s="47">
        <v>246</v>
      </c>
      <c r="S41" s="48">
        <v>0.15</v>
      </c>
      <c r="T41" s="47">
        <v>65</v>
      </c>
      <c r="U41" s="47"/>
      <c r="V41" s="47">
        <v>125</v>
      </c>
      <c r="W41" s="48">
        <v>0.1</v>
      </c>
      <c r="X41" s="47">
        <v>935</v>
      </c>
      <c r="Y41" s="47">
        <v>1873</v>
      </c>
      <c r="Z41" s="47">
        <v>1005</v>
      </c>
      <c r="AA41" s="47">
        <v>1973</v>
      </c>
      <c r="AC41" s="49"/>
      <c r="AD41" s="49"/>
      <c r="AE41" s="49"/>
      <c r="AF41" s="50"/>
    </row>
    <row r="42" spans="1:32" hidden="1">
      <c r="A42" s="51" t="s">
        <v>562</v>
      </c>
      <c r="B42" s="51" t="s">
        <v>563</v>
      </c>
      <c r="C42" s="51">
        <v>782</v>
      </c>
      <c r="D42" s="51">
        <v>1072</v>
      </c>
      <c r="E42" s="52">
        <v>1516</v>
      </c>
      <c r="F42" s="51">
        <v>125</v>
      </c>
      <c r="G42" s="51">
        <v>158</v>
      </c>
      <c r="H42" s="51">
        <v>218</v>
      </c>
      <c r="I42" s="51">
        <v>191</v>
      </c>
      <c r="J42" s="51">
        <v>231</v>
      </c>
      <c r="K42" s="51">
        <v>290</v>
      </c>
      <c r="L42" s="51">
        <v>42</v>
      </c>
      <c r="M42" s="51">
        <v>63</v>
      </c>
      <c r="N42" s="51">
        <v>105</v>
      </c>
      <c r="O42" s="51">
        <v>189</v>
      </c>
      <c r="P42" s="51">
        <v>89</v>
      </c>
      <c r="Q42" s="51">
        <v>137</v>
      </c>
      <c r="R42" s="51">
        <v>259</v>
      </c>
      <c r="S42" s="53">
        <v>0.18</v>
      </c>
      <c r="T42" s="51">
        <v>68</v>
      </c>
      <c r="U42" s="51"/>
      <c r="V42" s="51">
        <v>131</v>
      </c>
      <c r="W42" s="53">
        <v>0.1</v>
      </c>
      <c r="X42" s="52">
        <v>1443</v>
      </c>
      <c r="Y42" s="52">
        <v>2798</v>
      </c>
      <c r="Z42" s="52">
        <v>1509</v>
      </c>
      <c r="AA42" s="52">
        <v>2879</v>
      </c>
      <c r="AC42" s="54"/>
      <c r="AD42" s="54"/>
      <c r="AE42" s="54"/>
      <c r="AF42" s="55"/>
    </row>
    <row r="43" spans="1:32" hidden="1">
      <c r="A43" s="56" t="s">
        <v>564</v>
      </c>
      <c r="B43" s="56" t="s">
        <v>565</v>
      </c>
      <c r="C43" s="56">
        <v>346</v>
      </c>
      <c r="D43" s="56">
        <v>468</v>
      </c>
      <c r="E43" s="56">
        <v>751</v>
      </c>
      <c r="F43" s="56">
        <v>111</v>
      </c>
      <c r="G43" s="56">
        <v>140</v>
      </c>
      <c r="H43" s="56">
        <v>193</v>
      </c>
      <c r="I43" s="56">
        <v>170</v>
      </c>
      <c r="J43" s="56">
        <v>205</v>
      </c>
      <c r="K43" s="56">
        <v>257</v>
      </c>
      <c r="L43" s="56">
        <v>40</v>
      </c>
      <c r="M43" s="56">
        <v>60</v>
      </c>
      <c r="N43" s="56">
        <v>100</v>
      </c>
      <c r="O43" s="56">
        <v>180</v>
      </c>
      <c r="P43" s="56">
        <v>85</v>
      </c>
      <c r="Q43" s="56">
        <v>131</v>
      </c>
      <c r="R43" s="56">
        <v>246</v>
      </c>
      <c r="S43" s="57">
        <v>0.18</v>
      </c>
      <c r="T43" s="56">
        <v>65</v>
      </c>
      <c r="U43" s="56"/>
      <c r="V43" s="56">
        <v>125</v>
      </c>
      <c r="W43" s="57">
        <v>0.1</v>
      </c>
      <c r="X43" s="56">
        <v>819</v>
      </c>
      <c r="Y43" s="58">
        <v>1699</v>
      </c>
      <c r="Z43" s="56">
        <v>903</v>
      </c>
      <c r="AA43" s="58">
        <v>1818</v>
      </c>
      <c r="AC43" s="59"/>
      <c r="AD43" s="59"/>
      <c r="AE43" s="59"/>
      <c r="AF43" s="60"/>
    </row>
    <row r="44" spans="1:32" hidden="1">
      <c r="A44" s="45" t="s">
        <v>566</v>
      </c>
      <c r="B44" s="45" t="s">
        <v>567</v>
      </c>
      <c r="C44" s="46">
        <v>480</v>
      </c>
      <c r="D44" s="46">
        <v>625</v>
      </c>
      <c r="E44" s="46">
        <v>1000</v>
      </c>
      <c r="F44" s="47">
        <v>138</v>
      </c>
      <c r="G44" s="47">
        <v>174</v>
      </c>
      <c r="H44" s="47">
        <v>239</v>
      </c>
      <c r="I44" s="47">
        <v>210</v>
      </c>
      <c r="J44" s="47">
        <v>254</v>
      </c>
      <c r="K44" s="47">
        <v>319</v>
      </c>
      <c r="L44" s="47">
        <v>50</v>
      </c>
      <c r="M44" s="47">
        <v>75</v>
      </c>
      <c r="N44" s="47">
        <v>125</v>
      </c>
      <c r="O44" s="47">
        <v>225</v>
      </c>
      <c r="P44" s="47">
        <v>106</v>
      </c>
      <c r="Q44" s="47">
        <v>164</v>
      </c>
      <c r="R44" s="47">
        <v>308</v>
      </c>
      <c r="S44" s="48">
        <v>0.12</v>
      </c>
      <c r="T44" s="47">
        <v>81</v>
      </c>
      <c r="U44" s="47"/>
      <c r="V44" s="47">
        <v>156</v>
      </c>
      <c r="W44" s="48">
        <v>0.1</v>
      </c>
      <c r="X44" s="47">
        <v>1035</v>
      </c>
      <c r="Y44" s="47">
        <v>2102</v>
      </c>
      <c r="Z44" s="47">
        <v>1131</v>
      </c>
      <c r="AA44" s="47">
        <v>2238</v>
      </c>
      <c r="AC44" s="49"/>
      <c r="AD44" s="49"/>
      <c r="AE44" s="49"/>
      <c r="AF44" s="50"/>
    </row>
    <row r="45" spans="1:32" hidden="1">
      <c r="A45" s="51" t="s">
        <v>568</v>
      </c>
      <c r="B45" s="51" t="s">
        <v>569</v>
      </c>
      <c r="C45" s="51">
        <v>725</v>
      </c>
      <c r="D45" s="51">
        <v>930</v>
      </c>
      <c r="E45" s="172">
        <v>1336</v>
      </c>
      <c r="F45" s="51">
        <v>141</v>
      </c>
      <c r="G45" s="51">
        <v>178</v>
      </c>
      <c r="H45" s="51">
        <v>244</v>
      </c>
      <c r="I45" s="51">
        <v>215</v>
      </c>
      <c r="J45" s="51">
        <v>259</v>
      </c>
      <c r="K45" s="51">
        <v>326</v>
      </c>
      <c r="L45" s="51">
        <v>48</v>
      </c>
      <c r="M45" s="51">
        <v>72</v>
      </c>
      <c r="N45" s="51">
        <v>120</v>
      </c>
      <c r="O45" s="51">
        <v>216</v>
      </c>
      <c r="P45" s="51">
        <v>102</v>
      </c>
      <c r="Q45" s="51">
        <v>157</v>
      </c>
      <c r="R45" s="51">
        <v>296</v>
      </c>
      <c r="S45" s="171">
        <v>0.17</v>
      </c>
      <c r="T45" s="51">
        <v>78</v>
      </c>
      <c r="U45" s="51"/>
      <c r="V45" s="51">
        <v>150</v>
      </c>
      <c r="W45" s="53">
        <v>0.1</v>
      </c>
      <c r="X45" s="52">
        <v>1403</v>
      </c>
      <c r="Y45" s="52">
        <v>2630</v>
      </c>
      <c r="Z45" s="52">
        <v>1487</v>
      </c>
      <c r="AA45" s="52">
        <v>2746</v>
      </c>
      <c r="AC45" s="54"/>
      <c r="AD45" s="54"/>
      <c r="AE45" s="54"/>
      <c r="AF45" s="55"/>
    </row>
    <row r="46" spans="1:32" hidden="1">
      <c r="A46" s="56" t="s">
        <v>570</v>
      </c>
      <c r="B46" s="56" t="s">
        <v>571</v>
      </c>
      <c r="C46" s="56">
        <v>340</v>
      </c>
      <c r="D46" s="56">
        <v>418</v>
      </c>
      <c r="E46" s="56">
        <v>648</v>
      </c>
      <c r="F46" s="56">
        <v>135</v>
      </c>
      <c r="G46" s="56">
        <v>170</v>
      </c>
      <c r="H46" s="56">
        <v>234</v>
      </c>
      <c r="I46" s="56">
        <v>206</v>
      </c>
      <c r="J46" s="56">
        <v>249</v>
      </c>
      <c r="K46" s="56">
        <v>312</v>
      </c>
      <c r="L46" s="56">
        <v>48</v>
      </c>
      <c r="M46" s="56">
        <v>72</v>
      </c>
      <c r="N46" s="56">
        <v>120</v>
      </c>
      <c r="O46" s="56">
        <v>216</v>
      </c>
      <c r="P46" s="56">
        <v>102</v>
      </c>
      <c r="Q46" s="56">
        <v>157</v>
      </c>
      <c r="R46" s="56">
        <v>296</v>
      </c>
      <c r="S46" s="57">
        <v>0.17</v>
      </c>
      <c r="T46" s="56">
        <v>78</v>
      </c>
      <c r="U46" s="56"/>
      <c r="V46" s="56">
        <v>150</v>
      </c>
      <c r="W46" s="57">
        <v>0.1</v>
      </c>
      <c r="X46" s="56">
        <v>875</v>
      </c>
      <c r="Y46" s="58">
        <v>1684</v>
      </c>
      <c r="Z46" s="56">
        <v>981</v>
      </c>
      <c r="AA46" s="58">
        <v>1843</v>
      </c>
      <c r="AC46" s="59"/>
      <c r="AD46" s="59"/>
      <c r="AE46" s="59"/>
      <c r="AF46" s="60"/>
    </row>
    <row r="47" spans="1:32" hidden="1">
      <c r="A47" s="45" t="s">
        <v>572</v>
      </c>
      <c r="B47" s="45" t="s">
        <v>573</v>
      </c>
      <c r="C47" s="46">
        <v>319</v>
      </c>
      <c r="D47" s="46">
        <v>528</v>
      </c>
      <c r="E47" s="46">
        <v>690</v>
      </c>
      <c r="F47" s="47">
        <v>109</v>
      </c>
      <c r="G47" s="47">
        <v>138</v>
      </c>
      <c r="H47" s="47">
        <v>190</v>
      </c>
      <c r="I47" s="47">
        <v>167</v>
      </c>
      <c r="J47" s="47">
        <v>201</v>
      </c>
      <c r="K47" s="47">
        <v>253</v>
      </c>
      <c r="L47" s="47">
        <v>40</v>
      </c>
      <c r="M47" s="47">
        <v>60</v>
      </c>
      <c r="N47" s="47">
        <v>100</v>
      </c>
      <c r="O47" s="47">
        <v>180</v>
      </c>
      <c r="P47" s="47">
        <v>85</v>
      </c>
      <c r="Q47" s="47">
        <v>131</v>
      </c>
      <c r="R47" s="47">
        <v>246</v>
      </c>
      <c r="S47" s="48">
        <v>0.15</v>
      </c>
      <c r="T47" s="47">
        <v>65</v>
      </c>
      <c r="U47" s="47"/>
      <c r="V47" s="47">
        <v>125</v>
      </c>
      <c r="W47" s="48">
        <v>0.1</v>
      </c>
      <c r="X47" s="47">
        <v>760</v>
      </c>
      <c r="Y47" s="47">
        <v>1574</v>
      </c>
      <c r="Z47" s="47">
        <v>843</v>
      </c>
      <c r="AA47" s="47">
        <v>1692</v>
      </c>
      <c r="AC47" s="49"/>
      <c r="AD47" s="49"/>
      <c r="AE47" s="49"/>
      <c r="AF47" s="50"/>
    </row>
    <row r="48" spans="1:32" hidden="1">
      <c r="A48" s="74" t="s">
        <v>574</v>
      </c>
      <c r="B48" s="74" t="s">
        <v>575</v>
      </c>
      <c r="C48" s="74">
        <v>556</v>
      </c>
      <c r="D48" s="74">
        <v>711</v>
      </c>
      <c r="E48" s="75">
        <v>1085</v>
      </c>
      <c r="F48" s="74">
        <v>142</v>
      </c>
      <c r="G48" s="74">
        <v>179</v>
      </c>
      <c r="H48" s="74">
        <v>246</v>
      </c>
      <c r="I48" s="74">
        <v>216</v>
      </c>
      <c r="J48" s="74">
        <v>261</v>
      </c>
      <c r="K48" s="74">
        <v>328</v>
      </c>
      <c r="L48" s="74">
        <v>48</v>
      </c>
      <c r="M48" s="74">
        <v>72</v>
      </c>
      <c r="N48" s="74">
        <v>120</v>
      </c>
      <c r="O48" s="74">
        <v>216</v>
      </c>
      <c r="P48" s="74">
        <v>102</v>
      </c>
      <c r="Q48" s="74">
        <v>157</v>
      </c>
      <c r="R48" s="74">
        <v>296</v>
      </c>
      <c r="S48" s="76">
        <v>0.18</v>
      </c>
      <c r="T48" s="74">
        <v>78</v>
      </c>
      <c r="U48" s="74"/>
      <c r="V48" s="74">
        <v>150</v>
      </c>
      <c r="W48" s="76">
        <v>0.1</v>
      </c>
      <c r="X48" s="75">
        <v>1186</v>
      </c>
      <c r="Y48" s="75">
        <v>2309</v>
      </c>
      <c r="Z48" s="75">
        <v>1283</v>
      </c>
      <c r="AA48" s="75">
        <v>2445</v>
      </c>
      <c r="AB48" s="77"/>
      <c r="AC48" s="473"/>
      <c r="AD48" s="473"/>
      <c r="AE48" s="473"/>
      <c r="AF48" s="475"/>
    </row>
    <row r="49" spans="1:32" ht="13.5" hidden="1" customHeight="1">
      <c r="A49" s="74" t="s">
        <v>574</v>
      </c>
      <c r="B49" s="74" t="s">
        <v>576</v>
      </c>
      <c r="C49" s="74">
        <v>551</v>
      </c>
      <c r="D49" s="74">
        <v>704</v>
      </c>
      <c r="E49" s="74">
        <v>1075</v>
      </c>
      <c r="F49" s="74">
        <v>142</v>
      </c>
      <c r="G49" s="74">
        <v>179</v>
      </c>
      <c r="H49" s="74">
        <v>246</v>
      </c>
      <c r="I49" s="74">
        <v>216</v>
      </c>
      <c r="J49" s="74">
        <v>261</v>
      </c>
      <c r="K49" s="74">
        <v>328</v>
      </c>
      <c r="L49" s="74">
        <v>48</v>
      </c>
      <c r="M49" s="74">
        <v>72</v>
      </c>
      <c r="N49" s="74">
        <v>120</v>
      </c>
      <c r="O49" s="74">
        <v>216</v>
      </c>
      <c r="P49" s="74">
        <v>102</v>
      </c>
      <c r="Q49" s="74">
        <v>157</v>
      </c>
      <c r="R49" s="74">
        <v>296</v>
      </c>
      <c r="S49" s="76">
        <v>0.18</v>
      </c>
      <c r="T49" s="74">
        <v>78</v>
      </c>
      <c r="U49" s="74"/>
      <c r="V49" s="74">
        <v>150</v>
      </c>
      <c r="W49" s="76">
        <v>0.1</v>
      </c>
      <c r="X49" s="74">
        <v>1178</v>
      </c>
      <c r="Y49" s="75">
        <v>2295</v>
      </c>
      <c r="Z49" s="74">
        <v>1276</v>
      </c>
      <c r="AA49" s="75">
        <v>2432</v>
      </c>
      <c r="AB49" s="77"/>
      <c r="AC49" s="474"/>
      <c r="AD49" s="474"/>
      <c r="AE49" s="474"/>
      <c r="AF49" s="476"/>
    </row>
    <row r="50" spans="1:32" hidden="1">
      <c r="A50" s="45" t="s">
        <v>577</v>
      </c>
      <c r="B50" s="45" t="s">
        <v>578</v>
      </c>
      <c r="C50" s="46">
        <v>500</v>
      </c>
      <c r="D50" s="46">
        <v>578</v>
      </c>
      <c r="E50" s="46">
        <v>882</v>
      </c>
      <c r="F50" s="47">
        <v>108</v>
      </c>
      <c r="G50" s="47">
        <v>137</v>
      </c>
      <c r="H50" s="47">
        <v>188</v>
      </c>
      <c r="I50" s="47">
        <v>165</v>
      </c>
      <c r="J50" s="47">
        <v>200</v>
      </c>
      <c r="K50" s="47">
        <v>251</v>
      </c>
      <c r="L50" s="47">
        <v>40</v>
      </c>
      <c r="M50" s="47">
        <v>60</v>
      </c>
      <c r="N50" s="47">
        <v>100</v>
      </c>
      <c r="O50" s="47">
        <v>180</v>
      </c>
      <c r="P50" s="47">
        <v>85</v>
      </c>
      <c r="Q50" s="47">
        <v>131</v>
      </c>
      <c r="R50" s="47">
        <v>246</v>
      </c>
      <c r="S50" s="48">
        <v>0.18</v>
      </c>
      <c r="T50" s="47">
        <v>65</v>
      </c>
      <c r="U50" s="47"/>
      <c r="V50" s="47">
        <v>125</v>
      </c>
      <c r="W50" s="48">
        <v>0.1</v>
      </c>
      <c r="X50" s="47">
        <v>1025</v>
      </c>
      <c r="Y50" s="47">
        <v>1872</v>
      </c>
      <c r="Z50" s="47">
        <v>1097</v>
      </c>
      <c r="AA50" s="47">
        <v>1979</v>
      </c>
      <c r="AB50" s="78"/>
      <c r="AC50" s="481"/>
      <c r="AD50" s="481"/>
      <c r="AE50" s="481"/>
      <c r="AF50" s="483"/>
    </row>
    <row r="51" spans="1:32" hidden="1">
      <c r="A51" s="45" t="s">
        <v>577</v>
      </c>
      <c r="B51" s="45" t="s">
        <v>579</v>
      </c>
      <c r="C51" s="45">
        <v>506</v>
      </c>
      <c r="D51" s="45">
        <v>611</v>
      </c>
      <c r="E51" s="79">
        <v>913</v>
      </c>
      <c r="F51" s="45">
        <v>108</v>
      </c>
      <c r="G51" s="45">
        <v>137</v>
      </c>
      <c r="H51" s="45">
        <v>188</v>
      </c>
      <c r="I51" s="45">
        <v>165</v>
      </c>
      <c r="J51" s="45">
        <v>200</v>
      </c>
      <c r="K51" s="45">
        <v>251</v>
      </c>
      <c r="L51" s="45">
        <v>40</v>
      </c>
      <c r="M51" s="45">
        <v>60</v>
      </c>
      <c r="N51" s="45">
        <v>100</v>
      </c>
      <c r="O51" s="45">
        <v>180</v>
      </c>
      <c r="P51" s="45">
        <v>85</v>
      </c>
      <c r="Q51" s="45">
        <v>131</v>
      </c>
      <c r="R51" s="45">
        <v>246</v>
      </c>
      <c r="S51" s="80">
        <v>0.18</v>
      </c>
      <c r="T51" s="45">
        <v>65</v>
      </c>
      <c r="U51" s="45"/>
      <c r="V51" s="45">
        <v>125</v>
      </c>
      <c r="W51" s="80">
        <v>0.1</v>
      </c>
      <c r="X51" s="79">
        <v>1033</v>
      </c>
      <c r="Y51" s="79">
        <v>1914</v>
      </c>
      <c r="Z51" s="79">
        <v>1105</v>
      </c>
      <c r="AA51" s="79">
        <v>2019</v>
      </c>
      <c r="AB51" s="78"/>
      <c r="AC51" s="482"/>
      <c r="AD51" s="482"/>
      <c r="AE51" s="482"/>
      <c r="AF51" s="484"/>
    </row>
    <row r="52" spans="1:32" hidden="1">
      <c r="A52" s="56" t="s">
        <v>580</v>
      </c>
      <c r="B52" s="56" t="s">
        <v>581</v>
      </c>
      <c r="C52" s="56">
        <v>736</v>
      </c>
      <c r="D52" s="56">
        <v>884</v>
      </c>
      <c r="E52" s="56">
        <v>1369</v>
      </c>
      <c r="F52" s="56">
        <v>112</v>
      </c>
      <c r="G52" s="56">
        <v>142</v>
      </c>
      <c r="H52" s="56">
        <v>195</v>
      </c>
      <c r="I52" s="56">
        <v>171</v>
      </c>
      <c r="J52" s="56">
        <v>207</v>
      </c>
      <c r="K52" s="56">
        <v>260</v>
      </c>
      <c r="L52" s="56">
        <v>40</v>
      </c>
      <c r="M52" s="56">
        <v>60</v>
      </c>
      <c r="N52" s="56">
        <v>100</v>
      </c>
      <c r="O52" s="56">
        <v>180</v>
      </c>
      <c r="P52" s="56">
        <v>85</v>
      </c>
      <c r="Q52" s="56">
        <v>131</v>
      </c>
      <c r="R52" s="56">
        <v>246</v>
      </c>
      <c r="S52" s="57">
        <v>0.18</v>
      </c>
      <c r="T52" s="56">
        <v>65</v>
      </c>
      <c r="U52" s="56"/>
      <c r="V52" s="56">
        <v>125</v>
      </c>
      <c r="W52" s="57">
        <v>0.1</v>
      </c>
      <c r="X52" s="56">
        <v>1353</v>
      </c>
      <c r="Y52" s="58">
        <v>2546</v>
      </c>
      <c r="Z52" s="56">
        <v>1411</v>
      </c>
      <c r="AA52" s="58">
        <v>2623</v>
      </c>
      <c r="AC52" s="59"/>
      <c r="AD52" s="59"/>
      <c r="AE52" s="59"/>
      <c r="AF52" s="60"/>
    </row>
    <row r="53" spans="1:32" hidden="1">
      <c r="A53" s="45" t="s">
        <v>582</v>
      </c>
      <c r="B53" s="45" t="s">
        <v>583</v>
      </c>
      <c r="C53" s="46">
        <v>896</v>
      </c>
      <c r="D53" s="46">
        <v>1129</v>
      </c>
      <c r="E53" s="46">
        <v>1636</v>
      </c>
      <c r="F53" s="47">
        <v>110</v>
      </c>
      <c r="G53" s="47">
        <v>139</v>
      </c>
      <c r="H53" s="47">
        <v>191</v>
      </c>
      <c r="I53" s="47">
        <v>168</v>
      </c>
      <c r="J53" s="47">
        <v>203</v>
      </c>
      <c r="K53" s="47">
        <v>255</v>
      </c>
      <c r="L53" s="47">
        <v>40</v>
      </c>
      <c r="M53" s="47">
        <v>60</v>
      </c>
      <c r="N53" s="47">
        <v>100</v>
      </c>
      <c r="O53" s="47">
        <v>180</v>
      </c>
      <c r="P53" s="47">
        <v>85</v>
      </c>
      <c r="Q53" s="47">
        <v>131</v>
      </c>
      <c r="R53" s="47">
        <v>246</v>
      </c>
      <c r="S53" s="48">
        <v>0.25</v>
      </c>
      <c r="T53" s="47">
        <v>65</v>
      </c>
      <c r="U53" s="47"/>
      <c r="V53" s="47">
        <v>125</v>
      </c>
      <c r="W53" s="48">
        <v>0.1</v>
      </c>
      <c r="X53" s="47">
        <v>1657</v>
      </c>
      <c r="Y53" s="47">
        <v>3071</v>
      </c>
      <c r="Z53" s="47">
        <v>1706</v>
      </c>
      <c r="AA53" s="47">
        <v>3132</v>
      </c>
      <c r="AC53" s="49"/>
      <c r="AD53" s="49"/>
      <c r="AE53" s="49"/>
      <c r="AF53" s="50"/>
    </row>
    <row r="54" spans="1:32" hidden="1">
      <c r="A54" s="51" t="s">
        <v>582</v>
      </c>
      <c r="B54" s="51" t="s">
        <v>584</v>
      </c>
      <c r="C54" s="51">
        <v>894</v>
      </c>
      <c r="D54" s="74">
        <v>1129</v>
      </c>
      <c r="E54" s="52">
        <v>1636</v>
      </c>
      <c r="F54" s="51">
        <v>110</v>
      </c>
      <c r="G54" s="51">
        <v>139</v>
      </c>
      <c r="H54" s="51">
        <v>191</v>
      </c>
      <c r="I54" s="51">
        <v>168</v>
      </c>
      <c r="J54" s="51">
        <v>203</v>
      </c>
      <c r="K54" s="51">
        <v>255</v>
      </c>
      <c r="L54" s="51">
        <v>40</v>
      </c>
      <c r="M54" s="51">
        <v>60</v>
      </c>
      <c r="N54" s="51">
        <v>100</v>
      </c>
      <c r="O54" s="51">
        <v>180</v>
      </c>
      <c r="P54" s="51">
        <v>85</v>
      </c>
      <c r="Q54" s="51">
        <v>131</v>
      </c>
      <c r="R54" s="51">
        <v>246</v>
      </c>
      <c r="S54" s="53">
        <v>0.25</v>
      </c>
      <c r="T54" s="51">
        <v>65</v>
      </c>
      <c r="U54" s="51"/>
      <c r="V54" s="51">
        <v>125</v>
      </c>
      <c r="W54" s="53">
        <v>0.1</v>
      </c>
      <c r="X54" s="52">
        <v>1655</v>
      </c>
      <c r="Y54" s="52">
        <v>3070</v>
      </c>
      <c r="Z54" s="52">
        <v>1704</v>
      </c>
      <c r="AA54" s="52">
        <v>3131</v>
      </c>
      <c r="AC54" s="54"/>
      <c r="AD54" s="54"/>
      <c r="AE54" s="54"/>
      <c r="AF54" s="55"/>
    </row>
    <row r="55" spans="1:32" hidden="1">
      <c r="A55" s="56" t="s">
        <v>585</v>
      </c>
      <c r="B55" s="56" t="s">
        <v>586</v>
      </c>
      <c r="C55" s="56">
        <v>361</v>
      </c>
      <c r="D55" s="56">
        <v>472</v>
      </c>
      <c r="E55" s="56">
        <v>669</v>
      </c>
      <c r="F55" s="56">
        <v>121</v>
      </c>
      <c r="G55" s="56">
        <v>152</v>
      </c>
      <c r="H55" s="56">
        <v>210</v>
      </c>
      <c r="I55" s="56">
        <v>184</v>
      </c>
      <c r="J55" s="56">
        <v>222</v>
      </c>
      <c r="K55" s="56">
        <v>279</v>
      </c>
      <c r="L55" s="56">
        <v>43</v>
      </c>
      <c r="M55" s="56">
        <v>64</v>
      </c>
      <c r="N55" s="56">
        <v>107</v>
      </c>
      <c r="O55" s="56">
        <v>193</v>
      </c>
      <c r="P55" s="56">
        <v>91</v>
      </c>
      <c r="Q55" s="56">
        <v>140</v>
      </c>
      <c r="R55" s="56">
        <v>264</v>
      </c>
      <c r="S55" s="57">
        <v>0.17</v>
      </c>
      <c r="T55" s="56">
        <v>70</v>
      </c>
      <c r="U55" s="56"/>
      <c r="V55" s="56">
        <v>134</v>
      </c>
      <c r="W55" s="57">
        <v>0.1</v>
      </c>
      <c r="X55" s="56">
        <v>859</v>
      </c>
      <c r="Y55" s="58">
        <v>1627</v>
      </c>
      <c r="Z55" s="56">
        <v>950</v>
      </c>
      <c r="AA55" s="58">
        <v>1763</v>
      </c>
      <c r="AC55" s="59"/>
      <c r="AD55" s="59"/>
      <c r="AE55" s="59"/>
      <c r="AF55" s="60"/>
    </row>
    <row r="56" spans="1:32" hidden="1">
      <c r="A56" s="45" t="s">
        <v>587</v>
      </c>
      <c r="B56" s="45" t="s">
        <v>588</v>
      </c>
      <c r="C56" s="46">
        <v>741</v>
      </c>
      <c r="D56" s="46">
        <v>903</v>
      </c>
      <c r="E56" s="46">
        <v>1401</v>
      </c>
      <c r="F56" s="47">
        <v>125</v>
      </c>
      <c r="G56" s="47">
        <v>158</v>
      </c>
      <c r="H56" s="47">
        <v>218</v>
      </c>
      <c r="I56" s="47">
        <v>191</v>
      </c>
      <c r="J56" s="47">
        <v>231</v>
      </c>
      <c r="K56" s="47">
        <v>290</v>
      </c>
      <c r="L56" s="47">
        <v>42</v>
      </c>
      <c r="M56" s="47">
        <v>63</v>
      </c>
      <c r="N56" s="47">
        <v>105</v>
      </c>
      <c r="O56" s="47">
        <v>189</v>
      </c>
      <c r="P56" s="47">
        <v>89</v>
      </c>
      <c r="Q56" s="47">
        <v>137</v>
      </c>
      <c r="R56" s="47">
        <v>259</v>
      </c>
      <c r="S56" s="48">
        <v>0.19</v>
      </c>
      <c r="T56" s="47">
        <v>68</v>
      </c>
      <c r="U56" s="47"/>
      <c r="V56" s="47">
        <v>131</v>
      </c>
      <c r="W56" s="48">
        <v>0.1</v>
      </c>
      <c r="X56" s="47">
        <v>1398</v>
      </c>
      <c r="Y56" s="47">
        <v>2663</v>
      </c>
      <c r="Z56" s="47">
        <v>1468</v>
      </c>
      <c r="AA56" s="47">
        <v>2752</v>
      </c>
      <c r="AB56" s="78"/>
      <c r="AC56" s="481"/>
      <c r="AD56" s="481"/>
      <c r="AE56" s="481"/>
      <c r="AF56" s="483"/>
    </row>
    <row r="57" spans="1:32" hidden="1">
      <c r="A57" s="45" t="s">
        <v>587</v>
      </c>
      <c r="B57" s="45" t="s">
        <v>589</v>
      </c>
      <c r="C57" s="45">
        <v>741</v>
      </c>
      <c r="D57" s="45">
        <v>903</v>
      </c>
      <c r="E57" s="79">
        <v>1401</v>
      </c>
      <c r="F57" s="45">
        <v>125</v>
      </c>
      <c r="G57" s="45">
        <v>158</v>
      </c>
      <c r="H57" s="45">
        <v>218</v>
      </c>
      <c r="I57" s="45">
        <v>191</v>
      </c>
      <c r="J57" s="45">
        <v>231</v>
      </c>
      <c r="K57" s="45">
        <v>290</v>
      </c>
      <c r="L57" s="45">
        <v>42</v>
      </c>
      <c r="M57" s="45">
        <v>63</v>
      </c>
      <c r="N57" s="45">
        <v>105</v>
      </c>
      <c r="O57" s="45">
        <v>189</v>
      </c>
      <c r="P57" s="45">
        <v>89</v>
      </c>
      <c r="Q57" s="45">
        <v>137</v>
      </c>
      <c r="R57" s="45">
        <v>259</v>
      </c>
      <c r="S57" s="80">
        <v>0.19</v>
      </c>
      <c r="T57" s="45">
        <v>68</v>
      </c>
      <c r="U57" s="45"/>
      <c r="V57" s="45">
        <v>131</v>
      </c>
      <c r="W57" s="80">
        <v>0.1</v>
      </c>
      <c r="X57" s="79">
        <v>1398</v>
      </c>
      <c r="Y57" s="79">
        <v>2663</v>
      </c>
      <c r="Z57" s="79">
        <v>1468</v>
      </c>
      <c r="AA57" s="79">
        <v>2752</v>
      </c>
      <c r="AB57" s="78"/>
      <c r="AC57" s="482"/>
      <c r="AD57" s="482"/>
      <c r="AE57" s="482"/>
      <c r="AF57" s="484"/>
    </row>
    <row r="58" spans="1:32" hidden="1">
      <c r="A58" s="56" t="s">
        <v>590</v>
      </c>
      <c r="B58" s="56" t="s">
        <v>591</v>
      </c>
      <c r="C58" s="56">
        <v>906</v>
      </c>
      <c r="D58" s="56">
        <v>1082</v>
      </c>
      <c r="E58" s="56">
        <v>1656</v>
      </c>
      <c r="F58" s="56">
        <v>156</v>
      </c>
      <c r="G58" s="56">
        <v>197</v>
      </c>
      <c r="H58" s="56">
        <v>271</v>
      </c>
      <c r="I58" s="56">
        <v>238</v>
      </c>
      <c r="J58" s="56">
        <v>287</v>
      </c>
      <c r="K58" s="56">
        <v>361</v>
      </c>
      <c r="L58" s="56">
        <v>50</v>
      </c>
      <c r="M58" s="56">
        <v>75</v>
      </c>
      <c r="N58" s="56">
        <v>125</v>
      </c>
      <c r="O58" s="56">
        <v>225</v>
      </c>
      <c r="P58" s="56">
        <v>106</v>
      </c>
      <c r="Q58" s="56">
        <v>164</v>
      </c>
      <c r="R58" s="56">
        <v>308</v>
      </c>
      <c r="S58" s="57">
        <v>0.2</v>
      </c>
      <c r="T58" s="56">
        <v>81</v>
      </c>
      <c r="U58" s="56"/>
      <c r="V58" s="56">
        <v>156</v>
      </c>
      <c r="W58" s="57">
        <v>0.1</v>
      </c>
      <c r="X58" s="56">
        <v>1719</v>
      </c>
      <c r="Y58" s="58">
        <v>3194</v>
      </c>
      <c r="Z58" s="56">
        <v>1805</v>
      </c>
      <c r="AA58" s="58">
        <v>3307</v>
      </c>
      <c r="AC58" s="59"/>
      <c r="AD58" s="59"/>
      <c r="AE58" s="59"/>
      <c r="AF58" s="60"/>
    </row>
    <row r="59" spans="1:32" hidden="1">
      <c r="A59" s="51" t="s">
        <v>592</v>
      </c>
      <c r="B59" s="51" t="s">
        <v>593</v>
      </c>
      <c r="C59" s="61">
        <v>485</v>
      </c>
      <c r="D59" s="61">
        <v>594</v>
      </c>
      <c r="E59" s="61">
        <v>891</v>
      </c>
      <c r="F59" s="62">
        <v>106</v>
      </c>
      <c r="G59" s="62">
        <v>134</v>
      </c>
      <c r="H59" s="62">
        <v>185</v>
      </c>
      <c r="I59" s="62">
        <v>162</v>
      </c>
      <c r="J59" s="62">
        <v>196</v>
      </c>
      <c r="K59" s="62">
        <v>246</v>
      </c>
      <c r="L59" s="62">
        <v>40</v>
      </c>
      <c r="M59" s="62">
        <v>60</v>
      </c>
      <c r="N59" s="62">
        <v>100</v>
      </c>
      <c r="O59" s="62">
        <v>180</v>
      </c>
      <c r="P59" s="62">
        <v>85</v>
      </c>
      <c r="Q59" s="62">
        <v>131</v>
      </c>
      <c r="R59" s="62">
        <v>246</v>
      </c>
      <c r="S59" s="63">
        <v>0.17</v>
      </c>
      <c r="T59" s="62">
        <v>65</v>
      </c>
      <c r="U59" s="62"/>
      <c r="V59" s="62">
        <v>125</v>
      </c>
      <c r="W59" s="63">
        <v>0.1</v>
      </c>
      <c r="X59" s="62">
        <v>994</v>
      </c>
      <c r="Y59" s="62">
        <v>1866</v>
      </c>
      <c r="Z59" s="62">
        <v>1065</v>
      </c>
      <c r="AA59" s="62">
        <v>1970</v>
      </c>
      <c r="AB59" s="81"/>
      <c r="AC59" s="463"/>
      <c r="AD59" s="463"/>
      <c r="AE59" s="463"/>
      <c r="AF59" s="477"/>
    </row>
    <row r="60" spans="1:32" hidden="1">
      <c r="A60" s="51" t="s">
        <v>592</v>
      </c>
      <c r="B60" s="51" t="s">
        <v>594</v>
      </c>
      <c r="C60" s="51">
        <v>416</v>
      </c>
      <c r="D60" s="51">
        <v>530</v>
      </c>
      <c r="E60" s="52">
        <v>817</v>
      </c>
      <c r="F60" s="51">
        <v>106</v>
      </c>
      <c r="G60" s="51">
        <v>134</v>
      </c>
      <c r="H60" s="51">
        <v>185</v>
      </c>
      <c r="I60" s="51">
        <v>162</v>
      </c>
      <c r="J60" s="51">
        <v>196</v>
      </c>
      <c r="K60" s="51">
        <v>246</v>
      </c>
      <c r="L60" s="51">
        <v>40</v>
      </c>
      <c r="M60" s="51">
        <v>60</v>
      </c>
      <c r="N60" s="51">
        <v>100</v>
      </c>
      <c r="O60" s="51">
        <v>180</v>
      </c>
      <c r="P60" s="51">
        <v>85</v>
      </c>
      <c r="Q60" s="51">
        <v>131</v>
      </c>
      <c r="R60" s="51">
        <v>246</v>
      </c>
      <c r="S60" s="53">
        <v>0.17</v>
      </c>
      <c r="T60" s="51">
        <v>65</v>
      </c>
      <c r="U60" s="51"/>
      <c r="V60" s="51">
        <v>125</v>
      </c>
      <c r="W60" s="53">
        <v>0.1</v>
      </c>
      <c r="X60" s="52">
        <v>901</v>
      </c>
      <c r="Y60" s="52">
        <v>1765</v>
      </c>
      <c r="Z60" s="52">
        <v>976</v>
      </c>
      <c r="AA60" s="52">
        <v>1874</v>
      </c>
      <c r="AB60" s="81"/>
      <c r="AC60" s="464"/>
      <c r="AD60" s="464"/>
      <c r="AE60" s="464"/>
      <c r="AF60" s="478"/>
    </row>
    <row r="61" spans="1:32" hidden="1">
      <c r="A61" s="51" t="s">
        <v>592</v>
      </c>
      <c r="B61" s="51" t="s">
        <v>595</v>
      </c>
      <c r="C61" s="51">
        <v>485</v>
      </c>
      <c r="D61" s="51">
        <v>594</v>
      </c>
      <c r="E61" s="51">
        <v>891</v>
      </c>
      <c r="F61" s="51">
        <v>106</v>
      </c>
      <c r="G61" s="51">
        <v>134</v>
      </c>
      <c r="H61" s="51">
        <v>185</v>
      </c>
      <c r="I61" s="51">
        <v>162</v>
      </c>
      <c r="J61" s="51">
        <v>196</v>
      </c>
      <c r="K61" s="51">
        <v>246</v>
      </c>
      <c r="L61" s="51">
        <v>40</v>
      </c>
      <c r="M61" s="51">
        <v>60</v>
      </c>
      <c r="N61" s="51">
        <v>100</v>
      </c>
      <c r="O61" s="51">
        <v>180</v>
      </c>
      <c r="P61" s="51">
        <v>85</v>
      </c>
      <c r="Q61" s="51">
        <v>131</v>
      </c>
      <c r="R61" s="51">
        <v>246</v>
      </c>
      <c r="S61" s="53">
        <v>0.17</v>
      </c>
      <c r="T61" s="51">
        <v>65</v>
      </c>
      <c r="U61" s="51"/>
      <c r="V61" s="51">
        <v>125</v>
      </c>
      <c r="W61" s="53">
        <v>0.1</v>
      </c>
      <c r="X61" s="51">
        <v>994</v>
      </c>
      <c r="Y61" s="52">
        <v>1866</v>
      </c>
      <c r="Z61" s="51">
        <v>1065</v>
      </c>
      <c r="AA61" s="52">
        <v>1970</v>
      </c>
      <c r="AB61" s="81"/>
      <c r="AC61" s="464"/>
      <c r="AD61" s="464"/>
      <c r="AE61" s="464"/>
      <c r="AF61" s="478"/>
    </row>
    <row r="62" spans="1:32" hidden="1">
      <c r="A62" s="51" t="s">
        <v>592</v>
      </c>
      <c r="B62" s="51" t="s">
        <v>596</v>
      </c>
      <c r="C62" s="61">
        <v>592</v>
      </c>
      <c r="D62" s="61">
        <v>734</v>
      </c>
      <c r="E62" s="61">
        <v>1161</v>
      </c>
      <c r="F62" s="62">
        <v>106</v>
      </c>
      <c r="G62" s="62">
        <v>134</v>
      </c>
      <c r="H62" s="62">
        <v>185</v>
      </c>
      <c r="I62" s="62">
        <v>162</v>
      </c>
      <c r="J62" s="62">
        <v>196</v>
      </c>
      <c r="K62" s="62">
        <v>246</v>
      </c>
      <c r="L62" s="62">
        <v>40</v>
      </c>
      <c r="M62" s="62">
        <v>60</v>
      </c>
      <c r="N62" s="62">
        <v>100</v>
      </c>
      <c r="O62" s="62">
        <v>180</v>
      </c>
      <c r="P62" s="62">
        <v>85</v>
      </c>
      <c r="Q62" s="62">
        <v>131</v>
      </c>
      <c r="R62" s="62">
        <v>246</v>
      </c>
      <c r="S62" s="63">
        <v>0.17</v>
      </c>
      <c r="T62" s="62">
        <v>65</v>
      </c>
      <c r="U62" s="62"/>
      <c r="V62" s="62">
        <v>125</v>
      </c>
      <c r="W62" s="63">
        <v>0.1</v>
      </c>
      <c r="X62" s="62">
        <v>1140</v>
      </c>
      <c r="Y62" s="62">
        <v>2231</v>
      </c>
      <c r="Z62" s="62">
        <v>1203</v>
      </c>
      <c r="AA62" s="62">
        <v>2317</v>
      </c>
      <c r="AB62" s="81"/>
      <c r="AC62" s="464"/>
      <c r="AD62" s="464"/>
      <c r="AE62" s="464"/>
      <c r="AF62" s="478"/>
    </row>
    <row r="63" spans="1:32" hidden="1">
      <c r="A63" s="51" t="s">
        <v>592</v>
      </c>
      <c r="B63" s="51" t="s">
        <v>597</v>
      </c>
      <c r="C63" s="51">
        <v>485</v>
      </c>
      <c r="D63" s="51">
        <v>594</v>
      </c>
      <c r="E63" s="52">
        <v>891</v>
      </c>
      <c r="F63" s="51">
        <v>106</v>
      </c>
      <c r="G63" s="51">
        <v>134</v>
      </c>
      <c r="H63" s="51">
        <v>185</v>
      </c>
      <c r="I63" s="51">
        <v>162</v>
      </c>
      <c r="J63" s="51">
        <v>196</v>
      </c>
      <c r="K63" s="51">
        <v>246</v>
      </c>
      <c r="L63" s="51">
        <v>40</v>
      </c>
      <c r="M63" s="51">
        <v>60</v>
      </c>
      <c r="N63" s="51">
        <v>100</v>
      </c>
      <c r="O63" s="51">
        <v>180</v>
      </c>
      <c r="P63" s="51">
        <v>85</v>
      </c>
      <c r="Q63" s="51">
        <v>131</v>
      </c>
      <c r="R63" s="51">
        <v>246</v>
      </c>
      <c r="S63" s="53">
        <v>0.17</v>
      </c>
      <c r="T63" s="51">
        <v>65</v>
      </c>
      <c r="U63" s="51"/>
      <c r="V63" s="51">
        <v>125</v>
      </c>
      <c r="W63" s="53">
        <v>0.1</v>
      </c>
      <c r="X63" s="52">
        <v>994</v>
      </c>
      <c r="Y63" s="52">
        <v>1866</v>
      </c>
      <c r="Z63" s="52">
        <v>1065</v>
      </c>
      <c r="AA63" s="52">
        <v>1970</v>
      </c>
      <c r="AB63" s="81"/>
      <c r="AC63" s="465"/>
      <c r="AD63" s="465"/>
      <c r="AE63" s="465"/>
      <c r="AF63" s="479"/>
    </row>
    <row r="64" spans="1:32" hidden="1">
      <c r="A64" s="56" t="s">
        <v>598</v>
      </c>
      <c r="B64" s="56" t="s">
        <v>599</v>
      </c>
      <c r="C64" s="56">
        <v>362</v>
      </c>
      <c r="D64" s="56">
        <v>477</v>
      </c>
      <c r="E64" s="56">
        <v>748</v>
      </c>
      <c r="F64" s="56">
        <v>114</v>
      </c>
      <c r="G64" s="56">
        <v>144</v>
      </c>
      <c r="H64" s="56">
        <v>198</v>
      </c>
      <c r="I64" s="56">
        <v>174</v>
      </c>
      <c r="J64" s="56">
        <v>210</v>
      </c>
      <c r="K64" s="56">
        <v>264</v>
      </c>
      <c r="L64" s="56">
        <v>40</v>
      </c>
      <c r="M64" s="56">
        <v>60</v>
      </c>
      <c r="N64" s="56">
        <v>100</v>
      </c>
      <c r="O64" s="56">
        <v>180</v>
      </c>
      <c r="P64" s="56">
        <v>85</v>
      </c>
      <c r="Q64" s="56">
        <v>131</v>
      </c>
      <c r="R64" s="56">
        <v>246</v>
      </c>
      <c r="S64" s="57">
        <v>0.16</v>
      </c>
      <c r="T64" s="56">
        <v>65</v>
      </c>
      <c r="U64" s="56"/>
      <c r="V64" s="56">
        <v>125</v>
      </c>
      <c r="W64" s="57">
        <v>0.1</v>
      </c>
      <c r="X64" s="56">
        <v>830</v>
      </c>
      <c r="Y64" s="58">
        <v>1676</v>
      </c>
      <c r="Z64" s="56">
        <v>914</v>
      </c>
      <c r="AA64" s="58">
        <v>1795</v>
      </c>
      <c r="AC64" s="59"/>
      <c r="AD64" s="59"/>
      <c r="AE64" s="59"/>
      <c r="AF64" s="60"/>
    </row>
    <row r="65" spans="1:32" hidden="1">
      <c r="A65" s="45" t="s">
        <v>600</v>
      </c>
      <c r="B65" s="45" t="s">
        <v>601</v>
      </c>
      <c r="C65" s="46">
        <v>765</v>
      </c>
      <c r="D65" s="46">
        <v>907</v>
      </c>
      <c r="E65" s="46">
        <v>1342</v>
      </c>
      <c r="F65" s="47">
        <v>156</v>
      </c>
      <c r="G65" s="47">
        <v>197</v>
      </c>
      <c r="H65" s="47">
        <v>271</v>
      </c>
      <c r="I65" s="47">
        <v>238</v>
      </c>
      <c r="J65" s="47">
        <v>287</v>
      </c>
      <c r="K65" s="47">
        <v>361</v>
      </c>
      <c r="L65" s="47">
        <v>50</v>
      </c>
      <c r="M65" s="47">
        <v>75</v>
      </c>
      <c r="N65" s="47">
        <v>125</v>
      </c>
      <c r="O65" s="47">
        <v>225</v>
      </c>
      <c r="P65" s="47">
        <v>106</v>
      </c>
      <c r="Q65" s="47">
        <v>164</v>
      </c>
      <c r="R65" s="47">
        <v>308</v>
      </c>
      <c r="S65" s="48">
        <v>0.19</v>
      </c>
      <c r="T65" s="47">
        <v>81</v>
      </c>
      <c r="U65" s="47"/>
      <c r="V65" s="47">
        <v>156</v>
      </c>
      <c r="W65" s="48">
        <v>0.1</v>
      </c>
      <c r="X65" s="47">
        <v>1510</v>
      </c>
      <c r="Y65" s="47">
        <v>2735</v>
      </c>
      <c r="Z65" s="47">
        <v>1605</v>
      </c>
      <c r="AA65" s="47">
        <v>2869</v>
      </c>
      <c r="AC65" s="49"/>
      <c r="AD65" s="49"/>
      <c r="AE65" s="49"/>
      <c r="AF65" s="50"/>
    </row>
    <row r="66" spans="1:32">
      <c r="A66" s="45" t="s">
        <v>548</v>
      </c>
      <c r="B66" s="45" t="s">
        <v>549</v>
      </c>
      <c r="C66" s="412"/>
      <c r="D66" s="412"/>
      <c r="E66" s="412"/>
      <c r="F66" s="412"/>
      <c r="G66" s="412"/>
      <c r="H66" s="412"/>
      <c r="I66" s="412"/>
      <c r="J66" s="412"/>
      <c r="K66" s="412"/>
      <c r="L66" s="412">
        <v>42</v>
      </c>
      <c r="M66" s="412">
        <v>63</v>
      </c>
      <c r="N66" s="412">
        <v>105</v>
      </c>
      <c r="O66" s="412">
        <v>189</v>
      </c>
      <c r="P66" s="412"/>
      <c r="Q66" s="412"/>
      <c r="R66" s="412"/>
      <c r="S66" s="412">
        <v>0.17850000000000002</v>
      </c>
      <c r="T66" s="412">
        <v>68.25</v>
      </c>
      <c r="U66" s="412">
        <v>0</v>
      </c>
      <c r="V66" s="412">
        <v>131.25</v>
      </c>
      <c r="W66" s="412">
        <v>0.10500000000000001</v>
      </c>
      <c r="X66" s="412">
        <v>914.55000000000007</v>
      </c>
      <c r="Y66" s="412">
        <v>1769.25</v>
      </c>
      <c r="Z66" s="412">
        <v>994.35</v>
      </c>
      <c r="AA66" s="412">
        <v>1886.8500000000001</v>
      </c>
      <c r="AC66" s="49"/>
      <c r="AD66" s="49"/>
      <c r="AE66" s="49"/>
    </row>
    <row r="67" spans="1:32">
      <c r="A67" s="111" t="s">
        <v>641</v>
      </c>
      <c r="B67" s="270">
        <f>'2025 FX Rates'!$F$95</f>
        <v>5.9416000000000004E-4</v>
      </c>
      <c r="C67" s="405">
        <f t="shared" ref="C67:O67" si="0">C66/$B$67</f>
        <v>0</v>
      </c>
      <c r="D67" s="405">
        <f t="shared" si="0"/>
        <v>0</v>
      </c>
      <c r="E67" s="405">
        <f t="shared" si="0"/>
        <v>0</v>
      </c>
      <c r="F67" s="405">
        <f t="shared" si="0"/>
        <v>0</v>
      </c>
      <c r="G67" s="405">
        <f t="shared" si="0"/>
        <v>0</v>
      </c>
      <c r="H67" s="405">
        <f t="shared" si="0"/>
        <v>0</v>
      </c>
      <c r="I67" s="405">
        <f t="shared" si="0"/>
        <v>0</v>
      </c>
      <c r="J67" s="405">
        <f t="shared" si="0"/>
        <v>0</v>
      </c>
      <c r="K67" s="405">
        <f t="shared" si="0"/>
        <v>0</v>
      </c>
      <c r="L67" s="405">
        <f t="shared" si="0"/>
        <v>70688.03016022619</v>
      </c>
      <c r="M67" s="405">
        <f t="shared" si="0"/>
        <v>106032.0452403393</v>
      </c>
      <c r="N67" s="405">
        <f t="shared" si="0"/>
        <v>176720.07540056549</v>
      </c>
      <c r="O67" s="405">
        <f t="shared" si="0"/>
        <v>318096.1357210179</v>
      </c>
      <c r="P67" s="405"/>
      <c r="Q67" s="405"/>
      <c r="R67" s="405"/>
      <c r="S67" s="405">
        <f>S66/$B$67</f>
        <v>300.42412818096136</v>
      </c>
      <c r="T67" s="405">
        <f>T66/$B$67</f>
        <v>114868.04901036757</v>
      </c>
      <c r="U67" s="405"/>
      <c r="V67" s="405">
        <f t="shared" ref="V67:AA67" si="1">V66/$B$67</f>
        <v>220900.09425070687</v>
      </c>
      <c r="W67" s="405">
        <f t="shared" si="1"/>
        <v>176.72007540056552</v>
      </c>
      <c r="X67" s="405">
        <f t="shared" si="1"/>
        <v>1539231.8567389254</v>
      </c>
      <c r="Y67" s="405">
        <f t="shared" si="1"/>
        <v>2977733.2704995284</v>
      </c>
      <c r="Z67" s="405">
        <f t="shared" si="1"/>
        <v>1673539.1140433552</v>
      </c>
      <c r="AA67" s="405">
        <f t="shared" si="1"/>
        <v>3175659.754948162</v>
      </c>
    </row>
    <row r="68" spans="1:32">
      <c r="A68" s="111" t="s">
        <v>602</v>
      </c>
      <c r="B68" s="271">
        <v>0</v>
      </c>
      <c r="C68" s="405">
        <f>C67+C67*$B$68</f>
        <v>0</v>
      </c>
      <c r="D68" s="405">
        <f>D67+D67*$B$68</f>
        <v>0</v>
      </c>
      <c r="E68" s="405">
        <f>E67+E67*$B$68</f>
        <v>0</v>
      </c>
      <c r="F68" s="405">
        <f t="shared" ref="F68:H68" si="2">F67+F67*$B$68</f>
        <v>0</v>
      </c>
      <c r="G68" s="405">
        <f t="shared" si="2"/>
        <v>0</v>
      </c>
      <c r="H68" s="405">
        <f t="shared" si="2"/>
        <v>0</v>
      </c>
      <c r="I68" s="405">
        <f>I67+I67*$B$68</f>
        <v>0</v>
      </c>
      <c r="J68" s="405">
        <f>J67+J67*$B$68</f>
        <v>0</v>
      </c>
      <c r="K68" s="405">
        <f>K67+K67*$B$68</f>
        <v>0</v>
      </c>
      <c r="L68" s="405">
        <f>L67+L67*$B$68</f>
        <v>70688.03016022619</v>
      </c>
      <c r="M68" s="405">
        <f t="shared" ref="M68" si="3">M67+M67*$B$68</f>
        <v>106032.0452403393</v>
      </c>
      <c r="N68" s="405">
        <f t="shared" ref="N68" si="4">N67+N67*$B$68</f>
        <v>176720.07540056549</v>
      </c>
      <c r="O68" s="405">
        <f t="shared" ref="O68" si="5">O67+O67*$B$68</f>
        <v>318096.1357210179</v>
      </c>
      <c r="P68" s="405"/>
      <c r="Q68" s="405"/>
      <c r="R68" s="405"/>
      <c r="S68" s="405"/>
      <c r="T68" s="405">
        <f t="shared" ref="T68" si="6">T67+T67*$B$68</f>
        <v>114868.04901036757</v>
      </c>
      <c r="U68" s="405"/>
      <c r="V68" s="405">
        <f>V67+V67*$B$68</f>
        <v>220900.09425070687</v>
      </c>
      <c r="W68" s="405"/>
      <c r="X68" s="405">
        <f t="shared" ref="X68" si="7">X67+X67*$B$68</f>
        <v>1539231.8567389254</v>
      </c>
      <c r="Y68" s="405">
        <f t="shared" ref="Y68" si="8">Y67+Y67*$B$68</f>
        <v>2977733.2704995284</v>
      </c>
      <c r="Z68" s="406">
        <f t="shared" ref="Z68" si="9">Z67+Z67*$B$68</f>
        <v>1673539.1140433552</v>
      </c>
      <c r="AA68" s="406">
        <f t="shared" ref="AA68" si="10">AA67+AA67*$B$68</f>
        <v>3175659.754948162</v>
      </c>
    </row>
    <row r="69" spans="1:32">
      <c r="C69" s="280"/>
      <c r="D69" s="280"/>
      <c r="E69" s="280"/>
      <c r="F69" s="280"/>
      <c r="G69" s="280"/>
      <c r="H69" s="280"/>
      <c r="I69" s="280" t="s">
        <v>603</v>
      </c>
      <c r="J69" s="501">
        <f>(J68+K68)/2</f>
        <v>0</v>
      </c>
      <c r="K69" s="501"/>
      <c r="L69" s="280"/>
      <c r="M69" s="280"/>
      <c r="N69" s="280"/>
      <c r="O69" s="280"/>
      <c r="P69" s="280"/>
      <c r="Q69" s="480"/>
      <c r="R69" s="480"/>
      <c r="S69" s="280"/>
      <c r="T69" s="280"/>
      <c r="U69" s="280"/>
      <c r="V69" s="280"/>
      <c r="W69" s="280"/>
      <c r="X69" s="280"/>
      <c r="Y69" s="280"/>
      <c r="Z69" s="503">
        <f>(Z68+AA68)/2</f>
        <v>2424599.4344957587</v>
      </c>
      <c r="AA69" s="503"/>
      <c r="AC69" s="198" t="s">
        <v>604</v>
      </c>
    </row>
    <row r="70" spans="1:32">
      <c r="C70" s="280"/>
      <c r="D70" s="280"/>
      <c r="E70" s="280"/>
      <c r="F70" s="280"/>
      <c r="G70" s="280"/>
      <c r="H70" s="280"/>
      <c r="I70" s="280"/>
      <c r="J70" s="281"/>
      <c r="K70" s="281"/>
      <c r="L70" s="280"/>
      <c r="M70" s="280"/>
      <c r="N70" s="280"/>
      <c r="O70" s="280"/>
      <c r="P70" s="280"/>
      <c r="Q70" s="282"/>
      <c r="R70" s="282"/>
      <c r="S70" s="280"/>
      <c r="T70" s="280"/>
      <c r="U70" s="280"/>
      <c r="V70" s="280"/>
      <c r="W70" s="280"/>
      <c r="X70" s="280"/>
      <c r="Y70" s="280"/>
      <c r="Z70" s="504">
        <f>(AA68+Z69)/2</f>
        <v>2800129.5947219604</v>
      </c>
      <c r="AA70" s="504"/>
      <c r="AC70" s="201" t="s">
        <v>605</v>
      </c>
      <c r="AD70" s="202"/>
      <c r="AE70" s="202"/>
    </row>
    <row r="71" spans="1:32">
      <c r="A71" t="s">
        <v>606</v>
      </c>
      <c r="B71">
        <v>10.7639</v>
      </c>
      <c r="C71" s="405">
        <f>C68/$B$71</f>
        <v>0</v>
      </c>
      <c r="D71" s="405">
        <f t="shared" ref="D71:Z71" si="11">D68/$B$71</f>
        <v>0</v>
      </c>
      <c r="E71" s="405">
        <f t="shared" si="11"/>
        <v>0</v>
      </c>
      <c r="F71" s="405">
        <f t="shared" si="11"/>
        <v>0</v>
      </c>
      <c r="G71" s="405">
        <f t="shared" si="11"/>
        <v>0</v>
      </c>
      <c r="H71" s="405">
        <f t="shared" si="11"/>
        <v>0</v>
      </c>
      <c r="I71" s="407">
        <f t="shared" si="11"/>
        <v>0</v>
      </c>
      <c r="J71" s="408">
        <f>J68/$B$71</f>
        <v>0</v>
      </c>
      <c r="K71" s="405">
        <f t="shared" si="11"/>
        <v>0</v>
      </c>
      <c r="L71" s="407">
        <f>L68/$B$71</f>
        <v>6567.1392488063057</v>
      </c>
      <c r="M71" s="405">
        <f t="shared" si="11"/>
        <v>9850.7088732094599</v>
      </c>
      <c r="N71" s="405">
        <f t="shared" si="11"/>
        <v>16417.848122015766</v>
      </c>
      <c r="O71" s="405">
        <f t="shared" si="11"/>
        <v>29552.12661962838</v>
      </c>
      <c r="P71" s="405">
        <f t="shared" si="11"/>
        <v>0</v>
      </c>
      <c r="Q71" s="502">
        <f t="shared" si="11"/>
        <v>0</v>
      </c>
      <c r="R71" s="502">
        <f t="shared" si="11"/>
        <v>0</v>
      </c>
      <c r="S71" s="405"/>
      <c r="T71" s="409">
        <f t="shared" si="11"/>
        <v>10671.601279310247</v>
      </c>
      <c r="U71" s="405">
        <f>(T71+V71)/2</f>
        <v>15596.955715914977</v>
      </c>
      <c r="V71" s="405">
        <f t="shared" si="11"/>
        <v>20522.310152519709</v>
      </c>
      <c r="W71" s="405"/>
      <c r="X71" s="405">
        <f t="shared" si="11"/>
        <v>142999.45714275731</v>
      </c>
      <c r="Y71" s="405">
        <f t="shared" si="11"/>
        <v>276640.74085596565</v>
      </c>
      <c r="Z71" s="405">
        <f t="shared" si="11"/>
        <v>155477.0217154893</v>
      </c>
      <c r="AA71" s="405">
        <f>AA68/$B$71</f>
        <v>295028.73075262329</v>
      </c>
    </row>
    <row r="72" spans="1:32" ht="15" thickBot="1">
      <c r="P72" s="200" t="s">
        <v>603</v>
      </c>
      <c r="Q72" s="502">
        <f>(Q71+R71)/2</f>
        <v>0</v>
      </c>
      <c r="R72" s="502"/>
    </row>
    <row r="73" spans="1:32">
      <c r="A73" s="294" t="s">
        <v>607</v>
      </c>
      <c r="B73" s="402"/>
      <c r="C73" s="290">
        <f>'Local consultant_Summary'!$E$73</f>
        <v>18.548459188018814</v>
      </c>
      <c r="P73" s="200"/>
      <c r="Q73" s="282"/>
      <c r="R73" s="282"/>
    </row>
    <row r="74" spans="1:32">
      <c r="A74" s="295"/>
      <c r="B74" s="291"/>
      <c r="C74" s="403">
        <f>C73/B67</f>
        <v>31217.953393057109</v>
      </c>
      <c r="P74" s="200"/>
      <c r="Q74" s="282"/>
      <c r="R74" s="282"/>
    </row>
    <row r="75" spans="1:32" ht="15" thickBot="1">
      <c r="A75" s="296" t="s">
        <v>602</v>
      </c>
      <c r="B75" s="292">
        <v>0</v>
      </c>
      <c r="C75" s="403">
        <f>C74+C74*$B$68</f>
        <v>31217.953393057109</v>
      </c>
      <c r="P75" s="200"/>
      <c r="Q75" s="282"/>
      <c r="R75" s="282"/>
    </row>
    <row r="76" spans="1:32" ht="15" thickBot="1">
      <c r="A76" s="297" t="s">
        <v>606</v>
      </c>
      <c r="B76" s="293">
        <v>10.7639</v>
      </c>
      <c r="C76" s="404">
        <f>C75/$B$76</f>
        <v>2900.2455794885786</v>
      </c>
      <c r="P76" s="200"/>
      <c r="Q76" s="282"/>
      <c r="R76" s="282"/>
    </row>
    <row r="77" spans="1:32">
      <c r="A77" s="1"/>
      <c r="B77" s="1"/>
      <c r="C77" s="1"/>
      <c r="D77" s="1"/>
      <c r="E77" s="1"/>
      <c r="F77" s="1"/>
    </row>
    <row r="78" spans="1:32">
      <c r="A78" s="12" t="s">
        <v>608</v>
      </c>
      <c r="B78" s="1"/>
      <c r="C78" s="1"/>
      <c r="D78" s="1"/>
      <c r="E78" s="1"/>
      <c r="F78" s="1"/>
    </row>
    <row r="79" spans="1:32">
      <c r="A79" s="229" t="s">
        <v>609</v>
      </c>
      <c r="B79" s="229" t="s">
        <v>610</v>
      </c>
      <c r="C79" s="229" t="s">
        <v>611</v>
      </c>
      <c r="D79" s="1"/>
      <c r="E79" s="1"/>
      <c r="F79" s="1"/>
    </row>
    <row r="80" spans="1:32">
      <c r="A80" s="422">
        <f>C76+L71+T71</f>
        <v>20138.986107605131</v>
      </c>
      <c r="B80" s="423"/>
      <c r="C80" s="424"/>
      <c r="D80" s="1" t="s">
        <v>697</v>
      </c>
      <c r="E80" s="1"/>
      <c r="F80" s="1"/>
    </row>
    <row r="81" spans="1:34">
      <c r="A81" s="1"/>
      <c r="B81" s="1"/>
      <c r="C81" s="1"/>
      <c r="D81" s="1"/>
      <c r="E81" s="1"/>
      <c r="F81" s="1"/>
    </row>
    <row r="82" spans="1:34">
      <c r="A82" s="12" t="s">
        <v>612</v>
      </c>
      <c r="B82" s="1"/>
      <c r="C82" s="1"/>
      <c r="E82" s="1"/>
      <c r="F82" s="1"/>
    </row>
    <row r="83" spans="1:34">
      <c r="A83" s="1" t="s">
        <v>613</v>
      </c>
      <c r="B83" s="1">
        <v>15</v>
      </c>
      <c r="C83" s="1" t="s">
        <v>614</v>
      </c>
      <c r="D83" s="230">
        <f>(B83*B67)/B71</f>
        <v>8.2798985497821432E-4</v>
      </c>
      <c r="E83" s="1" t="s">
        <v>694</v>
      </c>
      <c r="F83" s="1"/>
    </row>
    <row r="84" spans="1:34">
      <c r="A84" s="1" t="s">
        <v>615</v>
      </c>
      <c r="B84" s="1">
        <v>150</v>
      </c>
      <c r="C84" s="1" t="s">
        <v>616</v>
      </c>
      <c r="D84" s="230">
        <f>B84/B67</f>
        <v>252457.25057223643</v>
      </c>
      <c r="E84" s="1" t="s">
        <v>695</v>
      </c>
      <c r="F84" s="1"/>
    </row>
    <row r="85" spans="1:34">
      <c r="A85" s="1" t="s">
        <v>617</v>
      </c>
      <c r="B85" s="1">
        <v>16</v>
      </c>
      <c r="C85" s="161" t="s">
        <v>618</v>
      </c>
      <c r="D85" s="230">
        <f>(B85*'2025 FX Rates'!F138)/B67</f>
        <v>34199.542210852291</v>
      </c>
      <c r="E85" s="1" t="s">
        <v>696</v>
      </c>
      <c r="F85" s="1"/>
    </row>
    <row r="86" spans="1:34">
      <c r="A86" s="1" t="s">
        <v>43</v>
      </c>
      <c r="B86" s="1">
        <v>24</v>
      </c>
      <c r="C86" s="161" t="s">
        <v>618</v>
      </c>
      <c r="D86" s="230">
        <f>(B86*'2025 FX Rates'!F138)/B67</f>
        <v>51299.313316278443</v>
      </c>
      <c r="E86" s="1" t="s">
        <v>696</v>
      </c>
      <c r="F86" s="1"/>
      <c r="Z86">
        <f>(Z54+AA54)/2</f>
        <v>2417.5</v>
      </c>
      <c r="AA86" t="s">
        <v>619</v>
      </c>
    </row>
    <row r="87" spans="1:34">
      <c r="A87" s="1"/>
      <c r="B87" s="1"/>
      <c r="C87" s="1"/>
      <c r="D87" s="1"/>
      <c r="E87" s="1"/>
      <c r="F87" s="1"/>
      <c r="Z87">
        <f>Z86+(Z86*$B$68)</f>
        <v>2417.5</v>
      </c>
      <c r="AA87" t="s">
        <v>620</v>
      </c>
    </row>
    <row r="88" spans="1:34">
      <c r="A88" s="1"/>
      <c r="B88" s="1"/>
      <c r="C88" s="1"/>
      <c r="D88" s="1"/>
      <c r="E88" s="1"/>
      <c r="F88" s="1"/>
    </row>
    <row r="89" spans="1:34" ht="29">
      <c r="A89" s="1"/>
      <c r="B89" s="1"/>
      <c r="C89" s="234" t="s">
        <v>689</v>
      </c>
      <c r="D89" s="231"/>
      <c r="E89" s="235" t="s">
        <v>621</v>
      </c>
      <c r="F89" s="1"/>
      <c r="J89" s="1"/>
      <c r="AB89">
        <f>(Z86+AA54)/2</f>
        <v>2774.25</v>
      </c>
      <c r="AC89" t="s">
        <v>622</v>
      </c>
      <c r="AD89"/>
      <c r="AF89" s="82"/>
      <c r="AG89" s="82"/>
      <c r="AH89" s="83"/>
    </row>
    <row r="90" spans="1:34" ht="43.5">
      <c r="A90" s="1"/>
      <c r="B90" s="4"/>
      <c r="C90" s="233" t="s">
        <v>623</v>
      </c>
      <c r="D90" s="232" t="s">
        <v>624</v>
      </c>
      <c r="E90" s="234" t="s">
        <v>625</v>
      </c>
      <c r="F90" s="1"/>
      <c r="J90" s="1"/>
      <c r="AB90">
        <f>AB89+(AB89*$B$68)</f>
        <v>2774.25</v>
      </c>
      <c r="AC90" t="s">
        <v>620</v>
      </c>
      <c r="AD90"/>
      <c r="AF90" s="82"/>
      <c r="AG90" s="82"/>
      <c r="AH90" s="83"/>
    </row>
    <row r="91" spans="1:34" s="161" customFormat="1">
      <c r="A91" s="239">
        <v>0.1</v>
      </c>
      <c r="B91" s="163" t="s">
        <v>41</v>
      </c>
      <c r="C91" s="426">
        <f>'Local consultant_Summary'!E21/Budget!AK11</f>
        <v>436.08950127321509</v>
      </c>
      <c r="D91" s="427"/>
      <c r="E91" s="428" t="e">
        <f>#REF!/Budget!AK10</f>
        <v>#REF!</v>
      </c>
      <c r="F91" s="177"/>
      <c r="G91"/>
      <c r="H91"/>
      <c r="I91"/>
      <c r="J91" s="162"/>
      <c r="K91"/>
      <c r="L91"/>
      <c r="AE91" s="164"/>
      <c r="AF91" s="164"/>
      <c r="AG91" s="164"/>
      <c r="AH91" s="165"/>
    </row>
    <row r="92" spans="1:34" s="161" customFormat="1">
      <c r="A92" s="162" t="s">
        <v>626</v>
      </c>
      <c r="B92" s="166" t="s">
        <v>81</v>
      </c>
      <c r="C92" s="429">
        <f>C76</f>
        <v>2900.2455794885786</v>
      </c>
      <c r="D92" s="430"/>
      <c r="E92" s="431">
        <f>C76</f>
        <v>2900.2455794885786</v>
      </c>
      <c r="F92" s="162"/>
      <c r="G92"/>
      <c r="H92"/>
      <c r="I92"/>
      <c r="J92" s="162"/>
      <c r="K92"/>
      <c r="L92"/>
      <c r="AE92" s="164"/>
      <c r="AF92" s="164"/>
      <c r="AG92" s="164"/>
      <c r="AH92" s="165"/>
    </row>
    <row r="93" spans="1:34" s="161" customFormat="1">
      <c r="A93" s="162"/>
      <c r="B93" s="166" t="s">
        <v>451</v>
      </c>
      <c r="C93" s="429">
        <f>L71*10%</f>
        <v>656.71392488063066</v>
      </c>
      <c r="D93" s="430"/>
      <c r="E93" s="431"/>
      <c r="F93" s="162"/>
      <c r="G93"/>
      <c r="H93"/>
      <c r="I93"/>
      <c r="J93" s="162"/>
      <c r="K93"/>
      <c r="L93"/>
      <c r="AE93" s="164"/>
      <c r="AF93" s="164"/>
      <c r="AG93" s="164"/>
      <c r="AH93" s="165"/>
    </row>
    <row r="94" spans="1:34" s="161" customFormat="1">
      <c r="A94" s="162"/>
      <c r="B94" s="167" t="s">
        <v>455</v>
      </c>
      <c r="C94" s="431">
        <f>T71*10%</f>
        <v>1067.1601279310248</v>
      </c>
      <c r="D94" s="432"/>
      <c r="E94" s="431"/>
      <c r="G94"/>
      <c r="H94"/>
      <c r="I94"/>
      <c r="J94" s="162"/>
      <c r="K94"/>
      <c r="L94"/>
      <c r="AE94" s="164"/>
      <c r="AF94" s="164"/>
      <c r="AG94" s="164"/>
      <c r="AH94" s="165"/>
    </row>
    <row r="95" spans="1:34" s="161" customFormat="1">
      <c r="A95" s="162" t="s">
        <v>627</v>
      </c>
      <c r="B95" s="166" t="s">
        <v>43</v>
      </c>
      <c r="C95" s="433">
        <f>'Local consultant_Summary'!E27/Budget!AK11</f>
        <v>1460.6494332435718</v>
      </c>
      <c r="D95" s="434"/>
      <c r="E95" s="431" t="e">
        <f>#REF!/Budget!AK10</f>
        <v>#REF!</v>
      </c>
      <c r="F95" s="162"/>
      <c r="G95"/>
      <c r="H95"/>
      <c r="I95"/>
      <c r="J95" s="162"/>
      <c r="K95"/>
      <c r="L95"/>
      <c r="AE95" s="164"/>
      <c r="AF95" s="164"/>
      <c r="AG95" s="164"/>
      <c r="AH95" s="165"/>
    </row>
    <row r="96" spans="1:34" s="161" customFormat="1">
      <c r="A96" s="162" t="s">
        <v>628</v>
      </c>
      <c r="B96" s="168" t="s">
        <v>44</v>
      </c>
      <c r="C96" s="435"/>
      <c r="D96" s="436"/>
      <c r="E96" s="437" t="e">
        <f>#REF!*1.1</f>
        <v>#REF!</v>
      </c>
      <c r="F96" s="162"/>
      <c r="G96"/>
      <c r="H96"/>
      <c r="I96"/>
      <c r="J96" s="162"/>
      <c r="K96"/>
      <c r="L96"/>
      <c r="AE96" s="164"/>
      <c r="AF96" s="164"/>
      <c r="AG96" s="164"/>
      <c r="AH96" s="165"/>
    </row>
    <row r="97" spans="1:34" s="161" customFormat="1">
      <c r="A97" s="162"/>
      <c r="B97" s="162"/>
      <c r="C97" s="438">
        <f>SUM(C91:C96)</f>
        <v>6520.8585668170217</v>
      </c>
      <c r="D97" s="439"/>
      <c r="E97" s="440" t="e">
        <f>SUM(E91:E96)</f>
        <v>#REF!</v>
      </c>
      <c r="F97" s="162"/>
      <c r="G97"/>
      <c r="H97"/>
      <c r="I97"/>
      <c r="J97" s="162"/>
      <c r="AE97" s="164"/>
      <c r="AF97" s="164"/>
      <c r="AG97" s="164"/>
      <c r="AH97" s="165"/>
    </row>
    <row r="98" spans="1:34">
      <c r="A98" s="1"/>
      <c r="B98" s="1"/>
      <c r="C98" s="196"/>
      <c r="D98" s="196"/>
      <c r="E98" s="1"/>
      <c r="F98" s="1"/>
    </row>
    <row r="99" spans="1:34" hidden="1">
      <c r="A99" s="1"/>
      <c r="B99" s="1"/>
      <c r="C99" s="196"/>
      <c r="D99" s="196"/>
      <c r="E99" s="1"/>
      <c r="F99" s="1"/>
      <c r="N99">
        <v>24</v>
      </c>
      <c r="O99" t="s">
        <v>629</v>
      </c>
    </row>
    <row r="100" spans="1:34" hidden="1">
      <c r="A100" s="1"/>
      <c r="B100" s="1" t="s">
        <v>630</v>
      </c>
      <c r="C100" s="196"/>
      <c r="D100" s="425">
        <f>G100/$B$67</f>
        <v>0</v>
      </c>
      <c r="E100" s="1"/>
      <c r="F100" s="1"/>
      <c r="N100">
        <f>N99*1.18</f>
        <v>28.32</v>
      </c>
      <c r="O100" t="s">
        <v>631</v>
      </c>
    </row>
    <row r="101" spans="1:34" hidden="1">
      <c r="A101" s="1"/>
      <c r="B101" s="1"/>
      <c r="C101" s="1"/>
      <c r="D101" s="1"/>
      <c r="E101" s="1"/>
      <c r="F101" s="1"/>
      <c r="N101" t="e">
        <f>N100/B66</f>
        <v>#VALUE!</v>
      </c>
      <c r="O101" t="s">
        <v>200</v>
      </c>
    </row>
    <row r="102" spans="1:34" hidden="1">
      <c r="A102" s="1"/>
      <c r="B102" s="1"/>
      <c r="C102" s="1"/>
      <c r="D102" s="1"/>
      <c r="E102" s="1"/>
      <c r="F102" s="1"/>
    </row>
    <row r="103" spans="1:34" hidden="1">
      <c r="A103" s="1"/>
      <c r="B103" s="288" t="s">
        <v>48</v>
      </c>
      <c r="C103" s="313" t="e">
        <f>200*$B$66</f>
        <v>#VALUE!</v>
      </c>
      <c r="D103" s="288" t="s">
        <v>632</v>
      </c>
      <c r="E103" s="1"/>
      <c r="F103" s="1"/>
    </row>
    <row r="104" spans="1:34" hidden="1">
      <c r="B104" s="288"/>
      <c r="C104" s="289" t="e">
        <f>C103/B67</f>
        <v>#VALUE!</v>
      </c>
      <c r="D104" s="288" t="s">
        <v>632</v>
      </c>
    </row>
    <row r="105" spans="1:34" hidden="1"/>
    <row r="106" spans="1:34" hidden="1"/>
    <row r="107" spans="1:34" hidden="1">
      <c r="C107" s="313" t="e">
        <f>C103/B71</f>
        <v>#VALUE!</v>
      </c>
      <c r="D107" s="288" t="s">
        <v>633</v>
      </c>
    </row>
    <row r="108" spans="1:34" hidden="1">
      <c r="C108" s="289" t="e">
        <f>C104/B71</f>
        <v>#VALUE!</v>
      </c>
      <c r="D108" s="288" t="s">
        <v>633</v>
      </c>
    </row>
    <row r="109" spans="1:34" hidden="1"/>
    <row r="110" spans="1:34" hidden="1"/>
    <row r="111" spans="1:34" hidden="1"/>
    <row r="112" spans="1:34" hidden="1"/>
  </sheetData>
  <mergeCells count="39">
    <mergeCell ref="Z69:AA69"/>
    <mergeCell ref="Z70:AA70"/>
    <mergeCell ref="AC59:AC63"/>
    <mergeCell ref="AD59:AD63"/>
    <mergeCell ref="AE59:AE63"/>
    <mergeCell ref="AF59:AF63"/>
    <mergeCell ref="AC50:AC51"/>
    <mergeCell ref="AD50:AD51"/>
    <mergeCell ref="AE50:AE51"/>
    <mergeCell ref="AF50:AF51"/>
    <mergeCell ref="AC56:AC57"/>
    <mergeCell ref="AD56:AD57"/>
    <mergeCell ref="AE56:AE57"/>
    <mergeCell ref="AF56:AF57"/>
    <mergeCell ref="AC25:AC26"/>
    <mergeCell ref="AD25:AD26"/>
    <mergeCell ref="AE25:AE26"/>
    <mergeCell ref="AF25:AF26"/>
    <mergeCell ref="AC48:AC49"/>
    <mergeCell ref="AD48:AD49"/>
    <mergeCell ref="AE48:AE49"/>
    <mergeCell ref="AF48:AF49"/>
    <mergeCell ref="X1:Y1"/>
    <mergeCell ref="Z1:AA1"/>
    <mergeCell ref="AC1:AF1"/>
    <mergeCell ref="AC15:AC19"/>
    <mergeCell ref="AD15:AD19"/>
    <mergeCell ref="AE15:AE19"/>
    <mergeCell ref="AF15:AF19"/>
    <mergeCell ref="J69:K69"/>
    <mergeCell ref="Q69:R69"/>
    <mergeCell ref="Q72:R72"/>
    <mergeCell ref="T1:V1"/>
    <mergeCell ref="C1:E1"/>
    <mergeCell ref="F1:H1"/>
    <mergeCell ref="I1:K1"/>
    <mergeCell ref="M1:O1"/>
    <mergeCell ref="P1:R1"/>
    <mergeCell ref="Q71:R7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A10F-D945-4F8F-B503-6359A37D1584}">
  <sheetPr>
    <tabColor rgb="FFFFFF00"/>
  </sheetPr>
  <dimension ref="A1:AA83"/>
  <sheetViews>
    <sheetView topLeftCell="A23" zoomScale="85" zoomScaleNormal="85" zoomScaleSheetLayoutView="85" workbookViewId="0">
      <selection activeCell="E23" sqref="E23"/>
    </sheetView>
  </sheetViews>
  <sheetFormatPr defaultRowHeight="14.5" outlineLevelRow="2"/>
  <cols>
    <col min="1" max="1" width="4.26953125" customWidth="1"/>
    <col min="2" max="2" width="2.26953125" customWidth="1"/>
    <col min="3" max="3" width="27.26953125" customWidth="1"/>
    <col min="4" max="4" width="9.26953125" customWidth="1"/>
    <col min="5" max="5" width="17.81640625" style="165" customWidth="1"/>
    <col min="6" max="6" width="2.26953125" customWidth="1"/>
    <col min="7" max="7" width="18.81640625" style="165" customWidth="1"/>
    <col min="8" max="8" width="2.26953125" customWidth="1"/>
    <col min="9" max="9" width="20.54296875" customWidth="1"/>
    <col min="10" max="10" width="2.26953125" customWidth="1"/>
    <col min="11" max="11" width="19.81640625" style="165" customWidth="1"/>
    <col min="12" max="12" width="2.26953125" customWidth="1"/>
    <col min="13" max="13" width="11.1796875" customWidth="1"/>
    <col min="14" max="14" width="2.26953125" customWidth="1"/>
    <col min="15" max="15" width="11.453125" customWidth="1"/>
    <col min="16" max="16" width="2.26953125" customWidth="1"/>
    <col min="17" max="17" width="9.453125" customWidth="1"/>
    <col min="18" max="18" width="13.7265625" customWidth="1"/>
    <col min="20" max="20" width="9.54296875" customWidth="1"/>
    <col min="21" max="21" width="6.81640625" customWidth="1"/>
    <col min="22" max="22" width="2.26953125" customWidth="1"/>
    <col min="23" max="25" width="7.7265625" customWidth="1"/>
  </cols>
  <sheetData>
    <row r="1" spans="1:25">
      <c r="A1" s="1"/>
      <c r="B1" s="1"/>
      <c r="C1" s="1"/>
      <c r="D1" s="1"/>
      <c r="E1" s="324"/>
      <c r="F1" s="1"/>
      <c r="G1" s="324"/>
      <c r="H1" s="1"/>
      <c r="I1" s="1"/>
      <c r="J1" s="1"/>
      <c r="K1" s="3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8.5" customHeight="1">
      <c r="A2" s="1"/>
      <c r="B2" s="325"/>
      <c r="C2" s="507" t="s">
        <v>642</v>
      </c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326"/>
      <c r="C3" s="326" t="s">
        <v>643</v>
      </c>
      <c r="D3" s="508" t="s">
        <v>644</v>
      </c>
      <c r="E3" s="508"/>
      <c r="F3" s="508"/>
      <c r="G3" s="508"/>
      <c r="H3" s="508"/>
      <c r="I3" s="508"/>
      <c r="J3" s="508"/>
      <c r="K3" s="509"/>
      <c r="L3" s="509"/>
      <c r="M3" s="508"/>
      <c r="N3" s="508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326"/>
      <c r="C4" s="326" t="s">
        <v>645</v>
      </c>
      <c r="D4" s="508"/>
      <c r="E4" s="508"/>
      <c r="F4" s="508"/>
      <c r="G4" s="508"/>
      <c r="H4" s="508"/>
      <c r="I4" s="508"/>
      <c r="J4" s="508"/>
      <c r="K4" s="509"/>
      <c r="L4" s="509"/>
      <c r="M4" s="508"/>
      <c r="N4" s="508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326"/>
      <c r="C5" s="326" t="s">
        <v>646</v>
      </c>
      <c r="D5" s="508" t="s">
        <v>647</v>
      </c>
      <c r="E5" s="508"/>
      <c r="F5" s="508"/>
      <c r="G5" s="508"/>
      <c r="H5" s="508"/>
      <c r="I5" s="508"/>
      <c r="J5" s="508"/>
      <c r="K5" s="509"/>
      <c r="L5" s="509"/>
      <c r="M5" s="508"/>
      <c r="N5" s="508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326"/>
      <c r="C6" s="326" t="s">
        <v>648</v>
      </c>
      <c r="D6" s="505"/>
      <c r="E6" s="505"/>
      <c r="F6" s="505"/>
      <c r="G6" s="505"/>
      <c r="H6" s="505"/>
      <c r="I6" s="505"/>
      <c r="J6" s="505"/>
      <c r="K6" s="505"/>
      <c r="L6" s="505"/>
      <c r="M6" s="505"/>
      <c r="N6" s="505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/>
      <c r="B7" s="326"/>
      <c r="C7" s="326" t="s">
        <v>649</v>
      </c>
      <c r="D7" s="505"/>
      <c r="E7" s="505"/>
      <c r="F7" s="505"/>
      <c r="G7" s="505"/>
      <c r="H7" s="505"/>
      <c r="I7" s="505"/>
      <c r="J7" s="505"/>
      <c r="K7" s="506"/>
      <c r="L7" s="506"/>
      <c r="M7" s="505"/>
      <c r="N7" s="505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/>
      <c r="B8" s="326"/>
      <c r="C8" s="326" t="s">
        <v>650</v>
      </c>
      <c r="D8" s="505"/>
      <c r="E8" s="505"/>
      <c r="F8" s="505"/>
      <c r="G8" s="505"/>
      <c r="H8" s="505"/>
      <c r="I8" s="505"/>
      <c r="J8" s="505"/>
      <c r="K8" s="506"/>
      <c r="L8" s="506"/>
      <c r="M8" s="505"/>
      <c r="N8" s="505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/>
      <c r="B9" s="326"/>
      <c r="C9" s="326" t="s">
        <v>651</v>
      </c>
      <c r="D9" s="505"/>
      <c r="E9" s="505"/>
      <c r="F9" s="505"/>
      <c r="G9" s="505"/>
      <c r="H9" s="505"/>
      <c r="I9" s="505"/>
      <c r="J9" s="505"/>
      <c r="K9" s="506"/>
      <c r="L9" s="506"/>
      <c r="M9" s="505"/>
      <c r="N9" s="505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/>
      <c r="B10" s="326"/>
      <c r="C10" s="326" t="s">
        <v>652</v>
      </c>
      <c r="D10" s="513"/>
      <c r="E10" s="513"/>
      <c r="F10" s="513"/>
      <c r="G10" s="513"/>
      <c r="H10" s="513"/>
      <c r="I10" s="513"/>
      <c r="J10" s="513"/>
      <c r="K10" s="514"/>
      <c r="L10" s="514"/>
      <c r="M10" s="513"/>
      <c r="N10" s="51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326"/>
      <c r="C11" s="326" t="s">
        <v>653</v>
      </c>
      <c r="D11" s="508" t="s">
        <v>654</v>
      </c>
      <c r="E11" s="508"/>
      <c r="F11" s="508"/>
      <c r="G11" s="508"/>
      <c r="H11" s="508"/>
      <c r="I11" s="508"/>
      <c r="J11" s="508"/>
      <c r="K11" s="509"/>
      <c r="L11" s="509"/>
      <c r="M11" s="508"/>
      <c r="N11" s="50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326"/>
      <c r="C12" s="326" t="s">
        <v>655</v>
      </c>
      <c r="D12" s="515" t="s">
        <v>656</v>
      </c>
      <c r="E12" s="515"/>
      <c r="F12" s="515"/>
      <c r="G12" s="515"/>
      <c r="H12" s="515"/>
      <c r="I12" s="515"/>
      <c r="J12" s="515"/>
      <c r="K12" s="515"/>
      <c r="L12" s="515"/>
      <c r="M12" s="515"/>
      <c r="N12" s="51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/>
      <c r="B13" s="326"/>
      <c r="C13" s="326" t="s">
        <v>657</v>
      </c>
      <c r="D13" s="516">
        <f>'[2]2025 Fixed MMC FX Rates'!F95</f>
        <v>5.9416000000000004E-4</v>
      </c>
      <c r="E13" s="516"/>
      <c r="F13" s="516"/>
      <c r="G13" s="516"/>
      <c r="H13" s="516"/>
      <c r="I13" s="516"/>
      <c r="J13" s="516"/>
      <c r="K13" s="517"/>
      <c r="L13" s="517"/>
      <c r="M13" s="516"/>
      <c r="N13" s="51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8.5" customHeight="1">
      <c r="A14" s="1"/>
      <c r="B14" s="327"/>
      <c r="C14" s="327"/>
      <c r="D14" s="1"/>
      <c r="E14" s="324"/>
      <c r="F14" s="1"/>
      <c r="G14" s="324"/>
      <c r="H14" s="1"/>
      <c r="I14" s="1"/>
      <c r="J14" s="1"/>
      <c r="K14" s="324"/>
      <c r="L14" s="1"/>
      <c r="M14" s="1"/>
      <c r="N14" s="1"/>
      <c r="O14" s="1"/>
      <c r="P14" s="1"/>
      <c r="R14" s="1"/>
      <c r="S14" s="1"/>
      <c r="T14" s="1"/>
      <c r="U14" s="1"/>
      <c r="V14" s="1"/>
      <c r="W14" s="1"/>
      <c r="X14" s="1"/>
      <c r="Y14" s="1"/>
    </row>
    <row r="15" spans="1:25" outlineLevel="1">
      <c r="A15" s="1"/>
      <c r="B15" s="328"/>
      <c r="C15" s="510" t="s">
        <v>658</v>
      </c>
      <c r="D15" s="510"/>
      <c r="E15" s="510"/>
      <c r="F15" s="510"/>
      <c r="G15" s="510"/>
      <c r="H15" s="510"/>
      <c r="I15" s="510"/>
      <c r="J15" s="510"/>
      <c r="K15" s="510"/>
      <c r="L15" s="510"/>
      <c r="M15" s="510"/>
      <c r="N15" s="51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outlineLevel="1">
      <c r="A16" s="1"/>
      <c r="B16" s="329"/>
      <c r="C16" s="509"/>
      <c r="D16" s="509"/>
      <c r="E16" s="509"/>
      <c r="F16" s="509"/>
      <c r="G16" s="509"/>
      <c r="H16" s="509"/>
      <c r="I16" s="509"/>
      <c r="J16" s="509"/>
      <c r="K16" s="509"/>
      <c r="L16" s="509"/>
      <c r="M16" s="509"/>
      <c r="N16" s="5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outlineLevel="1">
      <c r="A17" s="1"/>
      <c r="B17" s="98"/>
      <c r="C17" s="1"/>
      <c r="D17" s="1"/>
      <c r="E17" s="324"/>
      <c r="F17" s="1"/>
      <c r="G17" s="324"/>
      <c r="H17" s="1"/>
      <c r="I17" s="1"/>
      <c r="J17" s="1"/>
      <c r="K17" s="324"/>
      <c r="L17" s="1"/>
      <c r="M17" s="1"/>
      <c r="N17" s="3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outlineLevel="1">
      <c r="A18" s="1"/>
      <c r="B18" s="98"/>
      <c r="C18" s="1"/>
      <c r="D18" s="1"/>
      <c r="E18" s="324"/>
      <c r="F18" s="1"/>
      <c r="G18" s="324"/>
      <c r="H18" s="1"/>
      <c r="I18" s="1"/>
      <c r="J18" s="1"/>
      <c r="K18" s="324"/>
      <c r="L18" s="1"/>
      <c r="M18" s="1"/>
      <c r="N18" s="3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" outlineLevel="1">
      <c r="A19" s="1"/>
      <c r="B19" s="98"/>
      <c r="C19" s="1"/>
      <c r="D19" s="1"/>
      <c r="E19" s="330" t="s">
        <v>659</v>
      </c>
      <c r="F19" s="331"/>
      <c r="G19" s="330" t="s">
        <v>660</v>
      </c>
      <c r="H19" s="331"/>
      <c r="I19" s="330" t="s">
        <v>661</v>
      </c>
      <c r="J19" s="331"/>
      <c r="K19" s="330" t="s">
        <v>662</v>
      </c>
      <c r="L19" s="1"/>
      <c r="M19" s="332" t="s">
        <v>663</v>
      </c>
      <c r="N19" s="30"/>
      <c r="O19" s="1"/>
      <c r="P19" s="333"/>
      <c r="Q19" s="334"/>
      <c r="R19" s="334"/>
      <c r="S19" s="334"/>
      <c r="T19" s="334"/>
      <c r="U19" s="334"/>
      <c r="V19" s="335"/>
      <c r="W19" s="1"/>
      <c r="X19" s="1"/>
      <c r="Y19" s="1"/>
    </row>
    <row r="20" spans="1:25" outlineLevel="1">
      <c r="A20" s="1"/>
      <c r="B20" s="98"/>
      <c r="C20" s="1"/>
      <c r="D20" s="1"/>
      <c r="E20" s="336"/>
      <c r="F20" s="331"/>
      <c r="G20" s="336"/>
      <c r="H20" s="331"/>
      <c r="I20" s="331"/>
      <c r="J20" s="331"/>
      <c r="K20" s="336"/>
      <c r="L20" s="1"/>
      <c r="M20" s="1"/>
      <c r="N20" s="30"/>
      <c r="O20" s="1"/>
      <c r="P20" s="98"/>
      <c r="Q20" s="509" t="s">
        <v>664</v>
      </c>
      <c r="R20" s="509"/>
      <c r="S20" s="509"/>
      <c r="T20" s="509"/>
      <c r="U20" s="509"/>
      <c r="V20" s="30"/>
      <c r="W20" s="1"/>
      <c r="X20" s="1"/>
      <c r="Y20" s="1"/>
    </row>
    <row r="21" spans="1:25" outlineLevel="1">
      <c r="A21" s="1"/>
      <c r="B21" s="337"/>
      <c r="C21" s="338" t="s">
        <v>665</v>
      </c>
      <c r="D21" s="339"/>
      <c r="E21" s="396">
        <f>(E23+E27)*10%</f>
        <v>20958816.190000001</v>
      </c>
      <c r="F21" s="341"/>
      <c r="G21" s="342">
        <f>[2]LocalCurrency_Detail!E4</f>
        <v>0</v>
      </c>
      <c r="H21" s="341"/>
      <c r="I21" s="342">
        <f>[2]LocalCurrency_Detail!E4+[2]LocalCurrency_Detail!F4</f>
        <v>0</v>
      </c>
      <c r="J21" s="341"/>
      <c r="K21" s="342">
        <f>G21-E21</f>
        <v>-20958816.190000001</v>
      </c>
      <c r="L21" s="339"/>
      <c r="M21" s="343">
        <f>IFERROR(K21/E21,0)</f>
        <v>-1</v>
      </c>
      <c r="N21" s="30"/>
      <c r="O21" s="1"/>
      <c r="P21" s="98"/>
      <c r="Q21" s="344"/>
      <c r="R21" s="345" t="s">
        <v>666</v>
      </c>
      <c r="S21" s="345" t="s">
        <v>667</v>
      </c>
      <c r="T21" s="345" t="s">
        <v>668</v>
      </c>
      <c r="U21" s="344"/>
      <c r="V21" s="30"/>
      <c r="W21" s="1"/>
      <c r="X21" s="1"/>
      <c r="Y21" s="1"/>
    </row>
    <row r="22" spans="1:25" outlineLevel="1">
      <c r="A22" s="1"/>
      <c r="B22" s="337"/>
      <c r="C22" s="346"/>
      <c r="D22" s="1"/>
      <c r="E22" s="347"/>
      <c r="F22" s="348"/>
      <c r="G22" s="349"/>
      <c r="H22" s="348"/>
      <c r="I22" s="349"/>
      <c r="J22" s="348"/>
      <c r="K22" s="349"/>
      <c r="L22" s="1"/>
      <c r="M22" s="1"/>
      <c r="N22" s="30"/>
      <c r="O22" s="98"/>
      <c r="P22" s="98"/>
      <c r="Q22" s="350"/>
      <c r="R22" s="351" t="s">
        <v>669</v>
      </c>
      <c r="S22" s="352" t="s">
        <v>670</v>
      </c>
      <c r="T22" s="353">
        <f>IFERROR(I23/D6,0)</f>
        <v>0</v>
      </c>
      <c r="U22" s="350"/>
      <c r="V22" s="30"/>
      <c r="W22" s="1"/>
      <c r="X22" s="1"/>
      <c r="Y22" s="1"/>
    </row>
    <row r="23" spans="1:25" outlineLevel="1">
      <c r="A23" s="1"/>
      <c r="B23" s="337"/>
      <c r="C23" s="338" t="s">
        <v>671</v>
      </c>
      <c r="D23" s="339"/>
      <c r="E23" s="340">
        <v>139388161.90000001</v>
      </c>
      <c r="F23" s="341"/>
      <c r="G23" s="342">
        <f>[2]LocalCurrency_Detail!G4+[2]LocalCurrency_Detail!M4</f>
        <v>0</v>
      </c>
      <c r="H23" s="341"/>
      <c r="I23" s="342">
        <f>[2]LocalCurrency_Detail!G4+[2]LocalCurrency_Detail!H4+[2]LocalCurrency_Detail!M4+[2]LocalCurrency_Detail!N4</f>
        <v>0</v>
      </c>
      <c r="J23" s="341"/>
      <c r="K23" s="342">
        <f>G23-E23</f>
        <v>-139388161.90000001</v>
      </c>
      <c r="L23" s="339"/>
      <c r="M23" s="343">
        <f>IFERROR(K23/E23,0)</f>
        <v>-1</v>
      </c>
      <c r="N23" s="30"/>
      <c r="O23" s="1"/>
      <c r="P23" s="98"/>
      <c r="Q23" s="350"/>
      <c r="R23" s="354" t="s">
        <v>672</v>
      </c>
      <c r="S23" s="352" t="s">
        <v>670</v>
      </c>
      <c r="T23" s="353">
        <f>IFERROR((I23-[2]LocalCurrency_Detail!$M$4-[2]LocalCurrency_Detail!$N$4)/$D$6,0)</f>
        <v>0</v>
      </c>
      <c r="U23" s="350"/>
      <c r="V23" s="30"/>
      <c r="W23" s="1"/>
      <c r="X23" s="1"/>
      <c r="Y23" s="1"/>
    </row>
    <row r="24" spans="1:25" outlineLevel="1">
      <c r="A24" s="1"/>
      <c r="B24" s="337"/>
      <c r="C24" s="346"/>
      <c r="D24" s="1"/>
      <c r="E24" s="347"/>
      <c r="F24" s="348"/>
      <c r="G24" s="355"/>
      <c r="H24" s="348"/>
      <c r="I24" s="355"/>
      <c r="J24" s="348"/>
      <c r="K24" s="349"/>
      <c r="L24" s="1"/>
      <c r="M24" s="1"/>
      <c r="N24" s="30"/>
      <c r="O24" s="1"/>
      <c r="P24" s="98"/>
      <c r="Q24" s="350"/>
      <c r="R24" s="354" t="s">
        <v>673</v>
      </c>
      <c r="S24" s="352" t="s">
        <v>670</v>
      </c>
      <c r="T24" s="353">
        <f>IFERROR((I23-[2]LocalCurrency_Detail!$G$4-[2]LocalCurrency_Detail!$H$4)/$D$6,0)</f>
        <v>0</v>
      </c>
      <c r="U24" s="350"/>
      <c r="V24" s="30"/>
      <c r="W24" s="1"/>
      <c r="X24" s="1"/>
      <c r="Y24" s="1"/>
    </row>
    <row r="25" spans="1:25" outlineLevel="1">
      <c r="A25" s="1"/>
      <c r="B25" s="337"/>
      <c r="C25" s="338" t="s">
        <v>674</v>
      </c>
      <c r="D25" s="339"/>
      <c r="E25" s="340"/>
      <c r="F25" s="341"/>
      <c r="G25" s="342">
        <f>[2]LocalCurrency_Detail!K4</f>
        <v>0</v>
      </c>
      <c r="H25" s="341"/>
      <c r="I25" s="342">
        <f>[2]LocalCurrency_Detail!K4+[2]LocalCurrency_Detail!L4</f>
        <v>0</v>
      </c>
      <c r="J25" s="341"/>
      <c r="K25" s="342">
        <f>G25-E25</f>
        <v>0</v>
      </c>
      <c r="L25" s="339"/>
      <c r="M25" s="343">
        <f>IFERROR(K25/E25,0)</f>
        <v>0</v>
      </c>
      <c r="N25" s="30"/>
      <c r="O25" s="1"/>
      <c r="P25" s="98"/>
      <c r="Q25" s="350"/>
      <c r="R25" s="354" t="s">
        <v>617</v>
      </c>
      <c r="S25" s="352" t="s">
        <v>670</v>
      </c>
      <c r="T25" s="353">
        <f>IFERROR($I$25/$D$6,0)</f>
        <v>0</v>
      </c>
      <c r="U25" s="350"/>
      <c r="V25" s="30"/>
      <c r="W25" s="1"/>
      <c r="X25" s="1"/>
      <c r="Y25" s="1"/>
    </row>
    <row r="26" spans="1:25" outlineLevel="1">
      <c r="A26" s="1"/>
      <c r="B26" s="337"/>
      <c r="C26" s="356"/>
      <c r="D26" s="334"/>
      <c r="E26" s="357"/>
      <c r="F26" s="358"/>
      <c r="G26" s="359"/>
      <c r="H26" s="358"/>
      <c r="I26" s="359"/>
      <c r="J26" s="358"/>
      <c r="K26" s="359"/>
      <c r="L26" s="334"/>
      <c r="M26" s="334"/>
      <c r="N26" s="30"/>
      <c r="O26" s="1"/>
      <c r="P26" s="98"/>
      <c r="Q26" s="350"/>
      <c r="R26" s="354" t="s">
        <v>43</v>
      </c>
      <c r="S26" s="352" t="s">
        <v>670</v>
      </c>
      <c r="T26" s="353">
        <f>IFERROR(I27/D6,0)</f>
        <v>0</v>
      </c>
      <c r="U26" s="350"/>
      <c r="V26" s="30"/>
      <c r="W26" s="1"/>
      <c r="X26" s="1"/>
      <c r="Y26" s="1"/>
    </row>
    <row r="27" spans="1:25" outlineLevel="1">
      <c r="A27" s="1"/>
      <c r="B27" s="337"/>
      <c r="C27" s="338" t="s">
        <v>43</v>
      </c>
      <c r="D27" s="339"/>
      <c r="E27" s="340">
        <v>70200000</v>
      </c>
      <c r="F27" s="341"/>
      <c r="G27" s="342">
        <f>[2]LocalCurrency_Detail!I4</f>
        <v>0</v>
      </c>
      <c r="H27" s="341"/>
      <c r="I27" s="342">
        <f>[2]LocalCurrency_Detail!I4+[2]LocalCurrency_Detail!J4</f>
        <v>0</v>
      </c>
      <c r="J27" s="341"/>
      <c r="K27" s="342">
        <f>G27-E27</f>
        <v>-70200000</v>
      </c>
      <c r="L27" s="339"/>
      <c r="M27" s="343">
        <f>IFERROR(K27/E27,0)</f>
        <v>-1</v>
      </c>
      <c r="N27" s="30"/>
      <c r="O27" s="1"/>
      <c r="P27" s="98"/>
      <c r="Q27" s="350"/>
      <c r="R27" s="354" t="s">
        <v>43</v>
      </c>
      <c r="S27" s="352" t="s">
        <v>637</v>
      </c>
      <c r="T27" s="353">
        <f>IFERROR(I27/D8,0)</f>
        <v>0</v>
      </c>
      <c r="U27" s="350"/>
      <c r="V27" s="30"/>
      <c r="W27" s="1"/>
      <c r="X27" s="1"/>
      <c r="Y27" s="1"/>
    </row>
    <row r="28" spans="1:25" outlineLevel="1">
      <c r="A28" s="1"/>
      <c r="B28" s="337"/>
      <c r="C28" s="346"/>
      <c r="D28" s="1"/>
      <c r="E28" s="349"/>
      <c r="F28" s="348"/>
      <c r="G28" s="349"/>
      <c r="H28" s="348"/>
      <c r="I28" s="349"/>
      <c r="J28" s="348"/>
      <c r="K28" s="349"/>
      <c r="L28" s="1"/>
      <c r="M28" s="1"/>
      <c r="N28" s="30"/>
      <c r="O28" s="1"/>
      <c r="P28" s="98"/>
      <c r="Q28" s="350"/>
      <c r="R28" s="354" t="s">
        <v>41</v>
      </c>
      <c r="S28" s="352" t="s">
        <v>94</v>
      </c>
      <c r="T28" s="360" t="e">
        <f>G21/SUM(I23:I27)</f>
        <v>#DIV/0!</v>
      </c>
      <c r="U28" s="350"/>
      <c r="V28" s="30"/>
      <c r="W28" s="1"/>
      <c r="X28" s="1"/>
      <c r="Y28" s="1"/>
    </row>
    <row r="29" spans="1:25" ht="15" outlineLevel="1" thickBot="1">
      <c r="A29" s="1"/>
      <c r="B29" s="337"/>
      <c r="C29" s="13" t="s">
        <v>675</v>
      </c>
      <c r="D29" s="13"/>
      <c r="E29" s="361">
        <f>SUM(E21:E27)</f>
        <v>230546978.09</v>
      </c>
      <c r="F29" s="362"/>
      <c r="G29" s="363">
        <f>SUM(G21:G27)</f>
        <v>0</v>
      </c>
      <c r="H29" s="362"/>
      <c r="I29" s="363">
        <f>SUM(I21:I27)</f>
        <v>0</v>
      </c>
      <c r="J29" s="362"/>
      <c r="K29" s="363">
        <f>G29-E29</f>
        <v>-230546978.09</v>
      </c>
      <c r="L29" s="13"/>
      <c r="M29" s="364">
        <f>IFERROR(K29/E29,0)</f>
        <v>-1</v>
      </c>
      <c r="N29" s="30"/>
      <c r="O29" s="1"/>
      <c r="P29" s="98"/>
      <c r="Q29" s="350"/>
      <c r="R29" s="354" t="s">
        <v>676</v>
      </c>
      <c r="S29" s="352" t="s">
        <v>670</v>
      </c>
      <c r="T29" s="353">
        <f>IFERROR(I29/D6,0)</f>
        <v>0</v>
      </c>
      <c r="U29" s="350"/>
      <c r="V29" s="30"/>
      <c r="W29" s="1"/>
      <c r="X29" s="1"/>
      <c r="Y29" s="1"/>
    </row>
    <row r="30" spans="1:25" ht="15" outlineLevel="1" thickTop="1">
      <c r="A30" s="1"/>
      <c r="B30" s="337"/>
      <c r="C30" s="365"/>
      <c r="D30" s="366"/>
      <c r="E30" s="367"/>
      <c r="F30" s="368"/>
      <c r="G30" s="367"/>
      <c r="H30" s="368"/>
      <c r="I30" s="367"/>
      <c r="J30" s="368"/>
      <c r="K30" s="367"/>
      <c r="L30" s="366"/>
      <c r="M30" s="366"/>
      <c r="N30" s="30"/>
      <c r="O30" s="1"/>
      <c r="P30" s="98"/>
      <c r="Q30" s="350"/>
      <c r="R30" s="354" t="s">
        <v>676</v>
      </c>
      <c r="S30" s="352" t="s">
        <v>634</v>
      </c>
      <c r="T30" s="353">
        <f>IFERROR(I29/D7,0)</f>
        <v>0</v>
      </c>
      <c r="U30" s="350"/>
      <c r="V30" s="30"/>
      <c r="W30" s="1"/>
      <c r="X30" s="1"/>
      <c r="Y30" s="1"/>
    </row>
    <row r="31" spans="1:25" outlineLevel="2">
      <c r="A31" s="1"/>
      <c r="B31" s="337"/>
      <c r="C31" s="338" t="s">
        <v>677</v>
      </c>
      <c r="D31" s="339"/>
      <c r="E31" s="340"/>
      <c r="F31" s="341"/>
      <c r="G31" s="342"/>
      <c r="H31" s="341"/>
      <c r="I31" s="342">
        <f>G31</f>
        <v>0</v>
      </c>
      <c r="J31" s="341"/>
      <c r="K31" s="342">
        <f t="shared" ref="K31:K33" si="0">I31-E31</f>
        <v>0</v>
      </c>
      <c r="L31" s="339"/>
      <c r="M31" s="343">
        <f>IFERROR(K31/E31,0)</f>
        <v>0</v>
      </c>
      <c r="N31" s="30"/>
      <c r="O31" s="1"/>
      <c r="P31" s="369"/>
      <c r="Q31" s="339"/>
      <c r="R31" s="339"/>
      <c r="S31" s="339"/>
      <c r="T31" s="370"/>
      <c r="U31" s="339"/>
      <c r="V31" s="371"/>
      <c r="W31" s="1"/>
      <c r="X31" s="1"/>
      <c r="Y31" s="1"/>
    </row>
    <row r="32" spans="1:25" outlineLevel="2">
      <c r="A32" s="1"/>
      <c r="B32" s="337"/>
      <c r="C32" s="372" t="s">
        <v>678</v>
      </c>
      <c r="D32" s="350"/>
      <c r="E32" s="340"/>
      <c r="F32" s="341"/>
      <c r="G32" s="373"/>
      <c r="H32" s="341"/>
      <c r="I32" s="374">
        <f>G32</f>
        <v>0</v>
      </c>
      <c r="J32" s="341"/>
      <c r="K32" s="342">
        <f>I32-E32</f>
        <v>0</v>
      </c>
      <c r="L32" s="339"/>
      <c r="M32" s="343">
        <f>IFERROR(K32/E32,0)</f>
        <v>0</v>
      </c>
      <c r="N32" s="3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7" outlineLevel="2">
      <c r="A33" s="1"/>
      <c r="B33" s="337"/>
      <c r="C33" s="372" t="s">
        <v>679</v>
      </c>
      <c r="D33" s="350"/>
      <c r="E33" s="340"/>
      <c r="F33" s="375"/>
      <c r="G33" s="342"/>
      <c r="H33" s="375"/>
      <c r="I33" s="374">
        <f>G33</f>
        <v>0</v>
      </c>
      <c r="J33" s="375"/>
      <c r="K33" s="342">
        <f t="shared" si="0"/>
        <v>0</v>
      </c>
      <c r="L33" s="350"/>
      <c r="M33" s="343">
        <f>IFERROR(K33/E33,0)</f>
        <v>0</v>
      </c>
      <c r="N33" s="3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7" outlineLevel="2">
      <c r="A34" s="1"/>
      <c r="B34" s="337"/>
      <c r="C34" s="346"/>
      <c r="D34" s="1"/>
      <c r="E34" s="349"/>
      <c r="F34" s="348"/>
      <c r="G34" s="349"/>
      <c r="H34" s="348"/>
      <c r="I34" s="349"/>
      <c r="J34" s="348"/>
      <c r="K34" s="349"/>
      <c r="L34" s="1"/>
      <c r="M34" s="376"/>
      <c r="N34" s="3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7" outlineLevel="1">
      <c r="A35" s="1"/>
      <c r="B35" s="337"/>
      <c r="C35" s="377" t="s">
        <v>680</v>
      </c>
      <c r="D35" s="378"/>
      <c r="E35" s="379">
        <v>7745192.3477499615</v>
      </c>
      <c r="F35" s="380"/>
      <c r="G35" s="379">
        <f>[2]LocalCurrency_Detail!O4</f>
        <v>0</v>
      </c>
      <c r="H35" s="380"/>
      <c r="I35" s="379">
        <f>[2]LocalCurrency_Detail!O4+[2]LocalCurrency_Detail!P4</f>
        <v>0</v>
      </c>
      <c r="J35" s="380"/>
      <c r="K35" s="379">
        <f>I35-E35</f>
        <v>-7745192.3477499615</v>
      </c>
      <c r="L35" s="378"/>
      <c r="M35" s="381">
        <f>IFERROR(K35/E35,0)</f>
        <v>-1</v>
      </c>
      <c r="N35" s="3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7">
      <c r="C36" s="377" t="s">
        <v>681</v>
      </c>
      <c r="D36" s="378"/>
      <c r="E36" s="379">
        <v>0</v>
      </c>
      <c r="F36" s="380"/>
      <c r="G36" s="379">
        <v>0</v>
      </c>
      <c r="H36" s="380"/>
      <c r="I36" s="379">
        <v>0</v>
      </c>
      <c r="J36" s="380"/>
      <c r="K36" s="379">
        <f>I36-E36</f>
        <v>0</v>
      </c>
      <c r="L36" s="378"/>
      <c r="M36" s="381">
        <f>IFERROR(K36/E36,0)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7" outlineLevel="1">
      <c r="A37" s="1"/>
      <c r="B37" s="337"/>
      <c r="C37" s="382"/>
      <c r="D37" s="383"/>
      <c r="E37" s="384"/>
      <c r="F37" s="385"/>
      <c r="G37" s="384"/>
      <c r="H37" s="385"/>
      <c r="I37" s="384"/>
      <c r="J37" s="385"/>
      <c r="K37" s="384"/>
      <c r="L37" s="383"/>
      <c r="M37" s="386"/>
      <c r="N37" s="3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7" ht="15" outlineLevel="1" thickBot="1">
      <c r="A38" s="1"/>
      <c r="B38" s="98"/>
      <c r="C38" s="13" t="s">
        <v>682</v>
      </c>
      <c r="D38" s="13"/>
      <c r="E38" s="361">
        <f>E29+E31+E32+E33</f>
        <v>230546978.09</v>
      </c>
      <c r="F38" s="362"/>
      <c r="G38" s="363">
        <f>G29+G31+G32+G33</f>
        <v>0</v>
      </c>
      <c r="H38" s="362"/>
      <c r="I38" s="363">
        <f>SUM(I29)+I31+I32+I33+I35+I36</f>
        <v>0</v>
      </c>
      <c r="J38" s="362"/>
      <c r="K38" s="363">
        <f>G38-E38</f>
        <v>-230546978.09</v>
      </c>
      <c r="L38" s="13"/>
      <c r="M38" s="364">
        <f>IFERROR(K38/E38,0)</f>
        <v>-1</v>
      </c>
      <c r="N38" s="3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7" ht="15" outlineLevel="1" thickTop="1">
      <c r="A39" s="1"/>
      <c r="B39" s="98"/>
      <c r="C39" s="339"/>
      <c r="D39" s="339"/>
      <c r="E39" s="387"/>
      <c r="F39" s="339"/>
      <c r="G39" s="387"/>
      <c r="H39" s="339"/>
      <c r="I39" s="339"/>
      <c r="J39" s="339"/>
      <c r="K39" s="387"/>
      <c r="L39" s="339"/>
      <c r="M39" s="339"/>
      <c r="N39" s="37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7">
      <c r="A40" s="1"/>
      <c r="B40" s="329"/>
      <c r="C40" s="510" t="s">
        <v>683</v>
      </c>
      <c r="D40" s="510"/>
      <c r="E40" s="510"/>
      <c r="F40" s="510"/>
      <c r="G40" s="510"/>
      <c r="H40" s="510"/>
      <c r="I40" s="510"/>
      <c r="J40" s="510"/>
      <c r="K40" s="510"/>
      <c r="L40" s="510"/>
      <c r="M40" s="510"/>
      <c r="N40" s="5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388"/>
      <c r="AA40" s="388"/>
    </row>
    <row r="41" spans="1:27">
      <c r="A41" s="1"/>
      <c r="B41" s="329"/>
      <c r="C41" s="509"/>
      <c r="D41" s="509"/>
      <c r="E41" s="509"/>
      <c r="F41" s="509"/>
      <c r="G41" s="509"/>
      <c r="H41" s="509"/>
      <c r="I41" s="509"/>
      <c r="J41" s="509"/>
      <c r="K41" s="509"/>
      <c r="L41" s="509"/>
      <c r="M41" s="509"/>
      <c r="N41" s="51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388"/>
      <c r="AA41" s="388"/>
    </row>
    <row r="42" spans="1:27">
      <c r="A42" s="1"/>
      <c r="B42" s="98"/>
      <c r="C42" s="1"/>
      <c r="D42" s="1"/>
      <c r="E42" s="330"/>
      <c r="F42" s="331"/>
      <c r="G42" s="330"/>
      <c r="H42" s="331"/>
      <c r="I42" s="331"/>
      <c r="J42" s="331"/>
      <c r="K42" s="330"/>
      <c r="L42" s="1"/>
      <c r="M42" s="332"/>
      <c r="N42" s="3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7">
      <c r="A43" s="1"/>
      <c r="B43" s="98"/>
      <c r="C43" s="1"/>
      <c r="D43" s="1"/>
      <c r="E43" s="330"/>
      <c r="F43" s="331"/>
      <c r="G43" s="330"/>
      <c r="H43" s="331"/>
      <c r="I43" s="331"/>
      <c r="J43" s="331"/>
      <c r="K43" s="330"/>
      <c r="L43" s="1"/>
      <c r="M43" s="332"/>
      <c r="N43" s="3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7" ht="29">
      <c r="A44" s="1"/>
      <c r="B44" s="98"/>
      <c r="C44" s="1"/>
      <c r="D44" s="1"/>
      <c r="E44" s="330" t="str">
        <f>E19</f>
        <v>AM Capex Budget</v>
      </c>
      <c r="F44" s="331"/>
      <c r="G44" s="330" t="s">
        <v>660</v>
      </c>
      <c r="H44" s="331"/>
      <c r="I44" s="330" t="s">
        <v>661</v>
      </c>
      <c r="J44" s="331"/>
      <c r="K44" s="330" t="s">
        <v>85</v>
      </c>
      <c r="L44" s="1"/>
      <c r="M44" s="332" t="s">
        <v>663</v>
      </c>
      <c r="N44" s="30"/>
      <c r="O44" s="1"/>
      <c r="P44" s="333"/>
      <c r="Q44" s="334"/>
      <c r="R44" s="334"/>
      <c r="S44" s="334"/>
      <c r="T44" s="334"/>
      <c r="U44" s="334"/>
      <c r="V44" s="335"/>
      <c r="W44" s="1"/>
      <c r="X44" s="1"/>
      <c r="Y44" s="1"/>
    </row>
    <row r="45" spans="1:27">
      <c r="A45" s="1"/>
      <c r="B45" s="98"/>
      <c r="C45" s="1"/>
      <c r="D45" s="1"/>
      <c r="E45" s="336"/>
      <c r="F45" s="331"/>
      <c r="G45" s="336"/>
      <c r="H45" s="331"/>
      <c r="I45" s="331"/>
      <c r="J45" s="331"/>
      <c r="K45" s="336"/>
      <c r="L45" s="1"/>
      <c r="M45" s="1"/>
      <c r="N45" s="30"/>
      <c r="O45" s="1"/>
      <c r="P45" s="98"/>
      <c r="Q45" s="509" t="s">
        <v>684</v>
      </c>
      <c r="R45" s="509"/>
      <c r="S45" s="509"/>
      <c r="T45" s="509"/>
      <c r="U45" s="509"/>
      <c r="V45" s="30"/>
      <c r="W45" s="1"/>
      <c r="X45" s="1"/>
      <c r="Y45" s="1"/>
    </row>
    <row r="46" spans="1:27">
      <c r="A46" s="1"/>
      <c r="B46" s="337"/>
      <c r="C46" s="338" t="s">
        <v>665</v>
      </c>
      <c r="D46" s="339"/>
      <c r="E46" s="340">
        <f>$D$13*E21</f>
        <v>12452.890227450402</v>
      </c>
      <c r="F46" s="341"/>
      <c r="G46" s="342">
        <f>$D$13*G21</f>
        <v>0</v>
      </c>
      <c r="H46" s="341"/>
      <c r="I46" s="342">
        <f>$D$13*I21</f>
        <v>0</v>
      </c>
      <c r="J46" s="341"/>
      <c r="K46" s="342">
        <f t="shared" ref="K46" si="1">G46-E46</f>
        <v>-12452.890227450402</v>
      </c>
      <c r="L46" s="339"/>
      <c r="M46" s="343">
        <f>IFERROR(K46/E46,0)</f>
        <v>-1</v>
      </c>
      <c r="N46" s="30"/>
      <c r="O46" s="1"/>
      <c r="P46" s="98"/>
      <c r="Q46" s="344"/>
      <c r="R46" s="345" t="s">
        <v>666</v>
      </c>
      <c r="S46" s="345" t="s">
        <v>667</v>
      </c>
      <c r="T46" s="345" t="s">
        <v>668</v>
      </c>
      <c r="U46" s="344"/>
      <c r="V46" s="30"/>
      <c r="W46" s="1"/>
      <c r="X46" s="1"/>
      <c r="Y46" s="1"/>
    </row>
    <row r="47" spans="1:27">
      <c r="A47" s="1"/>
      <c r="B47" s="337"/>
      <c r="C47" s="346"/>
      <c r="D47" s="1"/>
      <c r="E47" s="347"/>
      <c r="F47" s="348"/>
      <c r="G47" s="349"/>
      <c r="H47" s="348"/>
      <c r="I47" s="349"/>
      <c r="J47" s="348"/>
      <c r="K47" s="349"/>
      <c r="L47" s="1"/>
      <c r="M47" s="1"/>
      <c r="N47" s="30"/>
      <c r="O47" s="1"/>
      <c r="P47" s="98"/>
      <c r="Q47" s="350"/>
      <c r="R47" s="354" t="s">
        <v>669</v>
      </c>
      <c r="S47" s="352" t="s">
        <v>670</v>
      </c>
      <c r="T47" s="353">
        <f t="shared" ref="T47:T52" si="2">T22*$D$13</f>
        <v>0</v>
      </c>
      <c r="U47" s="350"/>
      <c r="V47" s="30"/>
      <c r="W47" s="1"/>
      <c r="X47" s="1"/>
      <c r="Y47" s="1"/>
    </row>
    <row r="48" spans="1:27">
      <c r="A48" s="1"/>
      <c r="B48" s="337"/>
      <c r="C48" s="338" t="s">
        <v>671</v>
      </c>
      <c r="D48" s="339"/>
      <c r="E48" s="340">
        <f>$D$13*E23</f>
        <v>82818.870274504006</v>
      </c>
      <c r="F48" s="341"/>
      <c r="G48" s="342">
        <f>$D$13*G23</f>
        <v>0</v>
      </c>
      <c r="H48" s="341"/>
      <c r="I48" s="342">
        <f>$D$13*I23</f>
        <v>0</v>
      </c>
      <c r="J48" s="341"/>
      <c r="K48" s="342">
        <f t="shared" ref="K48" si="3">G48-E48</f>
        <v>-82818.870274504006</v>
      </c>
      <c r="L48" s="339"/>
      <c r="M48" s="343">
        <f>IFERROR(K48/E48,0)</f>
        <v>-1</v>
      </c>
      <c r="N48" s="30"/>
      <c r="O48" s="1"/>
      <c r="P48" s="98"/>
      <c r="Q48" s="350"/>
      <c r="R48" s="354" t="s">
        <v>672</v>
      </c>
      <c r="S48" s="352" t="s">
        <v>670</v>
      </c>
      <c r="T48" s="353">
        <f t="shared" si="2"/>
        <v>0</v>
      </c>
      <c r="U48" s="350"/>
      <c r="V48" s="30"/>
      <c r="W48" s="1"/>
      <c r="X48" s="1"/>
      <c r="Y48" s="1"/>
    </row>
    <row r="49" spans="1:25">
      <c r="A49" s="1"/>
      <c r="B49" s="337"/>
      <c r="C49" s="346"/>
      <c r="D49" s="1"/>
      <c r="E49" s="347"/>
      <c r="F49" s="348"/>
      <c r="G49" s="355"/>
      <c r="H49" s="348"/>
      <c r="I49" s="355"/>
      <c r="J49" s="348"/>
      <c r="K49" s="349"/>
      <c r="L49" s="1"/>
      <c r="M49" s="1"/>
      <c r="N49" s="30"/>
      <c r="O49" s="1"/>
      <c r="P49" s="98"/>
      <c r="Q49" s="350"/>
      <c r="R49" s="354" t="s">
        <v>673</v>
      </c>
      <c r="S49" s="352" t="s">
        <v>670</v>
      </c>
      <c r="T49" s="353">
        <f t="shared" si="2"/>
        <v>0</v>
      </c>
      <c r="U49" s="350"/>
      <c r="V49" s="30"/>
      <c r="W49" s="1"/>
      <c r="X49" s="1"/>
      <c r="Y49" s="1"/>
    </row>
    <row r="50" spans="1:25">
      <c r="A50" s="1"/>
      <c r="B50" s="337"/>
      <c r="C50" s="338" t="s">
        <v>674</v>
      </c>
      <c r="D50" s="339"/>
      <c r="E50" s="340">
        <f>$D$13*E25</f>
        <v>0</v>
      </c>
      <c r="F50" s="341"/>
      <c r="G50" s="342">
        <f>$D$13*G25</f>
        <v>0</v>
      </c>
      <c r="H50" s="341"/>
      <c r="I50" s="342">
        <f>$D$13*I25</f>
        <v>0</v>
      </c>
      <c r="J50" s="341"/>
      <c r="K50" s="342">
        <f t="shared" ref="K50" si="4">G50-E50</f>
        <v>0</v>
      </c>
      <c r="L50" s="339"/>
      <c r="M50" s="343">
        <f>IFERROR(K50/E50,0)</f>
        <v>0</v>
      </c>
      <c r="N50" s="30"/>
      <c r="O50" s="1"/>
      <c r="P50" s="98"/>
      <c r="Q50" s="350"/>
      <c r="R50" s="354" t="s">
        <v>617</v>
      </c>
      <c r="S50" s="352" t="s">
        <v>670</v>
      </c>
      <c r="T50" s="353">
        <f t="shared" si="2"/>
        <v>0</v>
      </c>
      <c r="U50" s="350"/>
      <c r="V50" s="30"/>
      <c r="W50" s="1"/>
      <c r="X50" s="1"/>
      <c r="Y50" s="1"/>
    </row>
    <row r="51" spans="1:25">
      <c r="A51" s="1"/>
      <c r="B51" s="337"/>
      <c r="C51" s="356"/>
      <c r="D51" s="334"/>
      <c r="E51" s="357"/>
      <c r="F51" s="358"/>
      <c r="G51" s="359"/>
      <c r="H51" s="358"/>
      <c r="I51" s="359"/>
      <c r="J51" s="358"/>
      <c r="K51" s="359"/>
      <c r="L51" s="334"/>
      <c r="M51" s="334"/>
      <c r="N51" s="30"/>
      <c r="O51" s="1"/>
      <c r="P51" s="98"/>
      <c r="Q51" s="350"/>
      <c r="R51" s="354" t="s">
        <v>43</v>
      </c>
      <c r="S51" s="352" t="s">
        <v>670</v>
      </c>
      <c r="T51" s="353">
        <f t="shared" si="2"/>
        <v>0</v>
      </c>
      <c r="U51" s="350"/>
      <c r="V51" s="30"/>
      <c r="W51" s="1"/>
      <c r="X51" s="1"/>
      <c r="Y51" s="1"/>
    </row>
    <row r="52" spans="1:25">
      <c r="A52" s="1"/>
      <c r="B52" s="337"/>
      <c r="C52" s="338" t="s">
        <v>43</v>
      </c>
      <c r="D52" s="339"/>
      <c r="E52" s="340">
        <f>$D$13*E27</f>
        <v>41710.032000000007</v>
      </c>
      <c r="F52" s="341"/>
      <c r="G52" s="342">
        <f>$D$13*G27</f>
        <v>0</v>
      </c>
      <c r="H52" s="341"/>
      <c r="I52" s="342">
        <f>$D$13*I27</f>
        <v>0</v>
      </c>
      <c r="J52" s="341"/>
      <c r="K52" s="342">
        <f t="shared" ref="K52" si="5">G52-E52</f>
        <v>-41710.032000000007</v>
      </c>
      <c r="L52" s="339"/>
      <c r="M52" s="343">
        <f>IFERROR(K52/E52,0)</f>
        <v>-1</v>
      </c>
      <c r="N52" s="30"/>
      <c r="O52" s="1"/>
      <c r="P52" s="98"/>
      <c r="Q52" s="350"/>
      <c r="R52" s="354" t="s">
        <v>43</v>
      </c>
      <c r="S52" s="352" t="s">
        <v>637</v>
      </c>
      <c r="T52" s="353">
        <f t="shared" si="2"/>
        <v>0</v>
      </c>
      <c r="U52" s="350"/>
      <c r="V52" s="30"/>
      <c r="W52" s="1"/>
      <c r="X52" s="1"/>
      <c r="Y52" s="1"/>
    </row>
    <row r="53" spans="1:25">
      <c r="A53" s="1"/>
      <c r="B53" s="337"/>
      <c r="C53" s="346"/>
      <c r="D53" s="1"/>
      <c r="E53" s="349"/>
      <c r="F53" s="348"/>
      <c r="G53" s="349"/>
      <c r="H53" s="348"/>
      <c r="I53" s="349"/>
      <c r="J53" s="348"/>
      <c r="K53" s="349"/>
      <c r="L53" s="1"/>
      <c r="M53" s="1"/>
      <c r="N53" s="30"/>
      <c r="O53" s="1"/>
      <c r="P53" s="98"/>
      <c r="Q53" s="350"/>
      <c r="R53" s="354" t="s">
        <v>41</v>
      </c>
      <c r="S53" s="352" t="s">
        <v>94</v>
      </c>
      <c r="T53" s="360" t="e">
        <f>G46/SUM(I48:I52)</f>
        <v>#DIV/0!</v>
      </c>
      <c r="U53" s="350"/>
      <c r="V53" s="30"/>
      <c r="W53" s="1"/>
      <c r="X53" s="1"/>
      <c r="Y53" s="1"/>
    </row>
    <row r="54" spans="1:25" ht="15" thickBot="1">
      <c r="A54" s="1"/>
      <c r="B54" s="337"/>
      <c r="C54" s="13" t="s">
        <v>675</v>
      </c>
      <c r="D54" s="13"/>
      <c r="E54" s="361">
        <f>SUM(E46:E52)</f>
        <v>136981.79250195442</v>
      </c>
      <c r="F54" s="362"/>
      <c r="G54" s="363">
        <f>SUM(G46:G52)</f>
        <v>0</v>
      </c>
      <c r="H54" s="362"/>
      <c r="I54" s="363">
        <f>SUM(I46:I52)</f>
        <v>0</v>
      </c>
      <c r="J54" s="362"/>
      <c r="K54" s="363">
        <f>G54-E54</f>
        <v>-136981.79250195442</v>
      </c>
      <c r="L54" s="13"/>
      <c r="M54" s="364">
        <f>IFERROR(K54/E54,0)</f>
        <v>-1</v>
      </c>
      <c r="N54" s="30"/>
      <c r="O54" s="1"/>
      <c r="P54" s="98"/>
      <c r="Q54" s="350"/>
      <c r="R54" s="354" t="s">
        <v>676</v>
      </c>
      <c r="S54" s="352" t="s">
        <v>670</v>
      </c>
      <c r="T54" s="353">
        <f>T29*$D$13</f>
        <v>0</v>
      </c>
      <c r="U54" s="350"/>
      <c r="V54" s="30"/>
      <c r="W54" s="1"/>
      <c r="X54" s="1"/>
      <c r="Y54" s="1"/>
    </row>
    <row r="55" spans="1:25" ht="15" thickTop="1">
      <c r="A55" s="1"/>
      <c r="B55" s="337"/>
      <c r="C55" s="365"/>
      <c r="D55" s="1"/>
      <c r="E55" s="349"/>
      <c r="F55" s="348"/>
      <c r="G55" s="349"/>
      <c r="H55" s="348"/>
      <c r="I55" s="349"/>
      <c r="J55" s="348"/>
      <c r="K55" s="349"/>
      <c r="L55" s="1"/>
      <c r="M55" s="1"/>
      <c r="N55" s="30"/>
      <c r="O55" s="1"/>
      <c r="P55" s="98"/>
      <c r="Q55" s="350"/>
      <c r="R55" s="354" t="s">
        <v>676</v>
      </c>
      <c r="S55" s="352" t="str">
        <f>S30</f>
        <v>sqm</v>
      </c>
      <c r="T55" s="353">
        <f>T30*$D$13</f>
        <v>0</v>
      </c>
      <c r="U55" s="350"/>
      <c r="V55" s="30"/>
      <c r="W55" s="1"/>
      <c r="X55" s="1"/>
      <c r="Y55" s="1"/>
    </row>
    <row r="56" spans="1:25" outlineLevel="1">
      <c r="A56" s="1"/>
      <c r="B56" s="337"/>
      <c r="C56" s="338" t="str">
        <f>C31</f>
        <v>Legal (CAPEX)</v>
      </c>
      <c r="D56" s="339"/>
      <c r="E56" s="340">
        <f>$D$13*E31</f>
        <v>0</v>
      </c>
      <c r="F56" s="341"/>
      <c r="G56" s="342">
        <f t="shared" ref="G56" si="6">$D$13*G31</f>
        <v>0</v>
      </c>
      <c r="H56" s="341"/>
      <c r="I56" s="342">
        <f t="shared" ref="I56" si="7">$D$13*I31</f>
        <v>0</v>
      </c>
      <c r="J56" s="341"/>
      <c r="K56" s="342">
        <f t="shared" ref="K56" si="8">G56-E56</f>
        <v>0</v>
      </c>
      <c r="L56" s="339"/>
      <c r="M56" s="343">
        <f>IFERROR(K56/E56,0)</f>
        <v>0</v>
      </c>
      <c r="N56" s="30"/>
      <c r="O56" s="1"/>
      <c r="P56" s="369"/>
      <c r="Q56" s="339"/>
      <c r="R56" s="339"/>
      <c r="S56" s="339"/>
      <c r="T56" s="339"/>
      <c r="U56" s="339"/>
      <c r="V56" s="371"/>
      <c r="W56" s="1"/>
      <c r="X56" s="1"/>
      <c r="Y56" s="1"/>
    </row>
    <row r="57" spans="1:25" outlineLevel="1">
      <c r="A57" s="1"/>
      <c r="B57" s="337"/>
      <c r="C57" s="372" t="str">
        <f>C32</f>
        <v>Broker (CAPEX)</v>
      </c>
      <c r="D57" s="350"/>
      <c r="E57" s="340">
        <f t="shared" ref="E57:I58" si="9">$D$13*E32</f>
        <v>0</v>
      </c>
      <c r="F57" s="342"/>
      <c r="G57" s="342">
        <f t="shared" si="9"/>
        <v>0</v>
      </c>
      <c r="H57" s="342"/>
      <c r="I57" s="342">
        <f t="shared" si="9"/>
        <v>0</v>
      </c>
      <c r="J57" s="341"/>
      <c r="K57" s="342">
        <f>G57-E57</f>
        <v>0</v>
      </c>
      <c r="L57" s="339"/>
      <c r="M57" s="343">
        <f>IFERROR(K57/E57,0)</f>
        <v>0</v>
      </c>
      <c r="N57" s="3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outlineLevel="1">
      <c r="A58" s="1"/>
      <c r="B58" s="337"/>
      <c r="C58" s="372" t="str">
        <f>C33</f>
        <v>MMC Tech (5 years - CAPEX)</v>
      </c>
      <c r="D58" s="350"/>
      <c r="E58" s="340">
        <f t="shared" si="9"/>
        <v>0</v>
      </c>
      <c r="F58" s="375"/>
      <c r="G58" s="342">
        <f>$D$13*G33</f>
        <v>0</v>
      </c>
      <c r="H58" s="375"/>
      <c r="I58" s="342">
        <f t="shared" si="9"/>
        <v>0</v>
      </c>
      <c r="J58" s="375"/>
      <c r="K58" s="342">
        <f>G58-E58</f>
        <v>0</v>
      </c>
      <c r="L58" s="350"/>
      <c r="M58" s="343">
        <f>IFERROR(K58/E58,0)</f>
        <v>0</v>
      </c>
      <c r="N58" s="3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outlineLevel="1">
      <c r="A59" s="1"/>
      <c r="B59" s="337"/>
      <c r="C59" s="346"/>
      <c r="D59" s="1"/>
      <c r="E59" s="349"/>
      <c r="F59" s="348"/>
      <c r="G59" s="349"/>
      <c r="H59" s="348"/>
      <c r="I59" s="349"/>
      <c r="J59" s="348"/>
      <c r="K59" s="349"/>
      <c r="L59" s="1"/>
      <c r="M59" s="376"/>
      <c r="N59" s="3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337"/>
      <c r="C60" s="377" t="str">
        <f>C35</f>
        <v>Moves (P&amp;L)</v>
      </c>
      <c r="D60" s="378"/>
      <c r="E60" s="379">
        <f>E35*D13</f>
        <v>4601.8834853391172</v>
      </c>
      <c r="F60" s="379"/>
      <c r="G60" s="379">
        <f>$D$13*G35</f>
        <v>0</v>
      </c>
      <c r="H60" s="379"/>
      <c r="I60" s="379">
        <f>$D$13*I35</f>
        <v>0</v>
      </c>
      <c r="J60" s="380"/>
      <c r="K60" s="379">
        <f>I60-E60</f>
        <v>-4601.8834853391172</v>
      </c>
      <c r="L60" s="378"/>
      <c r="M60" s="381">
        <f>IFERROR(K60/E60,0)</f>
        <v>-1</v>
      </c>
      <c r="N60" s="30"/>
      <c r="O60" s="1"/>
      <c r="P60" s="1"/>
      <c r="Q60" s="1"/>
      <c r="R60" s="1"/>
      <c r="S60" s="1"/>
      <c r="T60" s="1"/>
      <c r="U60" s="1"/>
      <c r="W60" s="1"/>
      <c r="X60" s="1"/>
      <c r="Y60" s="1"/>
    </row>
    <row r="61" spans="1:25">
      <c r="A61" s="1"/>
      <c r="B61" s="337"/>
      <c r="C61" s="377" t="str">
        <f>C36</f>
        <v>MMC Tech (P&amp;L)</v>
      </c>
      <c r="D61" s="378"/>
      <c r="E61" s="379">
        <f>$D$13*E36</f>
        <v>0</v>
      </c>
      <c r="F61" s="379"/>
      <c r="G61" s="379">
        <f>$D$13*G36</f>
        <v>0</v>
      </c>
      <c r="H61" s="379"/>
      <c r="I61" s="379">
        <f>$D$13*I36</f>
        <v>0</v>
      </c>
      <c r="J61" s="380"/>
      <c r="K61" s="379">
        <f>I61-E61</f>
        <v>0</v>
      </c>
      <c r="L61" s="378"/>
      <c r="M61" s="381">
        <f>IFERROR(K61/E61,0)</f>
        <v>0</v>
      </c>
      <c r="N61" s="30"/>
      <c r="O61" s="1"/>
      <c r="P61" s="1"/>
      <c r="Q61" s="1"/>
      <c r="R61" s="1"/>
      <c r="S61" s="1"/>
      <c r="T61" s="1"/>
      <c r="U61" s="1"/>
      <c r="W61" s="1"/>
      <c r="X61" s="1"/>
      <c r="Y61" s="1"/>
    </row>
    <row r="62" spans="1:25">
      <c r="A62" s="1"/>
      <c r="B62" s="98"/>
      <c r="C62" s="1"/>
      <c r="D62" s="1"/>
      <c r="E62" s="349"/>
      <c r="F62" s="348"/>
      <c r="G62" s="349"/>
      <c r="H62" s="348"/>
      <c r="I62" s="349"/>
      <c r="J62" s="348"/>
      <c r="K62" s="349"/>
      <c r="L62" s="1"/>
      <c r="M62" s="1"/>
      <c r="N62" s="3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>
      <c r="A63" s="1"/>
      <c r="B63" s="98"/>
      <c r="C63" s="13" t="s">
        <v>682</v>
      </c>
      <c r="D63" s="13"/>
      <c r="E63" s="361">
        <f>E54+E56+E57+E58</f>
        <v>136981.79250195442</v>
      </c>
      <c r="F63" s="362"/>
      <c r="G63" s="363">
        <f>G54+G56+G57+G58</f>
        <v>0</v>
      </c>
      <c r="H63" s="362"/>
      <c r="I63" s="363">
        <f>SUM(I54)+I56+I57+I58+I60+I61</f>
        <v>0</v>
      </c>
      <c r="J63" s="362"/>
      <c r="K63" s="363">
        <f>G63-E63</f>
        <v>-136981.79250195442</v>
      </c>
      <c r="L63" s="13"/>
      <c r="M63" s="364">
        <f>IFERROR(K63/E63,0)</f>
        <v>-1</v>
      </c>
      <c r="N63" s="30"/>
      <c r="O63" s="1"/>
      <c r="P63" s="1"/>
      <c r="S63" s="1"/>
      <c r="T63" s="1"/>
      <c r="U63" s="1"/>
      <c r="V63" s="1"/>
      <c r="W63" s="1"/>
      <c r="X63" s="1"/>
      <c r="Y63" s="1"/>
    </row>
    <row r="64" spans="1:25" ht="15" thickTop="1">
      <c r="A64" s="1"/>
      <c r="B64" s="369"/>
      <c r="C64" s="339"/>
      <c r="D64" s="339"/>
      <c r="E64" s="389"/>
      <c r="F64" s="390"/>
      <c r="G64" s="389"/>
      <c r="H64" s="390"/>
      <c r="I64" s="390"/>
      <c r="J64" s="390"/>
      <c r="K64" s="389"/>
      <c r="L64" s="339"/>
      <c r="M64" s="339"/>
      <c r="N64" s="37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391"/>
      <c r="F65" s="392"/>
      <c r="G65" s="391"/>
      <c r="H65" s="392"/>
      <c r="I65" s="392"/>
      <c r="J65" s="392"/>
      <c r="K65" s="391"/>
      <c r="L65" s="1"/>
      <c r="M65" s="33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393"/>
      <c r="F66" s="392"/>
      <c r="G66" s="393"/>
      <c r="H66" s="392"/>
      <c r="I66" s="392"/>
      <c r="J66" s="392"/>
      <c r="K66" s="39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324"/>
      <c r="F67" s="1"/>
      <c r="G67" s="324"/>
      <c r="H67" s="1"/>
      <c r="I67" s="1"/>
      <c r="J67" s="1"/>
      <c r="K67" s="32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324"/>
      <c r="F68" s="1"/>
      <c r="G68" s="324"/>
      <c r="H68" s="1"/>
      <c r="I68" s="1"/>
      <c r="J68" s="1"/>
      <c r="K68" s="32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C69" s="397"/>
    </row>
    <row r="70" spans="1:25">
      <c r="C70" t="s">
        <v>685</v>
      </c>
      <c r="D70" s="398">
        <v>4465</v>
      </c>
    </row>
    <row r="71" spans="1:25">
      <c r="D71" s="394"/>
      <c r="E71" s="395"/>
      <c r="F71" s="394"/>
      <c r="G71" s="395"/>
      <c r="H71" s="394"/>
      <c r="I71" s="394"/>
      <c r="J71" s="394"/>
      <c r="K71" s="395"/>
    </row>
    <row r="72" spans="1:25">
      <c r="C72" s="399" t="s">
        <v>686</v>
      </c>
      <c r="D72" s="399"/>
      <c r="E72" s="400">
        <f>E23/D70</f>
        <v>31217.953393057112</v>
      </c>
      <c r="F72" s="394"/>
      <c r="G72" s="395"/>
      <c r="H72" s="394"/>
      <c r="I72" s="394"/>
      <c r="J72" s="394"/>
      <c r="K72" s="395"/>
    </row>
    <row r="73" spans="1:25">
      <c r="C73" s="399" t="s">
        <v>686</v>
      </c>
      <c r="D73" s="399"/>
      <c r="E73" s="401">
        <f>E48/D70</f>
        <v>18.548459188018814</v>
      </c>
      <c r="F73" s="394"/>
      <c r="G73" s="395"/>
      <c r="H73" s="394"/>
      <c r="I73" s="394"/>
      <c r="J73" s="394"/>
      <c r="K73" s="395"/>
    </row>
    <row r="74" spans="1:25">
      <c r="C74" s="394"/>
      <c r="D74" s="394"/>
      <c r="E74" s="395"/>
      <c r="F74" s="394"/>
      <c r="G74" s="395"/>
      <c r="H74" s="394"/>
      <c r="I74" s="394"/>
      <c r="J74" s="394"/>
      <c r="K74" s="395"/>
    </row>
    <row r="75" spans="1:25">
      <c r="C75" s="394"/>
      <c r="D75" s="394"/>
      <c r="E75" s="395"/>
      <c r="F75" s="394"/>
      <c r="G75" s="395"/>
      <c r="H75" s="394"/>
      <c r="I75" s="394"/>
      <c r="J75" s="394"/>
      <c r="K75" s="395"/>
    </row>
    <row r="76" spans="1:25">
      <c r="C76" s="394"/>
      <c r="D76" s="394"/>
      <c r="E76" s="395"/>
      <c r="F76" s="394"/>
      <c r="G76" s="395"/>
      <c r="H76" s="394"/>
      <c r="I76" s="394"/>
      <c r="J76" s="394"/>
      <c r="K76" s="395"/>
    </row>
    <row r="77" spans="1:25">
      <c r="C77" s="394"/>
      <c r="D77" s="394"/>
      <c r="E77" s="395"/>
      <c r="F77" s="394"/>
      <c r="G77" s="395"/>
      <c r="H77" s="394"/>
      <c r="I77" s="394"/>
      <c r="J77" s="394"/>
      <c r="K77" s="395"/>
    </row>
    <row r="78" spans="1:25">
      <c r="C78" s="394"/>
      <c r="D78" s="394"/>
      <c r="E78" s="395"/>
      <c r="F78" s="394"/>
      <c r="G78" s="395"/>
      <c r="H78" s="394"/>
      <c r="I78" s="394"/>
      <c r="J78" s="394"/>
      <c r="K78" s="395"/>
    </row>
    <row r="79" spans="1:25">
      <c r="C79" s="394"/>
      <c r="D79" s="394"/>
      <c r="E79" s="395"/>
      <c r="F79" s="394"/>
      <c r="G79" s="395"/>
      <c r="H79" s="394"/>
      <c r="I79" s="394"/>
      <c r="J79" s="394"/>
      <c r="K79" s="395"/>
    </row>
    <row r="80" spans="1:25">
      <c r="C80" s="394"/>
      <c r="D80" s="394"/>
      <c r="E80" s="395"/>
      <c r="F80" s="394"/>
      <c r="G80" s="395"/>
      <c r="H80" s="394"/>
      <c r="I80" s="394"/>
      <c r="J80" s="394"/>
      <c r="K80" s="395"/>
    </row>
    <row r="81" spans="3:11">
      <c r="C81" s="394"/>
      <c r="D81" s="394"/>
      <c r="E81" s="395"/>
      <c r="F81" s="394"/>
      <c r="G81" s="395"/>
      <c r="H81" s="394"/>
      <c r="I81" s="394"/>
      <c r="J81" s="394"/>
      <c r="K81" s="395"/>
    </row>
    <row r="82" spans="3:11">
      <c r="C82" s="394"/>
      <c r="D82" s="394"/>
      <c r="E82" s="395"/>
      <c r="F82" s="394"/>
      <c r="G82" s="395"/>
      <c r="H82" s="394"/>
      <c r="I82" s="394"/>
      <c r="J82" s="394"/>
      <c r="K82" s="395"/>
    </row>
    <row r="83" spans="3:11">
      <c r="C83" s="394"/>
      <c r="D83" s="394"/>
      <c r="E83" s="395"/>
      <c r="F83" s="394"/>
      <c r="G83" s="395"/>
      <c r="H83" s="394"/>
      <c r="I83" s="394"/>
      <c r="J83" s="394"/>
      <c r="K83" s="395"/>
    </row>
  </sheetData>
  <mergeCells count="16">
    <mergeCell ref="C15:N16"/>
    <mergeCell ref="Q20:U20"/>
    <mergeCell ref="C40:N41"/>
    <mergeCell ref="Q45:U45"/>
    <mergeCell ref="D8:N8"/>
    <mergeCell ref="D9:N9"/>
    <mergeCell ref="D10:N10"/>
    <mergeCell ref="D11:N11"/>
    <mergeCell ref="D12:N12"/>
    <mergeCell ref="D13:N13"/>
    <mergeCell ref="D7:N7"/>
    <mergeCell ref="C2:N2"/>
    <mergeCell ref="D3:N3"/>
    <mergeCell ref="D4:N4"/>
    <mergeCell ref="D5:N5"/>
    <mergeCell ref="D6:N6"/>
  </mergeCells>
  <conditionalFormatting sqref="K21:M38">
    <cfRule type="cellIs" dxfId="1" priority="1" operator="greaterThan">
      <formula>0</formula>
    </cfRule>
  </conditionalFormatting>
  <conditionalFormatting sqref="K46:M63">
    <cfRule type="cellIs" dxfId="0" priority="2" operator="greaterThan">
      <formula>0</formula>
    </cfRule>
  </conditionalFormatting>
  <pageMargins left="0.7" right="0.7" top="0.75" bottom="0.75" header="0.3" footer="0.3"/>
  <pageSetup paperSize="9" scale="51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CA95-6E7A-482E-9DC2-00DD331A3FCC}">
  <dimension ref="A1:J153"/>
  <sheetViews>
    <sheetView topLeftCell="A2" zoomScale="130" zoomScaleNormal="130" workbookViewId="0">
      <selection activeCell="B13" sqref="B13"/>
    </sheetView>
  </sheetViews>
  <sheetFormatPr defaultColWidth="8.81640625" defaultRowHeight="14"/>
  <cols>
    <col min="1" max="1" width="29.81640625" style="88" bestFit="1" customWidth="1"/>
    <col min="2" max="2" width="13.81640625" style="88" bestFit="1" customWidth="1"/>
    <col min="3" max="3" width="6.81640625" style="88" customWidth="1"/>
    <col min="4" max="4" width="12.54296875" style="88" customWidth="1"/>
    <col min="5" max="5" width="0.81640625" style="88" customWidth="1"/>
    <col min="6" max="6" width="12.54296875" style="523" customWidth="1"/>
    <col min="7" max="7" width="0.81640625" style="88" customWidth="1"/>
    <col min="8" max="9" width="12.54296875" style="88" customWidth="1"/>
    <col min="10" max="16384" width="8.81640625" style="88"/>
  </cols>
  <sheetData>
    <row r="1" spans="1:10">
      <c r="A1" s="500"/>
      <c r="B1" s="500"/>
      <c r="C1" s="500"/>
      <c r="D1" s="500"/>
      <c r="E1" s="500"/>
      <c r="F1" s="500"/>
      <c r="G1" s="500"/>
      <c r="H1" s="500"/>
      <c r="I1" s="500"/>
    </row>
    <row r="2" spans="1:10" ht="14.5" customHeight="1">
      <c r="A2" s="500" t="s">
        <v>635</v>
      </c>
      <c r="B2" s="500"/>
      <c r="C2" s="500"/>
      <c r="D2" s="500"/>
      <c r="E2" s="500"/>
      <c r="F2" s="500"/>
      <c r="G2" s="500"/>
      <c r="H2" s="500"/>
      <c r="I2" s="500"/>
    </row>
    <row r="3" spans="1:10" ht="14.5" customHeight="1">
      <c r="A3" s="500" t="s">
        <v>82</v>
      </c>
      <c r="B3" s="500"/>
      <c r="C3" s="500"/>
      <c r="D3" s="500"/>
      <c r="E3" s="500"/>
      <c r="F3" s="500"/>
      <c r="G3" s="500"/>
      <c r="H3" s="500"/>
      <c r="I3" s="500"/>
    </row>
    <row r="4" spans="1:10" ht="14.5" customHeight="1">
      <c r="A4" s="500" t="s">
        <v>639</v>
      </c>
      <c r="B4" s="500"/>
      <c r="C4" s="500"/>
      <c r="D4" s="500"/>
      <c r="E4" s="500"/>
      <c r="F4" s="500"/>
      <c r="G4" s="500"/>
      <c r="H4" s="500"/>
      <c r="I4" s="500"/>
    </row>
    <row r="5" spans="1:10" ht="14.5" customHeight="1">
      <c r="A5" s="500"/>
      <c r="B5" s="500"/>
      <c r="C5" s="500"/>
      <c r="D5" s="500"/>
      <c r="E5" s="500"/>
      <c r="F5" s="500"/>
      <c r="G5" s="500"/>
      <c r="H5" s="500"/>
      <c r="I5" s="500"/>
    </row>
    <row r="6" spans="1:10">
      <c r="A6" s="87"/>
      <c r="B6" s="314" t="s">
        <v>83</v>
      </c>
      <c r="C6" s="314"/>
      <c r="D6" s="85" t="s">
        <v>84</v>
      </c>
      <c r="E6" s="315"/>
      <c r="F6" s="519" t="s">
        <v>636</v>
      </c>
      <c r="G6" s="315"/>
      <c r="H6" s="518" t="s">
        <v>85</v>
      </c>
      <c r="I6" s="518"/>
      <c r="J6" s="315"/>
    </row>
    <row r="7" spans="1:10">
      <c r="A7" s="87"/>
      <c r="B7" s="87"/>
      <c r="C7" s="86" t="s">
        <v>86</v>
      </c>
      <c r="D7" s="84" t="s">
        <v>87</v>
      </c>
      <c r="E7" s="315"/>
      <c r="F7" s="520" t="s">
        <v>87</v>
      </c>
      <c r="G7" s="315"/>
      <c r="H7" s="518" t="s">
        <v>88</v>
      </c>
      <c r="I7" s="518"/>
      <c r="J7" s="315"/>
    </row>
    <row r="8" spans="1:10">
      <c r="A8" s="86" t="s">
        <v>89</v>
      </c>
      <c r="B8" s="86" t="s">
        <v>90</v>
      </c>
      <c r="C8" s="86" t="s">
        <v>91</v>
      </c>
      <c r="D8" s="84" t="s">
        <v>92</v>
      </c>
      <c r="E8" s="315"/>
      <c r="F8" s="520" t="s">
        <v>92</v>
      </c>
      <c r="G8" s="315"/>
      <c r="H8" s="316" t="s">
        <v>93</v>
      </c>
      <c r="I8" s="316" t="s">
        <v>94</v>
      </c>
      <c r="J8" s="315"/>
    </row>
    <row r="9" spans="1:10">
      <c r="A9" s="317" t="s">
        <v>95</v>
      </c>
      <c r="B9" s="317" t="s">
        <v>96</v>
      </c>
      <c r="C9" s="317" t="s">
        <v>97</v>
      </c>
      <c r="D9" s="318">
        <v>1.0534079999999999E-2</v>
      </c>
      <c r="E9" s="319"/>
      <c r="F9" s="323">
        <v>1.0755000000000001E-2</v>
      </c>
      <c r="G9" s="318"/>
      <c r="H9" s="320">
        <f>(F9-D9)</f>
        <v>2.2092000000000118E-4</v>
      </c>
      <c r="I9" s="321">
        <f>H9/D9</f>
        <v>2.0971931103618086E-2</v>
      </c>
    </row>
    <row r="10" spans="1:10">
      <c r="A10" s="317" t="s">
        <v>98</v>
      </c>
      <c r="B10" s="317" t="s">
        <v>99</v>
      </c>
      <c r="C10" s="317" t="s">
        <v>100</v>
      </c>
      <c r="D10" s="318">
        <v>7.4608799999999996E-3</v>
      </c>
      <c r="E10" s="319"/>
      <c r="F10" s="323">
        <v>7.5002000000000003E-3</v>
      </c>
      <c r="G10" s="318"/>
      <c r="H10" s="320">
        <f t="shared" ref="H10:H73" si="0">(F10-D10)</f>
        <v>3.9320000000000674E-5</v>
      </c>
      <c r="I10" s="321">
        <f t="shared" ref="I10:I73" si="1">H10/D10</f>
        <v>5.2701557993159887E-3</v>
      </c>
    </row>
    <row r="11" spans="1:10">
      <c r="A11" s="317" t="s">
        <v>101</v>
      </c>
      <c r="B11" s="317" t="s">
        <v>102</v>
      </c>
      <c r="C11" s="317" t="s">
        <v>103</v>
      </c>
      <c r="D11" s="318">
        <v>1.19768E-3</v>
      </c>
      <c r="E11" s="319"/>
      <c r="F11" s="323">
        <v>1.0868500000000001E-3</v>
      </c>
      <c r="G11" s="318"/>
      <c r="H11" s="320">
        <f t="shared" si="0"/>
        <v>-1.1082999999999991E-4</v>
      </c>
      <c r="I11" s="321">
        <f t="shared" si="1"/>
        <v>-9.2537238661411989E-2</v>
      </c>
    </row>
    <row r="12" spans="1:10">
      <c r="A12" s="317" t="s">
        <v>104</v>
      </c>
      <c r="B12" s="317" t="s">
        <v>105</v>
      </c>
      <c r="C12" s="317" t="s">
        <v>106</v>
      </c>
      <c r="D12" s="318">
        <v>7.1429000000000002E-4</v>
      </c>
      <c r="E12" s="319"/>
      <c r="F12" s="323">
        <v>7.1429000000000002E-4</v>
      </c>
      <c r="G12" s="318"/>
      <c r="H12" s="320">
        <f>(F12-D12)</f>
        <v>0</v>
      </c>
      <c r="I12" s="321">
        <f t="shared" si="1"/>
        <v>0</v>
      </c>
    </row>
    <row r="13" spans="1:10">
      <c r="A13" s="317" t="s">
        <v>107</v>
      </c>
      <c r="B13" s="317" t="s">
        <v>108</v>
      </c>
      <c r="C13" s="317" t="s">
        <v>109</v>
      </c>
      <c r="D13" s="318">
        <v>0.55865922000000001</v>
      </c>
      <c r="E13" s="319"/>
      <c r="F13" s="323">
        <v>0.55865922000000001</v>
      </c>
      <c r="G13" s="318"/>
      <c r="H13" s="320">
        <f t="shared" si="0"/>
        <v>0</v>
      </c>
      <c r="I13" s="321">
        <f t="shared" si="1"/>
        <v>0</v>
      </c>
    </row>
    <row r="14" spans="1:10">
      <c r="A14" s="317" t="s">
        <v>110</v>
      </c>
      <c r="B14" s="317" t="s">
        <v>111</v>
      </c>
      <c r="C14" s="317" t="s">
        <v>112</v>
      </c>
      <c r="D14" s="318">
        <v>0.66</v>
      </c>
      <c r="E14" s="319"/>
      <c r="F14" s="323">
        <v>0.65</v>
      </c>
      <c r="G14" s="318"/>
      <c r="H14" s="320">
        <f t="shared" si="0"/>
        <v>-1.0000000000000009E-2</v>
      </c>
      <c r="I14" s="321">
        <f t="shared" si="1"/>
        <v>-1.5151515151515164E-2</v>
      </c>
    </row>
    <row r="15" spans="1:10">
      <c r="A15" s="317" t="s">
        <v>113</v>
      </c>
      <c r="B15" s="317" t="s">
        <v>113</v>
      </c>
      <c r="C15" s="317" t="s">
        <v>114</v>
      </c>
      <c r="D15" s="318">
        <v>0.58899752999999999</v>
      </c>
      <c r="E15" s="319"/>
      <c r="F15" s="323">
        <v>0.58820068999999997</v>
      </c>
      <c r="G15" s="318"/>
      <c r="H15" s="320">
        <f t="shared" si="0"/>
        <v>-7.9684000000002086E-4</v>
      </c>
      <c r="I15" s="321">
        <f t="shared" si="1"/>
        <v>-1.352874943295638E-3</v>
      </c>
    </row>
    <row r="16" spans="1:10">
      <c r="A16" s="317" t="s">
        <v>115</v>
      </c>
      <c r="B16" s="317" t="s">
        <v>111</v>
      </c>
      <c r="C16" s="317" t="s">
        <v>116</v>
      </c>
      <c r="D16" s="318">
        <v>1</v>
      </c>
      <c r="E16" s="319"/>
      <c r="F16" s="323">
        <v>1</v>
      </c>
      <c r="G16" s="318"/>
      <c r="H16" s="320">
        <f t="shared" si="0"/>
        <v>0</v>
      </c>
      <c r="I16" s="321">
        <f t="shared" si="1"/>
        <v>0</v>
      </c>
    </row>
    <row r="17" spans="1:9">
      <c r="A17" s="317" t="s">
        <v>117</v>
      </c>
      <c r="B17" s="317" t="s">
        <v>99</v>
      </c>
      <c r="C17" s="317" t="s">
        <v>118</v>
      </c>
      <c r="D17" s="318">
        <v>2.6525902499999998</v>
      </c>
      <c r="E17" s="319"/>
      <c r="F17" s="323">
        <v>2.6528013600000002</v>
      </c>
      <c r="G17" s="318"/>
      <c r="H17" s="320">
        <f t="shared" si="0"/>
        <v>2.1111000000040292E-4</v>
      </c>
      <c r="I17" s="321">
        <f t="shared" si="1"/>
        <v>7.9586359031668362E-5</v>
      </c>
    </row>
    <row r="18" spans="1:9">
      <c r="A18" s="317" t="s">
        <v>119</v>
      </c>
      <c r="B18" s="317" t="s">
        <v>120</v>
      </c>
      <c r="C18" s="317" t="s">
        <v>121</v>
      </c>
      <c r="D18" s="318">
        <v>9.0442500000000002E-3</v>
      </c>
      <c r="E18" s="319"/>
      <c r="F18" s="323">
        <v>8.3648999999999998E-3</v>
      </c>
      <c r="G18" s="318"/>
      <c r="H18" s="320">
        <f t="shared" si="0"/>
        <v>-6.7935000000000044E-4</v>
      </c>
      <c r="I18" s="321">
        <f t="shared" si="1"/>
        <v>-7.5114022721618753E-2</v>
      </c>
    </row>
    <row r="19" spans="1:9">
      <c r="A19" s="317" t="s">
        <v>122</v>
      </c>
      <c r="B19" s="317" t="s">
        <v>111</v>
      </c>
      <c r="C19" s="317" t="s">
        <v>123</v>
      </c>
      <c r="D19" s="318">
        <v>0.5</v>
      </c>
      <c r="E19" s="319"/>
      <c r="F19" s="323">
        <v>0.5</v>
      </c>
      <c r="G19" s="318"/>
      <c r="H19" s="320">
        <f t="shared" si="0"/>
        <v>0</v>
      </c>
      <c r="I19" s="321">
        <f t="shared" si="1"/>
        <v>0</v>
      </c>
    </row>
    <row r="20" spans="1:9">
      <c r="A20" s="317" t="s">
        <v>124</v>
      </c>
      <c r="B20" s="317" t="s">
        <v>125</v>
      </c>
      <c r="C20" s="317" t="s">
        <v>126</v>
      </c>
      <c r="D20" s="318">
        <v>3.044E-5</v>
      </c>
      <c r="E20" s="319"/>
      <c r="F20" s="323">
        <v>3.065E-5</v>
      </c>
      <c r="G20" s="318"/>
      <c r="H20" s="320">
        <f t="shared" si="0"/>
        <v>2.0999999999999968E-7</v>
      </c>
      <c r="I20" s="321">
        <f t="shared" si="1"/>
        <v>6.8988173455978869E-3</v>
      </c>
    </row>
    <row r="21" spans="1:9">
      <c r="A21" s="317" t="s">
        <v>127</v>
      </c>
      <c r="B21" s="317" t="s">
        <v>111</v>
      </c>
      <c r="C21" s="317" t="s">
        <v>128</v>
      </c>
      <c r="D21" s="318">
        <v>0.5</v>
      </c>
      <c r="E21" s="319"/>
      <c r="F21" s="323">
        <v>0.5</v>
      </c>
      <c r="G21" s="318"/>
      <c r="H21" s="320">
        <f t="shared" si="0"/>
        <v>0</v>
      </c>
      <c r="I21" s="321">
        <f t="shared" si="1"/>
        <v>0</v>
      </c>
    </row>
    <row r="22" spans="1:9">
      <c r="A22" s="317" t="s">
        <v>129</v>
      </c>
      <c r="B22" s="317" t="s">
        <v>111</v>
      </c>
      <c r="C22" s="317" t="s">
        <v>130</v>
      </c>
      <c r="D22" s="318">
        <v>1</v>
      </c>
      <c r="E22" s="319"/>
      <c r="F22" s="323">
        <v>1</v>
      </c>
      <c r="G22" s="318"/>
      <c r="H22" s="320">
        <f t="shared" si="0"/>
        <v>0</v>
      </c>
      <c r="I22" s="321">
        <f t="shared" si="1"/>
        <v>0</v>
      </c>
    </row>
    <row r="23" spans="1:9">
      <c r="A23" s="317" t="s">
        <v>131</v>
      </c>
      <c r="B23" s="317" t="s">
        <v>132</v>
      </c>
      <c r="C23" s="317" t="s">
        <v>133</v>
      </c>
      <c r="D23" s="318">
        <v>1.1996710000000001E-2</v>
      </c>
      <c r="E23" s="319"/>
      <c r="F23" s="323">
        <v>1.185201E-2</v>
      </c>
      <c r="G23" s="318"/>
      <c r="H23" s="320">
        <f t="shared" si="0"/>
        <v>-1.4470000000000108E-4</v>
      </c>
      <c r="I23" s="321">
        <f t="shared" si="1"/>
        <v>-1.2061640233030645E-2</v>
      </c>
    </row>
    <row r="24" spans="1:9">
      <c r="A24" s="317" t="s">
        <v>134</v>
      </c>
      <c r="B24" s="317" t="s">
        <v>135</v>
      </c>
      <c r="C24" s="317" t="s">
        <v>136</v>
      </c>
      <c r="D24" s="318">
        <v>0.14440433</v>
      </c>
      <c r="E24" s="319"/>
      <c r="F24" s="323">
        <v>0.14498006999999999</v>
      </c>
      <c r="G24" s="318"/>
      <c r="H24" s="320">
        <f t="shared" si="0"/>
        <v>5.7573999999999126E-4</v>
      </c>
      <c r="I24" s="321">
        <f t="shared" si="1"/>
        <v>3.9869995588081826E-3</v>
      </c>
    </row>
    <row r="25" spans="1:9">
      <c r="A25" s="317" t="s">
        <v>137</v>
      </c>
      <c r="B25" s="317" t="s">
        <v>138</v>
      </c>
      <c r="C25" s="317" t="s">
        <v>139</v>
      </c>
      <c r="D25" s="318">
        <v>7.46E-2</v>
      </c>
      <c r="E25" s="319"/>
      <c r="F25" s="323">
        <v>7.3599999999999999E-2</v>
      </c>
      <c r="G25" s="318"/>
      <c r="H25" s="320">
        <f t="shared" si="0"/>
        <v>-1.0000000000000009E-3</v>
      </c>
      <c r="I25" s="321">
        <f t="shared" si="1"/>
        <v>-1.3404825737265428E-2</v>
      </c>
    </row>
    <row r="26" spans="1:9">
      <c r="A26" s="317" t="s">
        <v>140</v>
      </c>
      <c r="B26" s="317" t="s">
        <v>141</v>
      </c>
      <c r="C26" s="317" t="s">
        <v>142</v>
      </c>
      <c r="D26" s="318">
        <v>0.2</v>
      </c>
      <c r="E26" s="319"/>
      <c r="F26" s="323">
        <v>0.18518519</v>
      </c>
      <c r="G26" s="318"/>
      <c r="H26" s="320">
        <f t="shared" si="0"/>
        <v>-1.4814810000000012E-2</v>
      </c>
      <c r="I26" s="321">
        <f t="shared" si="1"/>
        <v>-7.4074050000000058E-2</v>
      </c>
    </row>
    <row r="27" spans="1:9">
      <c r="A27" s="317" t="s">
        <v>143</v>
      </c>
      <c r="B27" s="317" t="s">
        <v>111</v>
      </c>
      <c r="C27" s="317" t="s">
        <v>144</v>
      </c>
      <c r="D27" s="318">
        <v>0.74710496999999998</v>
      </c>
      <c r="E27" s="319"/>
      <c r="F27" s="323">
        <v>0.74460163999999995</v>
      </c>
      <c r="G27" s="318"/>
      <c r="H27" s="320">
        <f t="shared" si="0"/>
        <v>-2.5033300000000258E-3</v>
      </c>
      <c r="I27" s="321">
        <f t="shared" si="1"/>
        <v>-3.3507071971426261E-3</v>
      </c>
    </row>
    <row r="28" spans="1:9">
      <c r="A28" s="317" t="s">
        <v>145</v>
      </c>
      <c r="B28" s="317" t="s">
        <v>146</v>
      </c>
      <c r="C28" s="317" t="s">
        <v>147</v>
      </c>
      <c r="D28" s="318">
        <v>0.55797344000000004</v>
      </c>
      <c r="E28" s="319"/>
      <c r="F28" s="323">
        <v>0.53896734000000002</v>
      </c>
      <c r="G28" s="318"/>
      <c r="H28" s="320">
        <f t="shared" si="0"/>
        <v>-1.9006100000000026E-2</v>
      </c>
      <c r="I28" s="321">
        <f t="shared" si="1"/>
        <v>-3.4062732448340238E-2</v>
      </c>
    </row>
    <row r="29" spans="1:9">
      <c r="A29" s="317" t="s">
        <v>148</v>
      </c>
      <c r="B29" s="317" t="s">
        <v>149</v>
      </c>
      <c r="C29" s="317" t="s">
        <v>150</v>
      </c>
      <c r="D29" s="318">
        <v>3.5188E-4</v>
      </c>
      <c r="E29" s="319"/>
      <c r="F29" s="323">
        <v>3.4227999999999998E-4</v>
      </c>
      <c r="G29" s="318"/>
      <c r="H29" s="320">
        <f t="shared" si="0"/>
        <v>-9.6000000000000165E-6</v>
      </c>
      <c r="I29" s="321">
        <f t="shared" si="1"/>
        <v>-2.728202796407871E-2</v>
      </c>
    </row>
    <row r="30" spans="1:9">
      <c r="A30" s="317" t="s">
        <v>151</v>
      </c>
      <c r="B30" s="317" t="s">
        <v>152</v>
      </c>
      <c r="C30" s="317" t="s">
        <v>153</v>
      </c>
      <c r="D30" s="318">
        <v>2.4309000000000001E-4</v>
      </c>
      <c r="E30" s="319"/>
      <c r="F30" s="323">
        <v>2.4750999999999999E-4</v>
      </c>
      <c r="G30" s="318"/>
      <c r="H30" s="320">
        <f t="shared" si="0"/>
        <v>4.4199999999999882E-6</v>
      </c>
      <c r="I30" s="321">
        <f t="shared" si="1"/>
        <v>1.8182566127771558E-2</v>
      </c>
    </row>
    <row r="31" spans="1:9">
      <c r="A31" s="317" t="s">
        <v>154</v>
      </c>
      <c r="B31" s="317" t="s">
        <v>155</v>
      </c>
      <c r="C31" s="317" t="s">
        <v>156</v>
      </c>
      <c r="D31" s="318">
        <v>0.73</v>
      </c>
      <c r="E31" s="319"/>
      <c r="F31" s="323">
        <v>0.72</v>
      </c>
      <c r="G31" s="318"/>
      <c r="H31" s="320">
        <f t="shared" si="0"/>
        <v>-1.0000000000000009E-2</v>
      </c>
      <c r="I31" s="321">
        <f t="shared" si="1"/>
        <v>-1.3698630136986314E-2</v>
      </c>
    </row>
    <row r="32" spans="1:9">
      <c r="A32" s="317" t="s">
        <v>157</v>
      </c>
      <c r="B32" s="317" t="s">
        <v>158</v>
      </c>
      <c r="C32" s="317" t="s">
        <v>159</v>
      </c>
      <c r="D32" s="318">
        <v>9.8622499999999995E-3</v>
      </c>
      <c r="E32" s="319"/>
      <c r="F32" s="323">
        <v>9.5190399999999994E-3</v>
      </c>
      <c r="G32" s="318"/>
      <c r="H32" s="320">
        <f t="shared" si="0"/>
        <v>-3.4321000000000004E-4</v>
      </c>
      <c r="I32" s="321">
        <f t="shared" si="1"/>
        <v>-3.4800375167938359E-2</v>
      </c>
    </row>
    <row r="33" spans="1:9">
      <c r="A33" s="317" t="s">
        <v>160</v>
      </c>
      <c r="B33" s="317" t="s">
        <v>111</v>
      </c>
      <c r="C33" s="317" t="s">
        <v>161</v>
      </c>
      <c r="D33" s="318">
        <v>1.2195</v>
      </c>
      <c r="E33" s="319"/>
      <c r="F33" s="323">
        <v>1.2195</v>
      </c>
      <c r="G33" s="318"/>
      <c r="H33" s="320">
        <f t="shared" si="0"/>
        <v>0</v>
      </c>
      <c r="I33" s="321">
        <f t="shared" si="1"/>
        <v>0</v>
      </c>
    </row>
    <row r="34" spans="1:9">
      <c r="A34" s="317" t="s">
        <v>162</v>
      </c>
      <c r="B34" s="317" t="s">
        <v>149</v>
      </c>
      <c r="C34" s="317" t="s">
        <v>163</v>
      </c>
      <c r="D34" s="318">
        <v>1.66333E-3</v>
      </c>
      <c r="E34" s="319"/>
      <c r="F34" s="323">
        <v>1.60739E-3</v>
      </c>
      <c r="G34" s="318"/>
      <c r="H34" s="320">
        <f t="shared" si="0"/>
        <v>-5.5939999999999983E-5</v>
      </c>
      <c r="I34" s="321">
        <f t="shared" si="1"/>
        <v>-3.3631329922504845E-2</v>
      </c>
    </row>
    <row r="35" spans="1:9">
      <c r="A35" s="317" t="s">
        <v>164</v>
      </c>
      <c r="B35" s="317" t="s">
        <v>105</v>
      </c>
      <c r="C35" s="317" t="s">
        <v>165</v>
      </c>
      <c r="D35" s="318">
        <v>1.11111E-3</v>
      </c>
      <c r="E35" s="319"/>
      <c r="F35" s="323">
        <v>1.11111E-3</v>
      </c>
      <c r="G35" s="318"/>
      <c r="H35" s="320">
        <f t="shared" si="0"/>
        <v>0</v>
      </c>
      <c r="I35" s="321">
        <f t="shared" si="1"/>
        <v>0</v>
      </c>
    </row>
    <row r="36" spans="1:9">
      <c r="A36" s="317" t="s">
        <v>166</v>
      </c>
      <c r="B36" s="317" t="s">
        <v>167</v>
      </c>
      <c r="C36" s="317" t="s">
        <v>168</v>
      </c>
      <c r="D36" s="318">
        <v>0.14004229000000001</v>
      </c>
      <c r="E36" s="319"/>
      <c r="F36" s="323">
        <v>0.13801669999999999</v>
      </c>
      <c r="G36" s="318"/>
      <c r="H36" s="320">
        <f t="shared" si="0"/>
        <v>-2.0255900000000215E-3</v>
      </c>
      <c r="I36" s="321">
        <f t="shared" si="1"/>
        <v>-1.4464130799346549E-2</v>
      </c>
    </row>
    <row r="37" spans="1:9">
      <c r="A37" s="317" t="s">
        <v>169</v>
      </c>
      <c r="B37" s="317" t="s">
        <v>105</v>
      </c>
      <c r="C37" s="317" t="s">
        <v>170</v>
      </c>
      <c r="D37" s="318">
        <v>2.4096E-4</v>
      </c>
      <c r="E37" s="319"/>
      <c r="F37" s="323">
        <v>2.4096E-4</v>
      </c>
      <c r="G37" s="318"/>
      <c r="H37" s="320">
        <f t="shared" si="0"/>
        <v>0</v>
      </c>
      <c r="I37" s="321">
        <f t="shared" si="1"/>
        <v>0</v>
      </c>
    </row>
    <row r="38" spans="1:9">
      <c r="A38" s="317" t="s">
        <v>171</v>
      </c>
      <c r="B38" s="317" t="s">
        <v>172</v>
      </c>
      <c r="C38" s="317" t="s">
        <v>173</v>
      </c>
      <c r="D38" s="318">
        <v>1.78571E-3</v>
      </c>
      <c r="E38" s="319"/>
      <c r="F38" s="323">
        <v>1.80349E-3</v>
      </c>
      <c r="G38" s="318"/>
      <c r="H38" s="320">
        <f t="shared" si="0"/>
        <v>1.7780000000000009E-5</v>
      </c>
      <c r="I38" s="321">
        <f t="shared" si="1"/>
        <v>9.9568238963773561E-3</v>
      </c>
    </row>
    <row r="39" spans="1:9">
      <c r="A39" s="317" t="s">
        <v>174</v>
      </c>
      <c r="B39" s="317" t="s">
        <v>175</v>
      </c>
      <c r="C39" s="317" t="s">
        <v>176</v>
      </c>
      <c r="D39" s="318">
        <v>0.14481000999999999</v>
      </c>
      <c r="E39" s="319"/>
      <c r="F39" s="323">
        <v>0.13994039</v>
      </c>
      <c r="G39" s="318"/>
      <c r="H39" s="320">
        <f t="shared" si="0"/>
        <v>-4.8696199999999912E-3</v>
      </c>
      <c r="I39" s="321">
        <f t="shared" si="1"/>
        <v>-3.3627647701978555E-2</v>
      </c>
    </row>
    <row r="40" spans="1:9">
      <c r="A40" s="317" t="s">
        <v>177</v>
      </c>
      <c r="B40" s="317" t="s">
        <v>178</v>
      </c>
      <c r="C40" s="317" t="s">
        <v>179</v>
      </c>
      <c r="D40" s="318">
        <v>1.86428039</v>
      </c>
      <c r="E40" s="319"/>
      <c r="F40" s="323">
        <v>1.8014772100000001</v>
      </c>
      <c r="G40" s="318"/>
      <c r="H40" s="320">
        <f t="shared" si="0"/>
        <v>-6.2803179999999958E-2</v>
      </c>
      <c r="I40" s="321">
        <f t="shared" si="1"/>
        <v>-3.3687625711709579E-2</v>
      </c>
    </row>
    <row r="41" spans="1:9">
      <c r="A41" s="317" t="s">
        <v>180</v>
      </c>
      <c r="B41" s="317" t="s">
        <v>181</v>
      </c>
      <c r="C41" s="317" t="s">
        <v>182</v>
      </c>
      <c r="D41" s="318">
        <v>4.4487939999999997E-2</v>
      </c>
      <c r="E41" s="319"/>
      <c r="F41" s="323">
        <v>4.1694290000000002E-2</v>
      </c>
      <c r="G41" s="318"/>
      <c r="H41" s="320">
        <f t="shared" si="0"/>
        <v>-2.7936499999999947E-3</v>
      </c>
      <c r="I41" s="321">
        <f t="shared" si="1"/>
        <v>-6.279567001753722E-2</v>
      </c>
    </row>
    <row r="42" spans="1:9">
      <c r="A42" s="317" t="s">
        <v>183</v>
      </c>
      <c r="B42" s="317" t="s">
        <v>184</v>
      </c>
      <c r="C42" s="317" t="s">
        <v>185</v>
      </c>
      <c r="D42" s="318">
        <v>0.14635717000000001</v>
      </c>
      <c r="E42" s="319"/>
      <c r="F42" s="323">
        <v>0.14134276000000001</v>
      </c>
      <c r="G42" s="318"/>
      <c r="H42" s="320">
        <f t="shared" si="0"/>
        <v>-5.0144099999999969E-3</v>
      </c>
      <c r="I42" s="321">
        <f t="shared" si="1"/>
        <v>-3.4261457774839431E-2</v>
      </c>
    </row>
    <row r="43" spans="1:9">
      <c r="A43" s="317" t="s">
        <v>186</v>
      </c>
      <c r="B43" s="317" t="s">
        <v>149</v>
      </c>
      <c r="C43" s="317" t="s">
        <v>187</v>
      </c>
      <c r="D43" s="318">
        <v>5.6175000000000001E-3</v>
      </c>
      <c r="E43" s="319"/>
      <c r="F43" s="323">
        <v>5.6290100000000003E-3</v>
      </c>
      <c r="G43" s="318"/>
      <c r="H43" s="320">
        <f t="shared" si="0"/>
        <v>1.1510000000000166E-5</v>
      </c>
      <c r="I43" s="321">
        <f t="shared" si="1"/>
        <v>2.0489541611037232E-3</v>
      </c>
    </row>
    <row r="44" spans="1:9">
      <c r="A44" s="317" t="s">
        <v>188</v>
      </c>
      <c r="B44" s="317" t="s">
        <v>111</v>
      </c>
      <c r="C44" s="317" t="s">
        <v>189</v>
      </c>
      <c r="D44" s="318">
        <v>0.37037037</v>
      </c>
      <c r="E44" s="319"/>
      <c r="F44" s="323">
        <v>0.37037037</v>
      </c>
      <c r="G44" s="318"/>
      <c r="H44" s="320">
        <f t="shared" si="0"/>
        <v>0</v>
      </c>
      <c r="I44" s="321">
        <f t="shared" si="1"/>
        <v>0</v>
      </c>
    </row>
    <row r="45" spans="1:9">
      <c r="A45" s="317" t="s">
        <v>190</v>
      </c>
      <c r="B45" s="317" t="s">
        <v>105</v>
      </c>
      <c r="C45" s="317" t="s">
        <v>191</v>
      </c>
      <c r="D45" s="318">
        <v>1.6744829999999999E-2</v>
      </c>
      <c r="E45" s="319"/>
      <c r="F45" s="323">
        <v>1.6182680000000001E-2</v>
      </c>
      <c r="G45" s="318"/>
      <c r="H45" s="320">
        <f t="shared" si="0"/>
        <v>-5.6214999999999737E-4</v>
      </c>
      <c r="I45" s="321">
        <f t="shared" si="1"/>
        <v>-3.3571556116126437E-2</v>
      </c>
    </row>
    <row r="46" spans="1:9">
      <c r="A46" s="317" t="s">
        <v>192</v>
      </c>
      <c r="B46" s="317" t="s">
        <v>178</v>
      </c>
      <c r="C46" s="317" t="s">
        <v>193</v>
      </c>
      <c r="D46" s="318">
        <v>3.2362149999999999E-2</v>
      </c>
      <c r="E46" s="319"/>
      <c r="F46" s="323">
        <v>2.010414E-2</v>
      </c>
      <c r="G46" s="318"/>
      <c r="H46" s="320">
        <f t="shared" si="0"/>
        <v>-1.225801E-2</v>
      </c>
      <c r="I46" s="321">
        <f t="shared" si="1"/>
        <v>-0.37877613199370253</v>
      </c>
    </row>
    <row r="47" spans="1:9">
      <c r="A47" s="317" t="s">
        <v>194</v>
      </c>
      <c r="B47" s="317" t="s">
        <v>172</v>
      </c>
      <c r="C47" s="317" t="s">
        <v>195</v>
      </c>
      <c r="D47" s="318">
        <v>0.11428571</v>
      </c>
      <c r="E47" s="319"/>
      <c r="F47" s="323">
        <v>0.11428571</v>
      </c>
      <c r="G47" s="318"/>
      <c r="H47" s="320">
        <f t="shared" si="0"/>
        <v>0</v>
      </c>
      <c r="I47" s="321">
        <f t="shared" si="1"/>
        <v>0</v>
      </c>
    </row>
    <row r="48" spans="1:9">
      <c r="A48" s="317" t="s">
        <v>196</v>
      </c>
      <c r="B48" s="317" t="s">
        <v>197</v>
      </c>
      <c r="C48" s="317" t="s">
        <v>198</v>
      </c>
      <c r="D48" s="318">
        <v>1.790421E-2</v>
      </c>
      <c r="E48" s="319"/>
      <c r="F48" s="323">
        <v>8.1258500000000004E-3</v>
      </c>
      <c r="G48" s="318"/>
      <c r="H48" s="320">
        <f t="shared" si="0"/>
        <v>-9.7783599999999998E-3</v>
      </c>
      <c r="I48" s="321">
        <f t="shared" si="1"/>
        <v>-0.54614864325206192</v>
      </c>
    </row>
    <row r="49" spans="1:9">
      <c r="A49" s="317" t="s">
        <v>199</v>
      </c>
      <c r="B49" s="317" t="s">
        <v>199</v>
      </c>
      <c r="C49" s="317" t="s">
        <v>200</v>
      </c>
      <c r="D49" s="318">
        <v>1.0900000000000001</v>
      </c>
      <c r="E49" s="319"/>
      <c r="F49" s="323">
        <v>1.05</v>
      </c>
      <c r="G49" s="318"/>
      <c r="H49" s="320">
        <f t="shared" si="0"/>
        <v>-4.0000000000000036E-2</v>
      </c>
      <c r="I49" s="321">
        <f t="shared" si="1"/>
        <v>-3.6697247706422048E-2</v>
      </c>
    </row>
    <row r="50" spans="1:9">
      <c r="A50" s="317" t="s">
        <v>201</v>
      </c>
      <c r="B50" s="317" t="s">
        <v>111</v>
      </c>
      <c r="C50" s="317" t="s">
        <v>202</v>
      </c>
      <c r="D50" s="318">
        <v>0.443</v>
      </c>
      <c r="E50" s="319"/>
      <c r="F50" s="323">
        <v>0.43719999999999998</v>
      </c>
      <c r="G50" s="318"/>
      <c r="H50" s="320">
        <f t="shared" si="0"/>
        <v>-5.8000000000000274E-3</v>
      </c>
      <c r="I50" s="321">
        <f t="shared" si="1"/>
        <v>-1.3092550790067782E-2</v>
      </c>
    </row>
    <row r="51" spans="1:9">
      <c r="A51" s="317" t="s">
        <v>203</v>
      </c>
      <c r="B51" s="317" t="s">
        <v>149</v>
      </c>
      <c r="C51" s="317" t="s">
        <v>204</v>
      </c>
      <c r="D51" s="318">
        <v>9.06122E-3</v>
      </c>
      <c r="E51" s="319"/>
      <c r="F51" s="323">
        <v>8.8613800000000003E-3</v>
      </c>
      <c r="G51" s="318"/>
      <c r="H51" s="320">
        <f t="shared" si="0"/>
        <v>-1.9983999999999974E-4</v>
      </c>
      <c r="I51" s="321">
        <f t="shared" si="1"/>
        <v>-2.2054425342282798E-2</v>
      </c>
    </row>
    <row r="52" spans="1:9">
      <c r="A52" s="317" t="s">
        <v>205</v>
      </c>
      <c r="B52" s="317" t="s">
        <v>206</v>
      </c>
      <c r="C52" s="317" t="s">
        <v>207</v>
      </c>
      <c r="D52" s="318">
        <v>1.503852E-2</v>
      </c>
      <c r="E52" s="319"/>
      <c r="F52" s="323">
        <v>1.422149E-2</v>
      </c>
      <c r="G52" s="318"/>
      <c r="H52" s="320">
        <f t="shared" si="0"/>
        <v>-8.1702999999999984E-4</v>
      </c>
      <c r="I52" s="321">
        <f t="shared" si="1"/>
        <v>-5.4329149410979265E-2</v>
      </c>
    </row>
    <row r="53" spans="1:9">
      <c r="A53" s="317" t="s">
        <v>208</v>
      </c>
      <c r="B53" s="317" t="s">
        <v>209</v>
      </c>
      <c r="C53" s="317" t="s">
        <v>210</v>
      </c>
      <c r="D53" s="318">
        <v>8.3699519999999999E-2</v>
      </c>
      <c r="E53" s="319"/>
      <c r="F53" s="323">
        <v>6.2893080000000004E-2</v>
      </c>
      <c r="G53" s="318"/>
      <c r="H53" s="320">
        <f t="shared" si="0"/>
        <v>-2.0806439999999995E-2</v>
      </c>
      <c r="I53" s="321">
        <f t="shared" si="1"/>
        <v>-0.24858493812150889</v>
      </c>
    </row>
    <row r="54" spans="1:9">
      <c r="A54" s="317" t="s">
        <v>211</v>
      </c>
      <c r="B54" s="317" t="s">
        <v>212</v>
      </c>
      <c r="C54" s="317" t="s">
        <v>213</v>
      </c>
      <c r="D54" s="318">
        <v>0.12776238000000001</v>
      </c>
      <c r="E54" s="319"/>
      <c r="F54" s="323">
        <v>0.12959243000000001</v>
      </c>
      <c r="G54" s="318"/>
      <c r="H54" s="320">
        <f t="shared" si="0"/>
        <v>1.8300499999999997E-3</v>
      </c>
      <c r="I54" s="321">
        <f t="shared" si="1"/>
        <v>1.4323856521771115E-2</v>
      </c>
    </row>
    <row r="55" spans="1:9">
      <c r="A55" s="317" t="s">
        <v>214</v>
      </c>
      <c r="B55" s="317" t="s">
        <v>215</v>
      </c>
      <c r="C55" s="317" t="s">
        <v>216</v>
      </c>
      <c r="D55" s="318">
        <v>1.1616E-4</v>
      </c>
      <c r="E55" s="319"/>
      <c r="F55" s="323">
        <v>1.1644E-4</v>
      </c>
      <c r="G55" s="318"/>
      <c r="H55" s="320">
        <f t="shared" si="0"/>
        <v>2.800000000000041E-7</v>
      </c>
      <c r="I55" s="321">
        <f t="shared" si="1"/>
        <v>2.4104683195592638E-3</v>
      </c>
    </row>
    <row r="56" spans="1:9">
      <c r="A56" s="317" t="s">
        <v>217</v>
      </c>
      <c r="B56" s="317" t="s">
        <v>111</v>
      </c>
      <c r="C56" s="317" t="s">
        <v>218</v>
      </c>
      <c r="D56" s="318">
        <v>4.7778300000000003E-3</v>
      </c>
      <c r="E56" s="319"/>
      <c r="F56" s="323">
        <v>4.7801099999999997E-3</v>
      </c>
      <c r="G56" s="318"/>
      <c r="H56" s="320">
        <f t="shared" si="0"/>
        <v>2.27999999999947E-6</v>
      </c>
      <c r="I56" s="321">
        <f t="shared" si="1"/>
        <v>4.7720408637382867E-4</v>
      </c>
    </row>
    <row r="57" spans="1:9">
      <c r="A57" s="317" t="s">
        <v>219</v>
      </c>
      <c r="B57" s="317" t="s">
        <v>220</v>
      </c>
      <c r="C57" s="317" t="s">
        <v>221</v>
      </c>
      <c r="D57" s="318">
        <v>7.5754699999999999E-3</v>
      </c>
      <c r="E57" s="319"/>
      <c r="F57" s="323">
        <v>7.6363300000000002E-3</v>
      </c>
      <c r="G57" s="318"/>
      <c r="H57" s="320">
        <f t="shared" si="0"/>
        <v>6.0860000000000254E-5</v>
      </c>
      <c r="I57" s="321">
        <f t="shared" si="1"/>
        <v>8.0338249639956665E-3</v>
      </c>
    </row>
    <row r="58" spans="1:9">
      <c r="A58" s="317" t="s">
        <v>222</v>
      </c>
      <c r="B58" s="317" t="s">
        <v>223</v>
      </c>
      <c r="C58" s="317" t="s">
        <v>224</v>
      </c>
      <c r="D58" s="318">
        <v>4.0443590000000001E-2</v>
      </c>
      <c r="E58" s="319"/>
      <c r="F58" s="323">
        <v>3.9666800000000002E-2</v>
      </c>
      <c r="G58" s="318"/>
      <c r="H58" s="320">
        <f t="shared" si="0"/>
        <v>-7.7678999999999943E-4</v>
      </c>
      <c r="I58" s="321">
        <f t="shared" si="1"/>
        <v>-1.9206751922863412E-2</v>
      </c>
    </row>
    <row r="59" spans="1:9">
      <c r="A59" s="317" t="s">
        <v>225</v>
      </c>
      <c r="B59" s="317" t="s">
        <v>111</v>
      </c>
      <c r="C59" s="317" t="s">
        <v>226</v>
      </c>
      <c r="D59" s="318">
        <v>0.12826926</v>
      </c>
      <c r="E59" s="319"/>
      <c r="F59" s="323">
        <v>0.12847691</v>
      </c>
      <c r="G59" s="318"/>
      <c r="H59" s="320">
        <f t="shared" si="0"/>
        <v>2.0765000000000366E-4</v>
      </c>
      <c r="I59" s="321">
        <f t="shared" si="1"/>
        <v>1.6188602007995031E-3</v>
      </c>
    </row>
    <row r="60" spans="1:9">
      <c r="A60" s="317" t="s">
        <v>227</v>
      </c>
      <c r="B60" s="317" t="s">
        <v>228</v>
      </c>
      <c r="C60" s="317" t="s">
        <v>229</v>
      </c>
      <c r="D60" s="318">
        <v>2.86418E-3</v>
      </c>
      <c r="E60" s="319"/>
      <c r="F60" s="323">
        <v>2.57274E-3</v>
      </c>
      <c r="G60" s="318"/>
      <c r="H60" s="320">
        <f t="shared" si="0"/>
        <v>-2.9144000000000002E-4</v>
      </c>
      <c r="I60" s="321">
        <f t="shared" si="1"/>
        <v>-0.10175338142155871</v>
      </c>
    </row>
    <row r="61" spans="1:9">
      <c r="A61" s="317" t="s">
        <v>230</v>
      </c>
      <c r="B61" s="317" t="s">
        <v>231</v>
      </c>
      <c r="C61" s="317" t="s">
        <v>232</v>
      </c>
      <c r="D61" s="318">
        <v>7.1301200000000002E-3</v>
      </c>
      <c r="E61" s="319"/>
      <c r="F61" s="323">
        <v>7.2468999999999997E-3</v>
      </c>
      <c r="G61" s="318"/>
      <c r="H61" s="320">
        <f t="shared" si="0"/>
        <v>1.1677999999999949E-4</v>
      </c>
      <c r="I61" s="321">
        <f t="shared" si="1"/>
        <v>1.6378405973531931E-2</v>
      </c>
    </row>
    <row r="62" spans="1:9">
      <c r="A62" s="317" t="s">
        <v>233</v>
      </c>
      <c r="B62" s="317" t="s">
        <v>234</v>
      </c>
      <c r="C62" s="317" t="s">
        <v>235</v>
      </c>
      <c r="D62" s="318">
        <v>1.1996710000000001E-2</v>
      </c>
      <c r="E62" s="319"/>
      <c r="F62" s="323">
        <v>1.185201E-2</v>
      </c>
      <c r="G62" s="318"/>
      <c r="H62" s="320">
        <f t="shared" si="0"/>
        <v>-1.4470000000000108E-4</v>
      </c>
      <c r="I62" s="321">
        <f t="shared" si="1"/>
        <v>-1.2061640233030645E-2</v>
      </c>
    </row>
    <row r="63" spans="1:9">
      <c r="A63" s="317" t="s">
        <v>236</v>
      </c>
      <c r="B63" s="317" t="s">
        <v>237</v>
      </c>
      <c r="C63" s="317" t="s">
        <v>238</v>
      </c>
      <c r="D63" s="318">
        <v>6.4770000000000005E-5</v>
      </c>
      <c r="E63" s="319"/>
      <c r="F63" s="323">
        <v>6.3009999999999995E-5</v>
      </c>
      <c r="G63" s="318"/>
      <c r="H63" s="320">
        <f t="shared" si="0"/>
        <v>-1.7600000000000103E-6</v>
      </c>
      <c r="I63" s="321">
        <f t="shared" si="1"/>
        <v>-2.7173073953991201E-2</v>
      </c>
    </row>
    <row r="64" spans="1:9">
      <c r="A64" s="317" t="s">
        <v>239</v>
      </c>
      <c r="B64" s="317" t="s">
        <v>240</v>
      </c>
      <c r="C64" s="317" t="s">
        <v>241</v>
      </c>
      <c r="D64" s="318">
        <v>2.3810000000000001E-5</v>
      </c>
      <c r="E64" s="319"/>
      <c r="F64" s="323">
        <v>2.3810000000000001E-5</v>
      </c>
      <c r="G64" s="318"/>
      <c r="H64" s="320">
        <f t="shared" si="0"/>
        <v>0</v>
      </c>
      <c r="I64" s="321">
        <f t="shared" si="1"/>
        <v>0</v>
      </c>
    </row>
    <row r="65" spans="1:9">
      <c r="A65" s="317" t="s">
        <v>242</v>
      </c>
      <c r="B65" s="317" t="s">
        <v>99</v>
      </c>
      <c r="C65" s="317" t="s">
        <v>243</v>
      </c>
      <c r="D65" s="318">
        <v>7.6336000000000004E-4</v>
      </c>
      <c r="E65" s="319"/>
      <c r="F65" s="323">
        <v>7.6336000000000004E-4</v>
      </c>
      <c r="G65" s="318"/>
      <c r="H65" s="320">
        <f t="shared" si="0"/>
        <v>0</v>
      </c>
      <c r="I65" s="321">
        <f t="shared" si="1"/>
        <v>0</v>
      </c>
    </row>
    <row r="66" spans="1:9">
      <c r="A66" s="317" t="s">
        <v>244</v>
      </c>
      <c r="B66" s="317" t="s">
        <v>245</v>
      </c>
      <c r="C66" s="317" t="s">
        <v>246</v>
      </c>
      <c r="D66" s="318">
        <v>0.26888949000000001</v>
      </c>
      <c r="E66" s="319"/>
      <c r="F66" s="323">
        <v>0.26724390999999997</v>
      </c>
      <c r="G66" s="318"/>
      <c r="H66" s="320">
        <f t="shared" si="0"/>
        <v>-1.6455800000000353E-3</v>
      </c>
      <c r="I66" s="321">
        <f t="shared" si="1"/>
        <v>-6.1199119385441031E-3</v>
      </c>
    </row>
    <row r="67" spans="1:9">
      <c r="A67" s="317" t="s">
        <v>247</v>
      </c>
      <c r="B67" s="317" t="s">
        <v>111</v>
      </c>
      <c r="C67" s="317" t="s">
        <v>248</v>
      </c>
      <c r="D67" s="318">
        <v>6.4492500000000001E-3</v>
      </c>
      <c r="E67" s="319"/>
      <c r="F67" s="323">
        <v>6.3210000000000002E-3</v>
      </c>
      <c r="G67" s="318"/>
      <c r="H67" s="320">
        <f t="shared" si="0"/>
        <v>-1.2824999999999989E-4</v>
      </c>
      <c r="I67" s="321">
        <f t="shared" si="1"/>
        <v>-1.988603325968134E-2</v>
      </c>
    </row>
    <row r="68" spans="1:9">
      <c r="A68" s="317" t="s">
        <v>249</v>
      </c>
      <c r="B68" s="317" t="s">
        <v>250</v>
      </c>
      <c r="C68" s="317" t="s">
        <v>251</v>
      </c>
      <c r="D68" s="318">
        <v>6.7390000000000002E-3</v>
      </c>
      <c r="E68" s="319"/>
      <c r="F68" s="323">
        <v>6.43335E-3</v>
      </c>
      <c r="G68" s="318"/>
      <c r="H68" s="320">
        <f t="shared" si="0"/>
        <v>-3.0565000000000019E-4</v>
      </c>
      <c r="I68" s="321">
        <f t="shared" si="1"/>
        <v>-4.5355393975367295E-2</v>
      </c>
    </row>
    <row r="69" spans="1:9">
      <c r="A69" s="317" t="s">
        <v>252</v>
      </c>
      <c r="B69" s="317" t="s">
        <v>99</v>
      </c>
      <c r="C69" s="317" t="s">
        <v>253</v>
      </c>
      <c r="D69" s="318">
        <v>1.4096419499999999</v>
      </c>
      <c r="E69" s="319"/>
      <c r="F69" s="323">
        <v>1.41043724</v>
      </c>
      <c r="G69" s="318"/>
      <c r="H69" s="320">
        <f t="shared" si="0"/>
        <v>7.9529000000011507E-4</v>
      </c>
      <c r="I69" s="321">
        <f t="shared" si="1"/>
        <v>5.6417872637808141E-4</v>
      </c>
    </row>
    <row r="70" spans="1:9">
      <c r="A70" s="317" t="s">
        <v>254</v>
      </c>
      <c r="B70" s="317" t="s">
        <v>255</v>
      </c>
      <c r="C70" s="317" t="s">
        <v>256</v>
      </c>
      <c r="D70" s="318">
        <v>2.1805499999999998E-3</v>
      </c>
      <c r="E70" s="319"/>
      <c r="F70" s="323">
        <v>2.01564E-3</v>
      </c>
      <c r="G70" s="318"/>
      <c r="H70" s="320">
        <f t="shared" si="0"/>
        <v>-1.6490999999999988E-4</v>
      </c>
      <c r="I70" s="321">
        <f t="shared" si="1"/>
        <v>-7.5627708605626967E-2</v>
      </c>
    </row>
    <row r="71" spans="1:9">
      <c r="A71" s="317" t="s">
        <v>257</v>
      </c>
      <c r="B71" s="317" t="s">
        <v>258</v>
      </c>
      <c r="C71" s="317" t="s">
        <v>259</v>
      </c>
      <c r="D71" s="318">
        <v>6.5548000000000004E-3</v>
      </c>
      <c r="E71" s="319"/>
      <c r="F71" s="323">
        <v>7.7243900000000002E-3</v>
      </c>
      <c r="G71" s="318"/>
      <c r="H71" s="320">
        <f t="shared" si="0"/>
        <v>1.1695899999999999E-3</v>
      </c>
      <c r="I71" s="321">
        <f t="shared" si="1"/>
        <v>0.17843259901141145</v>
      </c>
    </row>
    <row r="72" spans="1:9">
      <c r="A72" s="317" t="s">
        <v>260</v>
      </c>
      <c r="B72" s="317" t="s">
        <v>261</v>
      </c>
      <c r="C72" s="317" t="s">
        <v>262</v>
      </c>
      <c r="D72" s="318">
        <v>7.7567000000000001E-4</v>
      </c>
      <c r="E72" s="319"/>
      <c r="F72" s="323">
        <v>7.1420999999999995E-4</v>
      </c>
      <c r="G72" s="318"/>
      <c r="H72" s="320">
        <f t="shared" si="0"/>
        <v>-6.1460000000000052E-5</v>
      </c>
      <c r="I72" s="321">
        <f t="shared" si="1"/>
        <v>-7.9234726107752076E-2</v>
      </c>
    </row>
    <row r="73" spans="1:9">
      <c r="A73" s="317" t="s">
        <v>263</v>
      </c>
      <c r="B73" s="317" t="s">
        <v>99</v>
      </c>
      <c r="C73" s="317" t="s">
        <v>264</v>
      </c>
      <c r="D73" s="318">
        <v>3.2467532499999998</v>
      </c>
      <c r="E73" s="319"/>
      <c r="F73" s="323">
        <v>3.25118668</v>
      </c>
      <c r="G73" s="318"/>
      <c r="H73" s="320">
        <f t="shared" si="0"/>
        <v>4.4334300000001825E-3</v>
      </c>
      <c r="I73" s="321">
        <f t="shared" si="1"/>
        <v>1.3654964386345598E-3</v>
      </c>
    </row>
    <row r="74" spans="1:9">
      <c r="A74" s="317" t="s">
        <v>265</v>
      </c>
      <c r="B74" s="317" t="s">
        <v>266</v>
      </c>
      <c r="C74" s="317" t="s">
        <v>267</v>
      </c>
      <c r="D74" s="318">
        <v>4.8310000000000003E-5</v>
      </c>
      <c r="E74" s="319"/>
      <c r="F74" s="323">
        <v>4.5540000000000001E-5</v>
      </c>
      <c r="G74" s="318"/>
      <c r="H74" s="320">
        <f t="shared" ref="H74:H137" si="2">(F74-D74)</f>
        <v>-2.7700000000000023E-6</v>
      </c>
      <c r="I74" s="321">
        <f t="shared" ref="I74:I137" si="3">H74/D74</f>
        <v>-5.7338025253570735E-2</v>
      </c>
    </row>
    <row r="75" spans="1:9">
      <c r="A75" s="317" t="s">
        <v>268</v>
      </c>
      <c r="B75" s="317" t="s">
        <v>269</v>
      </c>
      <c r="C75" s="317" t="s">
        <v>270</v>
      </c>
      <c r="D75" s="318">
        <v>1.55245754</v>
      </c>
      <c r="E75" s="319"/>
      <c r="F75" s="323">
        <v>1.50024004</v>
      </c>
      <c r="G75" s="318"/>
      <c r="H75" s="320">
        <f t="shared" si="2"/>
        <v>-5.2217500000000028E-2</v>
      </c>
      <c r="I75" s="321">
        <f t="shared" si="3"/>
        <v>-3.3635380456202381E-2</v>
      </c>
    </row>
    <row r="76" spans="1:9">
      <c r="A76" s="317" t="s">
        <v>271</v>
      </c>
      <c r="B76" s="317" t="s">
        <v>178</v>
      </c>
      <c r="C76" s="317" t="s">
        <v>272</v>
      </c>
      <c r="D76" s="318">
        <v>6.6519999999999993E-5</v>
      </c>
      <c r="E76" s="319"/>
      <c r="F76" s="323">
        <v>1.117E-5</v>
      </c>
      <c r="G76" s="318"/>
      <c r="H76" s="320">
        <f t="shared" si="2"/>
        <v>-5.534999999999999E-5</v>
      </c>
      <c r="I76" s="321">
        <f t="shared" si="3"/>
        <v>-0.83208057726999396</v>
      </c>
    </row>
    <row r="77" spans="1:9">
      <c r="A77" s="317" t="s">
        <v>273</v>
      </c>
      <c r="B77" s="317" t="s">
        <v>111</v>
      </c>
      <c r="C77" s="317" t="s">
        <v>274</v>
      </c>
      <c r="D77" s="318">
        <v>5.3204599999999999E-3</v>
      </c>
      <c r="E77" s="319"/>
      <c r="F77" s="323">
        <v>5.4393999999999996E-3</v>
      </c>
      <c r="G77" s="318"/>
      <c r="H77" s="320">
        <f t="shared" si="2"/>
        <v>1.1893999999999967E-4</v>
      </c>
      <c r="I77" s="321">
        <f t="shared" si="3"/>
        <v>2.2355209887866778E-2</v>
      </c>
    </row>
    <row r="78" spans="1:9">
      <c r="A78" s="317" t="s">
        <v>275</v>
      </c>
      <c r="B78" s="317" t="s">
        <v>99</v>
      </c>
      <c r="C78" s="317" t="s">
        <v>276</v>
      </c>
      <c r="D78" s="318">
        <v>0.20746887999999999</v>
      </c>
      <c r="E78" s="319"/>
      <c r="F78" s="323">
        <v>0.20507352000000001</v>
      </c>
      <c r="G78" s="318"/>
      <c r="H78" s="320">
        <f t="shared" si="2"/>
        <v>-2.3953599999999853E-3</v>
      </c>
      <c r="I78" s="321">
        <f t="shared" si="3"/>
        <v>-1.1545635181526914E-2</v>
      </c>
    </row>
    <row r="79" spans="1:9">
      <c r="A79" s="317" t="s">
        <v>277</v>
      </c>
      <c r="B79" s="317" t="s">
        <v>278</v>
      </c>
      <c r="C79" s="317" t="s">
        <v>279</v>
      </c>
      <c r="D79" s="318">
        <v>0.12453454999999999</v>
      </c>
      <c r="E79" s="319"/>
      <c r="F79" s="323">
        <v>0.12473494</v>
      </c>
      <c r="G79" s="318"/>
      <c r="H79" s="320">
        <f t="shared" si="2"/>
        <v>2.0039000000000862E-4</v>
      </c>
      <c r="I79" s="321">
        <f t="shared" si="3"/>
        <v>1.609111688282558E-3</v>
      </c>
    </row>
    <row r="80" spans="1:9">
      <c r="A80" s="317" t="s">
        <v>280</v>
      </c>
      <c r="B80" s="317" t="s">
        <v>281</v>
      </c>
      <c r="C80" s="317" t="s">
        <v>282</v>
      </c>
      <c r="D80" s="318">
        <v>2.2086E-4</v>
      </c>
      <c r="E80" s="319"/>
      <c r="F80" s="323">
        <v>2.1551E-4</v>
      </c>
      <c r="G80" s="318"/>
      <c r="H80" s="320">
        <f t="shared" si="2"/>
        <v>-5.3499999999999945E-6</v>
      </c>
      <c r="I80" s="321">
        <f t="shared" si="3"/>
        <v>-2.4223489993661119E-2</v>
      </c>
    </row>
    <row r="81" spans="1:9">
      <c r="A81" s="317" t="s">
        <v>283</v>
      </c>
      <c r="B81" s="317" t="s">
        <v>284</v>
      </c>
      <c r="C81" s="317" t="s">
        <v>285</v>
      </c>
      <c r="D81" s="318">
        <v>5.9593999999999999E-4</v>
      </c>
      <c r="E81" s="319"/>
      <c r="F81" s="323">
        <v>5.7662000000000002E-4</v>
      </c>
      <c r="G81" s="318"/>
      <c r="H81" s="320">
        <f t="shared" si="2"/>
        <v>-1.9319999999999971E-5</v>
      </c>
      <c r="I81" s="321">
        <f t="shared" si="3"/>
        <v>-3.2419371077625214E-2</v>
      </c>
    </row>
    <row r="82" spans="1:9">
      <c r="A82" s="317" t="s">
        <v>286</v>
      </c>
      <c r="B82" s="317" t="s">
        <v>287</v>
      </c>
      <c r="C82" s="317" t="s">
        <v>288</v>
      </c>
      <c r="D82" s="318">
        <v>0.21490587</v>
      </c>
      <c r="E82" s="319"/>
      <c r="F82" s="323">
        <v>0.2236486</v>
      </c>
      <c r="G82" s="318"/>
      <c r="H82" s="320">
        <f t="shared" si="2"/>
        <v>8.7427300000000041E-3</v>
      </c>
      <c r="I82" s="321">
        <f t="shared" si="3"/>
        <v>4.0681671468536455E-2</v>
      </c>
    </row>
    <row r="83" spans="1:9">
      <c r="A83" s="317" t="s">
        <v>289</v>
      </c>
      <c r="B83" s="317" t="s">
        <v>290</v>
      </c>
      <c r="C83" s="317" t="s">
        <v>291</v>
      </c>
      <c r="D83" s="318">
        <v>6.4857990000000004E-2</v>
      </c>
      <c r="E83" s="319"/>
      <c r="F83" s="323">
        <v>6.5659880000000004E-2</v>
      </c>
      <c r="G83" s="318"/>
      <c r="H83" s="320">
        <f t="shared" si="2"/>
        <v>8.0188999999999955E-4</v>
      </c>
      <c r="I83" s="321">
        <f t="shared" si="3"/>
        <v>1.2363781239597457E-2</v>
      </c>
    </row>
    <row r="84" spans="1:9">
      <c r="A84" s="317" t="s">
        <v>292</v>
      </c>
      <c r="B84" s="317" t="s">
        <v>293</v>
      </c>
      <c r="C84" s="317" t="s">
        <v>294</v>
      </c>
      <c r="D84" s="318">
        <v>2.53148E-3</v>
      </c>
      <c r="E84" s="319"/>
      <c r="F84" s="323">
        <v>2.54302E-3</v>
      </c>
      <c r="G84" s="318"/>
      <c r="H84" s="320">
        <f t="shared" si="2"/>
        <v>1.1539999999999988E-5</v>
      </c>
      <c r="I84" s="321">
        <f t="shared" si="3"/>
        <v>4.558598132317849E-3</v>
      </c>
    </row>
    <row r="85" spans="1:9">
      <c r="A85" s="317" t="s">
        <v>295</v>
      </c>
      <c r="B85" s="317" t="s">
        <v>234</v>
      </c>
      <c r="C85" s="317" t="s">
        <v>296</v>
      </c>
      <c r="D85" s="318">
        <v>2.2662990000000001E-2</v>
      </c>
      <c r="E85" s="319"/>
      <c r="F85" s="323">
        <v>2.1572649999999999E-2</v>
      </c>
      <c r="G85" s="318"/>
      <c r="H85" s="320">
        <f t="shared" si="2"/>
        <v>-1.0903400000000021E-3</v>
      </c>
      <c r="I85" s="321">
        <f t="shared" si="3"/>
        <v>-4.8111039187680095E-2</v>
      </c>
    </row>
    <row r="86" spans="1:9">
      <c r="A86" s="317" t="s">
        <v>297</v>
      </c>
      <c r="B86" s="317" t="s">
        <v>298</v>
      </c>
      <c r="C86" s="317" t="s">
        <v>299</v>
      </c>
      <c r="D86" s="318">
        <v>5.2631579999999997E-2</v>
      </c>
      <c r="E86" s="319"/>
      <c r="F86" s="323">
        <v>0.05</v>
      </c>
      <c r="G86" s="318"/>
      <c r="H86" s="320">
        <f t="shared" si="2"/>
        <v>-2.6315799999999945E-3</v>
      </c>
      <c r="I86" s="321">
        <f t="shared" si="3"/>
        <v>-5.0000018999999521E-2</v>
      </c>
    </row>
    <row r="87" spans="1:9">
      <c r="A87" s="317" t="s">
        <v>300</v>
      </c>
      <c r="B87" s="317" t="s">
        <v>301</v>
      </c>
      <c r="C87" s="317" t="s">
        <v>302</v>
      </c>
      <c r="D87" s="318">
        <v>9.8872849999999998E-2</v>
      </c>
      <c r="E87" s="319"/>
      <c r="F87" s="323">
        <v>0.10007605999999999</v>
      </c>
      <c r="G87" s="318"/>
      <c r="H87" s="320">
        <f t="shared" si="2"/>
        <v>1.2032099999999962E-3</v>
      </c>
      <c r="I87" s="321">
        <f t="shared" si="3"/>
        <v>1.216926588037056E-2</v>
      </c>
    </row>
    <row r="88" spans="1:9">
      <c r="A88" s="317" t="s">
        <v>303</v>
      </c>
      <c r="B88" s="317" t="s">
        <v>304</v>
      </c>
      <c r="C88" s="317" t="s">
        <v>305</v>
      </c>
      <c r="D88" s="318">
        <v>1.5645679999999999E-2</v>
      </c>
      <c r="E88" s="319"/>
      <c r="F88" s="323">
        <v>1.5653960000000001E-2</v>
      </c>
      <c r="G88" s="318"/>
      <c r="H88" s="320">
        <f t="shared" si="2"/>
        <v>8.2800000000028684E-6</v>
      </c>
      <c r="I88" s="321">
        <f t="shared" si="3"/>
        <v>5.2921956731844628E-4</v>
      </c>
    </row>
    <row r="89" spans="1:9">
      <c r="A89" s="317" t="s">
        <v>306</v>
      </c>
      <c r="B89" s="317" t="s">
        <v>307</v>
      </c>
      <c r="C89" s="317" t="s">
        <v>308</v>
      </c>
      <c r="D89" s="318">
        <v>4.7647999999999999E-4</v>
      </c>
      <c r="E89" s="319"/>
      <c r="F89" s="323">
        <v>4.7593000000000001E-4</v>
      </c>
      <c r="G89" s="318"/>
      <c r="H89" s="320">
        <f t="shared" si="2"/>
        <v>-5.4999999999998626E-7</v>
      </c>
      <c r="I89" s="321">
        <f t="shared" si="3"/>
        <v>-1.154298186702456E-3</v>
      </c>
    </row>
    <row r="90" spans="1:9">
      <c r="A90" s="317" t="s">
        <v>309</v>
      </c>
      <c r="B90" s="317" t="s">
        <v>111</v>
      </c>
      <c r="C90" s="317" t="s">
        <v>310</v>
      </c>
      <c r="D90" s="318">
        <v>5.3649799999999997E-2</v>
      </c>
      <c r="E90" s="319"/>
      <c r="F90" s="323">
        <v>5.5199819999999997E-2</v>
      </c>
      <c r="G90" s="318"/>
      <c r="H90" s="320">
        <f t="shared" si="2"/>
        <v>1.5500199999999992E-3</v>
      </c>
      <c r="I90" s="321">
        <f t="shared" si="3"/>
        <v>2.8891440415434899E-2</v>
      </c>
    </row>
    <row r="91" spans="1:9">
      <c r="A91" s="317" t="s">
        <v>311</v>
      </c>
      <c r="B91" s="317" t="s">
        <v>234</v>
      </c>
      <c r="C91" s="317" t="s">
        <v>312</v>
      </c>
      <c r="D91" s="318">
        <v>7.5010399999999996E-3</v>
      </c>
      <c r="E91" s="319"/>
      <c r="F91" s="323">
        <v>7.4037499999999997E-3</v>
      </c>
      <c r="G91" s="318"/>
      <c r="H91" s="320">
        <f t="shared" si="2"/>
        <v>-9.7289999999999877E-5</v>
      </c>
      <c r="I91" s="321">
        <f t="shared" si="3"/>
        <v>-1.2970201465396783E-2</v>
      </c>
    </row>
    <row r="92" spans="1:9">
      <c r="A92" s="317" t="s">
        <v>313</v>
      </c>
      <c r="B92" s="317" t="s">
        <v>314</v>
      </c>
      <c r="C92" s="317" t="s">
        <v>315</v>
      </c>
      <c r="D92" s="318">
        <v>0.55865922000000001</v>
      </c>
      <c r="E92" s="319"/>
      <c r="F92" s="323">
        <v>0.55865922000000001</v>
      </c>
      <c r="G92" s="318"/>
      <c r="H92" s="320">
        <f t="shared" si="2"/>
        <v>0</v>
      </c>
      <c r="I92" s="321">
        <f t="shared" si="3"/>
        <v>0</v>
      </c>
    </row>
    <row r="93" spans="1:9">
      <c r="A93" s="317" t="s">
        <v>316</v>
      </c>
      <c r="B93" s="317" t="s">
        <v>111</v>
      </c>
      <c r="C93" s="317" t="s">
        <v>317</v>
      </c>
      <c r="D93" s="318">
        <v>0.60489999999999999</v>
      </c>
      <c r="E93" s="319"/>
      <c r="F93" s="323">
        <v>0.5877</v>
      </c>
      <c r="G93" s="318"/>
      <c r="H93" s="320">
        <f t="shared" si="2"/>
        <v>-1.7199999999999993E-2</v>
      </c>
      <c r="I93" s="321">
        <f t="shared" si="3"/>
        <v>-2.8434451975533136E-2</v>
      </c>
    </row>
    <row r="94" spans="1:9">
      <c r="A94" s="317" t="s">
        <v>318</v>
      </c>
      <c r="B94" s="317" t="s">
        <v>319</v>
      </c>
      <c r="C94" s="317" t="s">
        <v>320</v>
      </c>
      <c r="D94" s="318">
        <v>2.7245209999999999E-2</v>
      </c>
      <c r="E94" s="319"/>
      <c r="F94" s="323">
        <v>2.717133E-2</v>
      </c>
      <c r="G94" s="318"/>
      <c r="H94" s="320">
        <f t="shared" si="2"/>
        <v>-7.3879999999998391E-5</v>
      </c>
      <c r="I94" s="321">
        <f t="shared" si="3"/>
        <v>-2.7116693172854383E-3</v>
      </c>
    </row>
    <row r="95" spans="1:9">
      <c r="A95" s="317" t="s">
        <v>321</v>
      </c>
      <c r="B95" s="317" t="s">
        <v>322</v>
      </c>
      <c r="C95" s="317" t="s">
        <v>323</v>
      </c>
      <c r="D95" s="318">
        <v>1.2245699999999999E-3</v>
      </c>
      <c r="E95" s="319"/>
      <c r="F95" s="323">
        <v>5.9416000000000004E-4</v>
      </c>
      <c r="G95" s="318"/>
      <c r="H95" s="320">
        <f t="shared" si="2"/>
        <v>-6.3040999999999987E-4</v>
      </c>
      <c r="I95" s="321">
        <f t="shared" si="3"/>
        <v>-0.51480111386037541</v>
      </c>
    </row>
    <row r="96" spans="1:9">
      <c r="A96" s="317" t="s">
        <v>324</v>
      </c>
      <c r="B96" s="317" t="s">
        <v>184</v>
      </c>
      <c r="C96" s="317" t="s">
        <v>325</v>
      </c>
      <c r="D96" s="318">
        <v>9.3628580000000003E-2</v>
      </c>
      <c r="E96" s="319"/>
      <c r="F96" s="323">
        <v>9.0421639999999998E-2</v>
      </c>
      <c r="G96" s="318"/>
      <c r="H96" s="320">
        <f t="shared" si="2"/>
        <v>-3.2069400000000053E-3</v>
      </c>
      <c r="I96" s="321">
        <f t="shared" si="3"/>
        <v>-3.4251721002283762E-2</v>
      </c>
    </row>
    <row r="97" spans="1:9">
      <c r="A97" s="317" t="s">
        <v>326</v>
      </c>
      <c r="B97" s="317" t="s">
        <v>240</v>
      </c>
      <c r="C97" s="317" t="s">
        <v>327</v>
      </c>
      <c r="D97" s="318">
        <v>2.5975375299999999</v>
      </c>
      <c r="E97" s="319"/>
      <c r="F97" s="323">
        <v>2.5972676699999999</v>
      </c>
      <c r="G97" s="318"/>
      <c r="H97" s="320">
        <f t="shared" si="2"/>
        <v>-2.6985999999995514E-4</v>
      </c>
      <c r="I97" s="321">
        <f t="shared" si="3"/>
        <v>-1.0389070297665926E-4</v>
      </c>
    </row>
    <row r="98" spans="1:9">
      <c r="A98" s="317" t="s">
        <v>328</v>
      </c>
      <c r="B98" s="317" t="s">
        <v>234</v>
      </c>
      <c r="C98" s="317" t="s">
        <v>329</v>
      </c>
      <c r="D98" s="318">
        <v>3.5020099999999998E-3</v>
      </c>
      <c r="E98" s="319"/>
      <c r="F98" s="323">
        <v>3.5976300000000001E-3</v>
      </c>
      <c r="G98" s="318"/>
      <c r="H98" s="320">
        <f t="shared" si="2"/>
        <v>9.5620000000000253E-5</v>
      </c>
      <c r="I98" s="321">
        <f t="shared" si="3"/>
        <v>2.7304319519361811E-2</v>
      </c>
    </row>
    <row r="99" spans="1:9">
      <c r="A99" s="317" t="s">
        <v>330</v>
      </c>
      <c r="B99" s="317" t="s">
        <v>331</v>
      </c>
      <c r="C99" s="317" t="s">
        <v>332</v>
      </c>
      <c r="D99" s="318">
        <v>1</v>
      </c>
      <c r="E99" s="319"/>
      <c r="F99" s="323">
        <v>1</v>
      </c>
      <c r="G99" s="318"/>
      <c r="H99" s="320">
        <f t="shared" si="2"/>
        <v>0</v>
      </c>
      <c r="I99" s="321">
        <f t="shared" si="3"/>
        <v>0</v>
      </c>
    </row>
    <row r="100" spans="1:9">
      <c r="A100" s="317" t="s">
        <v>333</v>
      </c>
      <c r="B100" s="317" t="s">
        <v>334</v>
      </c>
      <c r="C100" s="317" t="s">
        <v>335</v>
      </c>
      <c r="D100" s="318">
        <v>0.26939999999999997</v>
      </c>
      <c r="E100" s="319"/>
      <c r="F100" s="323">
        <v>0.25219999999999998</v>
      </c>
      <c r="G100" s="318"/>
      <c r="H100" s="320">
        <f t="shared" si="2"/>
        <v>-1.7199999999999993E-2</v>
      </c>
      <c r="I100" s="321">
        <f t="shared" si="3"/>
        <v>-6.3845582776540441E-2</v>
      </c>
    </row>
    <row r="101" spans="1:9">
      <c r="A101" s="317" t="s">
        <v>336</v>
      </c>
      <c r="B101" s="317" t="s">
        <v>337</v>
      </c>
      <c r="C101" s="317" t="s">
        <v>338</v>
      </c>
      <c r="D101" s="318">
        <v>1.3438999999999999E-4</v>
      </c>
      <c r="E101" s="319"/>
      <c r="F101" s="323">
        <v>1.2807000000000001E-4</v>
      </c>
      <c r="G101" s="318"/>
      <c r="H101" s="320">
        <f t="shared" si="2"/>
        <v>-6.3199999999999801E-6</v>
      </c>
      <c r="I101" s="321">
        <f t="shared" si="3"/>
        <v>-4.7027308579507258E-2</v>
      </c>
    </row>
    <row r="102" spans="1:9">
      <c r="A102" s="317" t="s">
        <v>339</v>
      </c>
      <c r="B102" s="317" t="s">
        <v>340</v>
      </c>
      <c r="C102" s="317" t="s">
        <v>341</v>
      </c>
      <c r="D102" s="318">
        <v>0.26315789000000001</v>
      </c>
      <c r="E102" s="319"/>
      <c r="F102" s="323">
        <v>0.26315789000000001</v>
      </c>
      <c r="G102" s="318"/>
      <c r="H102" s="320">
        <f t="shared" si="2"/>
        <v>0</v>
      </c>
      <c r="I102" s="321">
        <f t="shared" si="3"/>
        <v>0</v>
      </c>
    </row>
    <row r="103" spans="1:9">
      <c r="A103" s="317" t="s">
        <v>339</v>
      </c>
      <c r="B103" s="317" t="s">
        <v>342</v>
      </c>
      <c r="C103" s="317" t="s">
        <v>343</v>
      </c>
      <c r="D103" s="318">
        <v>5.4422699999999999E-3</v>
      </c>
      <c r="E103" s="319"/>
      <c r="F103" s="323">
        <v>5.2592000000000003E-3</v>
      </c>
      <c r="G103" s="318"/>
      <c r="H103" s="320">
        <f t="shared" si="2"/>
        <v>-1.8306999999999959E-4</v>
      </c>
      <c r="I103" s="321">
        <f t="shared" si="3"/>
        <v>-3.3638536860537901E-2</v>
      </c>
    </row>
    <row r="104" spans="1:9">
      <c r="A104" s="317" t="s">
        <v>344</v>
      </c>
      <c r="B104" s="317" t="s">
        <v>105</v>
      </c>
      <c r="C104" s="317" t="s">
        <v>345</v>
      </c>
      <c r="D104" s="318">
        <v>1.805967E-2</v>
      </c>
      <c r="E104" s="319"/>
      <c r="F104" s="323">
        <v>1.697073E-2</v>
      </c>
      <c r="G104" s="318"/>
      <c r="H104" s="320">
        <f t="shared" si="2"/>
        <v>-1.08894E-3</v>
      </c>
      <c r="I104" s="321">
        <f t="shared" si="3"/>
        <v>-6.0296782831579979E-2</v>
      </c>
    </row>
    <row r="105" spans="1:9">
      <c r="A105" s="317" t="s">
        <v>346</v>
      </c>
      <c r="B105" s="317" t="s">
        <v>347</v>
      </c>
      <c r="C105" s="317" t="s">
        <v>348</v>
      </c>
      <c r="D105" s="318">
        <v>0.24955704000000001</v>
      </c>
      <c r="E105" s="319"/>
      <c r="F105" s="323">
        <v>0.24320248999999999</v>
      </c>
      <c r="G105" s="318"/>
      <c r="H105" s="320">
        <f t="shared" si="2"/>
        <v>-6.3545500000000144E-3</v>
      </c>
      <c r="I105" s="321">
        <f t="shared" si="3"/>
        <v>-2.5463316923457716E-2</v>
      </c>
    </row>
    <row r="106" spans="1:9">
      <c r="A106" s="317" t="s">
        <v>349</v>
      </c>
      <c r="B106" s="317" t="s">
        <v>350</v>
      </c>
      <c r="C106" s="317" t="s">
        <v>351</v>
      </c>
      <c r="D106" s="318">
        <v>0.27436347999999999</v>
      </c>
      <c r="E106" s="319"/>
      <c r="F106" s="323">
        <v>0.27420549</v>
      </c>
      <c r="G106" s="318"/>
      <c r="H106" s="320">
        <f t="shared" si="2"/>
        <v>-1.5798999999999674E-4</v>
      </c>
      <c r="I106" s="321">
        <f t="shared" si="3"/>
        <v>-5.7584194514516559E-4</v>
      </c>
    </row>
    <row r="107" spans="1:9">
      <c r="A107" s="317" t="s">
        <v>352</v>
      </c>
      <c r="B107" s="317" t="s">
        <v>353</v>
      </c>
      <c r="C107" s="317" t="s">
        <v>354</v>
      </c>
      <c r="D107" s="318">
        <v>0.21957271</v>
      </c>
      <c r="E107" s="319"/>
      <c r="F107" s="323">
        <v>0.21185992000000001</v>
      </c>
      <c r="G107" s="318"/>
      <c r="H107" s="320">
        <f t="shared" si="2"/>
        <v>-7.7127899999999971E-3</v>
      </c>
      <c r="I107" s="321">
        <f t="shared" si="3"/>
        <v>-3.5126359737510174E-2</v>
      </c>
    </row>
    <row r="108" spans="1:9">
      <c r="A108" s="317" t="s">
        <v>355</v>
      </c>
      <c r="B108" s="317" t="s">
        <v>125</v>
      </c>
      <c r="C108" s="317" t="s">
        <v>356</v>
      </c>
      <c r="D108" s="318">
        <v>1.133207E-2</v>
      </c>
      <c r="E108" s="319"/>
      <c r="F108" s="323">
        <v>9.9497500000000003E-3</v>
      </c>
      <c r="G108" s="318"/>
      <c r="H108" s="320">
        <f t="shared" si="2"/>
        <v>-1.3823199999999994E-3</v>
      </c>
      <c r="I108" s="321">
        <f t="shared" si="3"/>
        <v>-0.12198300928250526</v>
      </c>
    </row>
    <row r="109" spans="1:9">
      <c r="A109" s="317" t="s">
        <v>357</v>
      </c>
      <c r="B109" s="317" t="s">
        <v>149</v>
      </c>
      <c r="C109" s="317" t="s">
        <v>358</v>
      </c>
      <c r="D109" s="318">
        <v>8.0687E-4</v>
      </c>
      <c r="E109" s="319"/>
      <c r="F109" s="323">
        <v>7.2995999999999998E-4</v>
      </c>
      <c r="G109" s="318"/>
      <c r="H109" s="320">
        <f t="shared" si="2"/>
        <v>-7.6910000000000021E-5</v>
      </c>
      <c r="I109" s="321">
        <f t="shared" si="3"/>
        <v>-9.5318948529502914E-2</v>
      </c>
    </row>
    <row r="110" spans="1:9">
      <c r="A110" s="317" t="s">
        <v>359</v>
      </c>
      <c r="B110" s="317" t="s">
        <v>360</v>
      </c>
      <c r="C110" s="317" t="s">
        <v>361</v>
      </c>
      <c r="D110" s="318">
        <v>0.3674</v>
      </c>
      <c r="E110" s="319"/>
      <c r="F110" s="323">
        <v>0.3644</v>
      </c>
      <c r="G110" s="318"/>
      <c r="H110" s="320">
        <f t="shared" si="2"/>
        <v>-3.0000000000000027E-3</v>
      </c>
      <c r="I110" s="321">
        <f t="shared" si="3"/>
        <v>-8.1654872074033817E-3</v>
      </c>
    </row>
    <row r="111" spans="1:9">
      <c r="A111" s="317" t="s">
        <v>362</v>
      </c>
      <c r="B111" s="317" t="s">
        <v>363</v>
      </c>
      <c r="C111" s="317" t="s">
        <v>364</v>
      </c>
      <c r="D111" s="318">
        <v>4.4799999999999998E-5</v>
      </c>
      <c r="E111" s="319"/>
      <c r="F111" s="323">
        <v>4.3300000000000002E-5</v>
      </c>
      <c r="G111" s="318"/>
      <c r="H111" s="320">
        <f t="shared" si="2"/>
        <v>-1.4999999999999958E-6</v>
      </c>
      <c r="I111" s="321">
        <f t="shared" si="3"/>
        <v>-3.3482142857142766E-2</v>
      </c>
    </row>
    <row r="112" spans="1:9">
      <c r="A112" s="317" t="s">
        <v>365</v>
      </c>
      <c r="B112" s="317" t="s">
        <v>350</v>
      </c>
      <c r="C112" s="317" t="s">
        <v>366</v>
      </c>
      <c r="D112" s="318">
        <v>0.26661689999999999</v>
      </c>
      <c r="E112" s="319"/>
      <c r="F112" s="323">
        <v>0.26636124</v>
      </c>
      <c r="G112" s="318"/>
      <c r="H112" s="320">
        <f t="shared" si="2"/>
        <v>-2.5565999999999089E-4</v>
      </c>
      <c r="I112" s="321">
        <f t="shared" si="3"/>
        <v>-9.5890395545065185E-4</v>
      </c>
    </row>
    <row r="113" spans="1:9">
      <c r="A113" s="317" t="s">
        <v>367</v>
      </c>
      <c r="B113" s="317" t="s">
        <v>368</v>
      </c>
      <c r="C113" s="317" t="s">
        <v>369</v>
      </c>
      <c r="D113" s="318">
        <v>9.3090599999999992E-3</v>
      </c>
      <c r="E113" s="319"/>
      <c r="F113" s="323">
        <v>9.0127899999999997E-3</v>
      </c>
      <c r="G113" s="318"/>
      <c r="H113" s="320">
        <f t="shared" si="2"/>
        <v>-2.9626999999999952E-4</v>
      </c>
      <c r="I113" s="321">
        <f t="shared" si="3"/>
        <v>-3.1825984578464375E-2</v>
      </c>
    </row>
    <row r="114" spans="1:9">
      <c r="A114" s="317" t="s">
        <v>370</v>
      </c>
      <c r="B114" s="317" t="s">
        <v>234</v>
      </c>
      <c r="C114" s="317" t="s">
        <v>371</v>
      </c>
      <c r="D114" s="318">
        <v>7.2404999999999997E-2</v>
      </c>
      <c r="E114" s="319"/>
      <c r="F114" s="323">
        <v>7.2718279999999996E-2</v>
      </c>
      <c r="G114" s="318"/>
      <c r="H114" s="320">
        <f t="shared" si="2"/>
        <v>3.1327999999999911E-4</v>
      </c>
      <c r="I114" s="321">
        <f t="shared" si="3"/>
        <v>4.326773012913461E-3</v>
      </c>
    </row>
    <row r="115" spans="1:9">
      <c r="A115" s="317" t="s">
        <v>372</v>
      </c>
      <c r="B115" s="317" t="s">
        <v>373</v>
      </c>
      <c r="C115" s="317" t="s">
        <v>374</v>
      </c>
      <c r="D115" s="318">
        <v>4.4499999999999997E-5</v>
      </c>
      <c r="E115" s="319"/>
      <c r="F115" s="323">
        <v>4.3900000000000003E-5</v>
      </c>
      <c r="G115" s="318"/>
      <c r="H115" s="320">
        <f t="shared" si="2"/>
        <v>-5.9999999999999426E-7</v>
      </c>
      <c r="I115" s="321">
        <f t="shared" si="3"/>
        <v>-1.3483146067415602E-2</v>
      </c>
    </row>
    <row r="116" spans="1:9">
      <c r="A116" s="317" t="s">
        <v>375</v>
      </c>
      <c r="B116" s="317" t="s">
        <v>111</v>
      </c>
      <c r="C116" s="317" t="s">
        <v>376</v>
      </c>
      <c r="D116" s="318">
        <v>0.74710496999999998</v>
      </c>
      <c r="E116" s="319"/>
      <c r="F116" s="323">
        <v>0.74460163999999995</v>
      </c>
      <c r="G116" s="318"/>
      <c r="H116" s="320">
        <f t="shared" si="2"/>
        <v>-2.5033300000000258E-3</v>
      </c>
      <c r="I116" s="321">
        <f t="shared" si="3"/>
        <v>-3.3507071971426261E-3</v>
      </c>
    </row>
    <row r="117" spans="1:9">
      <c r="A117" s="317" t="s">
        <v>377</v>
      </c>
      <c r="B117" s="317" t="s">
        <v>111</v>
      </c>
      <c r="C117" s="317" t="s">
        <v>378</v>
      </c>
      <c r="D117" s="318">
        <v>0.12230000000000001</v>
      </c>
      <c r="E117" s="319"/>
      <c r="F117" s="323">
        <v>0.12189999999999999</v>
      </c>
      <c r="G117" s="318"/>
      <c r="H117" s="320">
        <f t="shared" si="2"/>
        <v>-4.0000000000001146E-4</v>
      </c>
      <c r="I117" s="321">
        <f t="shared" si="3"/>
        <v>-3.270645952575727E-3</v>
      </c>
    </row>
    <row r="118" spans="1:9">
      <c r="A118" s="317" t="s">
        <v>379</v>
      </c>
      <c r="B118" s="317" t="s">
        <v>258</v>
      </c>
      <c r="C118" s="317" t="s">
        <v>380</v>
      </c>
      <c r="D118" s="318">
        <v>1.75016E-3</v>
      </c>
      <c r="E118" s="319"/>
      <c r="F118" s="323">
        <v>1.7513100000000001E-3</v>
      </c>
      <c r="G118" s="318"/>
      <c r="H118" s="320">
        <f t="shared" si="2"/>
        <v>1.1500000000001093E-6</v>
      </c>
      <c r="I118" s="321">
        <f t="shared" si="3"/>
        <v>6.5708278100294214E-4</v>
      </c>
    </row>
    <row r="119" spans="1:9">
      <c r="A119" s="317" t="s">
        <v>381</v>
      </c>
      <c r="B119" s="317" t="s">
        <v>382</v>
      </c>
      <c r="C119" s="317" t="s">
        <v>383</v>
      </c>
      <c r="D119" s="318">
        <v>5.3649799999999997E-2</v>
      </c>
      <c r="E119" s="319"/>
      <c r="F119" s="323">
        <v>5.5199819999999997E-2</v>
      </c>
      <c r="G119" s="318"/>
      <c r="H119" s="320">
        <f t="shared" si="2"/>
        <v>1.5500199999999992E-3</v>
      </c>
      <c r="I119" s="321">
        <f t="shared" si="3"/>
        <v>2.8891440415434899E-2</v>
      </c>
    </row>
    <row r="120" spans="1:9">
      <c r="A120" s="317" t="s">
        <v>384</v>
      </c>
      <c r="B120" s="317" t="s">
        <v>234</v>
      </c>
      <c r="C120" s="317" t="s">
        <v>385</v>
      </c>
      <c r="D120" s="318">
        <v>3.05018E-3</v>
      </c>
      <c r="E120" s="319"/>
      <c r="F120" s="323">
        <v>3.4397400000000002E-3</v>
      </c>
      <c r="G120" s="318"/>
      <c r="H120" s="320">
        <f t="shared" si="2"/>
        <v>3.8956000000000017E-4</v>
      </c>
      <c r="I120" s="321">
        <f t="shared" si="3"/>
        <v>0.12771705276409923</v>
      </c>
    </row>
    <row r="121" spans="1:9">
      <c r="A121" s="317" t="s">
        <v>386</v>
      </c>
      <c r="B121" s="317" t="s">
        <v>387</v>
      </c>
      <c r="C121" s="317" t="s">
        <v>388</v>
      </c>
      <c r="D121" s="318">
        <v>1.7722700000000001E-3</v>
      </c>
      <c r="E121" s="319"/>
      <c r="F121" s="323">
        <v>1.67224E-3</v>
      </c>
      <c r="G121" s="318"/>
      <c r="H121" s="320">
        <f t="shared" si="2"/>
        <v>-1.0003000000000008E-4</v>
      </c>
      <c r="I121" s="321">
        <f t="shared" si="3"/>
        <v>-5.6441738561280215E-2</v>
      </c>
    </row>
    <row r="122" spans="1:9">
      <c r="A122" s="317" t="s">
        <v>389</v>
      </c>
      <c r="B122" s="317" t="s">
        <v>390</v>
      </c>
      <c r="C122" s="317" t="s">
        <v>391</v>
      </c>
      <c r="D122" s="318">
        <v>2.6274990000000002E-2</v>
      </c>
      <c r="E122" s="319"/>
      <c r="F122" s="323">
        <v>2.8207949999999999E-2</v>
      </c>
      <c r="G122" s="318"/>
      <c r="H122" s="320">
        <f t="shared" si="2"/>
        <v>1.9329599999999975E-3</v>
      </c>
      <c r="I122" s="321">
        <f t="shared" si="3"/>
        <v>7.3566536086217243E-2</v>
      </c>
    </row>
    <row r="123" spans="1:9">
      <c r="A123" s="317" t="s">
        <v>392</v>
      </c>
      <c r="B123" s="317" t="s">
        <v>393</v>
      </c>
      <c r="C123" s="317" t="s">
        <v>394</v>
      </c>
      <c r="D123" s="318">
        <v>5.3649799999999997E-2</v>
      </c>
      <c r="E123" s="319"/>
      <c r="F123" s="323">
        <v>5.5199819999999997E-2</v>
      </c>
      <c r="G123" s="318"/>
      <c r="H123" s="320">
        <f t="shared" si="2"/>
        <v>1.5500199999999992E-3</v>
      </c>
      <c r="I123" s="321">
        <f t="shared" si="3"/>
        <v>2.8891440415434899E-2</v>
      </c>
    </row>
    <row r="124" spans="1:9">
      <c r="A124" s="317" t="s">
        <v>395</v>
      </c>
      <c r="B124" s="317" t="s">
        <v>231</v>
      </c>
      <c r="C124" s="317" t="s">
        <v>396</v>
      </c>
      <c r="D124" s="318">
        <v>9.5543840000000005E-2</v>
      </c>
      <c r="E124" s="319"/>
      <c r="F124" s="323">
        <v>9.0685669999999996E-2</v>
      </c>
      <c r="G124" s="318"/>
      <c r="H124" s="320">
        <f t="shared" si="2"/>
        <v>-4.8581700000000089E-3</v>
      </c>
      <c r="I124" s="321">
        <f t="shared" si="3"/>
        <v>-5.0847548099385673E-2</v>
      </c>
    </row>
    <row r="125" spans="1:9">
      <c r="A125" s="317" t="s">
        <v>397</v>
      </c>
      <c r="B125" s="317" t="s">
        <v>149</v>
      </c>
      <c r="C125" s="317" t="s">
        <v>398</v>
      </c>
      <c r="D125" s="318">
        <v>1.1316057500000001</v>
      </c>
      <c r="E125" s="319"/>
      <c r="F125" s="323">
        <v>1.13096584</v>
      </c>
      <c r="G125" s="318"/>
      <c r="H125" s="320">
        <f t="shared" si="2"/>
        <v>-6.3991000000007681E-4</v>
      </c>
      <c r="I125" s="321">
        <f t="shared" si="3"/>
        <v>-5.6548846627906999E-4</v>
      </c>
    </row>
    <row r="126" spans="1:9">
      <c r="A126" s="317" t="s">
        <v>399</v>
      </c>
      <c r="B126" s="317" t="s">
        <v>178</v>
      </c>
      <c r="C126" s="317" t="s">
        <v>400</v>
      </c>
      <c r="D126" s="318">
        <v>1.9501E-3</v>
      </c>
      <c r="E126" s="319"/>
      <c r="F126" s="323">
        <v>1.9501E-3</v>
      </c>
      <c r="G126" s="318"/>
      <c r="H126" s="320">
        <f t="shared" si="2"/>
        <v>0</v>
      </c>
      <c r="I126" s="321">
        <f t="shared" si="3"/>
        <v>0</v>
      </c>
    </row>
    <row r="127" spans="1:9">
      <c r="A127" s="317" t="s">
        <v>401</v>
      </c>
      <c r="B127" s="317" t="s">
        <v>402</v>
      </c>
      <c r="C127" s="317" t="s">
        <v>403</v>
      </c>
      <c r="D127" s="318">
        <v>3.1953990000000002E-2</v>
      </c>
      <c r="E127" s="319"/>
      <c r="F127" s="323">
        <v>3.0773970000000001E-2</v>
      </c>
      <c r="G127" s="318"/>
      <c r="H127" s="320">
        <f t="shared" si="2"/>
        <v>-1.1800200000000004E-3</v>
      </c>
      <c r="I127" s="321">
        <f t="shared" si="3"/>
        <v>-3.6928721577493148E-2</v>
      </c>
    </row>
    <row r="128" spans="1:9">
      <c r="A128" s="317" t="s">
        <v>404</v>
      </c>
      <c r="B128" s="317" t="s">
        <v>258</v>
      </c>
      <c r="C128" s="317" t="s">
        <v>405</v>
      </c>
      <c r="D128" s="318">
        <v>4.0004999999999999E-4</v>
      </c>
      <c r="E128" s="319"/>
      <c r="F128" s="323">
        <v>3.7744999999999999E-4</v>
      </c>
      <c r="G128" s="318"/>
      <c r="H128" s="320">
        <f t="shared" si="2"/>
        <v>-2.2600000000000007E-5</v>
      </c>
      <c r="I128" s="321">
        <f t="shared" si="3"/>
        <v>-5.6492938382702182E-2</v>
      </c>
    </row>
    <row r="129" spans="1:9">
      <c r="A129" s="317" t="s">
        <v>406</v>
      </c>
      <c r="B129" s="317" t="s">
        <v>407</v>
      </c>
      <c r="C129" s="317" t="s">
        <v>408</v>
      </c>
      <c r="D129" s="318">
        <v>2.841716E-2</v>
      </c>
      <c r="E129" s="319"/>
      <c r="F129" s="323">
        <v>2.8824260000000001E-2</v>
      </c>
      <c r="G129" s="318"/>
      <c r="H129" s="320">
        <f t="shared" si="2"/>
        <v>4.0710000000000052E-4</v>
      </c>
      <c r="I129" s="321">
        <f t="shared" si="3"/>
        <v>1.4325850999888817E-2</v>
      </c>
    </row>
    <row r="130" spans="1:9">
      <c r="A130" s="317" t="s">
        <v>409</v>
      </c>
      <c r="B130" s="317" t="s">
        <v>149</v>
      </c>
      <c r="C130" s="317" t="s">
        <v>410</v>
      </c>
      <c r="D130" s="318">
        <v>1.66333E-3</v>
      </c>
      <c r="E130" s="319"/>
      <c r="F130" s="323">
        <v>1.60739E-3</v>
      </c>
      <c r="G130" s="318"/>
      <c r="H130" s="320">
        <f t="shared" si="2"/>
        <v>-5.5939999999999983E-5</v>
      </c>
      <c r="I130" s="321">
        <f t="shared" si="3"/>
        <v>-3.3631329922504845E-2</v>
      </c>
    </row>
    <row r="131" spans="1:9">
      <c r="A131" s="317" t="s">
        <v>411</v>
      </c>
      <c r="B131" s="317" t="s">
        <v>412</v>
      </c>
      <c r="C131" s="317" t="s">
        <v>413</v>
      </c>
      <c r="D131" s="318">
        <v>0.42530000000000001</v>
      </c>
      <c r="E131" s="319"/>
      <c r="F131" s="323">
        <v>0.42549999999999999</v>
      </c>
      <c r="G131" s="318"/>
      <c r="H131" s="320">
        <f t="shared" si="2"/>
        <v>1.9999999999997797E-4</v>
      </c>
      <c r="I131" s="321">
        <f t="shared" si="3"/>
        <v>4.7025628967782264E-4</v>
      </c>
    </row>
    <row r="132" spans="1:9">
      <c r="A132" s="317" t="s">
        <v>414</v>
      </c>
      <c r="B132" s="317" t="s">
        <v>111</v>
      </c>
      <c r="C132" s="317" t="s">
        <v>415</v>
      </c>
      <c r="D132" s="318">
        <v>0.14791149000000001</v>
      </c>
      <c r="E132" s="319"/>
      <c r="F132" s="323">
        <v>0.14775849999999999</v>
      </c>
      <c r="G132" s="318"/>
      <c r="H132" s="320">
        <f t="shared" si="2"/>
        <v>-1.529900000000195E-4</v>
      </c>
      <c r="I132" s="321">
        <f t="shared" si="3"/>
        <v>-1.0343347903534709E-3</v>
      </c>
    </row>
    <row r="133" spans="1:9">
      <c r="A133" s="317" t="s">
        <v>416</v>
      </c>
      <c r="B133" s="317" t="s">
        <v>99</v>
      </c>
      <c r="C133" s="317" t="s">
        <v>417</v>
      </c>
      <c r="D133" s="318">
        <v>0.32160545000000001</v>
      </c>
      <c r="E133" s="319"/>
      <c r="F133" s="323">
        <v>0.31717837999999998</v>
      </c>
      <c r="G133" s="318"/>
      <c r="H133" s="320">
        <f t="shared" si="2"/>
        <v>-4.4270700000000329E-3</v>
      </c>
      <c r="I133" s="321">
        <f t="shared" si="3"/>
        <v>-1.3765531647551472E-2</v>
      </c>
    </row>
    <row r="134" spans="1:9">
      <c r="A134" s="317" t="s">
        <v>418</v>
      </c>
      <c r="B134" s="317" t="s">
        <v>419</v>
      </c>
      <c r="C134" s="317" t="s">
        <v>420</v>
      </c>
      <c r="D134" s="318">
        <v>3.4735370000000002E-2</v>
      </c>
      <c r="E134" s="319"/>
      <c r="F134" s="323">
        <v>2.9013170000000001E-2</v>
      </c>
      <c r="G134" s="318"/>
      <c r="H134" s="320">
        <f t="shared" si="2"/>
        <v>-5.7222000000000002E-3</v>
      </c>
      <c r="I134" s="321">
        <f t="shared" si="3"/>
        <v>-0.16473698135358858</v>
      </c>
    </row>
    <row r="135" spans="1:9">
      <c r="A135" s="317" t="s">
        <v>421</v>
      </c>
      <c r="B135" s="317" t="s">
        <v>258</v>
      </c>
      <c r="C135" s="317" t="s">
        <v>422</v>
      </c>
      <c r="D135" s="318">
        <v>2.6407999999999998E-4</v>
      </c>
      <c r="E135" s="319"/>
      <c r="F135" s="323">
        <v>2.7101000000000002E-4</v>
      </c>
      <c r="G135" s="318"/>
      <c r="H135" s="320">
        <f t="shared" si="2"/>
        <v>6.9300000000000438E-6</v>
      </c>
      <c r="I135" s="321">
        <f t="shared" si="3"/>
        <v>2.6242047864283718E-2</v>
      </c>
    </row>
    <row r="136" spans="1:9">
      <c r="A136" s="317" t="s">
        <v>423</v>
      </c>
      <c r="B136" s="317" t="s">
        <v>424</v>
      </c>
      <c r="C136" s="317" t="s">
        <v>425</v>
      </c>
      <c r="D136" s="318">
        <v>2.7728559999999999E-2</v>
      </c>
      <c r="E136" s="319"/>
      <c r="F136" s="323">
        <v>2.419462E-2</v>
      </c>
      <c r="G136" s="318"/>
      <c r="H136" s="320">
        <f t="shared" si="2"/>
        <v>-3.5339399999999993E-3</v>
      </c>
      <c r="I136" s="321">
        <f t="shared" si="3"/>
        <v>-0.12744765685632428</v>
      </c>
    </row>
    <row r="137" spans="1:9">
      <c r="A137" s="317" t="s">
        <v>426</v>
      </c>
      <c r="B137" s="317" t="s">
        <v>301</v>
      </c>
      <c r="C137" s="317" t="s">
        <v>427</v>
      </c>
      <c r="D137" s="318">
        <v>0.27227183999999999</v>
      </c>
      <c r="E137" s="319"/>
      <c r="F137" s="323">
        <v>0.27225701000000002</v>
      </c>
      <c r="G137" s="318"/>
      <c r="H137" s="320">
        <f t="shared" si="2"/>
        <v>-1.4829999999965704E-5</v>
      </c>
      <c r="I137" s="321">
        <f t="shared" si="3"/>
        <v>-5.4467623239941764E-5</v>
      </c>
    </row>
    <row r="138" spans="1:9">
      <c r="A138" s="317" t="s">
        <v>428</v>
      </c>
      <c r="B138" s="317" t="s">
        <v>178</v>
      </c>
      <c r="C138" s="317" t="s">
        <v>429</v>
      </c>
      <c r="D138" s="318">
        <v>1.25</v>
      </c>
      <c r="E138" s="319"/>
      <c r="F138" s="323">
        <v>1.27</v>
      </c>
      <c r="G138" s="318"/>
      <c r="H138" s="320">
        <f t="shared" ref="H138:H145" si="4">(F138-D138)</f>
        <v>2.0000000000000018E-2</v>
      </c>
      <c r="I138" s="321">
        <f t="shared" ref="I138:I145" si="5">H138/D138</f>
        <v>1.6000000000000014E-2</v>
      </c>
    </row>
    <row r="139" spans="1:9">
      <c r="A139" s="317" t="s">
        <v>430</v>
      </c>
      <c r="B139" s="317" t="s">
        <v>431</v>
      </c>
      <c r="C139" s="317" t="s">
        <v>432</v>
      </c>
      <c r="D139" s="318">
        <v>2.5000000000000001E-2</v>
      </c>
      <c r="E139" s="319"/>
      <c r="F139" s="323">
        <v>2.2727270000000001E-2</v>
      </c>
      <c r="G139" s="318"/>
      <c r="H139" s="320">
        <f t="shared" si="4"/>
        <v>-2.2727300000000006E-3</v>
      </c>
      <c r="I139" s="321">
        <f t="shared" si="5"/>
        <v>-9.0909200000000023E-2</v>
      </c>
    </row>
    <row r="140" spans="1:9">
      <c r="A140" s="317" t="s">
        <v>433</v>
      </c>
      <c r="B140" s="317" t="s">
        <v>434</v>
      </c>
      <c r="C140" s="317" t="s">
        <v>435</v>
      </c>
      <c r="D140" s="318">
        <v>8.26788E-3</v>
      </c>
      <c r="E140" s="319"/>
      <c r="F140" s="323">
        <v>8.2202999999999998E-3</v>
      </c>
      <c r="G140" s="318"/>
      <c r="H140" s="320">
        <f t="shared" si="4"/>
        <v>-4.7580000000000192E-5</v>
      </c>
      <c r="I140" s="321">
        <f t="shared" si="5"/>
        <v>-5.7548005050871796E-3</v>
      </c>
    </row>
    <row r="141" spans="1:9">
      <c r="A141" s="317" t="s">
        <v>436</v>
      </c>
      <c r="B141" s="317" t="s">
        <v>437</v>
      </c>
      <c r="C141" s="317" t="s">
        <v>437</v>
      </c>
      <c r="D141" s="318">
        <v>1.111111E-2</v>
      </c>
      <c r="E141" s="319"/>
      <c r="F141" s="323">
        <v>1.6666670000000001E-2</v>
      </c>
      <c r="G141" s="318"/>
      <c r="H141" s="320">
        <f t="shared" si="4"/>
        <v>5.5555600000000011E-3</v>
      </c>
      <c r="I141" s="321">
        <f t="shared" si="5"/>
        <v>0.50000045000004512</v>
      </c>
    </row>
    <row r="142" spans="1:9">
      <c r="A142" s="317" t="s">
        <v>438</v>
      </c>
      <c r="B142" s="317" t="s">
        <v>439</v>
      </c>
      <c r="C142" s="317" t="s">
        <v>440</v>
      </c>
      <c r="D142" s="318">
        <v>4.1260000000000001E-5</v>
      </c>
      <c r="E142" s="319"/>
      <c r="F142" s="323">
        <v>3.9350000000000001E-5</v>
      </c>
      <c r="G142" s="318"/>
      <c r="H142" s="320">
        <f t="shared" si="4"/>
        <v>-1.9100000000000003E-6</v>
      </c>
      <c r="I142" s="321">
        <f t="shared" si="5"/>
        <v>-4.6291808046534183E-2</v>
      </c>
    </row>
    <row r="143" spans="1:9">
      <c r="A143" s="317" t="s">
        <v>441</v>
      </c>
      <c r="B143" s="317" t="s">
        <v>240</v>
      </c>
      <c r="C143" s="317" t="s">
        <v>442</v>
      </c>
      <c r="D143" s="318">
        <v>3.99564E-3</v>
      </c>
      <c r="E143" s="319"/>
      <c r="F143" s="323">
        <v>3.9977800000000003E-3</v>
      </c>
      <c r="G143" s="318"/>
      <c r="H143" s="320">
        <f t="shared" si="4"/>
        <v>2.1400000000003014E-6</v>
      </c>
      <c r="I143" s="321">
        <f t="shared" si="5"/>
        <v>5.3558378632717195E-4</v>
      </c>
    </row>
    <row r="144" spans="1:9">
      <c r="A144" s="317" t="s">
        <v>443</v>
      </c>
      <c r="B144" s="317" t="s">
        <v>443</v>
      </c>
      <c r="C144" s="317" t="s">
        <v>444</v>
      </c>
      <c r="D144" s="318">
        <v>4.275441E-2</v>
      </c>
      <c r="E144" s="319"/>
      <c r="F144" s="323">
        <v>3.6003599999999997E-2</v>
      </c>
      <c r="G144" s="318"/>
      <c r="H144" s="320">
        <f t="shared" si="4"/>
        <v>-6.7508100000000029E-3</v>
      </c>
      <c r="I144" s="321">
        <f t="shared" si="5"/>
        <v>-0.15789739584758633</v>
      </c>
    </row>
    <row r="145" spans="1:9">
      <c r="A145" s="317" t="s">
        <v>445</v>
      </c>
      <c r="B145" s="317" t="s">
        <v>111</v>
      </c>
      <c r="C145" s="317" t="s">
        <v>446</v>
      </c>
      <c r="D145" s="318">
        <v>1.7233E-4</v>
      </c>
      <c r="E145" s="319"/>
      <c r="F145" s="323">
        <v>2.7630000000000001E-5</v>
      </c>
      <c r="G145" s="318"/>
      <c r="H145" s="320">
        <f t="shared" si="4"/>
        <v>-1.4469999999999999E-4</v>
      </c>
      <c r="I145" s="321">
        <f t="shared" si="5"/>
        <v>-0.83966807868624149</v>
      </c>
    </row>
    <row r="146" spans="1:9">
      <c r="A146" s="499"/>
      <c r="B146" s="499"/>
      <c r="C146" s="499"/>
      <c r="D146" s="499"/>
      <c r="E146" s="499"/>
      <c r="F146" s="499"/>
      <c r="G146" s="499"/>
      <c r="H146" s="499"/>
      <c r="I146" s="499"/>
    </row>
    <row r="147" spans="1:9">
      <c r="A147" s="499" t="s">
        <v>640</v>
      </c>
      <c r="B147" s="499"/>
      <c r="C147" s="499"/>
      <c r="D147" s="499"/>
      <c r="E147" s="499"/>
      <c r="F147" s="499"/>
      <c r="G147" s="499"/>
      <c r="H147" s="499"/>
      <c r="I147" s="499"/>
    </row>
    <row r="148" spans="1:9">
      <c r="A148" s="499"/>
      <c r="B148" s="499"/>
      <c r="C148" s="499"/>
      <c r="D148" s="499"/>
      <c r="E148" s="499"/>
      <c r="F148" s="499"/>
      <c r="G148" s="499"/>
      <c r="H148" s="499"/>
      <c r="I148" s="499"/>
    </row>
    <row r="149" spans="1:9">
      <c r="F149" s="521"/>
      <c r="H149" s="89"/>
    </row>
    <row r="153" spans="1:9">
      <c r="F153" s="522"/>
    </row>
  </sheetData>
  <mergeCells count="10">
    <mergeCell ref="H7:I7"/>
    <mergeCell ref="A146:I146"/>
    <mergeCell ref="A147:I147"/>
    <mergeCell ref="A148:I148"/>
    <mergeCell ref="A1:I1"/>
    <mergeCell ref="A2:I2"/>
    <mergeCell ref="A3:I3"/>
    <mergeCell ref="A4:I4"/>
    <mergeCell ref="A5:I5"/>
    <mergeCell ref="H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f95cd-efcd-421a-8dc9-74b66ab104fe">
      <Terms xmlns="http://schemas.microsoft.com/office/infopath/2007/PartnerControls"/>
    </lcf76f155ced4ddcb4097134ff3c332f>
    <TaxCatchAll xmlns="0408f750-d74e-4e69-af3a-2ac0b1b8ed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2CF59ACD39C14CA24CF9AB38F9905F" ma:contentTypeVersion="15" ma:contentTypeDescription="Create a new document." ma:contentTypeScope="" ma:versionID="a5d19e3642613da06276e53e7ff505b9">
  <xsd:schema xmlns:xsd="http://www.w3.org/2001/XMLSchema" xmlns:xs="http://www.w3.org/2001/XMLSchema" xmlns:p="http://schemas.microsoft.com/office/2006/metadata/properties" xmlns:ns2="b8df95cd-efcd-421a-8dc9-74b66ab104fe" xmlns:ns3="0408f750-d74e-4e69-af3a-2ac0b1b8edc3" targetNamespace="http://schemas.microsoft.com/office/2006/metadata/properties" ma:root="true" ma:fieldsID="132f5b40fb56d704e1e053db070c55cf" ns2:_="" ns3:_="">
    <xsd:import namespace="b8df95cd-efcd-421a-8dc9-74b66ab104fe"/>
    <xsd:import namespace="0408f750-d74e-4e69-af3a-2ac0b1b8e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f95cd-efcd-421a-8dc9-74b66ab10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788c53-7e05-4f3c-88a0-b3a683d7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8f750-d74e-4e69-af3a-2ac0b1b8ed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a72f25-5fda-4323-9c36-32de72d05d94}" ma:internalName="TaxCatchAll" ma:showField="CatchAllData" ma:web="0408f750-d74e-4e69-af3a-2ac0b1b8e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CB7FE-1EA9-4A3C-ACD4-E738751033D0}">
  <ds:schemaRefs>
    <ds:schemaRef ds:uri="http://schemas.microsoft.com/office/2006/metadata/properties"/>
    <ds:schemaRef ds:uri="http://schemas.microsoft.com/office/infopath/2007/PartnerControls"/>
    <ds:schemaRef ds:uri="b8df95cd-efcd-421a-8dc9-74b66ab104fe"/>
    <ds:schemaRef ds:uri="0408f750-d74e-4e69-af3a-2ac0b1b8edc3"/>
  </ds:schemaRefs>
</ds:datastoreItem>
</file>

<file path=customXml/itemProps2.xml><?xml version="1.0" encoding="utf-8"?>
<ds:datastoreItem xmlns:ds="http://schemas.openxmlformats.org/officeDocument/2006/customXml" ds:itemID="{C1E45561-E627-4FB4-B993-6C72B528E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46F0A-8683-4467-BC6D-A1A63CA0A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df95cd-efcd-421a-8dc9-74b66ab104fe"/>
    <ds:schemaRef ds:uri="0408f750-d74e-4e69-af3a-2ac0b1b8e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Budget</vt:lpstr>
      <vt:lpstr>Benchmarks</vt:lpstr>
      <vt:lpstr>Local consultant_Summary</vt:lpstr>
      <vt:lpstr>2025 FX Rates</vt:lpstr>
      <vt:lpstr>Budget!Print_Area</vt:lpstr>
      <vt:lpstr>'Local consultant_Summary'!Print_Area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2025-04-11T15:04:08Z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0x010100B02CF59ACD39C14CA24CF9AB38F9905F</vt:lpwstr>
  </property>
  <property fmtid="{D5CDD505-2E9C-101B-9397-08002B2CF9AE}" pid="3" name="MediaServiceImageTags">
    <vt:lpwstr/>
  </property>
  <property fmtid="{D5CDD505-2E9C-101B-9397-08002B2CF9AE}" pid="4" name="MSIP_Label_38f1469a-2c2a-4aee-b92b-090d4c5468ff_Enabled">
    <vt:lpwstr>true</vt:lpwstr>
  </property>
  <property fmtid="{D5CDD505-2E9C-101B-9397-08002B2CF9AE}" pid="5" name="MSIP_Label_38f1469a-2c2a-4aee-b92b-090d4c5468ff_SetDate">
    <vt:lpwstr>2022-11-14T14:48:11Z</vt:lpwstr>
  </property>
  <property fmtid="{D5CDD505-2E9C-101B-9397-08002B2CF9AE}" pid="6" name="MSIP_Label_38f1469a-2c2a-4aee-b92b-090d4c5468ff_Method">
    <vt:lpwstr>Standard</vt:lpwstr>
  </property>
  <property fmtid="{D5CDD505-2E9C-101B-9397-08002B2CF9AE}" pid="7" name="MSIP_Label_38f1469a-2c2a-4aee-b92b-090d4c5468ff_Name">
    <vt:lpwstr>Confidential - Unmarked</vt:lpwstr>
  </property>
  <property fmtid="{D5CDD505-2E9C-101B-9397-08002B2CF9AE}" pid="8" name="MSIP_Label_38f1469a-2c2a-4aee-b92b-090d4c5468ff_SiteId">
    <vt:lpwstr>2a6e6092-73e4-4752-b1a5-477a17f5056d</vt:lpwstr>
  </property>
  <property fmtid="{D5CDD505-2E9C-101B-9397-08002B2CF9AE}" pid="9" name="MSIP_Label_38f1469a-2c2a-4aee-b92b-090d4c5468ff_ActionId">
    <vt:lpwstr>3077290f-141e-4ace-8768-ed6d5342a2ea</vt:lpwstr>
  </property>
  <property fmtid="{D5CDD505-2E9C-101B-9397-08002B2CF9AE}" pid="10" name="MSIP_Label_38f1469a-2c2a-4aee-b92b-090d4c5468ff_ContentBits">
    <vt:lpwstr>0</vt:lpwstr>
  </property>
</Properties>
</file>