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cbre.sharepoint.com/teams/GlobalOfficeFitOutCostGuide2024/Shared Documents/General/Copy Final/"/>
    </mc:Choice>
  </mc:AlternateContent>
  <xr:revisionPtr revIDLastSave="156" documentId="8_{6449AFEE-3733-4C6A-86FF-7D5EF17C25DE}" xr6:coauthVersionLast="47" xr6:coauthVersionMax="47" xr10:uidLastSave="{BB3FA31E-133C-4AF8-A7DF-6B8DCBB9997D}"/>
  <bookViews>
    <workbookView xWindow="-110" yWindow="-110" windowWidth="19420" windowHeight="10420" tabRatio="601" firstSheet="3" activeTab="3" xr2:uid="{D0AC5AF4-6D21-423F-8106-85F7BC18E59C}"/>
  </bookViews>
  <sheets>
    <sheet name="FITOUT" sheetId="8" state="hidden" r:id="rId1"/>
    <sheet name="FURNITURE" sheetId="17" state="hidden" r:id="rId2"/>
    <sheet name="TECH" sheetId="16" state="hidden" r:id="rId3"/>
    <sheet name="Table 1_Activity BYOB Sqm" sheetId="20" r:id="rId4"/>
    <sheet name="Table 1_Activity BYOB SqFt" sheetId="23" r:id="rId5"/>
    <sheet name="Table 2_Team BYOB Sqm" sheetId="26" r:id="rId6"/>
    <sheet name="Table 2_Team BYOB SqFt" sheetId="27" r:id="rId7"/>
    <sheet name="Table 3_Event BYOB Sqm" sheetId="28" r:id="rId8"/>
    <sheet name="Table 3_Event BYOB SqFt" sheetId="29" r:id="rId9"/>
    <sheet name="Table 4_Reinstatement Sqm" sheetId="30" r:id="rId10"/>
    <sheet name="Table 4_Reinstatement Sqft" sheetId="31" r:id="rId11"/>
    <sheet name="Sheet" sheetId="33" state="hidden" r:id="rId12"/>
    <sheet name="Table 5 Global Radar Graph" sheetId="32" r:id="rId13"/>
    <sheet name="Table 6 EMEA Radar Graph" sheetId="35" r:id="rId14"/>
    <sheet name="Table 7 APAC Radar Graph" sheetId="36" r:id="rId15"/>
    <sheet name="Table 8 LATAM Radar Graph" sheetId="37" r:id="rId16"/>
    <sheet name="Build your Budget" sheetId="15" state="hidden" r:id="rId17"/>
    <sheet name="Table 8 AMERICAS Graph" sheetId="38" r:id="rId18"/>
  </sheets>
  <definedNames>
    <definedName name="_xlnm._FilterDatabase" localSheetId="16" hidden="1">'Build your Budget'!$B$4:$D$139</definedName>
    <definedName name="_xlnm._FilterDatabase" localSheetId="0" hidden="1">FITOUT!$B$4:$D$139</definedName>
    <definedName name="_xlnm._FilterDatabase" localSheetId="1" hidden="1">FURNITURE!$B$4:$D$139</definedName>
    <definedName name="_xlnm._FilterDatabase" localSheetId="11" hidden="1">Sheet!$A$2:$K$2</definedName>
    <definedName name="_xlnm._FilterDatabase" localSheetId="4" hidden="1">'Table 1_Activity BYOB SqFt'!$B$5:$D$139</definedName>
    <definedName name="_xlnm._FilterDatabase" localSheetId="3" hidden="1">'Table 1_Activity BYOB Sqm'!$B$5:$D$139</definedName>
    <definedName name="_xlnm._FilterDatabase" localSheetId="6" hidden="1">'Table 2_Team BYOB SqFt'!$B$5:$D$139</definedName>
    <definedName name="_xlnm._FilterDatabase" localSheetId="5" hidden="1">'Table 2_Team BYOB Sqm'!$B$5:$D$139</definedName>
    <definedName name="_xlnm._FilterDatabase" localSheetId="8" hidden="1">'Table 3_Event BYOB SqFt'!$B$5:$D$139</definedName>
    <definedName name="_xlnm._FilterDatabase" localSheetId="7" hidden="1">'Table 3_Event BYOB Sqm'!$B$5:$D$139</definedName>
    <definedName name="_xlnm._FilterDatabase" localSheetId="10" hidden="1">'Table 4_Reinstatement Sqft'!$B$5:$M$139</definedName>
    <definedName name="_xlnm._FilterDatabase" localSheetId="9" hidden="1">'Table 4_Reinstatement Sqm'!$B$5:$K$139</definedName>
    <definedName name="_xlnm._FilterDatabase" localSheetId="12" hidden="1">'Table 5 Global Radar Graph'!$B$1:$D$73</definedName>
    <definedName name="_xlnm._FilterDatabase" localSheetId="13" hidden="1">'Table 6 EMEA Radar Graph'!$B$1:$D$37</definedName>
    <definedName name="_xlnm._FilterDatabase" localSheetId="14" hidden="1">'Table 7 APAC Radar Graph'!$B$1:$D$1</definedName>
    <definedName name="_xlnm._FilterDatabase" localSheetId="17" hidden="1">'Table 8 AMERICAS Graph'!$B$1:$D$45</definedName>
    <definedName name="_xlnm._FilterDatabase" localSheetId="15" hidden="1">'Table 8 LATAM Radar Graph'!$B$1:$D$24</definedName>
    <definedName name="_xlnm._FilterDatabase" localSheetId="2" hidden="1">TECH!$B$4:$D$139</definedName>
    <definedName name="_xlnm.Print_Area" localSheetId="16">'Build your Budget'!$A$1:$AF$139</definedName>
    <definedName name="_xlnm.Print_Area" localSheetId="0">FITOUT!$A$1:$AF$137</definedName>
    <definedName name="_xlnm.Print_Area" localSheetId="1">FURNITURE!$A$1:$AF$139</definedName>
    <definedName name="_xlnm.Print_Area" localSheetId="4">'Table 1_Activity BYOB SqFt'!$A$1:$Z$139</definedName>
    <definedName name="_xlnm.Print_Area" localSheetId="3">'Table 1_Activity BYOB Sqm'!$A$1:$Z$139</definedName>
    <definedName name="_xlnm.Print_Area" localSheetId="6">'Table 2_Team BYOB SqFt'!$A$1:$Z$139</definedName>
    <definedName name="_xlnm.Print_Area" localSheetId="5">'Table 2_Team BYOB Sqm'!$A$1:$Z$139</definedName>
    <definedName name="_xlnm.Print_Area" localSheetId="8">'Table 3_Event BYOB SqFt'!$A$1:$Z$139</definedName>
    <definedName name="_xlnm.Print_Area" localSheetId="7">'Table 3_Event BYOB Sqm'!$A$1:$Z$139</definedName>
    <definedName name="_xlnm.Print_Area" localSheetId="10">'Table 4_Reinstatement Sqft'!$B$1:$M$139</definedName>
    <definedName name="_xlnm.Print_Area" localSheetId="9">'Table 4_Reinstatement Sqm'!$B$1:$K$139</definedName>
    <definedName name="_xlnm.Print_Area" localSheetId="12">'Table 5 Global Radar Graph'!$A$1:$P$73</definedName>
    <definedName name="_xlnm.Print_Area" localSheetId="13">'Table 6 EMEA Radar Graph'!$A$1:$P$62</definedName>
    <definedName name="_xlnm.Print_Area" localSheetId="14">'Table 7 APAC Radar Graph'!$A$1:$Q$61</definedName>
    <definedName name="_xlnm.Print_Area" localSheetId="17">'Table 8 AMERICAS Graph'!$A$1:$Q$52</definedName>
    <definedName name="_xlnm.Print_Area" localSheetId="15">'Table 8 LATAM Radar Graph'!$A$1:$Q$71</definedName>
    <definedName name="_xlnm.Print_Area" localSheetId="2">TECH!$A$1:$AA$137</definedName>
    <definedName name="_xlnm.Print_Titles" localSheetId="10">'Table 4_Reinstatement Sqft'!$1:$5</definedName>
    <definedName name="_xlnm.Print_Titles" localSheetId="9">'Table 4_Reinstatement Sqm'!$1:$5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8" l="1"/>
  <c r="D5" i="38"/>
  <c r="D6" i="38"/>
  <c r="D7" i="38"/>
  <c r="D8" i="38"/>
  <c r="D9" i="38"/>
  <c r="D10" i="38"/>
  <c r="D11" i="38"/>
  <c r="D12" i="38"/>
  <c r="D13" i="38"/>
  <c r="D14" i="38"/>
  <c r="D15" i="38"/>
  <c r="D16" i="38"/>
  <c r="D17" i="38"/>
  <c r="D18" i="38"/>
  <c r="D19" i="38"/>
  <c r="D20" i="38"/>
  <c r="D21" i="38"/>
  <c r="D22" i="38"/>
  <c r="D23" i="38"/>
  <c r="D24" i="38"/>
  <c r="D25" i="38"/>
  <c r="D26" i="38"/>
  <c r="D27" i="38"/>
  <c r="D28" i="38"/>
  <c r="D29" i="38"/>
  <c r="D30" i="38"/>
  <c r="D31" i="38"/>
  <c r="D32" i="38"/>
  <c r="D33" i="38"/>
  <c r="D34" i="38"/>
  <c r="D35" i="38"/>
  <c r="D36" i="38"/>
  <c r="D37" i="38"/>
  <c r="D38" i="38"/>
  <c r="D39" i="38"/>
  <c r="D40" i="38"/>
  <c r="D41" i="38"/>
  <c r="D42" i="38"/>
  <c r="D43" i="38"/>
  <c r="D44" i="38"/>
  <c r="D45" i="38"/>
  <c r="D3" i="38"/>
  <c r="D2" i="38"/>
  <c r="L4" i="33"/>
  <c r="L5" i="33"/>
  <c r="L6" i="33"/>
  <c r="L7" i="33"/>
  <c r="L8" i="33"/>
  <c r="L9" i="33"/>
  <c r="L10" i="33"/>
  <c r="L11" i="33"/>
  <c r="L12" i="33"/>
  <c r="L13" i="33"/>
  <c r="L14" i="33"/>
  <c r="L15" i="33"/>
  <c r="L16" i="33"/>
  <c r="L17" i="33"/>
  <c r="L18" i="33"/>
  <c r="L19" i="33"/>
  <c r="L20" i="33"/>
  <c r="L21" i="33"/>
  <c r="L22" i="33"/>
  <c r="L23" i="33"/>
  <c r="L24" i="33"/>
  <c r="L25" i="33"/>
  <c r="L26" i="33"/>
  <c r="L27" i="33"/>
  <c r="L28" i="33"/>
  <c r="L29" i="33"/>
  <c r="L30" i="33"/>
  <c r="L31" i="33"/>
  <c r="L32" i="33"/>
  <c r="L33" i="33"/>
  <c r="L34" i="33"/>
  <c r="L35" i="33"/>
  <c r="L36" i="33"/>
  <c r="L37" i="33"/>
  <c r="L38" i="33"/>
  <c r="L39" i="33"/>
  <c r="L40" i="33"/>
  <c r="L41" i="33"/>
  <c r="L42" i="33"/>
  <c r="L43" i="33"/>
  <c r="L44" i="33"/>
  <c r="L45" i="33"/>
  <c r="L46" i="33"/>
  <c r="L47" i="33"/>
  <c r="L48" i="33"/>
  <c r="L49" i="33"/>
  <c r="L50" i="33"/>
  <c r="L51" i="33"/>
  <c r="L52" i="33"/>
  <c r="L53" i="33"/>
  <c r="L54" i="33"/>
  <c r="L55" i="33"/>
  <c r="L56" i="33"/>
  <c r="L57" i="33"/>
  <c r="L58" i="33"/>
  <c r="L59" i="33"/>
  <c r="L60" i="33"/>
  <c r="L61" i="33"/>
  <c r="L62" i="33"/>
  <c r="L63" i="33"/>
  <c r="L64" i="33"/>
  <c r="L65" i="33"/>
  <c r="L66" i="33"/>
  <c r="L67" i="33"/>
  <c r="L68" i="33"/>
  <c r="L69" i="33"/>
  <c r="L70" i="33"/>
  <c r="L71" i="33"/>
  <c r="L72" i="33"/>
  <c r="L73" i="33"/>
  <c r="L74" i="33"/>
  <c r="L75" i="33"/>
  <c r="L76" i="33"/>
  <c r="L77" i="33"/>
  <c r="L78" i="33"/>
  <c r="L79" i="33"/>
  <c r="L80" i="33"/>
  <c r="L81" i="33"/>
  <c r="L82" i="33"/>
  <c r="L83" i="33"/>
  <c r="L84" i="33"/>
  <c r="L85" i="33"/>
  <c r="L86" i="33"/>
  <c r="L87" i="33"/>
  <c r="L88" i="33"/>
  <c r="L89" i="33"/>
  <c r="L90" i="33"/>
  <c r="L91" i="33"/>
  <c r="L92" i="33"/>
  <c r="L93" i="33"/>
  <c r="L94" i="33"/>
  <c r="L95" i="33"/>
  <c r="L96" i="33"/>
  <c r="L97" i="33"/>
  <c r="L98" i="33"/>
  <c r="L99" i="33"/>
  <c r="L100" i="33"/>
  <c r="L101" i="33"/>
  <c r="L102" i="33"/>
  <c r="L103" i="33"/>
  <c r="L104" i="33"/>
  <c r="L105" i="33"/>
  <c r="L106" i="33"/>
  <c r="L107" i="33"/>
  <c r="L108" i="33"/>
  <c r="L109" i="33"/>
  <c r="L110" i="33"/>
  <c r="L111" i="33"/>
  <c r="L112" i="33"/>
  <c r="L113" i="33"/>
  <c r="L114" i="33"/>
  <c r="L115" i="33"/>
  <c r="L116" i="33"/>
  <c r="L117" i="33"/>
  <c r="L118" i="33"/>
  <c r="L119" i="33"/>
  <c r="L120" i="33"/>
  <c r="L121" i="33"/>
  <c r="L122" i="33"/>
  <c r="L123" i="33"/>
  <c r="L124" i="33"/>
  <c r="L125" i="33"/>
  <c r="L126" i="33"/>
  <c r="L127" i="33"/>
  <c r="L128" i="33"/>
  <c r="L129" i="33"/>
  <c r="L130" i="33"/>
  <c r="L131" i="33"/>
  <c r="L132" i="33"/>
  <c r="L133" i="33"/>
  <c r="L134" i="33"/>
  <c r="L135" i="33"/>
  <c r="L136" i="33"/>
  <c r="L3" i="33"/>
  <c r="H70" i="31"/>
  <c r="H71" i="31"/>
  <c r="H72" i="31"/>
  <c r="H73" i="31"/>
  <c r="G71" i="31"/>
  <c r="G70" i="31"/>
  <c r="G72" i="31"/>
  <c r="G73" i="31"/>
  <c r="I67" i="33" l="1"/>
  <c r="J67" i="33"/>
  <c r="K67" i="33"/>
  <c r="I68" i="33"/>
  <c r="J68" i="33"/>
  <c r="K68" i="33"/>
  <c r="I69" i="33"/>
  <c r="J69" i="33"/>
  <c r="K69" i="33"/>
  <c r="I70" i="33"/>
  <c r="J70" i="33"/>
  <c r="K70" i="33"/>
  <c r="V70" i="20"/>
  <c r="X70" i="20" s="1"/>
  <c r="V71" i="20"/>
  <c r="V72" i="20"/>
  <c r="V73" i="20"/>
  <c r="V70" i="23"/>
  <c r="X70" i="23" s="1"/>
  <c r="V71" i="23"/>
  <c r="V72" i="23"/>
  <c r="V73" i="23"/>
  <c r="V70" i="26"/>
  <c r="Y70" i="26" s="1"/>
  <c r="V71" i="26"/>
  <c r="V72" i="26"/>
  <c r="V73" i="26"/>
  <c r="V70" i="27"/>
  <c r="X70" i="27" s="1"/>
  <c r="V71" i="27"/>
  <c r="V72" i="27"/>
  <c r="V73" i="27"/>
  <c r="V70" i="28"/>
  <c r="X70" i="28" s="1"/>
  <c r="V71" i="28"/>
  <c r="V72" i="28"/>
  <c r="V73" i="28"/>
  <c r="V70" i="29"/>
  <c r="Y70" i="29" s="1"/>
  <c r="V71" i="29"/>
  <c r="V72" i="29"/>
  <c r="V73" i="29"/>
  <c r="X70" i="26" l="1"/>
  <c r="Z70" i="26"/>
  <c r="D21" i="32"/>
  <c r="Z70" i="29"/>
  <c r="X71" i="29"/>
  <c r="X70" i="29"/>
  <c r="X72" i="29"/>
  <c r="Z71" i="29"/>
  <c r="Y72" i="28"/>
  <c r="Z70" i="28"/>
  <c r="Y70" i="28"/>
  <c r="Y72" i="27"/>
  <c r="Z70" i="27"/>
  <c r="Y73" i="27"/>
  <c r="Y70" i="27"/>
  <c r="Z73" i="26"/>
  <c r="Y73" i="26"/>
  <c r="Z70" i="23"/>
  <c r="Y70" i="23"/>
  <c r="Z70" i="20"/>
  <c r="Y70" i="20"/>
  <c r="G73" i="29"/>
  <c r="Z73" i="29" s="1"/>
  <c r="F73" i="29"/>
  <c r="Y73" i="29" s="1"/>
  <c r="E73" i="29"/>
  <c r="X73" i="29" s="1"/>
  <c r="G72" i="29"/>
  <c r="Z72" i="29" s="1"/>
  <c r="F72" i="29"/>
  <c r="Y72" i="29" s="1"/>
  <c r="E72" i="29"/>
  <c r="G71" i="29"/>
  <c r="F71" i="29"/>
  <c r="Y71" i="29" s="1"/>
  <c r="E71" i="29"/>
  <c r="G73" i="28"/>
  <c r="Z73" i="28" s="1"/>
  <c r="F73" i="28"/>
  <c r="Y73" i="28" s="1"/>
  <c r="E73" i="28"/>
  <c r="X73" i="28" s="1"/>
  <c r="G72" i="28"/>
  <c r="Z72" i="28" s="1"/>
  <c r="F72" i="28"/>
  <c r="E72" i="28"/>
  <c r="X72" i="28" s="1"/>
  <c r="G71" i="28"/>
  <c r="Z71" i="28" s="1"/>
  <c r="F71" i="28"/>
  <c r="Y71" i="28" s="1"/>
  <c r="E71" i="28"/>
  <c r="X71" i="28" s="1"/>
  <c r="G73" i="27"/>
  <c r="Z73" i="27" s="1"/>
  <c r="F73" i="27"/>
  <c r="E73" i="27"/>
  <c r="X73" i="27" s="1"/>
  <c r="G72" i="27"/>
  <c r="Z72" i="27" s="1"/>
  <c r="F72" i="27"/>
  <c r="E72" i="27"/>
  <c r="X72" i="27" s="1"/>
  <c r="G71" i="27"/>
  <c r="Z71" i="27" s="1"/>
  <c r="F71" i="27"/>
  <c r="Y71" i="27" s="1"/>
  <c r="E71" i="27"/>
  <c r="X71" i="27" s="1"/>
  <c r="G73" i="26"/>
  <c r="F73" i="26"/>
  <c r="E73" i="26"/>
  <c r="X73" i="26" s="1"/>
  <c r="G72" i="26"/>
  <c r="Z72" i="26" s="1"/>
  <c r="F72" i="26"/>
  <c r="Y72" i="26" s="1"/>
  <c r="E72" i="26"/>
  <c r="X72" i="26" s="1"/>
  <c r="G71" i="26"/>
  <c r="Z71" i="26" s="1"/>
  <c r="F71" i="26"/>
  <c r="Y71" i="26" s="1"/>
  <c r="E71" i="26"/>
  <c r="X71" i="26" s="1"/>
  <c r="G73" i="23"/>
  <c r="Z73" i="23" s="1"/>
  <c r="F73" i="23"/>
  <c r="Y73" i="23" s="1"/>
  <c r="E73" i="23"/>
  <c r="X73" i="23" s="1"/>
  <c r="G72" i="23"/>
  <c r="Z72" i="23" s="1"/>
  <c r="F72" i="23"/>
  <c r="Y72" i="23" s="1"/>
  <c r="E72" i="23"/>
  <c r="X72" i="23" s="1"/>
  <c r="G71" i="23"/>
  <c r="Z71" i="23" s="1"/>
  <c r="F71" i="23"/>
  <c r="Y71" i="23" s="1"/>
  <c r="E71" i="23"/>
  <c r="X71" i="23" s="1"/>
  <c r="G73" i="20"/>
  <c r="Z73" i="20" s="1"/>
  <c r="F73" i="20"/>
  <c r="Y73" i="20" s="1"/>
  <c r="E73" i="20"/>
  <c r="X73" i="20" s="1"/>
  <c r="G72" i="20"/>
  <c r="Z72" i="20" s="1"/>
  <c r="F72" i="20"/>
  <c r="Y72" i="20" s="1"/>
  <c r="E72" i="20"/>
  <c r="X72" i="20" s="1"/>
  <c r="G71" i="20"/>
  <c r="Z71" i="20" s="1"/>
  <c r="F71" i="20"/>
  <c r="Y71" i="20" s="1"/>
  <c r="E71" i="20"/>
  <c r="X71" i="20" s="1"/>
  <c r="J135" i="33" l="1"/>
  <c r="J136" i="33"/>
  <c r="K135" i="33"/>
  <c r="V84" i="20"/>
  <c r="X60" i="29" l="1"/>
  <c r="Y65" i="29"/>
  <c r="X80" i="29"/>
  <c r="Y80" i="29"/>
  <c r="Z80" i="29"/>
  <c r="Y85" i="29"/>
  <c r="X91" i="29"/>
  <c r="Y91" i="29"/>
  <c r="Z91" i="29"/>
  <c r="X96" i="29"/>
  <c r="Y96" i="29"/>
  <c r="Z96" i="29"/>
  <c r="X101" i="29"/>
  <c r="Y101" i="29"/>
  <c r="Z101" i="29"/>
  <c r="X105" i="29"/>
  <c r="Y105" i="29"/>
  <c r="Z105" i="29"/>
  <c r="Z106" i="29"/>
  <c r="Y133" i="29"/>
  <c r="X134" i="29"/>
  <c r="Z138" i="29"/>
  <c r="Y139" i="29"/>
  <c r="V139" i="29"/>
  <c r="X139" i="29" s="1"/>
  <c r="V138" i="29"/>
  <c r="X138" i="29" s="1"/>
  <c r="V137" i="29"/>
  <c r="X137" i="29" s="1"/>
  <c r="V136" i="29"/>
  <c r="X136" i="29" s="1"/>
  <c r="V135" i="29"/>
  <c r="X135" i="29" s="1"/>
  <c r="V134" i="29"/>
  <c r="Y134" i="29" s="1"/>
  <c r="V133" i="29"/>
  <c r="Z133" i="29" s="1"/>
  <c r="V132" i="29"/>
  <c r="X132" i="29" s="1"/>
  <c r="V131" i="29"/>
  <c r="X131" i="29" s="1"/>
  <c r="V130" i="29"/>
  <c r="X130" i="29" s="1"/>
  <c r="V129" i="29"/>
  <c r="X129" i="29" s="1"/>
  <c r="V128" i="29"/>
  <c r="Y128" i="29" s="1"/>
  <c r="V127" i="29"/>
  <c r="X127" i="29" s="1"/>
  <c r="V126" i="29"/>
  <c r="X126" i="29" s="1"/>
  <c r="V125" i="29"/>
  <c r="X125" i="29" s="1"/>
  <c r="V124" i="29"/>
  <c r="X124" i="29" s="1"/>
  <c r="V123" i="29"/>
  <c r="X123" i="29" s="1"/>
  <c r="V122" i="29"/>
  <c r="X122" i="29" s="1"/>
  <c r="V121" i="29"/>
  <c r="X121" i="29" s="1"/>
  <c r="V120" i="29"/>
  <c r="X120" i="29" s="1"/>
  <c r="V119" i="29"/>
  <c r="X119" i="29" s="1"/>
  <c r="V118" i="29"/>
  <c r="Y118" i="29" s="1"/>
  <c r="V117" i="29"/>
  <c r="Z117" i="29" s="1"/>
  <c r="V116" i="29"/>
  <c r="X116" i="29" s="1"/>
  <c r="V115" i="29"/>
  <c r="X115" i="29" s="1"/>
  <c r="V114" i="29"/>
  <c r="X114" i="29" s="1"/>
  <c r="V113" i="29"/>
  <c r="X113" i="29" s="1"/>
  <c r="V112" i="29"/>
  <c r="Y112" i="29" s="1"/>
  <c r="V111" i="29"/>
  <c r="X111" i="29" s="1"/>
  <c r="V110" i="29"/>
  <c r="X110" i="29" s="1"/>
  <c r="V109" i="29"/>
  <c r="X109" i="29" s="1"/>
  <c r="V108" i="29"/>
  <c r="X108" i="29" s="1"/>
  <c r="V107" i="29"/>
  <c r="X107" i="29" s="1"/>
  <c r="V106" i="29"/>
  <c r="X106" i="29" s="1"/>
  <c r="V104" i="29"/>
  <c r="X104" i="29" s="1"/>
  <c r="V103" i="29"/>
  <c r="X103" i="29" s="1"/>
  <c r="V102" i="29"/>
  <c r="Y102" i="29" s="1"/>
  <c r="V100" i="29"/>
  <c r="X100" i="29" s="1"/>
  <c r="V99" i="29"/>
  <c r="X99" i="29" s="1"/>
  <c r="V98" i="29"/>
  <c r="X98" i="29" s="1"/>
  <c r="V97" i="29"/>
  <c r="X97" i="29" s="1"/>
  <c r="V95" i="29"/>
  <c r="X95" i="29" s="1"/>
  <c r="V94" i="29"/>
  <c r="X94" i="29" s="1"/>
  <c r="V93" i="29"/>
  <c r="X93" i="29" s="1"/>
  <c r="V92" i="29"/>
  <c r="X92" i="29" s="1"/>
  <c r="V90" i="29"/>
  <c r="X90" i="29" s="1"/>
  <c r="V89" i="29"/>
  <c r="X89" i="29" s="1"/>
  <c r="V88" i="29"/>
  <c r="X88" i="29" s="1"/>
  <c r="V87" i="29"/>
  <c r="X87" i="29" s="1"/>
  <c r="V86" i="29"/>
  <c r="Y86" i="29" s="1"/>
  <c r="V85" i="29"/>
  <c r="Z85" i="29" s="1"/>
  <c r="V84" i="29"/>
  <c r="X84" i="29" s="1"/>
  <c r="V83" i="29"/>
  <c r="X83" i="29" s="1"/>
  <c r="V82" i="29"/>
  <c r="X82" i="29" s="1"/>
  <c r="V81" i="29"/>
  <c r="X81" i="29" s="1"/>
  <c r="V79" i="29"/>
  <c r="X79" i="29" s="1"/>
  <c r="V78" i="29"/>
  <c r="X78" i="29" s="1"/>
  <c r="V77" i="29"/>
  <c r="X77" i="29" s="1"/>
  <c r="V76" i="29"/>
  <c r="X76" i="29" s="1"/>
  <c r="V75" i="29"/>
  <c r="X75" i="29" s="1"/>
  <c r="V74" i="29"/>
  <c r="X74" i="29" s="1"/>
  <c r="V69" i="29"/>
  <c r="X69" i="29" s="1"/>
  <c r="V68" i="29"/>
  <c r="X68" i="29" s="1"/>
  <c r="V67" i="29"/>
  <c r="X67" i="29" s="1"/>
  <c r="V66" i="29"/>
  <c r="X66" i="29" s="1"/>
  <c r="V65" i="29"/>
  <c r="Z65" i="29" s="1"/>
  <c r="V64" i="29"/>
  <c r="X64" i="29" s="1"/>
  <c r="V63" i="29"/>
  <c r="X63" i="29" s="1"/>
  <c r="V62" i="29"/>
  <c r="X62" i="29" s="1"/>
  <c r="V61" i="29"/>
  <c r="X61" i="29" s="1"/>
  <c r="V60" i="29"/>
  <c r="Y60" i="29" s="1"/>
  <c r="V59" i="29"/>
  <c r="X59" i="29" s="1"/>
  <c r="V58" i="29"/>
  <c r="X58" i="29" s="1"/>
  <c r="V57" i="29"/>
  <c r="X57" i="29" s="1"/>
  <c r="V56" i="29"/>
  <c r="X56" i="29" s="1"/>
  <c r="V55" i="29"/>
  <c r="X55" i="29" s="1"/>
  <c r="V54" i="29"/>
  <c r="X54" i="29" s="1"/>
  <c r="V53" i="29"/>
  <c r="X53" i="29" s="1"/>
  <c r="V52" i="29"/>
  <c r="X52" i="29" s="1"/>
  <c r="V51" i="29"/>
  <c r="X51" i="29" s="1"/>
  <c r="V50" i="29"/>
  <c r="X50" i="29" s="1"/>
  <c r="V49" i="29"/>
  <c r="Z49" i="29" s="1"/>
  <c r="V48" i="29"/>
  <c r="X48" i="29" s="1"/>
  <c r="V47" i="29"/>
  <c r="X47" i="29" s="1"/>
  <c r="V46" i="29"/>
  <c r="X46" i="29" s="1"/>
  <c r="V45" i="29"/>
  <c r="X45" i="29" s="1"/>
  <c r="V44" i="29"/>
  <c r="Y44" i="29" s="1"/>
  <c r="V43" i="29"/>
  <c r="X43" i="29" s="1"/>
  <c r="V42" i="29"/>
  <c r="X42" i="29" s="1"/>
  <c r="V41" i="29"/>
  <c r="X41" i="29" s="1"/>
  <c r="V40" i="29"/>
  <c r="X40" i="29" s="1"/>
  <c r="V39" i="29"/>
  <c r="X39" i="29" s="1"/>
  <c r="V38" i="29"/>
  <c r="X38" i="29" s="1"/>
  <c r="V37" i="29"/>
  <c r="X37" i="29" s="1"/>
  <c r="V36" i="29"/>
  <c r="X36" i="29" s="1"/>
  <c r="V35" i="29"/>
  <c r="X35" i="29" s="1"/>
  <c r="V34" i="29"/>
  <c r="X34" i="29" s="1"/>
  <c r="V33" i="29"/>
  <c r="Z33" i="29" s="1"/>
  <c r="V32" i="29"/>
  <c r="X32" i="29" s="1"/>
  <c r="V31" i="29"/>
  <c r="X31" i="29" s="1"/>
  <c r="V30" i="29"/>
  <c r="X30" i="29" s="1"/>
  <c r="V29" i="29"/>
  <c r="X29" i="29" s="1"/>
  <c r="V28" i="29"/>
  <c r="Y28" i="29" s="1"/>
  <c r="V27" i="29"/>
  <c r="X27" i="29" s="1"/>
  <c r="V26" i="29"/>
  <c r="X26" i="29" s="1"/>
  <c r="V25" i="29"/>
  <c r="X25" i="29" s="1"/>
  <c r="V24" i="29"/>
  <c r="X24" i="29" s="1"/>
  <c r="V23" i="29"/>
  <c r="X23" i="29" s="1"/>
  <c r="V22" i="29"/>
  <c r="X22" i="29" s="1"/>
  <c r="V21" i="29"/>
  <c r="X21" i="29" s="1"/>
  <c r="V20" i="29"/>
  <c r="X20" i="29" s="1"/>
  <c r="V19" i="29"/>
  <c r="X19" i="29" s="1"/>
  <c r="V18" i="29"/>
  <c r="X18" i="29" s="1"/>
  <c r="V17" i="29"/>
  <c r="Z17" i="29" s="1"/>
  <c r="V16" i="29"/>
  <c r="X16" i="29" s="1"/>
  <c r="V15" i="29"/>
  <c r="X15" i="29" s="1"/>
  <c r="V14" i="29"/>
  <c r="X14" i="29" s="1"/>
  <c r="V13" i="29"/>
  <c r="X13" i="29" s="1"/>
  <c r="V12" i="29"/>
  <c r="Y12" i="29" s="1"/>
  <c r="V11" i="29"/>
  <c r="X11" i="29" s="1"/>
  <c r="V10" i="29"/>
  <c r="X10" i="29" s="1"/>
  <c r="V9" i="29"/>
  <c r="X9" i="29" s="1"/>
  <c r="V8" i="29"/>
  <c r="X8" i="29" s="1"/>
  <c r="V7" i="29"/>
  <c r="X7" i="29" s="1"/>
  <c r="V6" i="29"/>
  <c r="Z6" i="29" s="1"/>
  <c r="Y20" i="28"/>
  <c r="Z21" i="28"/>
  <c r="Y52" i="28"/>
  <c r="Z53" i="28"/>
  <c r="X80" i="28"/>
  <c r="Y80" i="28"/>
  <c r="Z80" i="28"/>
  <c r="Y88" i="28"/>
  <c r="X91" i="28"/>
  <c r="Y91" i="28"/>
  <c r="Z91" i="28"/>
  <c r="X96" i="28"/>
  <c r="Y96" i="28"/>
  <c r="Z96" i="28"/>
  <c r="X101" i="28"/>
  <c r="Y101" i="28"/>
  <c r="Z101" i="28"/>
  <c r="X105" i="28"/>
  <c r="Y105" i="28"/>
  <c r="Z105" i="28"/>
  <c r="X121" i="28"/>
  <c r="Z125" i="28"/>
  <c r="Y126" i="28"/>
  <c r="X127" i="28"/>
  <c r="X131" i="28"/>
  <c r="Z131" i="28"/>
  <c r="V139" i="28"/>
  <c r="X139" i="28" s="1"/>
  <c r="V138" i="28"/>
  <c r="X138" i="28" s="1"/>
  <c r="V137" i="28"/>
  <c r="Y137" i="28" s="1"/>
  <c r="V136" i="28"/>
  <c r="X136" i="28" s="1"/>
  <c r="V135" i="28"/>
  <c r="X135" i="28" s="1"/>
  <c r="V134" i="28"/>
  <c r="X134" i="28" s="1"/>
  <c r="V133" i="28"/>
  <c r="X133" i="28" s="1"/>
  <c r="V132" i="28"/>
  <c r="Z132" i="28" s="1"/>
  <c r="V131" i="28"/>
  <c r="Y131" i="28" s="1"/>
  <c r="V130" i="28"/>
  <c r="X130" i="28" s="1"/>
  <c r="V129" i="28"/>
  <c r="X129" i="28" s="1"/>
  <c r="V128" i="28"/>
  <c r="X128" i="28" s="1"/>
  <c r="V127" i="28"/>
  <c r="Y127" i="28" s="1"/>
  <c r="V126" i="28"/>
  <c r="X126" i="28" s="1"/>
  <c r="V125" i="28"/>
  <c r="X125" i="28" s="1"/>
  <c r="V124" i="28"/>
  <c r="X124" i="28" s="1"/>
  <c r="V123" i="28"/>
  <c r="X123" i="28" s="1"/>
  <c r="V122" i="28"/>
  <c r="X122" i="28" s="1"/>
  <c r="V121" i="28"/>
  <c r="Y121" i="28" s="1"/>
  <c r="V120" i="28"/>
  <c r="X120" i="28" s="1"/>
  <c r="V119" i="28"/>
  <c r="X119" i="28" s="1"/>
  <c r="V118" i="28"/>
  <c r="X118" i="28" s="1"/>
  <c r="V117" i="28"/>
  <c r="X117" i="28" s="1"/>
  <c r="V116" i="28"/>
  <c r="Z116" i="28" s="1"/>
  <c r="V115" i="28"/>
  <c r="Y115" i="28" s="1"/>
  <c r="V114" i="28"/>
  <c r="X114" i="28" s="1"/>
  <c r="V113" i="28"/>
  <c r="X113" i="28" s="1"/>
  <c r="V112" i="28"/>
  <c r="X112" i="28" s="1"/>
  <c r="V111" i="28"/>
  <c r="Y111" i="28" s="1"/>
  <c r="V110" i="28"/>
  <c r="X110" i="28" s="1"/>
  <c r="V109" i="28"/>
  <c r="X109" i="28" s="1"/>
  <c r="V108" i="28"/>
  <c r="X108" i="28" s="1"/>
  <c r="V107" i="28"/>
  <c r="X107" i="28" s="1"/>
  <c r="V106" i="28"/>
  <c r="X106" i="28" s="1"/>
  <c r="V104" i="28"/>
  <c r="Y104" i="28" s="1"/>
  <c r="V103" i="28"/>
  <c r="X103" i="28" s="1"/>
  <c r="V102" i="28"/>
  <c r="X102" i="28" s="1"/>
  <c r="V100" i="28"/>
  <c r="Z100" i="28" s="1"/>
  <c r="V99" i="28"/>
  <c r="X99" i="28" s="1"/>
  <c r="V98" i="28"/>
  <c r="X98" i="28" s="1"/>
  <c r="V97" i="28"/>
  <c r="X97" i="28" s="1"/>
  <c r="V95" i="28"/>
  <c r="Y95" i="28" s="1"/>
  <c r="V94" i="28"/>
  <c r="X94" i="28" s="1"/>
  <c r="V93" i="28"/>
  <c r="X93" i="28" s="1"/>
  <c r="V92" i="28"/>
  <c r="X92" i="28" s="1"/>
  <c r="V90" i="28"/>
  <c r="X90" i="28" s="1"/>
  <c r="V89" i="28"/>
  <c r="Y89" i="28" s="1"/>
  <c r="V88" i="28"/>
  <c r="X88" i="28" s="1"/>
  <c r="V87" i="28"/>
  <c r="X87" i="28" s="1"/>
  <c r="V86" i="28"/>
  <c r="X86" i="28" s="1"/>
  <c r="V85" i="28"/>
  <c r="X85" i="28" s="1"/>
  <c r="V84" i="28"/>
  <c r="Z84" i="28" s="1"/>
  <c r="V83" i="28"/>
  <c r="X83" i="28" s="1"/>
  <c r="V82" i="28"/>
  <c r="X82" i="28" s="1"/>
  <c r="V81" i="28"/>
  <c r="X81" i="28" s="1"/>
  <c r="V79" i="28"/>
  <c r="Y79" i="28" s="1"/>
  <c r="V78" i="28"/>
  <c r="X78" i="28" s="1"/>
  <c r="V77" i="28"/>
  <c r="X77" i="28" s="1"/>
  <c r="V76" i="28"/>
  <c r="X76" i="28" s="1"/>
  <c r="V75" i="28"/>
  <c r="X75" i="28" s="1"/>
  <c r="V74" i="28"/>
  <c r="X74" i="28" s="1"/>
  <c r="V69" i="28"/>
  <c r="Y69" i="28" s="1"/>
  <c r="V68" i="28"/>
  <c r="X68" i="28" s="1"/>
  <c r="V67" i="28"/>
  <c r="X67" i="28" s="1"/>
  <c r="V66" i="28"/>
  <c r="X66" i="28" s="1"/>
  <c r="V65" i="28"/>
  <c r="X65" i="28" s="1"/>
  <c r="V64" i="28"/>
  <c r="Z64" i="28" s="1"/>
  <c r="V63" i="28"/>
  <c r="Y63" i="28" s="1"/>
  <c r="V62" i="28"/>
  <c r="X62" i="28" s="1"/>
  <c r="V61" i="28"/>
  <c r="X61" i="28" s="1"/>
  <c r="V60" i="28"/>
  <c r="X60" i="28" s="1"/>
  <c r="V59" i="28"/>
  <c r="Y59" i="28" s="1"/>
  <c r="V58" i="28"/>
  <c r="X58" i="28" s="1"/>
  <c r="V57" i="28"/>
  <c r="X57" i="28" s="1"/>
  <c r="V56" i="28"/>
  <c r="X56" i="28" s="1"/>
  <c r="V55" i="28"/>
  <c r="X55" i="28" s="1"/>
  <c r="V54" i="28"/>
  <c r="X54" i="28" s="1"/>
  <c r="V53" i="28"/>
  <c r="Y53" i="28" s="1"/>
  <c r="V52" i="28"/>
  <c r="X52" i="28" s="1"/>
  <c r="V51" i="28"/>
  <c r="X51" i="28" s="1"/>
  <c r="V50" i="28"/>
  <c r="X50" i="28" s="1"/>
  <c r="V49" i="28"/>
  <c r="X49" i="28" s="1"/>
  <c r="V48" i="28"/>
  <c r="Z48" i="28" s="1"/>
  <c r="V47" i="28"/>
  <c r="Y47" i="28" s="1"/>
  <c r="V46" i="28"/>
  <c r="X46" i="28" s="1"/>
  <c r="V45" i="28"/>
  <c r="X45" i="28" s="1"/>
  <c r="V44" i="28"/>
  <c r="X44" i="28" s="1"/>
  <c r="V43" i="28"/>
  <c r="Y43" i="28" s="1"/>
  <c r="V42" i="28"/>
  <c r="X42" i="28" s="1"/>
  <c r="V41" i="28"/>
  <c r="X41" i="28" s="1"/>
  <c r="V40" i="28"/>
  <c r="X40" i="28" s="1"/>
  <c r="V39" i="28"/>
  <c r="X39" i="28" s="1"/>
  <c r="V38" i="28"/>
  <c r="X38" i="28" s="1"/>
  <c r="V37" i="28"/>
  <c r="Y37" i="28" s="1"/>
  <c r="V36" i="28"/>
  <c r="X36" i="28" s="1"/>
  <c r="V35" i="28"/>
  <c r="X35" i="28" s="1"/>
  <c r="V34" i="28"/>
  <c r="X34" i="28" s="1"/>
  <c r="V33" i="28"/>
  <c r="X33" i="28" s="1"/>
  <c r="V32" i="28"/>
  <c r="Z32" i="28" s="1"/>
  <c r="V31" i="28"/>
  <c r="Y31" i="28" s="1"/>
  <c r="V30" i="28"/>
  <c r="X30" i="28" s="1"/>
  <c r="V29" i="28"/>
  <c r="X29" i="28" s="1"/>
  <c r="V28" i="28"/>
  <c r="X28" i="28" s="1"/>
  <c r="V27" i="28"/>
  <c r="Y27" i="28" s="1"/>
  <c r="V26" i="28"/>
  <c r="X26" i="28" s="1"/>
  <c r="V25" i="28"/>
  <c r="X25" i="28" s="1"/>
  <c r="V24" i="28"/>
  <c r="X24" i="28" s="1"/>
  <c r="V23" i="28"/>
  <c r="X23" i="28" s="1"/>
  <c r="V22" i="28"/>
  <c r="X22" i="28" s="1"/>
  <c r="V21" i="28"/>
  <c r="Y21" i="28" s="1"/>
  <c r="V20" i="28"/>
  <c r="X20" i="28" s="1"/>
  <c r="V19" i="28"/>
  <c r="X19" i="28" s="1"/>
  <c r="V18" i="28"/>
  <c r="X18" i="28" s="1"/>
  <c r="V17" i="28"/>
  <c r="X17" i="28" s="1"/>
  <c r="V16" i="28"/>
  <c r="Z16" i="28" s="1"/>
  <c r="V15" i="28"/>
  <c r="Y15" i="28" s="1"/>
  <c r="V14" i="28"/>
  <c r="X14" i="28" s="1"/>
  <c r="V13" i="28"/>
  <c r="X13" i="28" s="1"/>
  <c r="V12" i="28"/>
  <c r="X12" i="28" s="1"/>
  <c r="V11" i="28"/>
  <c r="Y11" i="28" s="1"/>
  <c r="V10" i="28"/>
  <c r="X10" i="28" s="1"/>
  <c r="V9" i="28"/>
  <c r="X9" i="28" s="1"/>
  <c r="V8" i="28"/>
  <c r="X8" i="28" s="1"/>
  <c r="V7" i="28"/>
  <c r="X7" i="28" s="1"/>
  <c r="V6" i="28"/>
  <c r="Z6" i="28" s="1"/>
  <c r="X80" i="27"/>
  <c r="Y80" i="27"/>
  <c r="Z80" i="27"/>
  <c r="X91" i="27"/>
  <c r="Y91" i="27"/>
  <c r="Z91" i="27"/>
  <c r="X96" i="27"/>
  <c r="Y96" i="27"/>
  <c r="Z96" i="27"/>
  <c r="X101" i="27"/>
  <c r="Y101" i="27"/>
  <c r="Z101" i="27"/>
  <c r="X105" i="27"/>
  <c r="Y105" i="27"/>
  <c r="Z105" i="27"/>
  <c r="Y115" i="27"/>
  <c r="V139" i="27"/>
  <c r="X139" i="27" s="1"/>
  <c r="V138" i="27"/>
  <c r="X138" i="27" s="1"/>
  <c r="V137" i="27"/>
  <c r="X137" i="27" s="1"/>
  <c r="V136" i="27"/>
  <c r="Z136" i="27" s="1"/>
  <c r="V135" i="27"/>
  <c r="X135" i="27" s="1"/>
  <c r="V134" i="27"/>
  <c r="X134" i="27" s="1"/>
  <c r="V133" i="27"/>
  <c r="X133" i="27" s="1"/>
  <c r="V132" i="27"/>
  <c r="X132" i="27" s="1"/>
  <c r="V131" i="27"/>
  <c r="Z131" i="27" s="1"/>
  <c r="V130" i="27"/>
  <c r="X130" i="27" s="1"/>
  <c r="V129" i="27"/>
  <c r="X129" i="27" s="1"/>
  <c r="V128" i="27"/>
  <c r="X128" i="27" s="1"/>
  <c r="V127" i="27"/>
  <c r="X127" i="27" s="1"/>
  <c r="V126" i="27"/>
  <c r="Y126" i="27" s="1"/>
  <c r="V125" i="27"/>
  <c r="X125" i="27" s="1"/>
  <c r="V124" i="27"/>
  <c r="X124" i="27" s="1"/>
  <c r="V123" i="27"/>
  <c r="X123" i="27" s="1"/>
  <c r="V122" i="27"/>
  <c r="X122" i="27" s="1"/>
  <c r="V121" i="27"/>
  <c r="X121" i="27" s="1"/>
  <c r="V120" i="27"/>
  <c r="Z120" i="27" s="1"/>
  <c r="V119" i="27"/>
  <c r="X119" i="27" s="1"/>
  <c r="V118" i="27"/>
  <c r="X118" i="27" s="1"/>
  <c r="V117" i="27"/>
  <c r="X117" i="27" s="1"/>
  <c r="V116" i="27"/>
  <c r="X116" i="27" s="1"/>
  <c r="V115" i="27"/>
  <c r="Z115" i="27" s="1"/>
  <c r="V114" i="27"/>
  <c r="X114" i="27" s="1"/>
  <c r="V113" i="27"/>
  <c r="X113" i="27" s="1"/>
  <c r="V112" i="27"/>
  <c r="X112" i="27" s="1"/>
  <c r="V111" i="27"/>
  <c r="X111" i="27" s="1"/>
  <c r="V110" i="27"/>
  <c r="Y110" i="27" s="1"/>
  <c r="V109" i="27"/>
  <c r="X109" i="27" s="1"/>
  <c r="V108" i="27"/>
  <c r="X108" i="27" s="1"/>
  <c r="V107" i="27"/>
  <c r="X107" i="27" s="1"/>
  <c r="V106" i="27"/>
  <c r="X106" i="27" s="1"/>
  <c r="V104" i="27"/>
  <c r="X104" i="27" s="1"/>
  <c r="V103" i="27"/>
  <c r="X103" i="27" s="1"/>
  <c r="V102" i="27"/>
  <c r="X102" i="27" s="1"/>
  <c r="V100" i="27"/>
  <c r="X100" i="27" s="1"/>
  <c r="V99" i="27"/>
  <c r="Z99" i="27" s="1"/>
  <c r="V98" i="27"/>
  <c r="X98" i="27" s="1"/>
  <c r="V97" i="27"/>
  <c r="X97" i="27" s="1"/>
  <c r="V95" i="27"/>
  <c r="X95" i="27" s="1"/>
  <c r="V94" i="27"/>
  <c r="Y94" i="27" s="1"/>
  <c r="V93" i="27"/>
  <c r="X93" i="27" s="1"/>
  <c r="V92" i="27"/>
  <c r="X92" i="27" s="1"/>
  <c r="V90" i="27"/>
  <c r="X90" i="27" s="1"/>
  <c r="V89" i="27"/>
  <c r="X89" i="27" s="1"/>
  <c r="V88" i="27"/>
  <c r="X88" i="27" s="1"/>
  <c r="V87" i="27"/>
  <c r="X87" i="27" s="1"/>
  <c r="V86" i="27"/>
  <c r="X86" i="27" s="1"/>
  <c r="V85" i="27"/>
  <c r="X85" i="27" s="1"/>
  <c r="V84" i="27"/>
  <c r="X84" i="27" s="1"/>
  <c r="V83" i="27"/>
  <c r="Z83" i="27" s="1"/>
  <c r="V82" i="27"/>
  <c r="X82" i="27" s="1"/>
  <c r="V81" i="27"/>
  <c r="X81" i="27" s="1"/>
  <c r="V79" i="27"/>
  <c r="X79" i="27" s="1"/>
  <c r="V78" i="27"/>
  <c r="Y78" i="27" s="1"/>
  <c r="V77" i="27"/>
  <c r="X77" i="27" s="1"/>
  <c r="V76" i="27"/>
  <c r="X76" i="27" s="1"/>
  <c r="V75" i="27"/>
  <c r="X75" i="27" s="1"/>
  <c r="V74" i="27"/>
  <c r="X74" i="27" s="1"/>
  <c r="V69" i="27"/>
  <c r="X69" i="27" s="1"/>
  <c r="V68" i="27"/>
  <c r="X68" i="27" s="1"/>
  <c r="V67" i="27"/>
  <c r="X67" i="27" s="1"/>
  <c r="V66" i="27"/>
  <c r="X66" i="27" s="1"/>
  <c r="V65" i="27"/>
  <c r="X65" i="27" s="1"/>
  <c r="V64" i="27"/>
  <c r="X64" i="27" s="1"/>
  <c r="V63" i="27"/>
  <c r="Z63" i="27" s="1"/>
  <c r="V62" i="27"/>
  <c r="X62" i="27" s="1"/>
  <c r="V61" i="27"/>
  <c r="X61" i="27" s="1"/>
  <c r="V60" i="27"/>
  <c r="X60" i="27" s="1"/>
  <c r="V59" i="27"/>
  <c r="X59" i="27" s="1"/>
  <c r="V58" i="27"/>
  <c r="Y58" i="27" s="1"/>
  <c r="V57" i="27"/>
  <c r="X57" i="27" s="1"/>
  <c r="V56" i="27"/>
  <c r="X56" i="27" s="1"/>
  <c r="V55" i="27"/>
  <c r="X55" i="27" s="1"/>
  <c r="V54" i="27"/>
  <c r="X54" i="27" s="1"/>
  <c r="V53" i="27"/>
  <c r="X53" i="27" s="1"/>
  <c r="V52" i="27"/>
  <c r="X52" i="27" s="1"/>
  <c r="V51" i="27"/>
  <c r="X51" i="27" s="1"/>
  <c r="V50" i="27"/>
  <c r="X50" i="27" s="1"/>
  <c r="V49" i="27"/>
  <c r="X49" i="27" s="1"/>
  <c r="V48" i="27"/>
  <c r="X48" i="27" s="1"/>
  <c r="V47" i="27"/>
  <c r="Z47" i="27" s="1"/>
  <c r="V46" i="27"/>
  <c r="X46" i="27" s="1"/>
  <c r="V45" i="27"/>
  <c r="X45" i="27" s="1"/>
  <c r="V44" i="27"/>
  <c r="X44" i="27" s="1"/>
  <c r="V43" i="27"/>
  <c r="X43" i="27" s="1"/>
  <c r="V42" i="27"/>
  <c r="Y42" i="27" s="1"/>
  <c r="V41" i="27"/>
  <c r="X41" i="27" s="1"/>
  <c r="V40" i="27"/>
  <c r="X40" i="27" s="1"/>
  <c r="V39" i="27"/>
  <c r="X39" i="27" s="1"/>
  <c r="V38" i="27"/>
  <c r="X38" i="27" s="1"/>
  <c r="V37" i="27"/>
  <c r="X37" i="27" s="1"/>
  <c r="V36" i="27"/>
  <c r="X36" i="27" s="1"/>
  <c r="V35" i="27"/>
  <c r="X35" i="27" s="1"/>
  <c r="V34" i="27"/>
  <c r="X34" i="27" s="1"/>
  <c r="V33" i="27"/>
  <c r="X33" i="27" s="1"/>
  <c r="V32" i="27"/>
  <c r="X32" i="27" s="1"/>
  <c r="V31" i="27"/>
  <c r="Z31" i="27" s="1"/>
  <c r="V30" i="27"/>
  <c r="X30" i="27" s="1"/>
  <c r="V29" i="27"/>
  <c r="X29" i="27" s="1"/>
  <c r="V28" i="27"/>
  <c r="X28" i="27" s="1"/>
  <c r="V27" i="27"/>
  <c r="X27" i="27" s="1"/>
  <c r="V26" i="27"/>
  <c r="Y26" i="27" s="1"/>
  <c r="V25" i="27"/>
  <c r="X25" i="27" s="1"/>
  <c r="V24" i="27"/>
  <c r="X24" i="27" s="1"/>
  <c r="V23" i="27"/>
  <c r="X23" i="27" s="1"/>
  <c r="V22" i="27"/>
  <c r="X22" i="27" s="1"/>
  <c r="V21" i="27"/>
  <c r="X21" i="27" s="1"/>
  <c r="V20" i="27"/>
  <c r="X20" i="27" s="1"/>
  <c r="V19" i="27"/>
  <c r="X19" i="27" s="1"/>
  <c r="V18" i="27"/>
  <c r="X18" i="27" s="1"/>
  <c r="V17" i="27"/>
  <c r="X17" i="27" s="1"/>
  <c r="V16" i="27"/>
  <c r="X16" i="27" s="1"/>
  <c r="V15" i="27"/>
  <c r="Z15" i="27" s="1"/>
  <c r="V14" i="27"/>
  <c r="X14" i="27" s="1"/>
  <c r="V13" i="27"/>
  <c r="X13" i="27" s="1"/>
  <c r="V12" i="27"/>
  <c r="X12" i="27" s="1"/>
  <c r="V11" i="27"/>
  <c r="X11" i="27" s="1"/>
  <c r="V10" i="27"/>
  <c r="Y10" i="27" s="1"/>
  <c r="V9" i="27"/>
  <c r="X9" i="27" s="1"/>
  <c r="V8" i="27"/>
  <c r="X8" i="27" s="1"/>
  <c r="V7" i="27"/>
  <c r="X7" i="27" s="1"/>
  <c r="V6" i="27"/>
  <c r="Z6" i="27" s="1"/>
  <c r="Z8" i="26"/>
  <c r="Z41" i="26"/>
  <c r="Z77" i="26"/>
  <c r="Y80" i="26"/>
  <c r="Z80" i="26"/>
  <c r="Y91" i="26"/>
  <c r="Z91" i="26"/>
  <c r="Y94" i="26"/>
  <c r="Y96" i="26"/>
  <c r="Z96" i="26"/>
  <c r="Y101" i="26"/>
  <c r="Z101" i="26"/>
  <c r="Y105" i="26"/>
  <c r="Z105" i="26"/>
  <c r="Z109" i="26"/>
  <c r="Z132" i="26"/>
  <c r="X39" i="26"/>
  <c r="X80" i="26"/>
  <c r="X91" i="26"/>
  <c r="X96" i="26"/>
  <c r="X101" i="26"/>
  <c r="X105" i="26"/>
  <c r="X125" i="26"/>
  <c r="V139" i="26"/>
  <c r="Y139" i="26" s="1"/>
  <c r="V138" i="26"/>
  <c r="Z138" i="26" s="1"/>
  <c r="V137" i="26"/>
  <c r="Y137" i="26" s="1"/>
  <c r="V136" i="26"/>
  <c r="Y136" i="26" s="1"/>
  <c r="V135" i="26"/>
  <c r="X135" i="26" s="1"/>
  <c r="V134" i="26"/>
  <c r="Z134" i="26" s="1"/>
  <c r="V133" i="26"/>
  <c r="Y133" i="26" s="1"/>
  <c r="V132" i="26"/>
  <c r="X132" i="26" s="1"/>
  <c r="V131" i="26"/>
  <c r="X131" i="26" s="1"/>
  <c r="V130" i="26"/>
  <c r="Z130" i="26" s="1"/>
  <c r="V129" i="26"/>
  <c r="X129" i="26" s="1"/>
  <c r="V128" i="26"/>
  <c r="Y128" i="26" s="1"/>
  <c r="V127" i="26"/>
  <c r="X127" i="26" s="1"/>
  <c r="V126" i="26"/>
  <c r="Z126" i="26" s="1"/>
  <c r="V125" i="26"/>
  <c r="Y125" i="26" s="1"/>
  <c r="V124" i="26"/>
  <c r="Y124" i="26" s="1"/>
  <c r="V123" i="26"/>
  <c r="Y123" i="26" s="1"/>
  <c r="V122" i="26"/>
  <c r="Z122" i="26" s="1"/>
  <c r="V121" i="26"/>
  <c r="Y121" i="26" s="1"/>
  <c r="V120" i="26"/>
  <c r="Y120" i="26" s="1"/>
  <c r="V119" i="26"/>
  <c r="X119" i="26" s="1"/>
  <c r="V118" i="26"/>
  <c r="Z118" i="26" s="1"/>
  <c r="V117" i="26"/>
  <c r="Y117" i="26" s="1"/>
  <c r="V116" i="26"/>
  <c r="X116" i="26" s="1"/>
  <c r="V115" i="26"/>
  <c r="X115" i="26" s="1"/>
  <c r="V114" i="26"/>
  <c r="X114" i="26" s="1"/>
  <c r="V113" i="26"/>
  <c r="Y113" i="26" s="1"/>
  <c r="V112" i="26"/>
  <c r="X112" i="26" s="1"/>
  <c r="V111" i="26"/>
  <c r="Y111" i="26" s="1"/>
  <c r="V110" i="26"/>
  <c r="Z110" i="26" s="1"/>
  <c r="V109" i="26"/>
  <c r="Y109" i="26" s="1"/>
  <c r="V108" i="26"/>
  <c r="Z108" i="26" s="1"/>
  <c r="V107" i="26"/>
  <c r="Y107" i="26" s="1"/>
  <c r="V106" i="26"/>
  <c r="Z106" i="26" s="1"/>
  <c r="V104" i="26"/>
  <c r="Y104" i="26" s="1"/>
  <c r="V103" i="26"/>
  <c r="Y103" i="26" s="1"/>
  <c r="V102" i="26"/>
  <c r="X102" i="26" s="1"/>
  <c r="V100" i="26"/>
  <c r="X100" i="26" s="1"/>
  <c r="V99" i="26"/>
  <c r="Y99" i="26" s="1"/>
  <c r="V98" i="26"/>
  <c r="X98" i="26" s="1"/>
  <c r="V97" i="26"/>
  <c r="X97" i="26" s="1"/>
  <c r="V95" i="26"/>
  <c r="Y95" i="26" s="1"/>
  <c r="V94" i="26"/>
  <c r="Z94" i="26" s="1"/>
  <c r="V93" i="26"/>
  <c r="Y93" i="26" s="1"/>
  <c r="V92" i="26"/>
  <c r="Y92" i="26" s="1"/>
  <c r="V90" i="26"/>
  <c r="Z90" i="26" s="1"/>
  <c r="V89" i="26"/>
  <c r="Y89" i="26" s="1"/>
  <c r="V88" i="26"/>
  <c r="Y88" i="26" s="1"/>
  <c r="V87" i="26"/>
  <c r="Y87" i="26" s="1"/>
  <c r="V86" i="26"/>
  <c r="Z86" i="26" s="1"/>
  <c r="V85" i="26"/>
  <c r="Y85" i="26" s="1"/>
  <c r="V84" i="26"/>
  <c r="X84" i="26" s="1"/>
  <c r="V83" i="26"/>
  <c r="Y83" i="26" s="1"/>
  <c r="V82" i="26"/>
  <c r="X82" i="26" s="1"/>
  <c r="V81" i="26"/>
  <c r="Y81" i="26" s="1"/>
  <c r="V79" i="26"/>
  <c r="X79" i="26" s="1"/>
  <c r="V78" i="26"/>
  <c r="Z78" i="26" s="1"/>
  <c r="V77" i="26"/>
  <c r="X77" i="26" s="1"/>
  <c r="V76" i="26"/>
  <c r="Y76" i="26" s="1"/>
  <c r="V75" i="26"/>
  <c r="Y75" i="26" s="1"/>
  <c r="V74" i="26"/>
  <c r="Z74" i="26" s="1"/>
  <c r="V69" i="26"/>
  <c r="Y69" i="26" s="1"/>
  <c r="V68" i="26"/>
  <c r="Y68" i="26" s="1"/>
  <c r="V67" i="26"/>
  <c r="Y67" i="26" s="1"/>
  <c r="V66" i="26"/>
  <c r="Z66" i="26" s="1"/>
  <c r="V65" i="26"/>
  <c r="X65" i="26" s="1"/>
  <c r="V64" i="26"/>
  <c r="X64" i="26" s="1"/>
  <c r="V63" i="26"/>
  <c r="X63" i="26" s="1"/>
  <c r="V62" i="26"/>
  <c r="X62" i="26" s="1"/>
  <c r="V61" i="26"/>
  <c r="X61" i="26" s="1"/>
  <c r="V60" i="26"/>
  <c r="Y60" i="26" s="1"/>
  <c r="V59" i="26"/>
  <c r="X59" i="26" s="1"/>
  <c r="V58" i="26"/>
  <c r="Z58" i="26" s="1"/>
  <c r="V57" i="26"/>
  <c r="X57" i="26" s="1"/>
  <c r="V56" i="26"/>
  <c r="Y56" i="26" s="1"/>
  <c r="V55" i="26"/>
  <c r="Y55" i="26" s="1"/>
  <c r="V54" i="26"/>
  <c r="Z54" i="26" s="1"/>
  <c r="V53" i="26"/>
  <c r="Y53" i="26" s="1"/>
  <c r="V52" i="26"/>
  <c r="Y52" i="26" s="1"/>
  <c r="V51" i="26"/>
  <c r="Y51" i="26" s="1"/>
  <c r="V50" i="26"/>
  <c r="Z50" i="26" s="1"/>
  <c r="V49" i="26"/>
  <c r="X49" i="26" s="1"/>
  <c r="V48" i="26"/>
  <c r="X48" i="26" s="1"/>
  <c r="V47" i="26"/>
  <c r="X47" i="26" s="1"/>
  <c r="V46" i="26"/>
  <c r="X46" i="26" s="1"/>
  <c r="V45" i="26"/>
  <c r="X45" i="26" s="1"/>
  <c r="V44" i="26"/>
  <c r="Y44" i="26" s="1"/>
  <c r="V43" i="26"/>
  <c r="X43" i="26" s="1"/>
  <c r="V42" i="26"/>
  <c r="Z42" i="26" s="1"/>
  <c r="V41" i="26"/>
  <c r="X41" i="26" s="1"/>
  <c r="V40" i="26"/>
  <c r="Y40" i="26" s="1"/>
  <c r="V39" i="26"/>
  <c r="Y39" i="26" s="1"/>
  <c r="V38" i="26"/>
  <c r="Z38" i="26" s="1"/>
  <c r="V37" i="26"/>
  <c r="Y37" i="26" s="1"/>
  <c r="V36" i="26"/>
  <c r="Y36" i="26" s="1"/>
  <c r="V35" i="26"/>
  <c r="Y35" i="26" s="1"/>
  <c r="V34" i="26"/>
  <c r="Z34" i="26" s="1"/>
  <c r="V33" i="26"/>
  <c r="X33" i="26" s="1"/>
  <c r="V32" i="26"/>
  <c r="X32" i="26" s="1"/>
  <c r="V31" i="26"/>
  <c r="X31" i="26" s="1"/>
  <c r="V30" i="26"/>
  <c r="X30" i="26" s="1"/>
  <c r="V29" i="26"/>
  <c r="X29" i="26" s="1"/>
  <c r="V28" i="26"/>
  <c r="Y28" i="26" s="1"/>
  <c r="V27" i="26"/>
  <c r="X27" i="26" s="1"/>
  <c r="V26" i="26"/>
  <c r="Z26" i="26" s="1"/>
  <c r="V25" i="26"/>
  <c r="Y25" i="26" s="1"/>
  <c r="V24" i="26"/>
  <c r="Y24" i="26" s="1"/>
  <c r="V23" i="26"/>
  <c r="Y23" i="26" s="1"/>
  <c r="V22" i="26"/>
  <c r="Z22" i="26" s="1"/>
  <c r="V21" i="26"/>
  <c r="Y21" i="26" s="1"/>
  <c r="V20" i="26"/>
  <c r="Y20" i="26" s="1"/>
  <c r="V19" i="26"/>
  <c r="Y19" i="26" s="1"/>
  <c r="V18" i="26"/>
  <c r="Z18" i="26" s="1"/>
  <c r="V17" i="26"/>
  <c r="X17" i="26" s="1"/>
  <c r="V16" i="26"/>
  <c r="X16" i="26" s="1"/>
  <c r="V15" i="26"/>
  <c r="X15" i="26" s="1"/>
  <c r="V14" i="26"/>
  <c r="X14" i="26" s="1"/>
  <c r="V13" i="26"/>
  <c r="X13" i="26" s="1"/>
  <c r="V12" i="26"/>
  <c r="Y12" i="26" s="1"/>
  <c r="V11" i="26"/>
  <c r="X11" i="26" s="1"/>
  <c r="V10" i="26"/>
  <c r="Z10" i="26" s="1"/>
  <c r="V9" i="26"/>
  <c r="Y9" i="26" s="1"/>
  <c r="V8" i="26"/>
  <c r="Y8" i="26" s="1"/>
  <c r="V7" i="26"/>
  <c r="Y7" i="26" s="1"/>
  <c r="V6" i="26"/>
  <c r="Y6" i="26" s="1"/>
  <c r="Z80" i="23"/>
  <c r="Z91" i="23"/>
  <c r="Z96" i="23"/>
  <c r="Z101" i="23"/>
  <c r="Z105" i="23"/>
  <c r="Y80" i="23"/>
  <c r="Y91" i="23"/>
  <c r="Y96" i="23"/>
  <c r="Y101" i="23"/>
  <c r="Y105" i="23"/>
  <c r="X80" i="23"/>
  <c r="X91" i="23"/>
  <c r="X96" i="23"/>
  <c r="X101" i="23"/>
  <c r="X105" i="23"/>
  <c r="V139" i="23"/>
  <c r="Z139" i="23" s="1"/>
  <c r="V138" i="23"/>
  <c r="Y138" i="23" s="1"/>
  <c r="V137" i="23"/>
  <c r="Z137" i="23" s="1"/>
  <c r="V136" i="23"/>
  <c r="Z136" i="23" s="1"/>
  <c r="V135" i="23"/>
  <c r="Z135" i="23" s="1"/>
  <c r="V134" i="23"/>
  <c r="Z134" i="23" s="1"/>
  <c r="V133" i="23"/>
  <c r="Z133" i="23" s="1"/>
  <c r="V132" i="23"/>
  <c r="Z132" i="23" s="1"/>
  <c r="V131" i="23"/>
  <c r="Z131" i="23" s="1"/>
  <c r="V130" i="23"/>
  <c r="Z130" i="23" s="1"/>
  <c r="V129" i="23"/>
  <c r="Z129" i="23" s="1"/>
  <c r="V128" i="23"/>
  <c r="Z128" i="23" s="1"/>
  <c r="V127" i="23"/>
  <c r="Z127" i="23" s="1"/>
  <c r="V126" i="23"/>
  <c r="Y126" i="23" s="1"/>
  <c r="V125" i="23"/>
  <c r="X125" i="23" s="1"/>
  <c r="V124" i="23"/>
  <c r="Z124" i="23" s="1"/>
  <c r="V123" i="23"/>
  <c r="Z123" i="23" s="1"/>
  <c r="V122" i="23"/>
  <c r="Y122" i="23" s="1"/>
  <c r="V121" i="23"/>
  <c r="Z121" i="23" s="1"/>
  <c r="V120" i="23"/>
  <c r="Z120" i="23" s="1"/>
  <c r="V119" i="23"/>
  <c r="Z119" i="23" s="1"/>
  <c r="V118" i="23"/>
  <c r="Z118" i="23" s="1"/>
  <c r="V117" i="23"/>
  <c r="Z117" i="23" s="1"/>
  <c r="V116" i="23"/>
  <c r="Z116" i="23" s="1"/>
  <c r="V115" i="23"/>
  <c r="Z115" i="23" s="1"/>
  <c r="V114" i="23"/>
  <c r="Z114" i="23" s="1"/>
  <c r="V113" i="23"/>
  <c r="Z113" i="23" s="1"/>
  <c r="V112" i="23"/>
  <c r="Z112" i="23" s="1"/>
  <c r="V111" i="23"/>
  <c r="Z111" i="23" s="1"/>
  <c r="V110" i="23"/>
  <c r="Y110" i="23" s="1"/>
  <c r="V109" i="23"/>
  <c r="X109" i="23" s="1"/>
  <c r="V108" i="23"/>
  <c r="Z108" i="23" s="1"/>
  <c r="V107" i="23"/>
  <c r="Z107" i="23" s="1"/>
  <c r="V106" i="23"/>
  <c r="Y106" i="23" s="1"/>
  <c r="V104" i="23"/>
  <c r="Z104" i="23" s="1"/>
  <c r="V103" i="23"/>
  <c r="Z103" i="23" s="1"/>
  <c r="V102" i="23"/>
  <c r="Z102" i="23" s="1"/>
  <c r="V100" i="23"/>
  <c r="Z100" i="23" s="1"/>
  <c r="V99" i="23"/>
  <c r="Z99" i="23" s="1"/>
  <c r="V98" i="23"/>
  <c r="Z98" i="23" s="1"/>
  <c r="V97" i="23"/>
  <c r="Z97" i="23" s="1"/>
  <c r="V95" i="23"/>
  <c r="Z95" i="23" s="1"/>
  <c r="V94" i="23"/>
  <c r="Y94" i="23" s="1"/>
  <c r="V93" i="23"/>
  <c r="X93" i="23" s="1"/>
  <c r="V92" i="23"/>
  <c r="Z92" i="23" s="1"/>
  <c r="V90" i="23"/>
  <c r="Y90" i="23" s="1"/>
  <c r="V89" i="23"/>
  <c r="Z89" i="23" s="1"/>
  <c r="V88" i="23"/>
  <c r="Z88" i="23" s="1"/>
  <c r="V87" i="23"/>
  <c r="Z87" i="23" s="1"/>
  <c r="V86" i="23"/>
  <c r="Z86" i="23" s="1"/>
  <c r="V85" i="23"/>
  <c r="Z85" i="23" s="1"/>
  <c r="V84" i="23"/>
  <c r="Z84" i="23" s="1"/>
  <c r="V83" i="23"/>
  <c r="Z83" i="23" s="1"/>
  <c r="V82" i="23"/>
  <c r="Z82" i="23" s="1"/>
  <c r="V81" i="23"/>
  <c r="Z81" i="23" s="1"/>
  <c r="V79" i="23"/>
  <c r="Z79" i="23" s="1"/>
  <c r="V78" i="23"/>
  <c r="Y78" i="23" s="1"/>
  <c r="V77" i="23"/>
  <c r="X77" i="23" s="1"/>
  <c r="V76" i="23"/>
  <c r="Z76" i="23" s="1"/>
  <c r="V75" i="23"/>
  <c r="Z75" i="23" s="1"/>
  <c r="V74" i="23"/>
  <c r="Y74" i="23" s="1"/>
  <c r="V69" i="23"/>
  <c r="Z69" i="23" s="1"/>
  <c r="V68" i="23"/>
  <c r="Z68" i="23" s="1"/>
  <c r="V67" i="23"/>
  <c r="Z67" i="23" s="1"/>
  <c r="V66" i="23"/>
  <c r="Z66" i="23" s="1"/>
  <c r="V65" i="23"/>
  <c r="Z65" i="23" s="1"/>
  <c r="V64" i="23"/>
  <c r="Z64" i="23" s="1"/>
  <c r="V63" i="23"/>
  <c r="Z63" i="23" s="1"/>
  <c r="V62" i="23"/>
  <c r="Z62" i="23" s="1"/>
  <c r="V61" i="23"/>
  <c r="Z61" i="23" s="1"/>
  <c r="V60" i="23"/>
  <c r="Z60" i="23" s="1"/>
  <c r="V59" i="23"/>
  <c r="Z59" i="23" s="1"/>
  <c r="V58" i="23"/>
  <c r="Y58" i="23" s="1"/>
  <c r="V57" i="23"/>
  <c r="X57" i="23" s="1"/>
  <c r="V56" i="23"/>
  <c r="Z56" i="23" s="1"/>
  <c r="V55" i="23"/>
  <c r="Z55" i="23" s="1"/>
  <c r="V54" i="23"/>
  <c r="Y54" i="23" s="1"/>
  <c r="V53" i="23"/>
  <c r="Z53" i="23" s="1"/>
  <c r="V52" i="23"/>
  <c r="Z52" i="23" s="1"/>
  <c r="V51" i="23"/>
  <c r="Z51" i="23" s="1"/>
  <c r="V50" i="23"/>
  <c r="Z50" i="23" s="1"/>
  <c r="V49" i="23"/>
  <c r="Z49" i="23" s="1"/>
  <c r="V48" i="23"/>
  <c r="Z48" i="23" s="1"/>
  <c r="V47" i="23"/>
  <c r="Z47" i="23" s="1"/>
  <c r="V46" i="23"/>
  <c r="Z46" i="23" s="1"/>
  <c r="V45" i="23"/>
  <c r="Z45" i="23" s="1"/>
  <c r="V44" i="23"/>
  <c r="Z44" i="23" s="1"/>
  <c r="V43" i="23"/>
  <c r="Z43" i="23" s="1"/>
  <c r="V42" i="23"/>
  <c r="Y42" i="23" s="1"/>
  <c r="V41" i="23"/>
  <c r="X41" i="23" s="1"/>
  <c r="V40" i="23"/>
  <c r="Z40" i="23" s="1"/>
  <c r="V39" i="23"/>
  <c r="Z39" i="23" s="1"/>
  <c r="V38" i="23"/>
  <c r="Y38" i="23" s="1"/>
  <c r="V37" i="23"/>
  <c r="Z37" i="23" s="1"/>
  <c r="V36" i="23"/>
  <c r="Z36" i="23" s="1"/>
  <c r="V35" i="23"/>
  <c r="Z35" i="23" s="1"/>
  <c r="V34" i="23"/>
  <c r="Z34" i="23" s="1"/>
  <c r="V33" i="23"/>
  <c r="Z33" i="23" s="1"/>
  <c r="V32" i="23"/>
  <c r="Z32" i="23" s="1"/>
  <c r="V31" i="23"/>
  <c r="Z31" i="23" s="1"/>
  <c r="V30" i="23"/>
  <c r="Z30" i="23" s="1"/>
  <c r="V29" i="23"/>
  <c r="Z29" i="23" s="1"/>
  <c r="V28" i="23"/>
  <c r="Z28" i="23" s="1"/>
  <c r="V27" i="23"/>
  <c r="Z27" i="23" s="1"/>
  <c r="V26" i="23"/>
  <c r="Y26" i="23" s="1"/>
  <c r="V25" i="23"/>
  <c r="X25" i="23" s="1"/>
  <c r="V24" i="23"/>
  <c r="Z24" i="23" s="1"/>
  <c r="V23" i="23"/>
  <c r="Z23" i="23" s="1"/>
  <c r="V22" i="23"/>
  <c r="Y22" i="23" s="1"/>
  <c r="V21" i="23"/>
  <c r="Z21" i="23" s="1"/>
  <c r="V20" i="23"/>
  <c r="Z20" i="23" s="1"/>
  <c r="V19" i="23"/>
  <c r="Z19" i="23" s="1"/>
  <c r="V18" i="23"/>
  <c r="Z18" i="23" s="1"/>
  <c r="V17" i="23"/>
  <c r="Z17" i="23" s="1"/>
  <c r="V16" i="23"/>
  <c r="Z16" i="23" s="1"/>
  <c r="V15" i="23"/>
  <c r="Z15" i="23" s="1"/>
  <c r="V14" i="23"/>
  <c r="Z14" i="23" s="1"/>
  <c r="V13" i="23"/>
  <c r="Z13" i="23" s="1"/>
  <c r="V12" i="23"/>
  <c r="Z12" i="23" s="1"/>
  <c r="V11" i="23"/>
  <c r="Z11" i="23" s="1"/>
  <c r="V10" i="23"/>
  <c r="Y10" i="23" s="1"/>
  <c r="V9" i="23"/>
  <c r="X9" i="23" s="1"/>
  <c r="V8" i="23"/>
  <c r="Z8" i="23" s="1"/>
  <c r="V7" i="23"/>
  <c r="Z7" i="23" s="1"/>
  <c r="V6" i="23"/>
  <c r="Y6" i="23" s="1"/>
  <c r="Z80" i="20"/>
  <c r="Z84" i="20"/>
  <c r="Z91" i="20"/>
  <c r="Z96" i="20"/>
  <c r="Z101" i="20"/>
  <c r="Z105" i="20"/>
  <c r="Y80" i="20"/>
  <c r="Y84" i="20"/>
  <c r="Y91" i="20"/>
  <c r="Y96" i="20"/>
  <c r="Y101" i="20"/>
  <c r="Y105" i="20"/>
  <c r="X80" i="20"/>
  <c r="X84" i="20"/>
  <c r="X91" i="20"/>
  <c r="X92" i="20"/>
  <c r="X96" i="20"/>
  <c r="X101" i="20"/>
  <c r="X105" i="20"/>
  <c r="V92" i="20"/>
  <c r="Z92" i="20" s="1"/>
  <c r="V111" i="20"/>
  <c r="X111" i="20" s="1"/>
  <c r="X102" i="29" l="1"/>
  <c r="Z74" i="29"/>
  <c r="Z54" i="29"/>
  <c r="Y49" i="29"/>
  <c r="X128" i="29"/>
  <c r="X44" i="29"/>
  <c r="Y123" i="29"/>
  <c r="Z38" i="29"/>
  <c r="Z122" i="29"/>
  <c r="Y33" i="29"/>
  <c r="X118" i="29"/>
  <c r="X28" i="29"/>
  <c r="Y117" i="29"/>
  <c r="Z22" i="29"/>
  <c r="X112" i="29"/>
  <c r="Z90" i="29"/>
  <c r="Y17" i="29"/>
  <c r="Y107" i="29"/>
  <c r="X86" i="29"/>
  <c r="X12" i="29"/>
  <c r="Y84" i="28"/>
  <c r="X53" i="28"/>
  <c r="X21" i="28"/>
  <c r="Z47" i="28"/>
  <c r="Z15" i="28"/>
  <c r="Y100" i="28"/>
  <c r="X47" i="28"/>
  <c r="X15" i="28"/>
  <c r="Z121" i="28"/>
  <c r="X79" i="28"/>
  <c r="X43" i="28"/>
  <c r="X11" i="28"/>
  <c r="Y78" i="28"/>
  <c r="Y42" i="28"/>
  <c r="Y10" i="28"/>
  <c r="Y120" i="28"/>
  <c r="Z77" i="28"/>
  <c r="Z41" i="28"/>
  <c r="Z9" i="28"/>
  <c r="Y116" i="28"/>
  <c r="X95" i="28"/>
  <c r="Z69" i="28"/>
  <c r="Z37" i="28"/>
  <c r="Z115" i="28"/>
  <c r="Y94" i="28"/>
  <c r="Y68" i="28"/>
  <c r="X37" i="28"/>
  <c r="X115" i="28"/>
  <c r="Z93" i="28"/>
  <c r="Y64" i="28"/>
  <c r="Y36" i="28"/>
  <c r="X111" i="28"/>
  <c r="Z63" i="28"/>
  <c r="Z31" i="28"/>
  <c r="Z137" i="28"/>
  <c r="Y110" i="28"/>
  <c r="X63" i="28"/>
  <c r="X31" i="28"/>
  <c r="X137" i="28"/>
  <c r="Z109" i="28"/>
  <c r="X59" i="28"/>
  <c r="X27" i="28"/>
  <c r="Y136" i="28"/>
  <c r="Z89" i="28"/>
  <c r="Y58" i="28"/>
  <c r="Y26" i="28"/>
  <c r="Y132" i="28"/>
  <c r="X89" i="28"/>
  <c r="Z57" i="28"/>
  <c r="Z25" i="28"/>
  <c r="X110" i="27"/>
  <c r="Z88" i="27"/>
  <c r="Y83" i="27"/>
  <c r="Z104" i="27"/>
  <c r="X78" i="27"/>
  <c r="Z68" i="27"/>
  <c r="X58" i="27"/>
  <c r="Y99" i="27"/>
  <c r="Z52" i="27"/>
  <c r="X42" i="27"/>
  <c r="Z36" i="27"/>
  <c r="X26" i="27"/>
  <c r="X94" i="27"/>
  <c r="Z20" i="27"/>
  <c r="Y131" i="27"/>
  <c r="X10" i="27"/>
  <c r="X126" i="27"/>
  <c r="X118" i="26"/>
  <c r="X86" i="26"/>
  <c r="X28" i="26"/>
  <c r="Y130" i="26"/>
  <c r="Y106" i="26"/>
  <c r="Z93" i="26"/>
  <c r="Y77" i="26"/>
  <c r="Y41" i="26"/>
  <c r="X117" i="26"/>
  <c r="X85" i="26"/>
  <c r="X26" i="26"/>
  <c r="Z129" i="26"/>
  <c r="Z92" i="26"/>
  <c r="Z76" i="26"/>
  <c r="Z40" i="26"/>
  <c r="X113" i="26"/>
  <c r="X83" i="26"/>
  <c r="X25" i="26"/>
  <c r="Z127" i="26"/>
  <c r="Y74" i="26"/>
  <c r="Y38" i="26"/>
  <c r="X111" i="26"/>
  <c r="X81" i="26"/>
  <c r="X23" i="26"/>
  <c r="Y127" i="26"/>
  <c r="Z102" i="26"/>
  <c r="Z64" i="26"/>
  <c r="Z32" i="26"/>
  <c r="X110" i="26"/>
  <c r="X12" i="26"/>
  <c r="Z125" i="26"/>
  <c r="Y102" i="26"/>
  <c r="Y90" i="26"/>
  <c r="Y62" i="26"/>
  <c r="Y30" i="26"/>
  <c r="X109" i="26"/>
  <c r="X78" i="26"/>
  <c r="X10" i="26"/>
  <c r="Y122" i="26"/>
  <c r="Y86" i="26"/>
  <c r="Z60" i="26"/>
  <c r="Z28" i="26"/>
  <c r="X9" i="26"/>
  <c r="Z119" i="26"/>
  <c r="Z85" i="26"/>
  <c r="Y58" i="26"/>
  <c r="Y26" i="26"/>
  <c r="X75" i="26"/>
  <c r="X7" i="26"/>
  <c r="Y119" i="26"/>
  <c r="Z100" i="26"/>
  <c r="Z84" i="26"/>
  <c r="Z57" i="26"/>
  <c r="Z25" i="26"/>
  <c r="X6" i="26"/>
  <c r="X60" i="26"/>
  <c r="Y138" i="26"/>
  <c r="Y118" i="26"/>
  <c r="Z99" i="26"/>
  <c r="Z83" i="26"/>
  <c r="Y57" i="26"/>
  <c r="Z24" i="26"/>
  <c r="Z6" i="26"/>
  <c r="X99" i="26"/>
  <c r="X58" i="26"/>
  <c r="Z137" i="26"/>
  <c r="Z117" i="26"/>
  <c r="Z56" i="26"/>
  <c r="Y22" i="26"/>
  <c r="X134" i="26"/>
  <c r="Z135" i="26"/>
  <c r="Y98" i="26"/>
  <c r="Y82" i="26"/>
  <c r="Y54" i="26"/>
  <c r="Y14" i="26"/>
  <c r="X133" i="26"/>
  <c r="X95" i="26"/>
  <c r="X55" i="26"/>
  <c r="Y135" i="26"/>
  <c r="Z116" i="26"/>
  <c r="Z81" i="26"/>
  <c r="Z48" i="26"/>
  <c r="Z13" i="26"/>
  <c r="X130" i="26"/>
  <c r="X94" i="26"/>
  <c r="X44" i="26"/>
  <c r="Y134" i="26"/>
  <c r="Y114" i="26"/>
  <c r="Y46" i="26"/>
  <c r="Z12" i="26"/>
  <c r="X128" i="26"/>
  <c r="X93" i="26"/>
  <c r="X42" i="26"/>
  <c r="Z133" i="26"/>
  <c r="Z113" i="26"/>
  <c r="Z95" i="26"/>
  <c r="Z44" i="26"/>
  <c r="Y10" i="26"/>
  <c r="X92" i="26"/>
  <c r="Y110" i="26"/>
  <c r="Y78" i="26"/>
  <c r="Y42" i="26"/>
  <c r="Z9" i="26"/>
  <c r="Y137" i="23"/>
  <c r="Z122" i="23"/>
  <c r="X136" i="23"/>
  <c r="X108" i="23"/>
  <c r="X52" i="23"/>
  <c r="X139" i="23"/>
  <c r="X36" i="23"/>
  <c r="Z106" i="23"/>
  <c r="X20" i="23"/>
  <c r="X124" i="23"/>
  <c r="X123" i="23"/>
  <c r="Y121" i="23"/>
  <c r="X120" i="23"/>
  <c r="Z90" i="23"/>
  <c r="X107" i="23"/>
  <c r="Z74" i="23"/>
  <c r="X104" i="23"/>
  <c r="Y89" i="23"/>
  <c r="Z54" i="23"/>
  <c r="Z38" i="23"/>
  <c r="Y69" i="23"/>
  <c r="Z22" i="23"/>
  <c r="Y53" i="23"/>
  <c r="X88" i="23"/>
  <c r="Y37" i="23"/>
  <c r="Y21" i="23"/>
  <c r="X68" i="23"/>
  <c r="Z138" i="23"/>
  <c r="X69" i="28"/>
  <c r="Y138" i="29"/>
  <c r="X133" i="29"/>
  <c r="Z127" i="29"/>
  <c r="Y122" i="29"/>
  <c r="X117" i="29"/>
  <c r="Z111" i="29"/>
  <c r="Y106" i="29"/>
  <c r="Z95" i="29"/>
  <c r="Y90" i="29"/>
  <c r="X85" i="29"/>
  <c r="Z79" i="29"/>
  <c r="Y74" i="29"/>
  <c r="X65" i="29"/>
  <c r="Z59" i="29"/>
  <c r="Y54" i="29"/>
  <c r="X49" i="29"/>
  <c r="Z43" i="29"/>
  <c r="Y38" i="29"/>
  <c r="X33" i="29"/>
  <c r="Z27" i="29"/>
  <c r="Y22" i="29"/>
  <c r="X17" i="29"/>
  <c r="Z11" i="29"/>
  <c r="Z132" i="29"/>
  <c r="Y127" i="29"/>
  <c r="Z116" i="29"/>
  <c r="Y111" i="29"/>
  <c r="Z100" i="29"/>
  <c r="Y95" i="29"/>
  <c r="Z84" i="29"/>
  <c r="Y79" i="29"/>
  <c r="Z64" i="29"/>
  <c r="Y59" i="29"/>
  <c r="Z48" i="29"/>
  <c r="Y43" i="29"/>
  <c r="Z32" i="29"/>
  <c r="Y27" i="29"/>
  <c r="Z16" i="29"/>
  <c r="Y11" i="29"/>
  <c r="Z137" i="29"/>
  <c r="Y132" i="29"/>
  <c r="Z121" i="29"/>
  <c r="Y116" i="29"/>
  <c r="Y100" i="29"/>
  <c r="Z89" i="29"/>
  <c r="Y84" i="29"/>
  <c r="Z69" i="29"/>
  <c r="Y64" i="29"/>
  <c r="Z53" i="29"/>
  <c r="Y48" i="29"/>
  <c r="Z37" i="29"/>
  <c r="Y32" i="29"/>
  <c r="Z21" i="29"/>
  <c r="Y16" i="29"/>
  <c r="Y137" i="29"/>
  <c r="Z126" i="29"/>
  <c r="Y121" i="29"/>
  <c r="Z110" i="29"/>
  <c r="Z94" i="29"/>
  <c r="Y89" i="29"/>
  <c r="Z78" i="29"/>
  <c r="Y69" i="29"/>
  <c r="Z58" i="29"/>
  <c r="Y53" i="29"/>
  <c r="Z42" i="29"/>
  <c r="Y37" i="29"/>
  <c r="Z26" i="29"/>
  <c r="Y21" i="29"/>
  <c r="Z10" i="29"/>
  <c r="Z131" i="29"/>
  <c r="Y126" i="29"/>
  <c r="Z115" i="29"/>
  <c r="Y110" i="29"/>
  <c r="Z99" i="29"/>
  <c r="Y94" i="29"/>
  <c r="Z83" i="29"/>
  <c r="Y78" i="29"/>
  <c r="Z63" i="29"/>
  <c r="Y58" i="29"/>
  <c r="Z47" i="29"/>
  <c r="Y42" i="29"/>
  <c r="Z31" i="29"/>
  <c r="Y26" i="29"/>
  <c r="Z15" i="29"/>
  <c r="Y10" i="29"/>
  <c r="Z136" i="29"/>
  <c r="Y131" i="29"/>
  <c r="Z120" i="29"/>
  <c r="Y115" i="29"/>
  <c r="Z104" i="29"/>
  <c r="Y99" i="29"/>
  <c r="Z88" i="29"/>
  <c r="Y83" i="29"/>
  <c r="Z68" i="29"/>
  <c r="Y63" i="29"/>
  <c r="Z52" i="29"/>
  <c r="Y47" i="29"/>
  <c r="Z36" i="29"/>
  <c r="Y31" i="29"/>
  <c r="Z20" i="29"/>
  <c r="Y15" i="29"/>
  <c r="Y136" i="29"/>
  <c r="Z125" i="29"/>
  <c r="Y120" i="29"/>
  <c r="Z109" i="29"/>
  <c r="Y104" i="29"/>
  <c r="Z93" i="29"/>
  <c r="Y88" i="29"/>
  <c r="Z77" i="29"/>
  <c r="Y68" i="29"/>
  <c r="Z57" i="29"/>
  <c r="Y52" i="29"/>
  <c r="Z41" i="29"/>
  <c r="Y36" i="29"/>
  <c r="Z25" i="29"/>
  <c r="Y20" i="29"/>
  <c r="Z9" i="29"/>
  <c r="Z130" i="29"/>
  <c r="Y125" i="29"/>
  <c r="Z114" i="29"/>
  <c r="Y109" i="29"/>
  <c r="Z98" i="29"/>
  <c r="Y93" i="29"/>
  <c r="Z82" i="29"/>
  <c r="Y77" i="29"/>
  <c r="Z62" i="29"/>
  <c r="Y57" i="29"/>
  <c r="Z46" i="29"/>
  <c r="Y41" i="29"/>
  <c r="Z30" i="29"/>
  <c r="Y25" i="29"/>
  <c r="Z14" i="29"/>
  <c r="Y9" i="29"/>
  <c r="Z135" i="29"/>
  <c r="Y130" i="29"/>
  <c r="Z119" i="29"/>
  <c r="Y114" i="29"/>
  <c r="Z103" i="29"/>
  <c r="Y98" i="29"/>
  <c r="Z87" i="29"/>
  <c r="Y82" i="29"/>
  <c r="Z67" i="29"/>
  <c r="Y62" i="29"/>
  <c r="Z51" i="29"/>
  <c r="Y46" i="29"/>
  <c r="Z35" i="29"/>
  <c r="Y30" i="29"/>
  <c r="Z19" i="29"/>
  <c r="Y14" i="29"/>
  <c r="X6" i="29"/>
  <c r="Y135" i="29"/>
  <c r="Z124" i="29"/>
  <c r="Y119" i="29"/>
  <c r="Z108" i="29"/>
  <c r="Y103" i="29"/>
  <c r="Z92" i="29"/>
  <c r="Y87" i="29"/>
  <c r="Z76" i="29"/>
  <c r="Y67" i="29"/>
  <c r="Z56" i="29"/>
  <c r="Y51" i="29"/>
  <c r="Z40" i="29"/>
  <c r="Y35" i="29"/>
  <c r="Z24" i="29"/>
  <c r="Y19" i="29"/>
  <c r="Z8" i="29"/>
  <c r="Y6" i="29"/>
  <c r="Z129" i="29"/>
  <c r="Y124" i="29"/>
  <c r="Z113" i="29"/>
  <c r="Y108" i="29"/>
  <c r="Z97" i="29"/>
  <c r="Y92" i="29"/>
  <c r="Z81" i="29"/>
  <c r="Y76" i="29"/>
  <c r="Z61" i="29"/>
  <c r="Y56" i="29"/>
  <c r="Z45" i="29"/>
  <c r="Y40" i="29"/>
  <c r="Z29" i="29"/>
  <c r="Y24" i="29"/>
  <c r="Z13" i="29"/>
  <c r="Y8" i="29"/>
  <c r="Z134" i="29"/>
  <c r="Y129" i="29"/>
  <c r="Z118" i="29"/>
  <c r="Y113" i="29"/>
  <c r="Z102" i="29"/>
  <c r="Y97" i="29"/>
  <c r="Z86" i="29"/>
  <c r="Y81" i="29"/>
  <c r="Z66" i="29"/>
  <c r="Y61" i="29"/>
  <c r="Z50" i="29"/>
  <c r="Y45" i="29"/>
  <c r="Z34" i="29"/>
  <c r="Y29" i="29"/>
  <c r="Z18" i="29"/>
  <c r="Y13" i="29"/>
  <c r="Z139" i="29"/>
  <c r="Z123" i="29"/>
  <c r="Z107" i="29"/>
  <c r="Z75" i="29"/>
  <c r="Y66" i="29"/>
  <c r="Z55" i="29"/>
  <c r="Y50" i="29"/>
  <c r="Z39" i="29"/>
  <c r="Y34" i="29"/>
  <c r="Z23" i="29"/>
  <c r="Y18" i="29"/>
  <c r="Z7" i="29"/>
  <c r="Z128" i="29"/>
  <c r="Z112" i="29"/>
  <c r="Y75" i="29"/>
  <c r="Z60" i="29"/>
  <c r="Y55" i="29"/>
  <c r="Z44" i="29"/>
  <c r="Y39" i="29"/>
  <c r="Z28" i="29"/>
  <c r="Y23" i="29"/>
  <c r="Z12" i="29"/>
  <c r="Y7" i="29"/>
  <c r="Y48" i="28"/>
  <c r="Y32" i="28"/>
  <c r="Y16" i="28"/>
  <c r="X132" i="28"/>
  <c r="Z126" i="28"/>
  <c r="X116" i="28"/>
  <c r="Z110" i="28"/>
  <c r="X100" i="28"/>
  <c r="Z94" i="28"/>
  <c r="X84" i="28"/>
  <c r="Z78" i="28"/>
  <c r="X64" i="28"/>
  <c r="Z58" i="28"/>
  <c r="X48" i="28"/>
  <c r="Z42" i="28"/>
  <c r="X32" i="28"/>
  <c r="Z26" i="28"/>
  <c r="X16" i="28"/>
  <c r="Z10" i="28"/>
  <c r="Z136" i="28"/>
  <c r="Z120" i="28"/>
  <c r="Z104" i="28"/>
  <c r="Y99" i="28"/>
  <c r="Z88" i="28"/>
  <c r="Y83" i="28"/>
  <c r="Z68" i="28"/>
  <c r="Z52" i="28"/>
  <c r="Z36" i="28"/>
  <c r="Z20" i="28"/>
  <c r="Z130" i="28"/>
  <c r="Y125" i="28"/>
  <c r="Z114" i="28"/>
  <c r="Y109" i="28"/>
  <c r="X104" i="28"/>
  <c r="Z98" i="28"/>
  <c r="Y93" i="28"/>
  <c r="Z82" i="28"/>
  <c r="Y77" i="28"/>
  <c r="Z62" i="28"/>
  <c r="Y57" i="28"/>
  <c r="Z46" i="28"/>
  <c r="Y41" i="28"/>
  <c r="Z30" i="28"/>
  <c r="Y25" i="28"/>
  <c r="Z14" i="28"/>
  <c r="Y9" i="28"/>
  <c r="Z135" i="28"/>
  <c r="Y130" i="28"/>
  <c r="Z119" i="28"/>
  <c r="Y114" i="28"/>
  <c r="Z103" i="28"/>
  <c r="Y98" i="28"/>
  <c r="Z87" i="28"/>
  <c r="Y82" i="28"/>
  <c r="Z67" i="28"/>
  <c r="Y62" i="28"/>
  <c r="Z51" i="28"/>
  <c r="Y46" i="28"/>
  <c r="Z35" i="28"/>
  <c r="Y30" i="28"/>
  <c r="Z19" i="28"/>
  <c r="Y14" i="28"/>
  <c r="X6" i="28"/>
  <c r="Y135" i="28"/>
  <c r="Z124" i="28"/>
  <c r="Y119" i="28"/>
  <c r="Z108" i="28"/>
  <c r="Y103" i="28"/>
  <c r="Z92" i="28"/>
  <c r="Y87" i="28"/>
  <c r="Z76" i="28"/>
  <c r="Y67" i="28"/>
  <c r="Z56" i="28"/>
  <c r="Y51" i="28"/>
  <c r="Z40" i="28"/>
  <c r="Y35" i="28"/>
  <c r="Z24" i="28"/>
  <c r="Y19" i="28"/>
  <c r="Z8" i="28"/>
  <c r="Y6" i="28"/>
  <c r="Z129" i="28"/>
  <c r="Y124" i="28"/>
  <c r="Z113" i="28"/>
  <c r="Y108" i="28"/>
  <c r="Z97" i="28"/>
  <c r="Y92" i="28"/>
  <c r="Z81" i="28"/>
  <c r="Y76" i="28"/>
  <c r="Z61" i="28"/>
  <c r="Y56" i="28"/>
  <c r="Z45" i="28"/>
  <c r="Y40" i="28"/>
  <c r="Z29" i="28"/>
  <c r="Y24" i="28"/>
  <c r="Z13" i="28"/>
  <c r="Y8" i="28"/>
  <c r="Z134" i="28"/>
  <c r="Y129" i="28"/>
  <c r="Z118" i="28"/>
  <c r="Y113" i="28"/>
  <c r="Z102" i="28"/>
  <c r="Y97" i="28"/>
  <c r="Z86" i="28"/>
  <c r="Y81" i="28"/>
  <c r="Z66" i="28"/>
  <c r="Y61" i="28"/>
  <c r="Z50" i="28"/>
  <c r="Y45" i="28"/>
  <c r="Z34" i="28"/>
  <c r="Y29" i="28"/>
  <c r="Z18" i="28"/>
  <c r="Y13" i="28"/>
  <c r="Z99" i="28"/>
  <c r="Z139" i="28"/>
  <c r="Y134" i="28"/>
  <c r="Z123" i="28"/>
  <c r="Y118" i="28"/>
  <c r="Z107" i="28"/>
  <c r="Y102" i="28"/>
  <c r="Y86" i="28"/>
  <c r="Z75" i="28"/>
  <c r="Y66" i="28"/>
  <c r="Z55" i="28"/>
  <c r="Y50" i="28"/>
  <c r="Z39" i="28"/>
  <c r="Y34" i="28"/>
  <c r="Z23" i="28"/>
  <c r="Y18" i="28"/>
  <c r="Z7" i="28"/>
  <c r="Y139" i="28"/>
  <c r="Z128" i="28"/>
  <c r="Y123" i="28"/>
  <c r="Z112" i="28"/>
  <c r="Y107" i="28"/>
  <c r="Y75" i="28"/>
  <c r="Z60" i="28"/>
  <c r="Y55" i="28"/>
  <c r="Z44" i="28"/>
  <c r="Y39" i="28"/>
  <c r="Z28" i="28"/>
  <c r="Y23" i="28"/>
  <c r="Z12" i="28"/>
  <c r="Y7" i="28"/>
  <c r="Z83" i="28"/>
  <c r="Z133" i="28"/>
  <c r="Y128" i="28"/>
  <c r="Z117" i="28"/>
  <c r="Y112" i="28"/>
  <c r="Z85" i="28"/>
  <c r="Z65" i="28"/>
  <c r="Y60" i="28"/>
  <c r="Z49" i="28"/>
  <c r="Y44" i="28"/>
  <c r="Z33" i="28"/>
  <c r="Y28" i="28"/>
  <c r="Z17" i="28"/>
  <c r="Y12" i="28"/>
  <c r="Z138" i="28"/>
  <c r="Y133" i="28"/>
  <c r="Z122" i="28"/>
  <c r="Y117" i="28"/>
  <c r="Z106" i="28"/>
  <c r="Z90" i="28"/>
  <c r="Y85" i="28"/>
  <c r="Z74" i="28"/>
  <c r="Y65" i="28"/>
  <c r="Z54" i="28"/>
  <c r="Y49" i="28"/>
  <c r="Z38" i="28"/>
  <c r="Y33" i="28"/>
  <c r="Z22" i="28"/>
  <c r="Y17" i="28"/>
  <c r="Y138" i="28"/>
  <c r="Z127" i="28"/>
  <c r="Y122" i="28"/>
  <c r="Z111" i="28"/>
  <c r="Y106" i="28"/>
  <c r="Z95" i="28"/>
  <c r="Y90" i="28"/>
  <c r="Z79" i="28"/>
  <c r="Y74" i="28"/>
  <c r="Z59" i="28"/>
  <c r="Y54" i="28"/>
  <c r="Z43" i="28"/>
  <c r="Y38" i="28"/>
  <c r="Z27" i="28"/>
  <c r="Y22" i="28"/>
  <c r="Z11" i="28"/>
  <c r="Y136" i="27"/>
  <c r="X131" i="27"/>
  <c r="Z125" i="27"/>
  <c r="Y120" i="27"/>
  <c r="X115" i="27"/>
  <c r="Z109" i="27"/>
  <c r="Y104" i="27"/>
  <c r="X99" i="27"/>
  <c r="Z93" i="27"/>
  <c r="Y88" i="27"/>
  <c r="X83" i="27"/>
  <c r="Z77" i="27"/>
  <c r="Y68" i="27"/>
  <c r="X63" i="27"/>
  <c r="Z57" i="27"/>
  <c r="Y52" i="27"/>
  <c r="X47" i="27"/>
  <c r="Z41" i="27"/>
  <c r="Y36" i="27"/>
  <c r="X31" i="27"/>
  <c r="Z25" i="27"/>
  <c r="Y20" i="27"/>
  <c r="X15" i="27"/>
  <c r="Z9" i="27"/>
  <c r="X136" i="27"/>
  <c r="Z130" i="27"/>
  <c r="Y125" i="27"/>
  <c r="X120" i="27"/>
  <c r="Z114" i="27"/>
  <c r="Y109" i="27"/>
  <c r="Z98" i="27"/>
  <c r="Y93" i="27"/>
  <c r="Z82" i="27"/>
  <c r="Y77" i="27"/>
  <c r="Z62" i="27"/>
  <c r="Y57" i="27"/>
  <c r="Z46" i="27"/>
  <c r="Y41" i="27"/>
  <c r="Z30" i="27"/>
  <c r="Y25" i="27"/>
  <c r="Z14" i="27"/>
  <c r="Y9" i="27"/>
  <c r="Y47" i="27"/>
  <c r="Z135" i="27"/>
  <c r="Y130" i="27"/>
  <c r="Z119" i="27"/>
  <c r="Y114" i="27"/>
  <c r="Z103" i="27"/>
  <c r="Y98" i="27"/>
  <c r="Z87" i="27"/>
  <c r="Y82" i="27"/>
  <c r="Z67" i="27"/>
  <c r="Y62" i="27"/>
  <c r="Z51" i="27"/>
  <c r="Y46" i="27"/>
  <c r="Z35" i="27"/>
  <c r="Y30" i="27"/>
  <c r="Z19" i="27"/>
  <c r="Y14" i="27"/>
  <c r="X6" i="27"/>
  <c r="Y135" i="27"/>
  <c r="Z124" i="27"/>
  <c r="Y119" i="27"/>
  <c r="Z108" i="27"/>
  <c r="Y103" i="27"/>
  <c r="Z92" i="27"/>
  <c r="Y87" i="27"/>
  <c r="Z76" i="27"/>
  <c r="Y67" i="27"/>
  <c r="Z56" i="27"/>
  <c r="Y51" i="27"/>
  <c r="Z40" i="27"/>
  <c r="Y35" i="27"/>
  <c r="Z24" i="27"/>
  <c r="Y19" i="27"/>
  <c r="Z8" i="27"/>
  <c r="Y6" i="27"/>
  <c r="Z129" i="27"/>
  <c r="Y124" i="27"/>
  <c r="Z113" i="27"/>
  <c r="Y108" i="27"/>
  <c r="Z97" i="27"/>
  <c r="Y92" i="27"/>
  <c r="Z81" i="27"/>
  <c r="Y76" i="27"/>
  <c r="Z61" i="27"/>
  <c r="Y56" i="27"/>
  <c r="Z45" i="27"/>
  <c r="Y40" i="27"/>
  <c r="Z29" i="27"/>
  <c r="Y24" i="27"/>
  <c r="Z13" i="27"/>
  <c r="Y8" i="27"/>
  <c r="Z134" i="27"/>
  <c r="Y129" i="27"/>
  <c r="Z118" i="27"/>
  <c r="Y113" i="27"/>
  <c r="Z102" i="27"/>
  <c r="Y97" i="27"/>
  <c r="Z86" i="27"/>
  <c r="Y81" i="27"/>
  <c r="Z66" i="27"/>
  <c r="Y61" i="27"/>
  <c r="Z50" i="27"/>
  <c r="Y45" i="27"/>
  <c r="Z34" i="27"/>
  <c r="Y29" i="27"/>
  <c r="Z18" i="27"/>
  <c r="Y13" i="27"/>
  <c r="Y15" i="27"/>
  <c r="Z139" i="27"/>
  <c r="Y134" i="27"/>
  <c r="Z123" i="27"/>
  <c r="Y118" i="27"/>
  <c r="Z107" i="27"/>
  <c r="Y102" i="27"/>
  <c r="Y86" i="27"/>
  <c r="Z75" i="27"/>
  <c r="Y66" i="27"/>
  <c r="Z55" i="27"/>
  <c r="Y50" i="27"/>
  <c r="Z39" i="27"/>
  <c r="Y34" i="27"/>
  <c r="Z23" i="27"/>
  <c r="Y18" i="27"/>
  <c r="Z7" i="27"/>
  <c r="Y63" i="27"/>
  <c r="Y139" i="27"/>
  <c r="Z128" i="27"/>
  <c r="Y123" i="27"/>
  <c r="Z112" i="27"/>
  <c r="Y107" i="27"/>
  <c r="Y75" i="27"/>
  <c r="Z60" i="27"/>
  <c r="Y55" i="27"/>
  <c r="Z44" i="27"/>
  <c r="Y39" i="27"/>
  <c r="Z28" i="27"/>
  <c r="Y23" i="27"/>
  <c r="Z12" i="27"/>
  <c r="Y7" i="27"/>
  <c r="Z133" i="27"/>
  <c r="Y128" i="27"/>
  <c r="Z117" i="27"/>
  <c r="Y112" i="27"/>
  <c r="Z85" i="27"/>
  <c r="Z65" i="27"/>
  <c r="Y60" i="27"/>
  <c r="Z49" i="27"/>
  <c r="Y44" i="27"/>
  <c r="Z33" i="27"/>
  <c r="Y28" i="27"/>
  <c r="Z17" i="27"/>
  <c r="Y12" i="27"/>
  <c r="Z138" i="27"/>
  <c r="Y133" i="27"/>
  <c r="Z122" i="27"/>
  <c r="Y117" i="27"/>
  <c r="Z106" i="27"/>
  <c r="Z90" i="27"/>
  <c r="Y85" i="27"/>
  <c r="Z74" i="27"/>
  <c r="Y65" i="27"/>
  <c r="Z54" i="27"/>
  <c r="Y49" i="27"/>
  <c r="Z38" i="27"/>
  <c r="Y33" i="27"/>
  <c r="Z22" i="27"/>
  <c r="Y17" i="27"/>
  <c r="Y138" i="27"/>
  <c r="Z127" i="27"/>
  <c r="Y122" i="27"/>
  <c r="Z111" i="27"/>
  <c r="Y106" i="27"/>
  <c r="Z95" i="27"/>
  <c r="Y90" i="27"/>
  <c r="Z79" i="27"/>
  <c r="Y74" i="27"/>
  <c r="Z59" i="27"/>
  <c r="Y54" i="27"/>
  <c r="Z43" i="27"/>
  <c r="Y38" i="27"/>
  <c r="Z27" i="27"/>
  <c r="Y22" i="27"/>
  <c r="Z11" i="27"/>
  <c r="Z132" i="27"/>
  <c r="Y127" i="27"/>
  <c r="Z116" i="27"/>
  <c r="Y111" i="27"/>
  <c r="Z100" i="27"/>
  <c r="Y95" i="27"/>
  <c r="Z84" i="27"/>
  <c r="Y79" i="27"/>
  <c r="Z64" i="27"/>
  <c r="Y59" i="27"/>
  <c r="Z48" i="27"/>
  <c r="Y43" i="27"/>
  <c r="Z32" i="27"/>
  <c r="Y27" i="27"/>
  <c r="Z16" i="27"/>
  <c r="Y11" i="27"/>
  <c r="Z137" i="27"/>
  <c r="Y132" i="27"/>
  <c r="Z121" i="27"/>
  <c r="Y116" i="27"/>
  <c r="Y100" i="27"/>
  <c r="Z89" i="27"/>
  <c r="Y84" i="27"/>
  <c r="Z69" i="27"/>
  <c r="Y64" i="27"/>
  <c r="Z53" i="27"/>
  <c r="Y48" i="27"/>
  <c r="Z37" i="27"/>
  <c r="Y32" i="27"/>
  <c r="Z21" i="27"/>
  <c r="Y16" i="27"/>
  <c r="Y31" i="27"/>
  <c r="Y137" i="27"/>
  <c r="Z126" i="27"/>
  <c r="Y121" i="27"/>
  <c r="Z110" i="27"/>
  <c r="Z94" i="27"/>
  <c r="Y89" i="27"/>
  <c r="Z78" i="27"/>
  <c r="Y69" i="27"/>
  <c r="Z58" i="27"/>
  <c r="Y53" i="27"/>
  <c r="Z42" i="27"/>
  <c r="Y37" i="27"/>
  <c r="Z26" i="27"/>
  <c r="Y21" i="27"/>
  <c r="Z10" i="27"/>
  <c r="Z65" i="26"/>
  <c r="Z49" i="26"/>
  <c r="Z33" i="26"/>
  <c r="Z17" i="26"/>
  <c r="X124" i="26"/>
  <c r="X108" i="26"/>
  <c r="X76" i="26"/>
  <c r="X56" i="26"/>
  <c r="X40" i="26"/>
  <c r="X24" i="26"/>
  <c r="X8" i="26"/>
  <c r="Y65" i="26"/>
  <c r="Y49" i="26"/>
  <c r="Y33" i="26"/>
  <c r="Y17" i="26"/>
  <c r="Z124" i="26"/>
  <c r="Z16" i="26"/>
  <c r="X138" i="26"/>
  <c r="X122" i="26"/>
  <c r="X106" i="26"/>
  <c r="X90" i="26"/>
  <c r="X74" i="26"/>
  <c r="X54" i="26"/>
  <c r="X38" i="26"/>
  <c r="X22" i="26"/>
  <c r="X139" i="26"/>
  <c r="Y132" i="26"/>
  <c r="Y116" i="26"/>
  <c r="Y108" i="26"/>
  <c r="Y100" i="26"/>
  <c r="Y84" i="26"/>
  <c r="Y64" i="26"/>
  <c r="Y48" i="26"/>
  <c r="Y32" i="26"/>
  <c r="Y16" i="26"/>
  <c r="Y50" i="26"/>
  <c r="X107" i="26"/>
  <c r="X137" i="26"/>
  <c r="X121" i="26"/>
  <c r="X89" i="26"/>
  <c r="X69" i="26"/>
  <c r="X53" i="26"/>
  <c r="X37" i="26"/>
  <c r="X21" i="26"/>
  <c r="Z139" i="26"/>
  <c r="Z131" i="26"/>
  <c r="Z123" i="26"/>
  <c r="Z115" i="26"/>
  <c r="Z107" i="26"/>
  <c r="Z75" i="26"/>
  <c r="Z63" i="26"/>
  <c r="Z55" i="26"/>
  <c r="Z47" i="26"/>
  <c r="Z39" i="26"/>
  <c r="Z31" i="26"/>
  <c r="Z23" i="26"/>
  <c r="Z15" i="26"/>
  <c r="Z7" i="26"/>
  <c r="X123" i="26"/>
  <c r="X120" i="26"/>
  <c r="X104" i="26"/>
  <c r="X88" i="26"/>
  <c r="X68" i="26"/>
  <c r="X52" i="26"/>
  <c r="X36" i="26"/>
  <c r="Y131" i="26"/>
  <c r="Y115" i="26"/>
  <c r="Y63" i="26"/>
  <c r="Y47" i="26"/>
  <c r="Y31" i="26"/>
  <c r="Y15" i="26"/>
  <c r="X136" i="26"/>
  <c r="X20" i="26"/>
  <c r="X103" i="26"/>
  <c r="X87" i="26"/>
  <c r="X67" i="26"/>
  <c r="X51" i="26"/>
  <c r="X35" i="26"/>
  <c r="X19" i="26"/>
  <c r="Z114" i="26"/>
  <c r="Z98" i="26"/>
  <c r="Z82" i="26"/>
  <c r="Z62" i="26"/>
  <c r="Z46" i="26"/>
  <c r="Z30" i="26"/>
  <c r="Z14" i="26"/>
  <c r="Y18" i="26"/>
  <c r="X34" i="26"/>
  <c r="Z121" i="26"/>
  <c r="Z97" i="26"/>
  <c r="Z89" i="26"/>
  <c r="Z69" i="26"/>
  <c r="Z61" i="26"/>
  <c r="Z53" i="26"/>
  <c r="Z45" i="26"/>
  <c r="Z37" i="26"/>
  <c r="Z29" i="26"/>
  <c r="Z21" i="26"/>
  <c r="Y129" i="26"/>
  <c r="Y97" i="26"/>
  <c r="Y61" i="26"/>
  <c r="Y45" i="26"/>
  <c r="Y29" i="26"/>
  <c r="Y13" i="26"/>
  <c r="Z120" i="26"/>
  <c r="Z88" i="26"/>
  <c r="Z68" i="26"/>
  <c r="Z52" i="26"/>
  <c r="Z20" i="26"/>
  <c r="X18" i="26"/>
  <c r="Z136" i="26"/>
  <c r="Z128" i="26"/>
  <c r="Z112" i="26"/>
  <c r="Z104" i="26"/>
  <c r="Z36" i="26"/>
  <c r="Y112" i="26"/>
  <c r="Y126" i="26"/>
  <c r="Y66" i="26"/>
  <c r="X50" i="26"/>
  <c r="Z111" i="26"/>
  <c r="Z103" i="26"/>
  <c r="Z87" i="26"/>
  <c r="Z79" i="26"/>
  <c r="Z67" i="26"/>
  <c r="Z59" i="26"/>
  <c r="Z51" i="26"/>
  <c r="Z43" i="26"/>
  <c r="Z35" i="26"/>
  <c r="Z27" i="26"/>
  <c r="Z19" i="26"/>
  <c r="Z11" i="26"/>
  <c r="Y34" i="26"/>
  <c r="X66" i="26"/>
  <c r="Y79" i="26"/>
  <c r="Y59" i="26"/>
  <c r="Y43" i="26"/>
  <c r="Y27" i="26"/>
  <c r="Y11" i="26"/>
  <c r="X126" i="26"/>
  <c r="Z6" i="23"/>
  <c r="X92" i="23"/>
  <c r="X76" i="23"/>
  <c r="X56" i="23"/>
  <c r="X40" i="23"/>
  <c r="X24" i="23"/>
  <c r="X8" i="23"/>
  <c r="Y125" i="23"/>
  <c r="Y109" i="23"/>
  <c r="Y93" i="23"/>
  <c r="Y77" i="23"/>
  <c r="Y57" i="23"/>
  <c r="Y41" i="23"/>
  <c r="Y25" i="23"/>
  <c r="Y9" i="23"/>
  <c r="Z126" i="23"/>
  <c r="Z110" i="23"/>
  <c r="Z94" i="23"/>
  <c r="Z78" i="23"/>
  <c r="Z58" i="23"/>
  <c r="Z42" i="23"/>
  <c r="Z26" i="23"/>
  <c r="Z10" i="23"/>
  <c r="X75" i="23"/>
  <c r="X55" i="23"/>
  <c r="X39" i="23"/>
  <c r="X23" i="23"/>
  <c r="X7" i="23"/>
  <c r="Y124" i="23"/>
  <c r="Y108" i="23"/>
  <c r="Y92" i="23"/>
  <c r="Y76" i="23"/>
  <c r="Y56" i="23"/>
  <c r="Y40" i="23"/>
  <c r="Y24" i="23"/>
  <c r="Y8" i="23"/>
  <c r="Z125" i="23"/>
  <c r="Z109" i="23"/>
  <c r="Z93" i="23"/>
  <c r="Z77" i="23"/>
  <c r="Z57" i="23"/>
  <c r="Z41" i="23"/>
  <c r="Z25" i="23"/>
  <c r="Z9" i="23"/>
  <c r="X138" i="23"/>
  <c r="X122" i="23"/>
  <c r="X106" i="23"/>
  <c r="X90" i="23"/>
  <c r="X74" i="23"/>
  <c r="X54" i="23"/>
  <c r="X38" i="23"/>
  <c r="X22" i="23"/>
  <c r="Y139" i="23"/>
  <c r="Y123" i="23"/>
  <c r="Y107" i="23"/>
  <c r="Y75" i="23"/>
  <c r="Y55" i="23"/>
  <c r="Y39" i="23"/>
  <c r="Y23" i="23"/>
  <c r="Y7" i="23"/>
  <c r="X137" i="23"/>
  <c r="X121" i="23"/>
  <c r="X89" i="23"/>
  <c r="X69" i="23"/>
  <c r="X53" i="23"/>
  <c r="X37" i="23"/>
  <c r="X21" i="23"/>
  <c r="X135" i="23"/>
  <c r="X119" i="23"/>
  <c r="X103" i="23"/>
  <c r="X87" i="23"/>
  <c r="X67" i="23"/>
  <c r="X51" i="23"/>
  <c r="X35" i="23"/>
  <c r="X19" i="23"/>
  <c r="Y136" i="23"/>
  <c r="Y120" i="23"/>
  <c r="Y104" i="23"/>
  <c r="Y88" i="23"/>
  <c r="Y68" i="23"/>
  <c r="Y52" i="23"/>
  <c r="Y36" i="23"/>
  <c r="Y20" i="23"/>
  <c r="X134" i="23"/>
  <c r="X118" i="23"/>
  <c r="X102" i="23"/>
  <c r="X86" i="23"/>
  <c r="X66" i="23"/>
  <c r="X50" i="23"/>
  <c r="X34" i="23"/>
  <c r="X18" i="23"/>
  <c r="Y135" i="23"/>
  <c r="Y119" i="23"/>
  <c r="Y103" i="23"/>
  <c r="Y87" i="23"/>
  <c r="Y67" i="23"/>
  <c r="Y51" i="23"/>
  <c r="Y35" i="23"/>
  <c r="Y19" i="23"/>
  <c r="X133" i="23"/>
  <c r="X117" i="23"/>
  <c r="X85" i="23"/>
  <c r="X65" i="23"/>
  <c r="X49" i="23"/>
  <c r="X33" i="23"/>
  <c r="X17" i="23"/>
  <c r="Y134" i="23"/>
  <c r="Y118" i="23"/>
  <c r="Y102" i="23"/>
  <c r="Y86" i="23"/>
  <c r="Y66" i="23"/>
  <c r="Y50" i="23"/>
  <c r="Y34" i="23"/>
  <c r="Y18" i="23"/>
  <c r="X132" i="23"/>
  <c r="X116" i="23"/>
  <c r="X100" i="23"/>
  <c r="X84" i="23"/>
  <c r="X64" i="23"/>
  <c r="X48" i="23"/>
  <c r="X32" i="23"/>
  <c r="X16" i="23"/>
  <c r="Y133" i="23"/>
  <c r="Y117" i="23"/>
  <c r="Y85" i="23"/>
  <c r="Y65" i="23"/>
  <c r="Y49" i="23"/>
  <c r="Y33" i="23"/>
  <c r="Y17" i="23"/>
  <c r="X131" i="23"/>
  <c r="X115" i="23"/>
  <c r="X99" i="23"/>
  <c r="X83" i="23"/>
  <c r="X63" i="23"/>
  <c r="X47" i="23"/>
  <c r="X31" i="23"/>
  <c r="X15" i="23"/>
  <c r="Y132" i="23"/>
  <c r="Y116" i="23"/>
  <c r="Y100" i="23"/>
  <c r="Y84" i="23"/>
  <c r="Y64" i="23"/>
  <c r="Y48" i="23"/>
  <c r="Y32" i="23"/>
  <c r="Y16" i="23"/>
  <c r="X130" i="23"/>
  <c r="X114" i="23"/>
  <c r="X98" i="23"/>
  <c r="X82" i="23"/>
  <c r="X62" i="23"/>
  <c r="X46" i="23"/>
  <c r="X30" i="23"/>
  <c r="X14" i="23"/>
  <c r="Y131" i="23"/>
  <c r="Y115" i="23"/>
  <c r="Y99" i="23"/>
  <c r="Y83" i="23"/>
  <c r="Y63" i="23"/>
  <c r="Y47" i="23"/>
  <c r="Y31" i="23"/>
  <c r="Y15" i="23"/>
  <c r="X129" i="23"/>
  <c r="X113" i="23"/>
  <c r="X97" i="23"/>
  <c r="X81" i="23"/>
  <c r="X61" i="23"/>
  <c r="X45" i="23"/>
  <c r="X29" i="23"/>
  <c r="X13" i="23"/>
  <c r="Y130" i="23"/>
  <c r="Y114" i="23"/>
  <c r="Y98" i="23"/>
  <c r="Y82" i="23"/>
  <c r="Y62" i="23"/>
  <c r="Y46" i="23"/>
  <c r="Y30" i="23"/>
  <c r="Y14" i="23"/>
  <c r="X128" i="23"/>
  <c r="X112" i="23"/>
  <c r="X60" i="23"/>
  <c r="X44" i="23"/>
  <c r="X28" i="23"/>
  <c r="X12" i="23"/>
  <c r="Y129" i="23"/>
  <c r="Y113" i="23"/>
  <c r="Y97" i="23"/>
  <c r="Y81" i="23"/>
  <c r="Y61" i="23"/>
  <c r="Y45" i="23"/>
  <c r="Y29" i="23"/>
  <c r="Y13" i="23"/>
  <c r="X127" i="23"/>
  <c r="X111" i="23"/>
  <c r="X95" i="23"/>
  <c r="X79" i="23"/>
  <c r="X59" i="23"/>
  <c r="X43" i="23"/>
  <c r="X27" i="23"/>
  <c r="X11" i="23"/>
  <c r="Y128" i="23"/>
  <c r="Y112" i="23"/>
  <c r="Y60" i="23"/>
  <c r="Y44" i="23"/>
  <c r="Y28" i="23"/>
  <c r="Y12" i="23"/>
  <c r="X6" i="23"/>
  <c r="X126" i="23"/>
  <c r="X110" i="23"/>
  <c r="X94" i="23"/>
  <c r="X78" i="23"/>
  <c r="X58" i="23"/>
  <c r="X42" i="23"/>
  <c r="X26" i="23"/>
  <c r="X10" i="23"/>
  <c r="Y127" i="23"/>
  <c r="Y111" i="23"/>
  <c r="Y95" i="23"/>
  <c r="Y79" i="23"/>
  <c r="Y59" i="23"/>
  <c r="Y43" i="23"/>
  <c r="Y27" i="23"/>
  <c r="Y11" i="23"/>
  <c r="Y92" i="20"/>
  <c r="Y111" i="20"/>
  <c r="Z111" i="20"/>
  <c r="V81" i="20"/>
  <c r="X81" i="20" l="1"/>
  <c r="Z81" i="20"/>
  <c r="Y81" i="20"/>
  <c r="V87" i="20"/>
  <c r="X87" i="20" l="1"/>
  <c r="Z87" i="20"/>
  <c r="Y87" i="20"/>
  <c r="V104" i="20"/>
  <c r="Z104" i="20" l="1"/>
  <c r="Y104" i="20"/>
  <c r="X104" i="20"/>
  <c r="V137" i="20"/>
  <c r="X137" i="20" l="1"/>
  <c r="Z137" i="20"/>
  <c r="Y137" i="20"/>
  <c r="V136" i="20"/>
  <c r="Y136" i="20" l="1"/>
  <c r="X136" i="20"/>
  <c r="Z136" i="20"/>
  <c r="V131" i="20"/>
  <c r="X131" i="20" l="1"/>
  <c r="Z131" i="20"/>
  <c r="Y131" i="20"/>
  <c r="V129" i="20"/>
  <c r="X129" i="20" l="1"/>
  <c r="Z129" i="20"/>
  <c r="Y129" i="20"/>
  <c r="V127" i="20"/>
  <c r="X127" i="20" l="1"/>
  <c r="Z127" i="20"/>
  <c r="Y127" i="20"/>
  <c r="V135" i="20"/>
  <c r="V134" i="20"/>
  <c r="V133" i="20"/>
  <c r="V132" i="20"/>
  <c r="V130" i="20"/>
  <c r="V128" i="20"/>
  <c r="V113" i="20"/>
  <c r="V114" i="20"/>
  <c r="V115" i="20"/>
  <c r="V116" i="20"/>
  <c r="V117" i="20"/>
  <c r="V118" i="20"/>
  <c r="V119" i="20"/>
  <c r="V120" i="20"/>
  <c r="V121" i="20"/>
  <c r="V122" i="20"/>
  <c r="V123" i="20"/>
  <c r="V124" i="20"/>
  <c r="V125" i="20"/>
  <c r="V126" i="20"/>
  <c r="V112" i="20"/>
  <c r="V102" i="20"/>
  <c r="V108" i="20"/>
  <c r="V103" i="20"/>
  <c r="V100" i="20"/>
  <c r="V99" i="20"/>
  <c r="V98" i="20"/>
  <c r="V97" i="20"/>
  <c r="V90" i="20"/>
  <c r="V89" i="20"/>
  <c r="V139" i="20"/>
  <c r="V138" i="20"/>
  <c r="V110" i="20"/>
  <c r="V109" i="20"/>
  <c r="V107" i="20"/>
  <c r="V106" i="20"/>
  <c r="V94" i="20"/>
  <c r="V95" i="20"/>
  <c r="V93" i="20"/>
  <c r="V85" i="20"/>
  <c r="V86" i="20"/>
  <c r="V88" i="20"/>
  <c r="V83" i="20"/>
  <c r="V82" i="20"/>
  <c r="V75" i="20"/>
  <c r="V76" i="20"/>
  <c r="V77" i="20"/>
  <c r="V78" i="20"/>
  <c r="V79" i="20"/>
  <c r="V74" i="20"/>
  <c r="V59" i="20"/>
  <c r="V60" i="20"/>
  <c r="V61" i="20"/>
  <c r="V62" i="20"/>
  <c r="V63" i="20"/>
  <c r="V64" i="20"/>
  <c r="V65" i="20"/>
  <c r="V66" i="20"/>
  <c r="V67" i="20"/>
  <c r="V68" i="20"/>
  <c r="V69" i="20"/>
  <c r="V6" i="20"/>
  <c r="Z6" i="20" s="1"/>
  <c r="V7" i="20"/>
  <c r="V8" i="20"/>
  <c r="V9" i="20"/>
  <c r="V10" i="20"/>
  <c r="V11" i="20"/>
  <c r="V12" i="20"/>
  <c r="V13" i="20"/>
  <c r="V14" i="20"/>
  <c r="V15" i="20"/>
  <c r="V16" i="20"/>
  <c r="V17" i="20"/>
  <c r="V18" i="20"/>
  <c r="V19" i="20"/>
  <c r="V20" i="20"/>
  <c r="V21" i="20"/>
  <c r="V22" i="20"/>
  <c r="V23" i="20"/>
  <c r="V24" i="20"/>
  <c r="V25" i="20"/>
  <c r="V26" i="20"/>
  <c r="V27" i="20"/>
  <c r="V28" i="20"/>
  <c r="V29" i="20"/>
  <c r="V30" i="20"/>
  <c r="V31" i="20"/>
  <c r="V32" i="20"/>
  <c r="V33" i="20"/>
  <c r="V34" i="20"/>
  <c r="V35" i="20"/>
  <c r="V36" i="20"/>
  <c r="V37" i="20"/>
  <c r="V38" i="20"/>
  <c r="V39" i="20"/>
  <c r="V40" i="20"/>
  <c r="V41" i="20"/>
  <c r="V42" i="20"/>
  <c r="V43" i="20"/>
  <c r="V44" i="20"/>
  <c r="V45" i="20"/>
  <c r="V46" i="20"/>
  <c r="V47" i="20"/>
  <c r="V48" i="20"/>
  <c r="V49" i="20"/>
  <c r="V50" i="20"/>
  <c r="V51" i="20"/>
  <c r="V52" i="20"/>
  <c r="V53" i="20"/>
  <c r="V54" i="20"/>
  <c r="V55" i="20"/>
  <c r="V56" i="20"/>
  <c r="V57" i="20"/>
  <c r="V58" i="20"/>
  <c r="M68" i="8"/>
  <c r="L68" i="8"/>
  <c r="K68" i="8"/>
  <c r="J68" i="8"/>
  <c r="I68" i="8"/>
  <c r="H68" i="8"/>
  <c r="G68" i="8"/>
  <c r="F68" i="8"/>
  <c r="E68" i="8"/>
  <c r="M63" i="8"/>
  <c r="L63" i="8"/>
  <c r="K63" i="8"/>
  <c r="J63" i="8"/>
  <c r="I63" i="8"/>
  <c r="H63" i="8"/>
  <c r="G63" i="8"/>
  <c r="F63" i="8"/>
  <c r="E63" i="8"/>
  <c r="M62" i="8"/>
  <c r="L62" i="8"/>
  <c r="K62" i="8"/>
  <c r="J62" i="8"/>
  <c r="I62" i="8"/>
  <c r="H62" i="8"/>
  <c r="G62" i="8"/>
  <c r="F62" i="8"/>
  <c r="E62" i="8"/>
  <c r="M61" i="8"/>
  <c r="L61" i="8"/>
  <c r="K61" i="8"/>
  <c r="J61" i="8"/>
  <c r="I61" i="8"/>
  <c r="H61" i="8"/>
  <c r="G61" i="8"/>
  <c r="F61" i="8"/>
  <c r="E61" i="8"/>
  <c r="M56" i="8"/>
  <c r="L56" i="8"/>
  <c r="K56" i="8"/>
  <c r="J56" i="8"/>
  <c r="I56" i="8"/>
  <c r="H56" i="8"/>
  <c r="G56" i="8"/>
  <c r="F56" i="8"/>
  <c r="E56" i="8"/>
  <c r="M55" i="8"/>
  <c r="L55" i="8"/>
  <c r="K55" i="8"/>
  <c r="J55" i="8"/>
  <c r="I55" i="8"/>
  <c r="H55" i="8"/>
  <c r="G55" i="8"/>
  <c r="F55" i="8"/>
  <c r="E55" i="8"/>
  <c r="M54" i="8"/>
  <c r="L54" i="8"/>
  <c r="K54" i="8"/>
  <c r="J54" i="8"/>
  <c r="I54" i="8"/>
  <c r="H54" i="8"/>
  <c r="G54" i="8"/>
  <c r="F54" i="8"/>
  <c r="E54" i="8"/>
  <c r="M53" i="8"/>
  <c r="L53" i="8"/>
  <c r="K53" i="8"/>
  <c r="J53" i="8"/>
  <c r="I53" i="8"/>
  <c r="H53" i="8"/>
  <c r="G53" i="8"/>
  <c r="F53" i="8"/>
  <c r="E53" i="8"/>
  <c r="M52" i="8"/>
  <c r="L52" i="8"/>
  <c r="K52" i="8"/>
  <c r="J52" i="8"/>
  <c r="I52" i="8"/>
  <c r="H52" i="8"/>
  <c r="G52" i="8"/>
  <c r="F52" i="8"/>
  <c r="E52" i="8"/>
  <c r="M51" i="8"/>
  <c r="L51" i="8"/>
  <c r="K51" i="8"/>
  <c r="J51" i="8"/>
  <c r="I51" i="8"/>
  <c r="H51" i="8"/>
  <c r="G51" i="8"/>
  <c r="F51" i="8"/>
  <c r="E51" i="8"/>
  <c r="M50" i="8"/>
  <c r="L50" i="8"/>
  <c r="K50" i="8"/>
  <c r="J50" i="8"/>
  <c r="I50" i="8"/>
  <c r="H50" i="8"/>
  <c r="G50" i="8"/>
  <c r="F50" i="8"/>
  <c r="E50" i="8"/>
  <c r="M49" i="8"/>
  <c r="L49" i="8"/>
  <c r="K49" i="8"/>
  <c r="J49" i="8"/>
  <c r="I49" i="8"/>
  <c r="H49" i="8"/>
  <c r="G49" i="8"/>
  <c r="F49" i="8"/>
  <c r="E49" i="8"/>
  <c r="M48" i="8"/>
  <c r="L48" i="8"/>
  <c r="K48" i="8"/>
  <c r="J48" i="8"/>
  <c r="I48" i="8"/>
  <c r="H48" i="8"/>
  <c r="G48" i="8"/>
  <c r="F48" i="8"/>
  <c r="E48" i="8"/>
  <c r="M47" i="8"/>
  <c r="L47" i="8"/>
  <c r="K47" i="8"/>
  <c r="J47" i="8"/>
  <c r="I47" i="8"/>
  <c r="H47" i="8"/>
  <c r="G47" i="8"/>
  <c r="F47" i="8"/>
  <c r="E47" i="8"/>
  <c r="M46" i="8"/>
  <c r="L46" i="8"/>
  <c r="K46" i="8"/>
  <c r="J46" i="8"/>
  <c r="I46" i="8"/>
  <c r="H46" i="8"/>
  <c r="G46" i="8"/>
  <c r="F46" i="8"/>
  <c r="E46" i="8"/>
  <c r="M45" i="8"/>
  <c r="L45" i="8"/>
  <c r="K45" i="8"/>
  <c r="J45" i="8"/>
  <c r="I45" i="8"/>
  <c r="H45" i="8"/>
  <c r="G45" i="8"/>
  <c r="F45" i="8"/>
  <c r="E45" i="8"/>
  <c r="Z52" i="20" l="1"/>
  <c r="X52" i="20"/>
  <c r="Y52" i="20"/>
  <c r="Z36" i="20"/>
  <c r="Y36" i="20"/>
  <c r="X36" i="20"/>
  <c r="Y20" i="20"/>
  <c r="Z20" i="20"/>
  <c r="X20" i="20"/>
  <c r="X68" i="20"/>
  <c r="Y68" i="20"/>
  <c r="Z68" i="20"/>
  <c r="X82" i="20"/>
  <c r="Z82" i="20"/>
  <c r="Y82" i="20"/>
  <c r="X97" i="20"/>
  <c r="Z97" i="20"/>
  <c r="Y97" i="20"/>
  <c r="X118" i="20"/>
  <c r="Z118" i="20"/>
  <c r="Y118" i="20"/>
  <c r="X90" i="20"/>
  <c r="Z90" i="20"/>
  <c r="Y90" i="20"/>
  <c r="X67" i="20"/>
  <c r="Z67" i="20"/>
  <c r="Y67" i="20"/>
  <c r="X100" i="20"/>
  <c r="Z100" i="20"/>
  <c r="Y100" i="20"/>
  <c r="X115" i="20"/>
  <c r="Z115" i="20"/>
  <c r="Y115" i="20"/>
  <c r="X53" i="20"/>
  <c r="Z53" i="20"/>
  <c r="Y53" i="20"/>
  <c r="Z88" i="20"/>
  <c r="Y88" i="20"/>
  <c r="X88" i="20"/>
  <c r="X16" i="20"/>
  <c r="Z16" i="20"/>
  <c r="Y16" i="20"/>
  <c r="X64" i="20"/>
  <c r="Z64" i="20"/>
  <c r="Y64" i="20"/>
  <c r="X85" i="20"/>
  <c r="Z85" i="20"/>
  <c r="Y85" i="20"/>
  <c r="X103" i="20"/>
  <c r="Z103" i="20"/>
  <c r="Y103" i="20"/>
  <c r="X114" i="20"/>
  <c r="Z114" i="20"/>
  <c r="Y114" i="20"/>
  <c r="X21" i="20"/>
  <c r="Z21" i="20"/>
  <c r="Y21" i="20"/>
  <c r="X99" i="20"/>
  <c r="Z99" i="20"/>
  <c r="Y99" i="20"/>
  <c r="X113" i="20"/>
  <c r="Z113" i="20"/>
  <c r="Y113" i="20"/>
  <c r="X37" i="20"/>
  <c r="Z37" i="20"/>
  <c r="Y37" i="20"/>
  <c r="X116" i="20"/>
  <c r="Z116" i="20"/>
  <c r="Y116" i="20"/>
  <c r="X47" i="20"/>
  <c r="Z47" i="20"/>
  <c r="Y47" i="20"/>
  <c r="X102" i="20"/>
  <c r="Z102" i="20"/>
  <c r="Y102" i="20"/>
  <c r="X128" i="20"/>
  <c r="Z128" i="20"/>
  <c r="Y128" i="20"/>
  <c r="X119" i="20"/>
  <c r="Z119" i="20"/>
  <c r="Y119" i="20"/>
  <c r="X19" i="20"/>
  <c r="Z19" i="20"/>
  <c r="Y19" i="20"/>
  <c r="X49" i="20"/>
  <c r="Z49" i="20"/>
  <c r="Y49" i="20"/>
  <c r="X108" i="20"/>
  <c r="Z108" i="20"/>
  <c r="Y108" i="20"/>
  <c r="X45" i="20"/>
  <c r="Z45" i="20"/>
  <c r="Y45" i="20"/>
  <c r="X29" i="20"/>
  <c r="Z29" i="20"/>
  <c r="Y29" i="20"/>
  <c r="X13" i="20"/>
  <c r="Z13" i="20"/>
  <c r="Y13" i="20"/>
  <c r="X61" i="20"/>
  <c r="Z61" i="20"/>
  <c r="Y61" i="20"/>
  <c r="X94" i="20"/>
  <c r="Z94" i="20"/>
  <c r="Y94" i="20"/>
  <c r="X112" i="20"/>
  <c r="Z112" i="20"/>
  <c r="Y112" i="20"/>
  <c r="X130" i="20"/>
  <c r="Z130" i="20"/>
  <c r="Y130" i="20"/>
  <c r="X51" i="20"/>
  <c r="Z51" i="20"/>
  <c r="Y51" i="20"/>
  <c r="X34" i="20"/>
  <c r="Z34" i="20"/>
  <c r="Y34" i="20"/>
  <c r="X48" i="20"/>
  <c r="Z48" i="20"/>
  <c r="Y48" i="20"/>
  <c r="X62" i="20"/>
  <c r="Z62" i="20"/>
  <c r="Y62" i="20"/>
  <c r="X28" i="20"/>
  <c r="Z28" i="20"/>
  <c r="Y28" i="20"/>
  <c r="X12" i="20"/>
  <c r="Z12" i="20"/>
  <c r="Y12" i="20"/>
  <c r="X60" i="20"/>
  <c r="Z60" i="20"/>
  <c r="Y60" i="20"/>
  <c r="X106" i="20"/>
  <c r="Z106" i="20"/>
  <c r="Y106" i="20"/>
  <c r="X126" i="20"/>
  <c r="Z126" i="20"/>
  <c r="Y126" i="20"/>
  <c r="X132" i="20"/>
  <c r="Z132" i="20"/>
  <c r="Y132" i="20"/>
  <c r="X117" i="20"/>
  <c r="Z117" i="20"/>
  <c r="Y117" i="20"/>
  <c r="X65" i="20"/>
  <c r="Z65" i="20"/>
  <c r="Y65" i="20"/>
  <c r="X31" i="20"/>
  <c r="Z31" i="20"/>
  <c r="Y31" i="20"/>
  <c r="X30" i="20"/>
  <c r="Z30" i="20"/>
  <c r="Y30" i="20"/>
  <c r="X43" i="20"/>
  <c r="Z43" i="20"/>
  <c r="Y43" i="20"/>
  <c r="X27" i="20"/>
  <c r="Z27" i="20"/>
  <c r="Y27" i="20"/>
  <c r="X11" i="20"/>
  <c r="Z11" i="20"/>
  <c r="Y11" i="20"/>
  <c r="X59" i="20"/>
  <c r="Z59" i="20"/>
  <c r="Y59" i="20"/>
  <c r="X107" i="20"/>
  <c r="Z107" i="20"/>
  <c r="Y107" i="20"/>
  <c r="Z125" i="20"/>
  <c r="Y125" i="20"/>
  <c r="X125" i="20"/>
  <c r="X133" i="20"/>
  <c r="Z133" i="20"/>
  <c r="Y133" i="20"/>
  <c r="X83" i="20"/>
  <c r="Z83" i="20"/>
  <c r="Y83" i="20"/>
  <c r="X33" i="20"/>
  <c r="Z33" i="20"/>
  <c r="Y33" i="20"/>
  <c r="X14" i="20"/>
  <c r="Z14" i="20"/>
  <c r="Y14" i="20"/>
  <c r="X58" i="20"/>
  <c r="Z58" i="20"/>
  <c r="Y58" i="20"/>
  <c r="X42" i="20"/>
  <c r="Z42" i="20"/>
  <c r="Y42" i="20"/>
  <c r="X26" i="20"/>
  <c r="Z26" i="20"/>
  <c r="Y26" i="20"/>
  <c r="X10" i="20"/>
  <c r="Z10" i="20"/>
  <c r="Y10" i="20"/>
  <c r="X74" i="20"/>
  <c r="Z74" i="20"/>
  <c r="Y74" i="20"/>
  <c r="Z109" i="20"/>
  <c r="Y109" i="20"/>
  <c r="X109" i="20"/>
  <c r="X124" i="20"/>
  <c r="Z124" i="20"/>
  <c r="Y124" i="20"/>
  <c r="X134" i="20"/>
  <c r="Z134" i="20"/>
  <c r="Y134" i="20"/>
  <c r="X66" i="20"/>
  <c r="Z66" i="20"/>
  <c r="Y66" i="20"/>
  <c r="Z93" i="20"/>
  <c r="Y93" i="20"/>
  <c r="X93" i="20"/>
  <c r="Z57" i="20"/>
  <c r="Y57" i="20"/>
  <c r="X57" i="20"/>
  <c r="Z41" i="20"/>
  <c r="Y41" i="20"/>
  <c r="X41" i="20"/>
  <c r="Z25" i="20"/>
  <c r="Y25" i="20"/>
  <c r="X25" i="20"/>
  <c r="Z9" i="20"/>
  <c r="Y9" i="20"/>
  <c r="X9" i="20"/>
  <c r="X79" i="20"/>
  <c r="Z79" i="20"/>
  <c r="Y79" i="20"/>
  <c r="X110" i="20"/>
  <c r="Z110" i="20"/>
  <c r="Y110" i="20"/>
  <c r="X123" i="20"/>
  <c r="Z123" i="20"/>
  <c r="Y123" i="20"/>
  <c r="X135" i="20"/>
  <c r="Z135" i="20"/>
  <c r="Y135" i="20"/>
  <c r="X98" i="20"/>
  <c r="Z98" i="20"/>
  <c r="Y98" i="20"/>
  <c r="X86" i="20"/>
  <c r="Z86" i="20"/>
  <c r="Y86" i="20"/>
  <c r="X63" i="20"/>
  <c r="Z63" i="20"/>
  <c r="Y63" i="20"/>
  <c r="X56" i="20"/>
  <c r="Z56" i="20"/>
  <c r="Y56" i="20"/>
  <c r="X40" i="20"/>
  <c r="Z40" i="20"/>
  <c r="Y40" i="20"/>
  <c r="X24" i="20"/>
  <c r="Z24" i="20"/>
  <c r="Y24" i="20"/>
  <c r="X8" i="20"/>
  <c r="Z8" i="20"/>
  <c r="Y8" i="20"/>
  <c r="X78" i="20"/>
  <c r="Z78" i="20"/>
  <c r="Y78" i="20"/>
  <c r="X138" i="20"/>
  <c r="Z138" i="20"/>
  <c r="Y138" i="20"/>
  <c r="X122" i="20"/>
  <c r="Z122" i="20"/>
  <c r="Y122" i="20"/>
  <c r="X75" i="20"/>
  <c r="Z75" i="20"/>
  <c r="Y75" i="20"/>
  <c r="X18" i="20"/>
  <c r="Z18" i="20"/>
  <c r="Y18" i="20"/>
  <c r="X32" i="20"/>
  <c r="Z32" i="20"/>
  <c r="Y32" i="20"/>
  <c r="X95" i="20"/>
  <c r="Z95" i="20"/>
  <c r="Y95" i="20"/>
  <c r="X55" i="20"/>
  <c r="Z55" i="20"/>
  <c r="Y55" i="20"/>
  <c r="X39" i="20"/>
  <c r="Z39" i="20"/>
  <c r="Y39" i="20"/>
  <c r="X23" i="20"/>
  <c r="Z23" i="20"/>
  <c r="Y23" i="20"/>
  <c r="Y7" i="20"/>
  <c r="Z7" i="20"/>
  <c r="X7" i="20"/>
  <c r="Z77" i="20"/>
  <c r="Y77" i="20"/>
  <c r="X77" i="20"/>
  <c r="X139" i="20"/>
  <c r="Z139" i="20"/>
  <c r="Y139" i="20"/>
  <c r="X121" i="20"/>
  <c r="Z121" i="20"/>
  <c r="Y121" i="20"/>
  <c r="X69" i="20"/>
  <c r="Z69" i="20"/>
  <c r="Y69" i="20"/>
  <c r="X35" i="20"/>
  <c r="Z35" i="20"/>
  <c r="Y35" i="20"/>
  <c r="X50" i="20"/>
  <c r="Z50" i="20"/>
  <c r="Y50" i="20"/>
  <c r="X17" i="20"/>
  <c r="Z17" i="20"/>
  <c r="Y17" i="20"/>
  <c r="X15" i="20"/>
  <c r="Z15" i="20"/>
  <c r="Y15" i="20"/>
  <c r="X46" i="20"/>
  <c r="Z46" i="20"/>
  <c r="Y46" i="20"/>
  <c r="X44" i="20"/>
  <c r="Z44" i="20"/>
  <c r="Y44" i="20"/>
  <c r="X54" i="20"/>
  <c r="Z54" i="20"/>
  <c r="Y54" i="20"/>
  <c r="X38" i="20"/>
  <c r="Z38" i="20"/>
  <c r="Y38" i="20"/>
  <c r="X22" i="20"/>
  <c r="Z22" i="20"/>
  <c r="Y22" i="20"/>
  <c r="X76" i="20"/>
  <c r="Z76" i="20"/>
  <c r="Y76" i="20"/>
  <c r="X89" i="20"/>
  <c r="Z89" i="20"/>
  <c r="Y89" i="20"/>
  <c r="Y120" i="20"/>
  <c r="Z120" i="20"/>
  <c r="X120" i="20"/>
  <c r="X6" i="20"/>
  <c r="Y6" i="20"/>
  <c r="J96" i="33"/>
  <c r="K114" i="33"/>
  <c r="K136" i="33"/>
  <c r="K134" i="33"/>
  <c r="K133" i="33"/>
  <c r="K132" i="33"/>
  <c r="K131" i="33"/>
  <c r="K130" i="33"/>
  <c r="K129" i="33"/>
  <c r="K128" i="33"/>
  <c r="K127" i="33"/>
  <c r="K126" i="33"/>
  <c r="K125" i="33"/>
  <c r="K124" i="33"/>
  <c r="K123" i="33"/>
  <c r="K122" i="33"/>
  <c r="K121" i="33"/>
  <c r="K120" i="33"/>
  <c r="K119" i="33"/>
  <c r="K118" i="33"/>
  <c r="K117" i="33"/>
  <c r="K116" i="33"/>
  <c r="K115" i="33"/>
  <c r="K113" i="33"/>
  <c r="K112" i="33"/>
  <c r="K111" i="33"/>
  <c r="K110" i="33"/>
  <c r="K109" i="33"/>
  <c r="K108" i="33"/>
  <c r="K107" i="33"/>
  <c r="K106" i="33"/>
  <c r="K105" i="33"/>
  <c r="K104" i="33"/>
  <c r="K103" i="33"/>
  <c r="K102" i="33"/>
  <c r="K101" i="33"/>
  <c r="K100" i="33"/>
  <c r="K99" i="33"/>
  <c r="K98" i="33"/>
  <c r="K97" i="33"/>
  <c r="K96" i="33"/>
  <c r="K95" i="33"/>
  <c r="K94" i="33"/>
  <c r="K93" i="33"/>
  <c r="K92" i="33"/>
  <c r="K91" i="33"/>
  <c r="K90" i="33"/>
  <c r="K89" i="33"/>
  <c r="K88" i="33"/>
  <c r="K87" i="33"/>
  <c r="K86" i="33"/>
  <c r="K85" i="33"/>
  <c r="K84" i="33"/>
  <c r="K83" i="33"/>
  <c r="K82" i="33"/>
  <c r="K81" i="33"/>
  <c r="K80" i="33"/>
  <c r="K79" i="33"/>
  <c r="K78" i="33"/>
  <c r="K77" i="33"/>
  <c r="K76" i="33"/>
  <c r="K75" i="33"/>
  <c r="K74" i="33"/>
  <c r="K73" i="33"/>
  <c r="K72" i="33"/>
  <c r="K71" i="33"/>
  <c r="K66" i="33"/>
  <c r="K65" i="33"/>
  <c r="K64" i="33"/>
  <c r="K63" i="33"/>
  <c r="K62" i="33"/>
  <c r="K61" i="33"/>
  <c r="K60" i="33"/>
  <c r="K59" i="33"/>
  <c r="K58" i="33"/>
  <c r="K57" i="33"/>
  <c r="K56" i="33"/>
  <c r="K55" i="33"/>
  <c r="K54" i="33"/>
  <c r="K53" i="33"/>
  <c r="K52" i="33"/>
  <c r="K51" i="33"/>
  <c r="K50" i="33"/>
  <c r="K49" i="33"/>
  <c r="K48" i="33"/>
  <c r="K47" i="33"/>
  <c r="K46" i="33"/>
  <c r="K45" i="33"/>
  <c r="K44" i="33"/>
  <c r="K43" i="33"/>
  <c r="K42" i="33"/>
  <c r="K41" i="33"/>
  <c r="K40" i="33"/>
  <c r="K39" i="33"/>
  <c r="K38" i="33"/>
  <c r="K37" i="33"/>
  <c r="K36" i="33"/>
  <c r="K35" i="33"/>
  <c r="K34" i="33"/>
  <c r="K33" i="33"/>
  <c r="K32" i="33"/>
  <c r="K31" i="33"/>
  <c r="K30" i="33"/>
  <c r="K29" i="33"/>
  <c r="K28" i="33"/>
  <c r="K27" i="33"/>
  <c r="K26" i="33"/>
  <c r="K25" i="33"/>
  <c r="K24" i="33"/>
  <c r="K23" i="33"/>
  <c r="K22" i="33"/>
  <c r="K21" i="33"/>
  <c r="K20" i="33"/>
  <c r="K19" i="33"/>
  <c r="K18" i="33"/>
  <c r="K17" i="33"/>
  <c r="K16" i="33"/>
  <c r="K15" i="33"/>
  <c r="K14" i="33"/>
  <c r="K13" i="33"/>
  <c r="K12" i="33"/>
  <c r="K11" i="33"/>
  <c r="K10" i="33"/>
  <c r="K9" i="33"/>
  <c r="K8" i="33"/>
  <c r="K7" i="33"/>
  <c r="K6" i="33"/>
  <c r="K5" i="33"/>
  <c r="K4" i="33"/>
  <c r="K3" i="33"/>
  <c r="J4" i="33"/>
  <c r="J5" i="33"/>
  <c r="J6" i="33"/>
  <c r="J7" i="33"/>
  <c r="J8" i="33"/>
  <c r="J9" i="33"/>
  <c r="J10" i="33"/>
  <c r="J11" i="33"/>
  <c r="J12" i="33"/>
  <c r="J13" i="33"/>
  <c r="J14" i="33"/>
  <c r="J15" i="33"/>
  <c r="J16" i="33"/>
  <c r="J17" i="33"/>
  <c r="J18" i="33"/>
  <c r="J19" i="33"/>
  <c r="J20" i="33"/>
  <c r="J21" i="33"/>
  <c r="J22" i="33"/>
  <c r="J23" i="33"/>
  <c r="J24" i="33"/>
  <c r="J25" i="33"/>
  <c r="J26" i="33"/>
  <c r="J27" i="33"/>
  <c r="J28" i="33"/>
  <c r="J29" i="33"/>
  <c r="J30" i="33"/>
  <c r="J31" i="33"/>
  <c r="J32" i="33"/>
  <c r="J33" i="33"/>
  <c r="J34" i="33"/>
  <c r="J35" i="33"/>
  <c r="J36" i="33"/>
  <c r="J37" i="33"/>
  <c r="J38" i="33"/>
  <c r="J39" i="33"/>
  <c r="J40" i="33"/>
  <c r="J41" i="33"/>
  <c r="J42" i="33"/>
  <c r="J43" i="33"/>
  <c r="J44" i="33"/>
  <c r="J45" i="33"/>
  <c r="J46" i="33"/>
  <c r="J47" i="33"/>
  <c r="J48" i="33"/>
  <c r="J49" i="33"/>
  <c r="J50" i="33"/>
  <c r="J51" i="33"/>
  <c r="J52" i="33"/>
  <c r="J53" i="33"/>
  <c r="J54" i="33"/>
  <c r="J55" i="33"/>
  <c r="J56" i="33"/>
  <c r="J57" i="33"/>
  <c r="J58" i="33"/>
  <c r="J59" i="33"/>
  <c r="J60" i="33"/>
  <c r="J61" i="33"/>
  <c r="J62" i="33"/>
  <c r="J63" i="33"/>
  <c r="J64" i="33"/>
  <c r="J65" i="33"/>
  <c r="J66" i="33"/>
  <c r="J71" i="33"/>
  <c r="J72" i="33"/>
  <c r="J73" i="33"/>
  <c r="J74" i="33"/>
  <c r="J75" i="33"/>
  <c r="J76" i="33"/>
  <c r="J77" i="33"/>
  <c r="J78" i="33"/>
  <c r="J79" i="33"/>
  <c r="J80" i="33"/>
  <c r="J81" i="33"/>
  <c r="J82" i="33"/>
  <c r="J83" i="33"/>
  <c r="J84" i="33"/>
  <c r="J85" i="33"/>
  <c r="J86" i="33"/>
  <c r="J87" i="33"/>
  <c r="J88" i="33"/>
  <c r="J89" i="33"/>
  <c r="J90" i="33"/>
  <c r="J91" i="33"/>
  <c r="J92" i="33"/>
  <c r="J93" i="33"/>
  <c r="J94" i="33"/>
  <c r="J95" i="33"/>
  <c r="J97" i="33"/>
  <c r="J98" i="33"/>
  <c r="J99" i="33"/>
  <c r="J100" i="33"/>
  <c r="J101" i="33"/>
  <c r="J102" i="33"/>
  <c r="J103" i="33"/>
  <c r="J104" i="33"/>
  <c r="J105" i="33"/>
  <c r="J106" i="33"/>
  <c r="J107" i="33"/>
  <c r="J108" i="33"/>
  <c r="J109" i="33"/>
  <c r="D2" i="36" s="1"/>
  <c r="J110" i="33"/>
  <c r="D3" i="36" s="1"/>
  <c r="J111" i="33"/>
  <c r="D4" i="36" s="1"/>
  <c r="J112" i="33"/>
  <c r="D5" i="36" s="1"/>
  <c r="J113" i="33"/>
  <c r="D6" i="36" s="1"/>
  <c r="J114" i="33"/>
  <c r="D7" i="36" s="1"/>
  <c r="J115" i="33"/>
  <c r="D8" i="36" s="1"/>
  <c r="J116" i="33"/>
  <c r="D9" i="36" s="1"/>
  <c r="J117" i="33"/>
  <c r="D10" i="36" s="1"/>
  <c r="J118" i="33"/>
  <c r="D11" i="36" s="1"/>
  <c r="J119" i="33"/>
  <c r="D12" i="36" s="1"/>
  <c r="J120" i="33"/>
  <c r="D13" i="36" s="1"/>
  <c r="J121" i="33"/>
  <c r="D14" i="36" s="1"/>
  <c r="J122" i="33"/>
  <c r="D15" i="36" s="1"/>
  <c r="J123" i="33"/>
  <c r="D16" i="36" s="1"/>
  <c r="J124" i="33"/>
  <c r="D17" i="36" s="1"/>
  <c r="J125" i="33"/>
  <c r="D18" i="36" s="1"/>
  <c r="J126" i="33"/>
  <c r="D19" i="36" s="1"/>
  <c r="J127" i="33"/>
  <c r="D20" i="36" s="1"/>
  <c r="J128" i="33"/>
  <c r="D21" i="36" s="1"/>
  <c r="J129" i="33"/>
  <c r="D22" i="36" s="1"/>
  <c r="J130" i="33"/>
  <c r="D23" i="36" s="1"/>
  <c r="J131" i="33"/>
  <c r="D24" i="36" s="1"/>
  <c r="J132" i="33"/>
  <c r="D25" i="36" s="1"/>
  <c r="J133" i="33"/>
  <c r="D26" i="36" s="1"/>
  <c r="J134" i="33"/>
  <c r="D27" i="36" s="1"/>
  <c r="J3" i="33"/>
  <c r="I5" i="33"/>
  <c r="I6" i="33"/>
  <c r="I7" i="33"/>
  <c r="I8" i="33"/>
  <c r="I9" i="33"/>
  <c r="I10" i="33"/>
  <c r="I11" i="33"/>
  <c r="I12" i="33"/>
  <c r="I13" i="33"/>
  <c r="I14" i="33"/>
  <c r="I15" i="33"/>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D3" i="32" s="1"/>
  <c r="I44" i="33"/>
  <c r="D4" i="32" s="1"/>
  <c r="I45" i="33"/>
  <c r="D5" i="32" s="1"/>
  <c r="I46" i="33"/>
  <c r="D6" i="32" s="1"/>
  <c r="I47" i="33"/>
  <c r="D7" i="32" s="1"/>
  <c r="I48" i="33"/>
  <c r="D8" i="32" s="1"/>
  <c r="I49" i="33"/>
  <c r="D9" i="32" s="1"/>
  <c r="I50" i="33"/>
  <c r="D10" i="32" s="1"/>
  <c r="I51" i="33"/>
  <c r="D11" i="32" s="1"/>
  <c r="I52" i="33"/>
  <c r="D12" i="32" s="1"/>
  <c r="I53" i="33"/>
  <c r="D13" i="32" s="1"/>
  <c r="I54" i="33"/>
  <c r="I55" i="33"/>
  <c r="I56" i="33"/>
  <c r="I57" i="33"/>
  <c r="I58" i="33"/>
  <c r="I59" i="33"/>
  <c r="D16" i="32" s="1"/>
  <c r="I60" i="33"/>
  <c r="D17" i="32" s="1"/>
  <c r="I61" i="33"/>
  <c r="D18" i="32" s="1"/>
  <c r="I62" i="33"/>
  <c r="I63" i="33"/>
  <c r="I64" i="33"/>
  <c r="I65" i="33"/>
  <c r="I66" i="33"/>
  <c r="D20" i="32" s="1"/>
  <c r="I71" i="33"/>
  <c r="D22" i="32" s="1"/>
  <c r="I72" i="33"/>
  <c r="D23" i="32" s="1"/>
  <c r="I73" i="33"/>
  <c r="D24" i="32" s="1"/>
  <c r="I74" i="33"/>
  <c r="D5" i="35" s="1"/>
  <c r="I75" i="33"/>
  <c r="D6" i="35" s="1"/>
  <c r="I76" i="33"/>
  <c r="D7" i="35" s="1"/>
  <c r="I77" i="33"/>
  <c r="D28" i="32" s="1"/>
  <c r="I78" i="33"/>
  <c r="D29" i="32" s="1"/>
  <c r="I79" i="33"/>
  <c r="D30" i="32" s="1"/>
  <c r="I80" i="33"/>
  <c r="D31" i="32" s="1"/>
  <c r="I81" i="33"/>
  <c r="D32" i="32" s="1"/>
  <c r="I82" i="33"/>
  <c r="D13" i="35" s="1"/>
  <c r="I83" i="33"/>
  <c r="D34" i="32" s="1"/>
  <c r="I84" i="33"/>
  <c r="D35" i="32" s="1"/>
  <c r="I85" i="33"/>
  <c r="D16" i="35" s="1"/>
  <c r="I86" i="33"/>
  <c r="D17" i="35" s="1"/>
  <c r="I87" i="33"/>
  <c r="D18" i="35" s="1"/>
  <c r="I88" i="33"/>
  <c r="D19" i="35" s="1"/>
  <c r="I89" i="33"/>
  <c r="D40" i="32" s="1"/>
  <c r="I90" i="33"/>
  <c r="D41" i="32" s="1"/>
  <c r="I91" i="33"/>
  <c r="D22" i="35" s="1"/>
  <c r="I92" i="33"/>
  <c r="D23" i="35" s="1"/>
  <c r="I93" i="33"/>
  <c r="D44" i="32" s="1"/>
  <c r="I94" i="33"/>
  <c r="D45" i="32" s="1"/>
  <c r="I95" i="33"/>
  <c r="D46" i="32" s="1"/>
  <c r="I96" i="33"/>
  <c r="D47" i="32" s="1"/>
  <c r="I97" i="33"/>
  <c r="D28" i="35" s="1"/>
  <c r="I98" i="33"/>
  <c r="D29" i="35" s="1"/>
  <c r="I99" i="33"/>
  <c r="D30" i="35" s="1"/>
  <c r="I100" i="33"/>
  <c r="D31" i="35" s="1"/>
  <c r="I101" i="33"/>
  <c r="D52" i="32" s="1"/>
  <c r="I102" i="33"/>
  <c r="D33" i="35" s="1"/>
  <c r="I103" i="33"/>
  <c r="I104" i="33"/>
  <c r="I105" i="33"/>
  <c r="D35" i="35" s="1"/>
  <c r="I106" i="33"/>
  <c r="I107" i="33"/>
  <c r="I108" i="33"/>
  <c r="D57" i="32" s="1"/>
  <c r="I109" i="33"/>
  <c r="I110" i="33"/>
  <c r="I111" i="33"/>
  <c r="I112" i="33"/>
  <c r="I113" i="33"/>
  <c r="I114" i="33"/>
  <c r="I115" i="33"/>
  <c r="I116" i="33"/>
  <c r="I117" i="33"/>
  <c r="I118" i="33"/>
  <c r="I119" i="33"/>
  <c r="I120" i="33"/>
  <c r="I121" i="33"/>
  <c r="I122" i="33"/>
  <c r="I123" i="33"/>
  <c r="I124" i="33"/>
  <c r="D61" i="32" s="1"/>
  <c r="I125" i="33"/>
  <c r="D62" i="32" s="1"/>
  <c r="I126" i="33"/>
  <c r="D63" i="32" s="1"/>
  <c r="I127" i="33"/>
  <c r="D64" i="32" s="1"/>
  <c r="I128" i="33"/>
  <c r="D65" i="32" s="1"/>
  <c r="I129" i="33"/>
  <c r="D66" i="32" s="1"/>
  <c r="I130" i="33"/>
  <c r="D67" i="32" s="1"/>
  <c r="I131" i="33"/>
  <c r="D68" i="32" s="1"/>
  <c r="I132" i="33"/>
  <c r="D69" i="32" s="1"/>
  <c r="I133" i="33"/>
  <c r="D70" i="32" s="1"/>
  <c r="I134" i="33"/>
  <c r="D71" i="32" s="1"/>
  <c r="I135" i="33"/>
  <c r="D72" i="32" s="1"/>
  <c r="I136" i="33"/>
  <c r="D73" i="32" s="1"/>
  <c r="I4" i="33"/>
  <c r="I3" i="33"/>
  <c r="H139" i="31"/>
  <c r="H131" i="31"/>
  <c r="H128" i="31"/>
  <c r="H102" i="31"/>
  <c r="H99" i="31"/>
  <c r="H98" i="31"/>
  <c r="H84" i="31"/>
  <c r="H69" i="31"/>
  <c r="H61" i="31"/>
  <c r="H56" i="31"/>
  <c r="H55" i="31"/>
  <c r="H54" i="31"/>
  <c r="H53" i="31"/>
  <c r="H52" i="31"/>
  <c r="H51" i="31"/>
  <c r="H50" i="31"/>
  <c r="H49" i="31"/>
  <c r="H48" i="31"/>
  <c r="H47" i="31"/>
  <c r="H46" i="31"/>
  <c r="H44" i="31"/>
  <c r="H42" i="31"/>
  <c r="H40" i="31"/>
  <c r="H35" i="31"/>
  <c r="H30" i="31"/>
  <c r="H6" i="31"/>
  <c r="G131" i="31"/>
  <c r="G139" i="31"/>
  <c r="G128" i="31"/>
  <c r="G102" i="31"/>
  <c r="G99" i="31"/>
  <c r="G98" i="31"/>
  <c r="G84" i="31"/>
  <c r="G69" i="31"/>
  <c r="G61" i="31"/>
  <c r="G56" i="31"/>
  <c r="G55" i="31"/>
  <c r="G54" i="31"/>
  <c r="G53" i="31"/>
  <c r="G52" i="31"/>
  <c r="G51" i="31"/>
  <c r="G50" i="31"/>
  <c r="G49" i="31"/>
  <c r="G48" i="31"/>
  <c r="G47" i="31"/>
  <c r="G46" i="31"/>
  <c r="G44" i="31"/>
  <c r="G42" i="31"/>
  <c r="G40" i="31"/>
  <c r="G35" i="31"/>
  <c r="G30" i="31"/>
  <c r="G6" i="31"/>
  <c r="D2" i="37" l="1"/>
  <c r="D3" i="37"/>
  <c r="D4" i="37"/>
  <c r="D5" i="37"/>
  <c r="D6" i="37"/>
  <c r="D7" i="37"/>
  <c r="D8" i="37"/>
  <c r="D9" i="37"/>
  <c r="D10" i="37"/>
  <c r="D11" i="37"/>
  <c r="D12" i="37"/>
  <c r="D13" i="37"/>
  <c r="D14" i="37"/>
  <c r="D15" i="37"/>
  <c r="D16" i="37"/>
  <c r="D17" i="37"/>
  <c r="D18" i="37"/>
  <c r="D19" i="37"/>
  <c r="D20" i="37"/>
  <c r="D21" i="37"/>
  <c r="D22" i="37"/>
  <c r="D23" i="37"/>
  <c r="D24" i="37"/>
  <c r="D34" i="35"/>
  <c r="D59" i="32"/>
  <c r="D58" i="32"/>
  <c r="D60" i="32"/>
  <c r="D15" i="32"/>
  <c r="D56" i="32"/>
  <c r="D53" i="32"/>
  <c r="D21" i="35"/>
  <c r="D20" i="35"/>
  <c r="D24" i="35"/>
  <c r="D39" i="32"/>
  <c r="D32" i="35"/>
  <c r="D55" i="32"/>
  <c r="D54" i="32"/>
  <c r="D14" i="32"/>
  <c r="D26" i="35"/>
  <c r="D36" i="35"/>
  <c r="D38" i="32"/>
  <c r="D25" i="35"/>
  <c r="D37" i="32"/>
  <c r="D36" i="32"/>
  <c r="D27" i="35"/>
  <c r="D43" i="32"/>
  <c r="D8" i="35"/>
  <c r="D9" i="35"/>
  <c r="D12" i="35"/>
  <c r="D50" i="32"/>
  <c r="D33" i="32"/>
  <c r="D4" i="35"/>
  <c r="D51" i="32"/>
  <c r="D14" i="35"/>
  <c r="D49" i="32"/>
  <c r="D48" i="32"/>
  <c r="D2" i="32"/>
  <c r="D19" i="32"/>
  <c r="D15" i="35"/>
  <c r="D42" i="32"/>
  <c r="D37" i="35"/>
  <c r="D10" i="35"/>
  <c r="D11" i="35"/>
  <c r="D2" i="35"/>
  <c r="D27" i="32"/>
  <c r="D3" i="35"/>
  <c r="D26" i="32"/>
  <c r="D25" i="32"/>
  <c r="H138" i="31"/>
  <c r="G138" i="31"/>
  <c r="H137" i="31"/>
  <c r="G137" i="31"/>
  <c r="H136" i="31"/>
  <c r="G136" i="31"/>
  <c r="H135" i="31"/>
  <c r="G135" i="31"/>
  <c r="H134" i="31"/>
  <c r="G134" i="31"/>
  <c r="H133" i="31"/>
  <c r="G133" i="31"/>
  <c r="H132" i="31"/>
  <c r="G132" i="31"/>
  <c r="H130" i="31"/>
  <c r="G130" i="31"/>
  <c r="H129" i="31"/>
  <c r="G129" i="31"/>
  <c r="H127" i="31"/>
  <c r="G127" i="31"/>
  <c r="H126" i="31"/>
  <c r="G126" i="31"/>
  <c r="H125" i="31"/>
  <c r="G125" i="31"/>
  <c r="H124" i="31"/>
  <c r="G124" i="31"/>
  <c r="H123" i="31"/>
  <c r="G123" i="31"/>
  <c r="H122" i="31"/>
  <c r="G122" i="31"/>
  <c r="H121" i="31"/>
  <c r="G121" i="31"/>
  <c r="H120" i="31"/>
  <c r="G120" i="31"/>
  <c r="H119" i="31"/>
  <c r="G119" i="31"/>
  <c r="H118" i="31"/>
  <c r="G118" i="31"/>
  <c r="H117" i="31"/>
  <c r="G117" i="31"/>
  <c r="H116" i="31"/>
  <c r="G116" i="31"/>
  <c r="H115" i="31"/>
  <c r="G115" i="31"/>
  <c r="H114" i="31"/>
  <c r="G114" i="31"/>
  <c r="H113" i="31"/>
  <c r="G113" i="31"/>
  <c r="H112" i="31"/>
  <c r="G112" i="31"/>
  <c r="H111" i="31"/>
  <c r="G111" i="31"/>
  <c r="H110" i="31"/>
  <c r="G110" i="31"/>
  <c r="H109" i="31"/>
  <c r="G109" i="31"/>
  <c r="H108" i="31"/>
  <c r="G108" i="31"/>
  <c r="H107" i="31"/>
  <c r="E107" i="31"/>
  <c r="G107" i="31" s="1"/>
  <c r="H106" i="31"/>
  <c r="E106" i="31"/>
  <c r="G106" i="31" s="1"/>
  <c r="H105" i="31"/>
  <c r="G105" i="31"/>
  <c r="H104" i="31"/>
  <c r="G104" i="31"/>
  <c r="H103" i="31"/>
  <c r="G103" i="31"/>
  <c r="H101" i="31"/>
  <c r="G101" i="31"/>
  <c r="H100" i="31"/>
  <c r="G100" i="31"/>
  <c r="H97" i="31"/>
  <c r="G97" i="31"/>
  <c r="H96" i="31"/>
  <c r="G96" i="31"/>
  <c r="H95" i="31"/>
  <c r="G95" i="31"/>
  <c r="H94" i="31"/>
  <c r="G94" i="31"/>
  <c r="H93" i="31"/>
  <c r="G93" i="31"/>
  <c r="H92" i="31"/>
  <c r="G92" i="31"/>
  <c r="H91" i="31"/>
  <c r="G91" i="31"/>
  <c r="H90" i="31"/>
  <c r="G90" i="31"/>
  <c r="H89" i="31"/>
  <c r="G89" i="31"/>
  <c r="H88" i="31"/>
  <c r="G88" i="31"/>
  <c r="H87" i="31"/>
  <c r="G87" i="31"/>
  <c r="H86" i="31"/>
  <c r="G86" i="31"/>
  <c r="H85" i="31"/>
  <c r="G85" i="31"/>
  <c r="H83" i="31"/>
  <c r="G83" i="31"/>
  <c r="H82" i="31"/>
  <c r="G82" i="31"/>
  <c r="H81" i="31"/>
  <c r="G81" i="31"/>
  <c r="F80" i="31"/>
  <c r="H80" i="31" s="1"/>
  <c r="E80" i="31"/>
  <c r="G80" i="31" s="1"/>
  <c r="H79" i="31"/>
  <c r="G79" i="31"/>
  <c r="H78" i="31"/>
  <c r="G78" i="31"/>
  <c r="H77" i="31"/>
  <c r="G77" i="31"/>
  <c r="H76" i="31"/>
  <c r="G76" i="31"/>
  <c r="H75" i="31"/>
  <c r="G75" i="31"/>
  <c r="H74" i="31"/>
  <c r="G74" i="31"/>
  <c r="H68" i="31"/>
  <c r="G68" i="31"/>
  <c r="H67" i="31"/>
  <c r="G67" i="31"/>
  <c r="H66" i="31"/>
  <c r="G66" i="31"/>
  <c r="H65" i="31"/>
  <c r="G65" i="31"/>
  <c r="H64" i="31"/>
  <c r="G64" i="31"/>
  <c r="H63" i="31"/>
  <c r="G63" i="31"/>
  <c r="H62" i="31"/>
  <c r="G62" i="31"/>
  <c r="H60" i="31"/>
  <c r="G60" i="31"/>
  <c r="H59" i="31"/>
  <c r="G59" i="31"/>
  <c r="H58" i="31"/>
  <c r="G58" i="31"/>
  <c r="H57" i="31"/>
  <c r="G57" i="31"/>
  <c r="H45" i="31"/>
  <c r="G45" i="31"/>
  <c r="H43" i="31"/>
  <c r="G43" i="31"/>
  <c r="H41" i="31"/>
  <c r="G41" i="31"/>
  <c r="H39" i="31"/>
  <c r="G39" i="31"/>
  <c r="H38" i="31"/>
  <c r="G38" i="31"/>
  <c r="H37" i="31"/>
  <c r="G37" i="31"/>
  <c r="H36" i="31"/>
  <c r="G36" i="31"/>
  <c r="H34" i="31"/>
  <c r="G34" i="31"/>
  <c r="H33" i="31"/>
  <c r="G33" i="31"/>
  <c r="H32" i="31"/>
  <c r="G32" i="31"/>
  <c r="H31" i="31"/>
  <c r="G31" i="31"/>
  <c r="H29" i="31"/>
  <c r="G29" i="31"/>
  <c r="H28" i="31"/>
  <c r="G28" i="31"/>
  <c r="H27" i="31"/>
  <c r="G27" i="31"/>
  <c r="H26" i="31"/>
  <c r="G26" i="31"/>
  <c r="H25" i="31"/>
  <c r="G25" i="31"/>
  <c r="H24" i="31"/>
  <c r="G24" i="31"/>
  <c r="H23" i="31"/>
  <c r="G23" i="31"/>
  <c r="H22" i="31"/>
  <c r="G22" i="31"/>
  <c r="H21" i="31"/>
  <c r="G21" i="31"/>
  <c r="H20" i="31"/>
  <c r="G20" i="31"/>
  <c r="H19" i="31"/>
  <c r="G19" i="31"/>
  <c r="H18" i="31"/>
  <c r="G18" i="31"/>
  <c r="H17" i="31"/>
  <c r="G17" i="31"/>
  <c r="H16" i="31"/>
  <c r="G16" i="31"/>
  <c r="H15" i="31"/>
  <c r="G15" i="31"/>
  <c r="H14" i="31"/>
  <c r="G14" i="31"/>
  <c r="H13" i="31"/>
  <c r="G13" i="31"/>
  <c r="H12" i="31"/>
  <c r="G12" i="31"/>
  <c r="H11" i="31"/>
  <c r="G11" i="31"/>
  <c r="H10" i="31"/>
  <c r="G10" i="31"/>
  <c r="H9" i="31"/>
  <c r="G9" i="31"/>
  <c r="H8" i="31"/>
  <c r="G8" i="31"/>
  <c r="H7" i="31"/>
  <c r="G7" i="31"/>
  <c r="E107" i="30"/>
  <c r="E106" i="30"/>
  <c r="F80" i="30"/>
  <c r="E80" i="30"/>
  <c r="E60" i="17" l="1"/>
  <c r="F60" i="17"/>
  <c r="G60" i="17"/>
  <c r="H60" i="17"/>
  <c r="I60" i="17"/>
  <c r="J60" i="17"/>
  <c r="K60" i="17"/>
  <c r="L60" i="17"/>
  <c r="M60" i="17"/>
  <c r="W139" i="17" l="1"/>
  <c r="V139" i="17"/>
  <c r="U139" i="17"/>
  <c r="T139" i="17"/>
  <c r="S139" i="17"/>
  <c r="R139" i="17"/>
  <c r="Q139" i="17"/>
  <c r="P139" i="17"/>
  <c r="O139" i="17"/>
  <c r="M139" i="17"/>
  <c r="L139" i="17"/>
  <c r="K139" i="17"/>
  <c r="J139" i="17"/>
  <c r="I139" i="17"/>
  <c r="H139" i="17"/>
  <c r="G139" i="17"/>
  <c r="F139" i="17"/>
  <c r="E139" i="17"/>
  <c r="W138" i="17"/>
  <c r="V138" i="17"/>
  <c r="U138" i="17"/>
  <c r="T138" i="17"/>
  <c r="S138" i="17"/>
  <c r="R138" i="17"/>
  <c r="Q138" i="17"/>
  <c r="P138" i="17"/>
  <c r="O138" i="17"/>
  <c r="M138" i="17"/>
  <c r="L138" i="17"/>
  <c r="K138" i="17"/>
  <c r="J138" i="17"/>
  <c r="I138" i="17"/>
  <c r="H138" i="17"/>
  <c r="G138" i="17"/>
  <c r="F138" i="17"/>
  <c r="E138" i="17"/>
  <c r="W137" i="17"/>
  <c r="V137" i="17"/>
  <c r="U137" i="17"/>
  <c r="T137" i="17"/>
  <c r="S137" i="17"/>
  <c r="R137" i="17"/>
  <c r="Q137" i="17"/>
  <c r="P137" i="17"/>
  <c r="O137" i="17"/>
  <c r="M137" i="17"/>
  <c r="L137" i="17"/>
  <c r="K137" i="17"/>
  <c r="J137" i="17"/>
  <c r="I137" i="17"/>
  <c r="H137" i="17"/>
  <c r="G137" i="17"/>
  <c r="F137" i="17"/>
  <c r="E137" i="17"/>
  <c r="W136" i="17"/>
  <c r="V136" i="17"/>
  <c r="U136" i="17"/>
  <c r="T136" i="17"/>
  <c r="S136" i="17"/>
  <c r="R136" i="17"/>
  <c r="Q136" i="17"/>
  <c r="P136" i="17"/>
  <c r="O136" i="17"/>
  <c r="M136" i="17"/>
  <c r="L136" i="17"/>
  <c r="K136" i="17"/>
  <c r="J136" i="17"/>
  <c r="I136" i="17"/>
  <c r="H136" i="17"/>
  <c r="G136" i="17"/>
  <c r="F136" i="17"/>
  <c r="E136" i="17"/>
  <c r="W135" i="17"/>
  <c r="V135" i="17"/>
  <c r="U135" i="17"/>
  <c r="T135" i="17"/>
  <c r="S135" i="17"/>
  <c r="R135" i="17"/>
  <c r="Q135" i="17"/>
  <c r="P135" i="17"/>
  <c r="O135" i="17"/>
  <c r="M135" i="17"/>
  <c r="L135" i="17"/>
  <c r="K135" i="17"/>
  <c r="J135" i="17"/>
  <c r="I135" i="17"/>
  <c r="H135" i="17"/>
  <c r="G135" i="17"/>
  <c r="F135" i="17"/>
  <c r="E135" i="17"/>
  <c r="W134" i="17"/>
  <c r="V134" i="17"/>
  <c r="U134" i="17"/>
  <c r="T134" i="17"/>
  <c r="S134" i="17"/>
  <c r="R134" i="17"/>
  <c r="Q134" i="17"/>
  <c r="P134" i="17"/>
  <c r="O134" i="17"/>
  <c r="M134" i="17"/>
  <c r="L134" i="17"/>
  <c r="K134" i="17"/>
  <c r="J134" i="17"/>
  <c r="I134" i="17"/>
  <c r="H134" i="17"/>
  <c r="G134" i="17"/>
  <c r="F134" i="17"/>
  <c r="E134" i="17"/>
  <c r="W133" i="17"/>
  <c r="V133" i="17"/>
  <c r="U133" i="17"/>
  <c r="T133" i="17"/>
  <c r="S133" i="17"/>
  <c r="R133" i="17"/>
  <c r="Q133" i="17"/>
  <c r="P133" i="17"/>
  <c r="O133" i="17"/>
  <c r="M133" i="17"/>
  <c r="L133" i="17"/>
  <c r="K133" i="17"/>
  <c r="J133" i="17"/>
  <c r="I133" i="17"/>
  <c r="H133" i="17"/>
  <c r="G133" i="17"/>
  <c r="F133" i="17"/>
  <c r="E133" i="17"/>
  <c r="W132" i="17"/>
  <c r="V132" i="17"/>
  <c r="U132" i="17"/>
  <c r="T132" i="17"/>
  <c r="S132" i="17"/>
  <c r="R132" i="17"/>
  <c r="Q132" i="17"/>
  <c r="P132" i="17"/>
  <c r="O132" i="17"/>
  <c r="M132" i="17"/>
  <c r="L132" i="17"/>
  <c r="K132" i="17"/>
  <c r="J132" i="17"/>
  <c r="I132" i="17"/>
  <c r="H132" i="17"/>
  <c r="G132" i="17"/>
  <c r="F132" i="17"/>
  <c r="E132" i="17"/>
  <c r="W131" i="17"/>
  <c r="V131" i="17"/>
  <c r="U131" i="17"/>
  <c r="T131" i="17"/>
  <c r="S131" i="17"/>
  <c r="R131" i="17"/>
  <c r="Q131" i="17"/>
  <c r="P131" i="17"/>
  <c r="O131" i="17"/>
  <c r="M131" i="17"/>
  <c r="L131" i="17"/>
  <c r="K131" i="17"/>
  <c r="J131" i="17"/>
  <c r="I131" i="17"/>
  <c r="H131" i="17"/>
  <c r="G131" i="17"/>
  <c r="F131" i="17"/>
  <c r="E131" i="17"/>
  <c r="W130" i="17"/>
  <c r="V130" i="17"/>
  <c r="U130" i="17"/>
  <c r="T130" i="17"/>
  <c r="S130" i="17"/>
  <c r="R130" i="17"/>
  <c r="Q130" i="17"/>
  <c r="P130" i="17"/>
  <c r="O130" i="17"/>
  <c r="M130" i="17"/>
  <c r="L130" i="17"/>
  <c r="K130" i="17"/>
  <c r="J130" i="17"/>
  <c r="I130" i="17"/>
  <c r="H130" i="17"/>
  <c r="G130" i="17"/>
  <c r="F130" i="17"/>
  <c r="E130" i="17"/>
  <c r="W129" i="17"/>
  <c r="V129" i="17"/>
  <c r="U129" i="17"/>
  <c r="T129" i="17"/>
  <c r="S129" i="17"/>
  <c r="R129" i="17"/>
  <c r="Q129" i="17"/>
  <c r="P129" i="17"/>
  <c r="O129" i="17"/>
  <c r="M129" i="17"/>
  <c r="L129" i="17"/>
  <c r="K129" i="17"/>
  <c r="J129" i="17"/>
  <c r="I129" i="17"/>
  <c r="H129" i="17"/>
  <c r="G129" i="17"/>
  <c r="F129" i="17"/>
  <c r="E129" i="17"/>
  <c r="W128" i="17"/>
  <c r="V128" i="17"/>
  <c r="U128" i="17"/>
  <c r="T128" i="17"/>
  <c r="S128" i="17"/>
  <c r="R128" i="17"/>
  <c r="Q128" i="17"/>
  <c r="P128" i="17"/>
  <c r="O128" i="17"/>
  <c r="M128" i="17"/>
  <c r="L128" i="17"/>
  <c r="K128" i="17"/>
  <c r="J128" i="17"/>
  <c r="I128" i="17"/>
  <c r="H128" i="17"/>
  <c r="G128" i="17"/>
  <c r="F128" i="17"/>
  <c r="E128" i="17"/>
  <c r="W127" i="17"/>
  <c r="V127" i="17"/>
  <c r="U127" i="17"/>
  <c r="T127" i="17"/>
  <c r="S127" i="17"/>
  <c r="R127" i="17"/>
  <c r="Q127" i="17"/>
  <c r="P127" i="17"/>
  <c r="O127" i="17"/>
  <c r="M127" i="17"/>
  <c r="L127" i="17"/>
  <c r="K127" i="17"/>
  <c r="J127" i="17"/>
  <c r="I127" i="17"/>
  <c r="H127" i="17"/>
  <c r="G127" i="17"/>
  <c r="F127" i="17"/>
  <c r="E127" i="17"/>
  <c r="W126" i="17"/>
  <c r="V126" i="17"/>
  <c r="U126" i="17"/>
  <c r="T126" i="17"/>
  <c r="S126" i="17"/>
  <c r="R126" i="17"/>
  <c r="Q126" i="17"/>
  <c r="P126" i="17"/>
  <c r="O126" i="17"/>
  <c r="W125" i="17"/>
  <c r="V125" i="17"/>
  <c r="U125" i="17"/>
  <c r="T125" i="17"/>
  <c r="S125" i="17"/>
  <c r="R125" i="17"/>
  <c r="Q125" i="17"/>
  <c r="P125" i="17"/>
  <c r="O125" i="17"/>
  <c r="W124" i="17"/>
  <c r="V124" i="17"/>
  <c r="U124" i="17"/>
  <c r="T124" i="17"/>
  <c r="S124" i="17"/>
  <c r="R124" i="17"/>
  <c r="Q124" i="17"/>
  <c r="P124" i="17"/>
  <c r="O124" i="17"/>
  <c r="W123" i="17"/>
  <c r="V123" i="17"/>
  <c r="U123" i="17"/>
  <c r="T123" i="17"/>
  <c r="S123" i="17"/>
  <c r="R123" i="17"/>
  <c r="Q123" i="17"/>
  <c r="P123" i="17"/>
  <c r="O123" i="17"/>
  <c r="W122" i="17"/>
  <c r="V122" i="17"/>
  <c r="U122" i="17"/>
  <c r="T122" i="17"/>
  <c r="S122" i="17"/>
  <c r="R122" i="17"/>
  <c r="Q122" i="17"/>
  <c r="P122" i="17"/>
  <c r="O122" i="17"/>
  <c r="W121" i="17"/>
  <c r="V121" i="17"/>
  <c r="U121" i="17"/>
  <c r="T121" i="17"/>
  <c r="S121" i="17"/>
  <c r="R121" i="17"/>
  <c r="Q121" i="17"/>
  <c r="P121" i="17"/>
  <c r="O121" i="17"/>
  <c r="W120" i="17"/>
  <c r="V120" i="17"/>
  <c r="U120" i="17"/>
  <c r="T120" i="17"/>
  <c r="S120" i="17"/>
  <c r="R120" i="17"/>
  <c r="Q120" i="17"/>
  <c r="P120" i="17"/>
  <c r="O120" i="17"/>
  <c r="M120" i="17"/>
  <c r="M126" i="17" s="1"/>
  <c r="L120" i="17"/>
  <c r="L126" i="17" s="1"/>
  <c r="K120" i="17"/>
  <c r="K126" i="17" s="1"/>
  <c r="J120" i="17"/>
  <c r="J121" i="17" s="1"/>
  <c r="I120" i="17"/>
  <c r="I121" i="17" s="1"/>
  <c r="H120" i="17"/>
  <c r="H122" i="17" s="1"/>
  <c r="G120" i="17"/>
  <c r="G122" i="17" s="1"/>
  <c r="F120" i="17"/>
  <c r="F123" i="17" s="1"/>
  <c r="E120" i="17"/>
  <c r="E123" i="17" s="1"/>
  <c r="W119" i="17"/>
  <c r="V119" i="17"/>
  <c r="U119" i="17"/>
  <c r="T119" i="17"/>
  <c r="S119" i="17"/>
  <c r="R119" i="17"/>
  <c r="Q119" i="17"/>
  <c r="P119" i="17"/>
  <c r="O119" i="17"/>
  <c r="M119" i="17"/>
  <c r="L119" i="17"/>
  <c r="K119" i="17"/>
  <c r="J119" i="17"/>
  <c r="I119" i="17"/>
  <c r="H119" i="17"/>
  <c r="G119" i="17"/>
  <c r="F119" i="17"/>
  <c r="E119" i="17"/>
  <c r="W118" i="17"/>
  <c r="V118" i="17"/>
  <c r="U118" i="17"/>
  <c r="T118" i="17"/>
  <c r="S118" i="17"/>
  <c r="R118" i="17"/>
  <c r="Q118" i="17"/>
  <c r="P118" i="17"/>
  <c r="O118" i="17"/>
  <c r="M118" i="17"/>
  <c r="L118" i="17"/>
  <c r="K118" i="17"/>
  <c r="J118" i="17"/>
  <c r="I118" i="17"/>
  <c r="H118" i="17"/>
  <c r="G118" i="17"/>
  <c r="F118" i="17"/>
  <c r="E118" i="17"/>
  <c r="W117" i="17"/>
  <c r="V117" i="17"/>
  <c r="U117" i="17"/>
  <c r="T117" i="17"/>
  <c r="S117" i="17"/>
  <c r="R117" i="17"/>
  <c r="Q117" i="17"/>
  <c r="P117" i="17"/>
  <c r="O117" i="17"/>
  <c r="M117" i="17"/>
  <c r="L117" i="17"/>
  <c r="K117" i="17"/>
  <c r="J117" i="17"/>
  <c r="I117" i="17"/>
  <c r="H117" i="17"/>
  <c r="G117" i="17"/>
  <c r="F117" i="17"/>
  <c r="E117" i="17"/>
  <c r="W116" i="17"/>
  <c r="V116" i="17"/>
  <c r="U116" i="17"/>
  <c r="T116" i="17"/>
  <c r="S116" i="17"/>
  <c r="R116" i="17"/>
  <c r="Q116" i="17"/>
  <c r="P116" i="17"/>
  <c r="O116" i="17"/>
  <c r="W115" i="17"/>
  <c r="V115" i="17"/>
  <c r="U115" i="17"/>
  <c r="T115" i="17"/>
  <c r="S115" i="17"/>
  <c r="R115" i="17"/>
  <c r="Q115" i="17"/>
  <c r="P115" i="17"/>
  <c r="O115" i="17"/>
  <c r="J115" i="17"/>
  <c r="W114" i="17"/>
  <c r="V114" i="17"/>
  <c r="U114" i="17"/>
  <c r="T114" i="17"/>
  <c r="S114" i="17"/>
  <c r="R114" i="17"/>
  <c r="Q114" i="17"/>
  <c r="P114" i="17"/>
  <c r="O114" i="17"/>
  <c r="W113" i="17"/>
  <c r="V113" i="17"/>
  <c r="U113" i="17"/>
  <c r="T113" i="17"/>
  <c r="S113" i="17"/>
  <c r="R113" i="17"/>
  <c r="Q113" i="17"/>
  <c r="P113" i="17"/>
  <c r="O113" i="17"/>
  <c r="M113" i="17"/>
  <c r="M116" i="17" s="1"/>
  <c r="L113" i="17"/>
  <c r="L115" i="17" s="1"/>
  <c r="K113" i="17"/>
  <c r="K115" i="17" s="1"/>
  <c r="J113" i="17"/>
  <c r="J114" i="17" s="1"/>
  <c r="I113" i="17"/>
  <c r="I116" i="17" s="1"/>
  <c r="H113" i="17"/>
  <c r="H114" i="17" s="1"/>
  <c r="G113" i="17"/>
  <c r="G114" i="17" s="1"/>
  <c r="F113" i="17"/>
  <c r="F115" i="17" s="1"/>
  <c r="E113" i="17"/>
  <c r="E115" i="17" s="1"/>
  <c r="W112" i="17"/>
  <c r="V112" i="17"/>
  <c r="U112" i="17"/>
  <c r="T112" i="17"/>
  <c r="S112" i="17"/>
  <c r="R112" i="17"/>
  <c r="Q112" i="17"/>
  <c r="P112" i="17"/>
  <c r="O112" i="17"/>
  <c r="M112" i="17"/>
  <c r="L112" i="17"/>
  <c r="K112" i="17"/>
  <c r="J112" i="17"/>
  <c r="I112" i="17"/>
  <c r="H112" i="17"/>
  <c r="G112" i="17"/>
  <c r="F112" i="17"/>
  <c r="E112" i="17"/>
  <c r="W111" i="17"/>
  <c r="V111" i="17"/>
  <c r="U111" i="17"/>
  <c r="T111" i="17"/>
  <c r="S111" i="17"/>
  <c r="R111" i="17"/>
  <c r="Q111" i="17"/>
  <c r="P111" i="17"/>
  <c r="O111" i="17"/>
  <c r="M111" i="17"/>
  <c r="L111" i="17"/>
  <c r="K111" i="17"/>
  <c r="J111" i="17"/>
  <c r="I111" i="17"/>
  <c r="H111" i="17"/>
  <c r="G111" i="17"/>
  <c r="F111" i="17"/>
  <c r="E111" i="17"/>
  <c r="W110" i="17"/>
  <c r="V110" i="17"/>
  <c r="U110" i="17"/>
  <c r="T110" i="17"/>
  <c r="S110" i="17"/>
  <c r="R110" i="17"/>
  <c r="Q110" i="17"/>
  <c r="P110" i="17"/>
  <c r="O110" i="17"/>
  <c r="M110" i="17"/>
  <c r="L110" i="17"/>
  <c r="K110" i="17"/>
  <c r="J110" i="17"/>
  <c r="I110" i="17"/>
  <c r="H110" i="17"/>
  <c r="G110" i="17"/>
  <c r="F110" i="17"/>
  <c r="E110" i="17"/>
  <c r="W109" i="17"/>
  <c r="V109" i="17"/>
  <c r="U109" i="17"/>
  <c r="T109" i="17"/>
  <c r="S109" i="17"/>
  <c r="R109" i="17"/>
  <c r="Q109" i="17"/>
  <c r="P109" i="17"/>
  <c r="O109" i="17"/>
  <c r="M109" i="17"/>
  <c r="L109" i="17"/>
  <c r="K109" i="17"/>
  <c r="J109" i="17"/>
  <c r="I109" i="17"/>
  <c r="H109" i="17"/>
  <c r="G109" i="17"/>
  <c r="F109" i="17"/>
  <c r="E109" i="17"/>
  <c r="W108" i="17"/>
  <c r="V108" i="17"/>
  <c r="U108" i="17"/>
  <c r="T108" i="17"/>
  <c r="S108" i="17"/>
  <c r="R108" i="17"/>
  <c r="Q108" i="17"/>
  <c r="P108" i="17"/>
  <c r="O108" i="17"/>
  <c r="M108" i="17"/>
  <c r="L108" i="17"/>
  <c r="K108" i="17"/>
  <c r="J108" i="17"/>
  <c r="I108" i="17"/>
  <c r="H108" i="17"/>
  <c r="G108" i="17"/>
  <c r="F108" i="17"/>
  <c r="E108" i="17"/>
  <c r="W107" i="17"/>
  <c r="V107" i="17"/>
  <c r="U107" i="17"/>
  <c r="T107" i="17"/>
  <c r="S107" i="17"/>
  <c r="R107" i="17"/>
  <c r="Q107" i="17"/>
  <c r="P107" i="17"/>
  <c r="O107" i="17"/>
  <c r="M107" i="17"/>
  <c r="L107" i="17"/>
  <c r="K107" i="17"/>
  <c r="J107" i="17"/>
  <c r="I107" i="17"/>
  <c r="H107" i="17"/>
  <c r="G107" i="17"/>
  <c r="F107" i="17"/>
  <c r="E107" i="17"/>
  <c r="W106" i="17"/>
  <c r="V106" i="17"/>
  <c r="U106" i="17"/>
  <c r="T106" i="17"/>
  <c r="S106" i="17"/>
  <c r="R106" i="17"/>
  <c r="Q106" i="17"/>
  <c r="P106" i="17"/>
  <c r="O106" i="17"/>
  <c r="M106" i="17"/>
  <c r="L106" i="17"/>
  <c r="K106" i="17"/>
  <c r="J106" i="17"/>
  <c r="I106" i="17"/>
  <c r="H106" i="17"/>
  <c r="G106" i="17"/>
  <c r="F106" i="17"/>
  <c r="E106" i="17"/>
  <c r="W105" i="17"/>
  <c r="V105" i="17"/>
  <c r="U105" i="17"/>
  <c r="T105" i="17"/>
  <c r="S105" i="17"/>
  <c r="R105" i="17"/>
  <c r="Q105" i="17"/>
  <c r="P105" i="17"/>
  <c r="O105" i="17"/>
  <c r="M105" i="17"/>
  <c r="L105" i="17"/>
  <c r="K105" i="17"/>
  <c r="J105" i="17"/>
  <c r="I105" i="17"/>
  <c r="H105" i="17"/>
  <c r="G105" i="17"/>
  <c r="F105" i="17"/>
  <c r="E105" i="17"/>
  <c r="W104" i="17"/>
  <c r="V104" i="17"/>
  <c r="U104" i="17"/>
  <c r="T104" i="17"/>
  <c r="S104" i="17"/>
  <c r="R104" i="17"/>
  <c r="Q104" i="17"/>
  <c r="P104" i="17"/>
  <c r="O104" i="17"/>
  <c r="M104" i="17"/>
  <c r="L104" i="17"/>
  <c r="K104" i="17"/>
  <c r="J104" i="17"/>
  <c r="I104" i="17"/>
  <c r="H104" i="17"/>
  <c r="G104" i="17"/>
  <c r="F104" i="17"/>
  <c r="E104" i="17"/>
  <c r="W103" i="17"/>
  <c r="V103" i="17"/>
  <c r="U103" i="17"/>
  <c r="T103" i="17"/>
  <c r="S103" i="17"/>
  <c r="R103" i="17"/>
  <c r="Q103" i="17"/>
  <c r="P103" i="17"/>
  <c r="O103" i="17"/>
  <c r="M103" i="17"/>
  <c r="L103" i="17"/>
  <c r="K103" i="17"/>
  <c r="J103" i="17"/>
  <c r="I103" i="17"/>
  <c r="H103" i="17"/>
  <c r="G103" i="17"/>
  <c r="F103" i="17"/>
  <c r="E103" i="17"/>
  <c r="W102" i="17"/>
  <c r="V102" i="17"/>
  <c r="U102" i="17"/>
  <c r="T102" i="17"/>
  <c r="S102" i="17"/>
  <c r="R102" i="17"/>
  <c r="Q102" i="17"/>
  <c r="P102" i="17"/>
  <c r="O102" i="17"/>
  <c r="M102" i="17"/>
  <c r="L102" i="17"/>
  <c r="K102" i="17"/>
  <c r="J102" i="17"/>
  <c r="I102" i="17"/>
  <c r="H102" i="17"/>
  <c r="G102" i="17"/>
  <c r="F102" i="17"/>
  <c r="E102" i="17"/>
  <c r="W101" i="17"/>
  <c r="V101" i="17"/>
  <c r="U101" i="17"/>
  <c r="T101" i="17"/>
  <c r="S101" i="17"/>
  <c r="R101" i="17"/>
  <c r="Q101" i="17"/>
  <c r="P101" i="17"/>
  <c r="O101" i="17"/>
  <c r="M101" i="17"/>
  <c r="L101" i="17"/>
  <c r="K101" i="17"/>
  <c r="J101" i="17"/>
  <c r="I101" i="17"/>
  <c r="H101" i="17"/>
  <c r="G101" i="17"/>
  <c r="F101" i="17"/>
  <c r="E101" i="17"/>
  <c r="W100" i="17"/>
  <c r="V100" i="17"/>
  <c r="U100" i="17"/>
  <c r="T100" i="17"/>
  <c r="S100" i="17"/>
  <c r="R100" i="17"/>
  <c r="Q100" i="17"/>
  <c r="P100" i="17"/>
  <c r="O100" i="17"/>
  <c r="M100" i="17"/>
  <c r="L100" i="17"/>
  <c r="K100" i="17"/>
  <c r="J100" i="17"/>
  <c r="I100" i="17"/>
  <c r="H100" i="17"/>
  <c r="G100" i="17"/>
  <c r="F100" i="17"/>
  <c r="E100" i="17"/>
  <c r="W99" i="17"/>
  <c r="V99" i="17"/>
  <c r="U99" i="17"/>
  <c r="T99" i="17"/>
  <c r="S99" i="17"/>
  <c r="R99" i="17"/>
  <c r="Q99" i="17"/>
  <c r="P99" i="17"/>
  <c r="O99" i="17"/>
  <c r="M99" i="17"/>
  <c r="L99" i="17"/>
  <c r="K99" i="17"/>
  <c r="J99" i="17"/>
  <c r="I99" i="17"/>
  <c r="H99" i="17"/>
  <c r="G99" i="17"/>
  <c r="F99" i="17"/>
  <c r="E99" i="17"/>
  <c r="W98" i="17"/>
  <c r="V98" i="17"/>
  <c r="U98" i="17"/>
  <c r="T98" i="17"/>
  <c r="S98" i="17"/>
  <c r="R98" i="17"/>
  <c r="Q98" i="17"/>
  <c r="P98" i="17"/>
  <c r="O98" i="17"/>
  <c r="M98" i="17"/>
  <c r="L98" i="17"/>
  <c r="K98" i="17"/>
  <c r="J98" i="17"/>
  <c r="I98" i="17"/>
  <c r="H98" i="17"/>
  <c r="G98" i="17"/>
  <c r="F98" i="17"/>
  <c r="E98" i="17"/>
  <c r="W97" i="17"/>
  <c r="V97" i="17"/>
  <c r="U97" i="17"/>
  <c r="T97" i="17"/>
  <c r="S97" i="17"/>
  <c r="R97" i="17"/>
  <c r="Q97" i="17"/>
  <c r="P97" i="17"/>
  <c r="O97" i="17"/>
  <c r="M97" i="17"/>
  <c r="L97" i="17"/>
  <c r="K97" i="17"/>
  <c r="J97" i="17"/>
  <c r="I97" i="17"/>
  <c r="H97" i="17"/>
  <c r="G97" i="17"/>
  <c r="F97" i="17"/>
  <c r="E97" i="17"/>
  <c r="W96" i="17"/>
  <c r="V96" i="17"/>
  <c r="U96" i="17"/>
  <c r="T96" i="17"/>
  <c r="S96" i="17"/>
  <c r="R96" i="17"/>
  <c r="Q96" i="17"/>
  <c r="P96" i="17"/>
  <c r="O96" i="17"/>
  <c r="M96" i="17"/>
  <c r="L96" i="17"/>
  <c r="K96" i="17"/>
  <c r="J96" i="17"/>
  <c r="I96" i="17"/>
  <c r="H96" i="17"/>
  <c r="G96" i="17"/>
  <c r="F96" i="17"/>
  <c r="E96" i="17"/>
  <c r="W68" i="17"/>
  <c r="V68" i="17"/>
  <c r="U68" i="17"/>
  <c r="T68" i="17"/>
  <c r="S68" i="17"/>
  <c r="R68" i="17"/>
  <c r="Q68" i="17"/>
  <c r="P68" i="17"/>
  <c r="O68" i="17"/>
  <c r="M68" i="17"/>
  <c r="L68" i="17"/>
  <c r="K68" i="17"/>
  <c r="J68" i="17"/>
  <c r="I68" i="17"/>
  <c r="H68" i="17"/>
  <c r="G68" i="17"/>
  <c r="F68" i="17"/>
  <c r="E68" i="17"/>
  <c r="W95" i="17"/>
  <c r="V95" i="17"/>
  <c r="U95" i="17"/>
  <c r="T95" i="17"/>
  <c r="S95" i="17"/>
  <c r="R95" i="17"/>
  <c r="Q95" i="17"/>
  <c r="P95" i="17"/>
  <c r="O95" i="17"/>
  <c r="M95" i="17"/>
  <c r="L95" i="17"/>
  <c r="K95" i="17"/>
  <c r="J95" i="17"/>
  <c r="I95" i="17"/>
  <c r="H95" i="17"/>
  <c r="G95" i="17"/>
  <c r="F95" i="17"/>
  <c r="E95" i="17"/>
  <c r="W94" i="17"/>
  <c r="V94" i="17"/>
  <c r="U94" i="17"/>
  <c r="T94" i="17"/>
  <c r="S94" i="17"/>
  <c r="R94" i="17"/>
  <c r="Q94" i="17"/>
  <c r="P94" i="17"/>
  <c r="O94" i="17"/>
  <c r="M94" i="17"/>
  <c r="L94" i="17"/>
  <c r="K94" i="17"/>
  <c r="J94" i="17"/>
  <c r="I94" i="17"/>
  <c r="H94" i="17"/>
  <c r="G94" i="17"/>
  <c r="F94" i="17"/>
  <c r="E94" i="17"/>
  <c r="W93" i="17"/>
  <c r="V93" i="17"/>
  <c r="U93" i="17"/>
  <c r="T93" i="17"/>
  <c r="S93" i="17"/>
  <c r="R93" i="17"/>
  <c r="Q93" i="17"/>
  <c r="P93" i="17"/>
  <c r="O93" i="17"/>
  <c r="M93" i="17"/>
  <c r="L93" i="17"/>
  <c r="K93" i="17"/>
  <c r="J93" i="17"/>
  <c r="I93" i="17"/>
  <c r="H93" i="17"/>
  <c r="G93" i="17"/>
  <c r="F93" i="17"/>
  <c r="E93" i="17"/>
  <c r="W92" i="17"/>
  <c r="V92" i="17"/>
  <c r="U92" i="17"/>
  <c r="T92" i="17"/>
  <c r="S92" i="17"/>
  <c r="R92" i="17"/>
  <c r="Q92" i="17"/>
  <c r="P92" i="17"/>
  <c r="O92" i="17"/>
  <c r="M92" i="17"/>
  <c r="L92" i="17"/>
  <c r="K92" i="17"/>
  <c r="J92" i="17"/>
  <c r="I92" i="17"/>
  <c r="H92" i="17"/>
  <c r="G92" i="17"/>
  <c r="F92" i="17"/>
  <c r="E92" i="17"/>
  <c r="W91" i="17"/>
  <c r="V91" i="17"/>
  <c r="U91" i="17"/>
  <c r="T91" i="17"/>
  <c r="S91" i="17"/>
  <c r="R91" i="17"/>
  <c r="Q91" i="17"/>
  <c r="P91" i="17"/>
  <c r="O91" i="17"/>
  <c r="M91" i="17"/>
  <c r="L91" i="17"/>
  <c r="K91" i="17"/>
  <c r="J91" i="17"/>
  <c r="I91" i="17"/>
  <c r="H91" i="17"/>
  <c r="G91" i="17"/>
  <c r="F91" i="17"/>
  <c r="E91" i="17"/>
  <c r="W90" i="17"/>
  <c r="V90" i="17"/>
  <c r="U90" i="17"/>
  <c r="T90" i="17"/>
  <c r="S90" i="17"/>
  <c r="R90" i="17"/>
  <c r="Q90" i="17"/>
  <c r="P90" i="17"/>
  <c r="O90" i="17"/>
  <c r="M90" i="17"/>
  <c r="L90" i="17"/>
  <c r="K90" i="17"/>
  <c r="J90" i="17"/>
  <c r="I90" i="17"/>
  <c r="H90" i="17"/>
  <c r="G90" i="17"/>
  <c r="F90" i="17"/>
  <c r="E90" i="17"/>
  <c r="W89" i="17"/>
  <c r="V89" i="17"/>
  <c r="U89" i="17"/>
  <c r="T89" i="17"/>
  <c r="S89" i="17"/>
  <c r="R89" i="17"/>
  <c r="Q89" i="17"/>
  <c r="P89" i="17"/>
  <c r="O89" i="17"/>
  <c r="M89" i="17"/>
  <c r="L89" i="17"/>
  <c r="K89" i="17"/>
  <c r="J89" i="17"/>
  <c r="I89" i="17"/>
  <c r="H89" i="17"/>
  <c r="G89" i="17"/>
  <c r="F89" i="17"/>
  <c r="E89" i="17"/>
  <c r="W88" i="17"/>
  <c r="V88" i="17"/>
  <c r="U88" i="17"/>
  <c r="T88" i="17"/>
  <c r="S88" i="17"/>
  <c r="R88" i="17"/>
  <c r="Q88" i="17"/>
  <c r="P88" i="17"/>
  <c r="O88" i="17"/>
  <c r="M88" i="17"/>
  <c r="L88" i="17"/>
  <c r="K88" i="17"/>
  <c r="J88" i="17"/>
  <c r="I88" i="17"/>
  <c r="H88" i="17"/>
  <c r="G88" i="17"/>
  <c r="F88" i="17"/>
  <c r="E88" i="17"/>
  <c r="W87" i="17"/>
  <c r="V87" i="17"/>
  <c r="U87" i="17"/>
  <c r="T87" i="17"/>
  <c r="S87" i="17"/>
  <c r="R87" i="17"/>
  <c r="Q87" i="17"/>
  <c r="P87" i="17"/>
  <c r="O87" i="17"/>
  <c r="M87" i="17"/>
  <c r="L87" i="17"/>
  <c r="K87" i="17"/>
  <c r="J87" i="17"/>
  <c r="I87" i="17"/>
  <c r="H87" i="17"/>
  <c r="G87" i="17"/>
  <c r="F87" i="17"/>
  <c r="E87" i="17"/>
  <c r="W86" i="17"/>
  <c r="V86" i="17"/>
  <c r="U86" i="17"/>
  <c r="T86" i="17"/>
  <c r="S86" i="17"/>
  <c r="R86" i="17"/>
  <c r="Q86" i="17"/>
  <c r="P86" i="17"/>
  <c r="O86" i="17"/>
  <c r="M86" i="17"/>
  <c r="L86" i="17"/>
  <c r="K86" i="17"/>
  <c r="J86" i="17"/>
  <c r="I86" i="17"/>
  <c r="H86" i="17"/>
  <c r="G86" i="17"/>
  <c r="F86" i="17"/>
  <c r="E86" i="17"/>
  <c r="W85" i="17"/>
  <c r="V85" i="17"/>
  <c r="U85" i="17"/>
  <c r="T85" i="17"/>
  <c r="S85" i="17"/>
  <c r="R85" i="17"/>
  <c r="Q85" i="17"/>
  <c r="P85" i="17"/>
  <c r="O85" i="17"/>
  <c r="M85" i="17"/>
  <c r="L85" i="17"/>
  <c r="K85" i="17"/>
  <c r="J85" i="17"/>
  <c r="I85" i="17"/>
  <c r="H85" i="17"/>
  <c r="G85" i="17"/>
  <c r="F85" i="17"/>
  <c r="E85" i="17"/>
  <c r="W80" i="17"/>
  <c r="V80" i="17"/>
  <c r="U80" i="17"/>
  <c r="T80" i="17"/>
  <c r="S80" i="17"/>
  <c r="R80" i="17"/>
  <c r="Q80" i="17"/>
  <c r="P80" i="17"/>
  <c r="O80" i="17"/>
  <c r="M80" i="17"/>
  <c r="L80" i="17"/>
  <c r="K80" i="17"/>
  <c r="J80" i="17"/>
  <c r="I80" i="17"/>
  <c r="H80" i="17"/>
  <c r="G80" i="17"/>
  <c r="F80" i="17"/>
  <c r="E80" i="17"/>
  <c r="W78" i="17"/>
  <c r="V78" i="17"/>
  <c r="U78" i="17"/>
  <c r="T78" i="17"/>
  <c r="S78" i="17"/>
  <c r="R78" i="17"/>
  <c r="Q78" i="17"/>
  <c r="P78" i="17"/>
  <c r="O78" i="17"/>
  <c r="M78" i="17"/>
  <c r="L78" i="17"/>
  <c r="K78" i="17"/>
  <c r="J78" i="17"/>
  <c r="I78" i="17"/>
  <c r="H78" i="17"/>
  <c r="G78" i="17"/>
  <c r="F78" i="17"/>
  <c r="E78" i="17"/>
  <c r="W77" i="17"/>
  <c r="V77" i="17"/>
  <c r="U77" i="17"/>
  <c r="T77" i="17"/>
  <c r="S77" i="17"/>
  <c r="R77" i="17"/>
  <c r="Q77" i="17"/>
  <c r="P77" i="17"/>
  <c r="O77" i="17"/>
  <c r="M77" i="17"/>
  <c r="L77" i="17"/>
  <c r="K77" i="17"/>
  <c r="J77" i="17"/>
  <c r="I77" i="17"/>
  <c r="H77" i="17"/>
  <c r="G77" i="17"/>
  <c r="F77" i="17"/>
  <c r="E77" i="17"/>
  <c r="W76" i="17"/>
  <c r="V76" i="17"/>
  <c r="U76" i="17"/>
  <c r="T76" i="17"/>
  <c r="S76" i="17"/>
  <c r="R76" i="17"/>
  <c r="Q76" i="17"/>
  <c r="P76" i="17"/>
  <c r="O76" i="17"/>
  <c r="M76" i="17"/>
  <c r="L76" i="17"/>
  <c r="K76" i="17"/>
  <c r="J76" i="17"/>
  <c r="I76" i="17"/>
  <c r="H76" i="17"/>
  <c r="G76" i="17"/>
  <c r="F76" i="17"/>
  <c r="E76" i="17"/>
  <c r="W75" i="17"/>
  <c r="V75" i="17"/>
  <c r="U75" i="17"/>
  <c r="T75" i="17"/>
  <c r="S75" i="17"/>
  <c r="R75" i="17"/>
  <c r="Q75" i="17"/>
  <c r="P75" i="17"/>
  <c r="O75" i="17"/>
  <c r="M75" i="17"/>
  <c r="L75" i="17"/>
  <c r="K75" i="17"/>
  <c r="J75" i="17"/>
  <c r="I75" i="17"/>
  <c r="H75" i="17"/>
  <c r="G75" i="17"/>
  <c r="F75" i="17"/>
  <c r="E75" i="17"/>
  <c r="W74" i="17"/>
  <c r="V74" i="17"/>
  <c r="U74" i="17"/>
  <c r="T74" i="17"/>
  <c r="S74" i="17"/>
  <c r="R74" i="17"/>
  <c r="Q74" i="17"/>
  <c r="P74" i="17"/>
  <c r="O74" i="17"/>
  <c r="M74" i="17"/>
  <c r="L74" i="17"/>
  <c r="K74" i="17"/>
  <c r="J74" i="17"/>
  <c r="I74" i="17"/>
  <c r="H74" i="17"/>
  <c r="G74" i="17"/>
  <c r="F74" i="17"/>
  <c r="E74" i="17"/>
  <c r="W73" i="17"/>
  <c r="V73" i="17"/>
  <c r="U73" i="17"/>
  <c r="T73" i="17"/>
  <c r="S73" i="17"/>
  <c r="R73" i="17"/>
  <c r="Q73" i="17"/>
  <c r="P73" i="17"/>
  <c r="O73" i="17"/>
  <c r="M73" i="17"/>
  <c r="L73" i="17"/>
  <c r="K73" i="17"/>
  <c r="J73" i="17"/>
  <c r="I73" i="17"/>
  <c r="H73" i="17"/>
  <c r="G73" i="17"/>
  <c r="F73" i="17"/>
  <c r="E73" i="17"/>
  <c r="W72" i="17"/>
  <c r="V72" i="17"/>
  <c r="U72" i="17"/>
  <c r="T72" i="17"/>
  <c r="S72" i="17"/>
  <c r="R72" i="17"/>
  <c r="Q72" i="17"/>
  <c r="P72" i="17"/>
  <c r="O72" i="17"/>
  <c r="M72" i="17"/>
  <c r="L72" i="17"/>
  <c r="K72" i="17"/>
  <c r="J72" i="17"/>
  <c r="I72" i="17"/>
  <c r="H72" i="17"/>
  <c r="G72" i="17"/>
  <c r="F72" i="17"/>
  <c r="E72" i="17"/>
  <c r="W71" i="17"/>
  <c r="V71" i="17"/>
  <c r="U71" i="17"/>
  <c r="T71" i="17"/>
  <c r="S71" i="17"/>
  <c r="R71" i="17"/>
  <c r="Q71" i="17"/>
  <c r="P71" i="17"/>
  <c r="O71" i="17"/>
  <c r="M71" i="17"/>
  <c r="L71" i="17"/>
  <c r="K71" i="17"/>
  <c r="J71" i="17"/>
  <c r="I71" i="17"/>
  <c r="H71" i="17"/>
  <c r="G71" i="17"/>
  <c r="F71" i="17"/>
  <c r="E71" i="17"/>
  <c r="W70" i="17"/>
  <c r="V70" i="17"/>
  <c r="U70" i="17"/>
  <c r="T70" i="17"/>
  <c r="S70" i="17"/>
  <c r="R70" i="17"/>
  <c r="Q70" i="17"/>
  <c r="P70" i="17"/>
  <c r="O70" i="17"/>
  <c r="M70" i="17"/>
  <c r="L70" i="17"/>
  <c r="K70" i="17"/>
  <c r="J70" i="17"/>
  <c r="I70" i="17"/>
  <c r="H70" i="17"/>
  <c r="G70" i="17"/>
  <c r="F70" i="17"/>
  <c r="E70" i="17"/>
  <c r="W69" i="17"/>
  <c r="V69" i="17"/>
  <c r="U69" i="17"/>
  <c r="T69" i="17"/>
  <c r="S69" i="17"/>
  <c r="R69" i="17"/>
  <c r="Q69" i="17"/>
  <c r="P69" i="17"/>
  <c r="O69" i="17"/>
  <c r="M69" i="17"/>
  <c r="L69" i="17"/>
  <c r="K69" i="17"/>
  <c r="J69" i="17"/>
  <c r="I69" i="17"/>
  <c r="H69" i="17"/>
  <c r="G69" i="17"/>
  <c r="F69" i="17"/>
  <c r="E69" i="17"/>
  <c r="M67" i="17"/>
  <c r="L67" i="17"/>
  <c r="K67" i="17"/>
  <c r="J67" i="17"/>
  <c r="I67" i="17"/>
  <c r="H67" i="17"/>
  <c r="G67" i="17"/>
  <c r="F67" i="17"/>
  <c r="E67" i="17"/>
  <c r="M66" i="17"/>
  <c r="L66" i="17"/>
  <c r="K66" i="17"/>
  <c r="J66" i="17"/>
  <c r="I66" i="17"/>
  <c r="H66" i="17"/>
  <c r="G66" i="17"/>
  <c r="F66" i="17"/>
  <c r="E66" i="17"/>
  <c r="M65" i="17"/>
  <c r="L65" i="17"/>
  <c r="K65" i="17"/>
  <c r="J65" i="17"/>
  <c r="I65" i="17"/>
  <c r="H65" i="17"/>
  <c r="G65" i="17"/>
  <c r="F65" i="17"/>
  <c r="E65" i="17"/>
  <c r="M64" i="17"/>
  <c r="L64" i="17"/>
  <c r="K64" i="17"/>
  <c r="J64" i="17"/>
  <c r="I64" i="17"/>
  <c r="H64" i="17"/>
  <c r="G64" i="17"/>
  <c r="F64" i="17"/>
  <c r="E64" i="17"/>
  <c r="M63" i="17"/>
  <c r="L63" i="17"/>
  <c r="K63" i="17"/>
  <c r="J63" i="17"/>
  <c r="I63" i="17"/>
  <c r="H63" i="17"/>
  <c r="G63" i="17"/>
  <c r="F63" i="17"/>
  <c r="E63" i="17"/>
  <c r="M62" i="17"/>
  <c r="L62" i="17"/>
  <c r="K62" i="17"/>
  <c r="J62" i="17"/>
  <c r="I62" i="17"/>
  <c r="H62" i="17"/>
  <c r="G62" i="17"/>
  <c r="F62" i="17"/>
  <c r="E62" i="17"/>
  <c r="M61" i="17"/>
  <c r="L61" i="17"/>
  <c r="K61" i="17"/>
  <c r="J61" i="17"/>
  <c r="I61" i="17"/>
  <c r="H61" i="17"/>
  <c r="G61" i="17"/>
  <c r="F61" i="17"/>
  <c r="E61" i="17"/>
  <c r="M59" i="17"/>
  <c r="L59" i="17"/>
  <c r="K59" i="17"/>
  <c r="J59" i="17"/>
  <c r="I59" i="17"/>
  <c r="H59" i="17"/>
  <c r="G59" i="17"/>
  <c r="F59" i="17"/>
  <c r="E59" i="17"/>
  <c r="M58" i="17"/>
  <c r="L58" i="17"/>
  <c r="K58" i="17"/>
  <c r="J58" i="17"/>
  <c r="I58" i="17"/>
  <c r="H58" i="17"/>
  <c r="G58" i="17"/>
  <c r="F58" i="17"/>
  <c r="E58" i="17"/>
  <c r="M57" i="17"/>
  <c r="L57" i="17"/>
  <c r="K57" i="17"/>
  <c r="J57" i="17"/>
  <c r="I57" i="17"/>
  <c r="H57" i="17"/>
  <c r="G57" i="17"/>
  <c r="F57" i="17"/>
  <c r="E57" i="17"/>
  <c r="M56" i="17"/>
  <c r="L56" i="17"/>
  <c r="K56" i="17"/>
  <c r="J56" i="17"/>
  <c r="I56" i="17"/>
  <c r="H56" i="17"/>
  <c r="G56" i="17"/>
  <c r="F56" i="17"/>
  <c r="E56" i="17"/>
  <c r="M55" i="17"/>
  <c r="L55" i="17"/>
  <c r="K55" i="17"/>
  <c r="J55" i="17"/>
  <c r="I55" i="17"/>
  <c r="H55" i="17"/>
  <c r="G55" i="17"/>
  <c r="F55" i="17"/>
  <c r="E55" i="17"/>
  <c r="M54" i="17"/>
  <c r="L54" i="17"/>
  <c r="K54" i="17"/>
  <c r="J54" i="17"/>
  <c r="I54" i="17"/>
  <c r="H54" i="17"/>
  <c r="G54" i="17"/>
  <c r="F54" i="17"/>
  <c r="E54" i="17"/>
  <c r="M53" i="17"/>
  <c r="L53" i="17"/>
  <c r="K53" i="17"/>
  <c r="J53" i="17"/>
  <c r="I53" i="17"/>
  <c r="H53" i="17"/>
  <c r="G53" i="17"/>
  <c r="F53" i="17"/>
  <c r="E53" i="17"/>
  <c r="M52" i="17"/>
  <c r="L52" i="17"/>
  <c r="K52" i="17"/>
  <c r="J52" i="17"/>
  <c r="I52" i="17"/>
  <c r="H52" i="17"/>
  <c r="G52" i="17"/>
  <c r="F52" i="17"/>
  <c r="E52" i="17"/>
  <c r="M51" i="17"/>
  <c r="L51" i="17"/>
  <c r="K51" i="17"/>
  <c r="J51" i="17"/>
  <c r="I51" i="17"/>
  <c r="H51" i="17"/>
  <c r="G51" i="17"/>
  <c r="F51" i="17"/>
  <c r="E51" i="17"/>
  <c r="M50" i="17"/>
  <c r="L50" i="17"/>
  <c r="K50" i="17"/>
  <c r="J50" i="17"/>
  <c r="I50" i="17"/>
  <c r="H50" i="17"/>
  <c r="G50" i="17"/>
  <c r="F50" i="17"/>
  <c r="E50" i="17"/>
  <c r="M49" i="17"/>
  <c r="L49" i="17"/>
  <c r="K49" i="17"/>
  <c r="J49" i="17"/>
  <c r="I49" i="17"/>
  <c r="H49" i="17"/>
  <c r="G49" i="17"/>
  <c r="F49" i="17"/>
  <c r="E49" i="17"/>
  <c r="M48" i="17"/>
  <c r="L48" i="17"/>
  <c r="K48" i="17"/>
  <c r="J48" i="17"/>
  <c r="I48" i="17"/>
  <c r="H48" i="17"/>
  <c r="G48" i="17"/>
  <c r="F48" i="17"/>
  <c r="E48" i="17"/>
  <c r="M47" i="17"/>
  <c r="L47" i="17"/>
  <c r="K47" i="17"/>
  <c r="J47" i="17"/>
  <c r="I47" i="17"/>
  <c r="H47" i="17"/>
  <c r="G47" i="17"/>
  <c r="F47" i="17"/>
  <c r="E47" i="17"/>
  <c r="M46" i="17"/>
  <c r="L46" i="17"/>
  <c r="K46" i="17"/>
  <c r="J46" i="17"/>
  <c r="I46" i="17"/>
  <c r="H46" i="17"/>
  <c r="G46" i="17"/>
  <c r="F46" i="17"/>
  <c r="E46" i="17"/>
  <c r="M45" i="17"/>
  <c r="L45" i="17"/>
  <c r="K45" i="17"/>
  <c r="J45" i="17"/>
  <c r="I45" i="17"/>
  <c r="H45" i="17"/>
  <c r="G45" i="17"/>
  <c r="F45" i="17"/>
  <c r="E45" i="17"/>
  <c r="M44" i="17"/>
  <c r="L44" i="17"/>
  <c r="K44" i="17"/>
  <c r="J44" i="17"/>
  <c r="I44" i="17"/>
  <c r="H44" i="17"/>
  <c r="G44" i="17"/>
  <c r="F44" i="17"/>
  <c r="E44" i="17"/>
  <c r="M43" i="17"/>
  <c r="L43" i="17"/>
  <c r="K43" i="17"/>
  <c r="J43" i="17"/>
  <c r="I43" i="17"/>
  <c r="H43" i="17"/>
  <c r="G43" i="17"/>
  <c r="F43" i="17"/>
  <c r="E43" i="17"/>
  <c r="M42" i="17"/>
  <c r="L42" i="17"/>
  <c r="K42" i="17"/>
  <c r="J42" i="17"/>
  <c r="I42" i="17"/>
  <c r="H42" i="17"/>
  <c r="G42" i="17"/>
  <c r="F42" i="17"/>
  <c r="E42" i="17"/>
  <c r="M41" i="17"/>
  <c r="L41" i="17"/>
  <c r="K41" i="17"/>
  <c r="J41" i="17"/>
  <c r="I41" i="17"/>
  <c r="H41" i="17"/>
  <c r="G41" i="17"/>
  <c r="F41" i="17"/>
  <c r="E41" i="17"/>
  <c r="M40" i="17"/>
  <c r="L40" i="17"/>
  <c r="K40" i="17"/>
  <c r="J40" i="17"/>
  <c r="I40" i="17"/>
  <c r="H40" i="17"/>
  <c r="G40" i="17"/>
  <c r="F40" i="17"/>
  <c r="E40" i="17"/>
  <c r="M39" i="17"/>
  <c r="L39" i="17"/>
  <c r="K39" i="17"/>
  <c r="J39" i="17"/>
  <c r="I39" i="17"/>
  <c r="H39" i="17"/>
  <c r="G39" i="17"/>
  <c r="F39" i="17"/>
  <c r="E39" i="17"/>
  <c r="M38" i="17"/>
  <c r="L38" i="17"/>
  <c r="K38" i="17"/>
  <c r="J38" i="17"/>
  <c r="I38" i="17"/>
  <c r="H38" i="17"/>
  <c r="G38" i="17"/>
  <c r="F38" i="17"/>
  <c r="E38" i="17"/>
  <c r="M37" i="17"/>
  <c r="L37" i="17"/>
  <c r="K37" i="17"/>
  <c r="J37" i="17"/>
  <c r="I37" i="17"/>
  <c r="H37" i="17"/>
  <c r="G37" i="17"/>
  <c r="F37" i="17"/>
  <c r="E37" i="17"/>
  <c r="M36" i="17"/>
  <c r="L36" i="17"/>
  <c r="K36" i="17"/>
  <c r="J36" i="17"/>
  <c r="I36" i="17"/>
  <c r="H36" i="17"/>
  <c r="G36" i="17"/>
  <c r="F36" i="17"/>
  <c r="E36" i="17"/>
  <c r="M35" i="17"/>
  <c r="L35" i="17"/>
  <c r="K35" i="17"/>
  <c r="J35" i="17"/>
  <c r="I35" i="17"/>
  <c r="H35" i="17"/>
  <c r="G35" i="17"/>
  <c r="F35" i="17"/>
  <c r="E35" i="17"/>
  <c r="M34" i="17"/>
  <c r="L34" i="17"/>
  <c r="K34" i="17"/>
  <c r="J34" i="17"/>
  <c r="I34" i="17"/>
  <c r="H34" i="17"/>
  <c r="G34" i="17"/>
  <c r="F34" i="17"/>
  <c r="E34" i="17"/>
  <c r="M33" i="17"/>
  <c r="L33" i="17"/>
  <c r="K33" i="17"/>
  <c r="J33" i="17"/>
  <c r="I33" i="17"/>
  <c r="H33" i="17"/>
  <c r="G33" i="17"/>
  <c r="F33" i="17"/>
  <c r="E33" i="17"/>
  <c r="M32" i="17"/>
  <c r="L32" i="17"/>
  <c r="K32" i="17"/>
  <c r="J32" i="17"/>
  <c r="I32" i="17"/>
  <c r="H32" i="17"/>
  <c r="G32" i="17"/>
  <c r="F32" i="17"/>
  <c r="E32" i="17"/>
  <c r="M31" i="17"/>
  <c r="L31" i="17"/>
  <c r="K31" i="17"/>
  <c r="J31" i="17"/>
  <c r="I31" i="17"/>
  <c r="H31" i="17"/>
  <c r="G31" i="17"/>
  <c r="F31" i="17"/>
  <c r="E31" i="17"/>
  <c r="M30" i="17"/>
  <c r="L30" i="17"/>
  <c r="K30" i="17"/>
  <c r="J30" i="17"/>
  <c r="I30" i="17"/>
  <c r="H30" i="17"/>
  <c r="G30" i="17"/>
  <c r="F30" i="17"/>
  <c r="E30" i="17"/>
  <c r="M29" i="17"/>
  <c r="L29" i="17"/>
  <c r="K29" i="17"/>
  <c r="J29" i="17"/>
  <c r="I29" i="17"/>
  <c r="H29" i="17"/>
  <c r="G29" i="17"/>
  <c r="F29" i="17"/>
  <c r="E29" i="17"/>
  <c r="M28" i="17"/>
  <c r="L28" i="17"/>
  <c r="K28" i="17"/>
  <c r="J28" i="17"/>
  <c r="I28" i="17"/>
  <c r="H28" i="17"/>
  <c r="G28" i="17"/>
  <c r="F28" i="17"/>
  <c r="E28" i="17"/>
  <c r="M27" i="17"/>
  <c r="L27" i="17"/>
  <c r="K27" i="17"/>
  <c r="J27" i="17"/>
  <c r="I27" i="17"/>
  <c r="H27" i="17"/>
  <c r="G27" i="17"/>
  <c r="F27" i="17"/>
  <c r="E27" i="17"/>
  <c r="M26" i="17"/>
  <c r="L26" i="17"/>
  <c r="K26" i="17"/>
  <c r="J26" i="17"/>
  <c r="I26" i="17"/>
  <c r="H26" i="17"/>
  <c r="G26" i="17"/>
  <c r="F26" i="17"/>
  <c r="E26" i="17"/>
  <c r="M25" i="17"/>
  <c r="L25" i="17"/>
  <c r="K25" i="17"/>
  <c r="J25" i="17"/>
  <c r="I25" i="17"/>
  <c r="H25" i="17"/>
  <c r="G25" i="17"/>
  <c r="F25" i="17"/>
  <c r="E25" i="17"/>
  <c r="M24" i="17"/>
  <c r="L24" i="17"/>
  <c r="K24" i="17"/>
  <c r="J24" i="17"/>
  <c r="I24" i="17"/>
  <c r="H24" i="17"/>
  <c r="G24" i="17"/>
  <c r="F24" i="17"/>
  <c r="E24" i="17"/>
  <c r="M23" i="17"/>
  <c r="L23" i="17"/>
  <c r="K23" i="17"/>
  <c r="J23" i="17"/>
  <c r="I23" i="17"/>
  <c r="H23" i="17"/>
  <c r="G23" i="17"/>
  <c r="F23" i="17"/>
  <c r="E23" i="17"/>
  <c r="M22" i="17"/>
  <c r="L22" i="17"/>
  <c r="K22" i="17"/>
  <c r="J22" i="17"/>
  <c r="I22" i="17"/>
  <c r="H22" i="17"/>
  <c r="G22" i="17"/>
  <c r="F22" i="17"/>
  <c r="E22" i="17"/>
  <c r="M21" i="17"/>
  <c r="L21" i="17"/>
  <c r="K21" i="17"/>
  <c r="J21" i="17"/>
  <c r="I21" i="17"/>
  <c r="H21" i="17"/>
  <c r="G21" i="17"/>
  <c r="F21" i="17"/>
  <c r="E21" i="17"/>
  <c r="M20" i="17"/>
  <c r="L20" i="17"/>
  <c r="K20" i="17"/>
  <c r="J20" i="17"/>
  <c r="I20" i="17"/>
  <c r="H20" i="17"/>
  <c r="G20" i="17"/>
  <c r="F20" i="17"/>
  <c r="E20" i="17"/>
  <c r="M19" i="17"/>
  <c r="L19" i="17"/>
  <c r="K19" i="17"/>
  <c r="J19" i="17"/>
  <c r="I19" i="17"/>
  <c r="H19" i="17"/>
  <c r="G19" i="17"/>
  <c r="F19" i="17"/>
  <c r="E19" i="17"/>
  <c r="M18" i="17"/>
  <c r="L18" i="17"/>
  <c r="K18" i="17"/>
  <c r="J18" i="17"/>
  <c r="I18" i="17"/>
  <c r="H18" i="17"/>
  <c r="G18" i="17"/>
  <c r="F18" i="17"/>
  <c r="E18" i="17"/>
  <c r="M17" i="17"/>
  <c r="L17" i="17"/>
  <c r="K17" i="17"/>
  <c r="J17" i="17"/>
  <c r="I17" i="17"/>
  <c r="H17" i="17"/>
  <c r="G17" i="17"/>
  <c r="F17" i="17"/>
  <c r="E17" i="17"/>
  <c r="M16" i="17"/>
  <c r="L16" i="17"/>
  <c r="K16" i="17"/>
  <c r="J16" i="17"/>
  <c r="I16" i="17"/>
  <c r="H16" i="17"/>
  <c r="G16" i="17"/>
  <c r="F16" i="17"/>
  <c r="E16" i="17"/>
  <c r="M15" i="17"/>
  <c r="L15" i="17"/>
  <c r="K15" i="17"/>
  <c r="J15" i="17"/>
  <c r="I15" i="17"/>
  <c r="H15" i="17"/>
  <c r="G15" i="17"/>
  <c r="F15" i="17"/>
  <c r="E15" i="17"/>
  <c r="M14" i="17"/>
  <c r="L14" i="17"/>
  <c r="K14" i="17"/>
  <c r="J14" i="17"/>
  <c r="I14" i="17"/>
  <c r="H14" i="17"/>
  <c r="G14" i="17"/>
  <c r="F14" i="17"/>
  <c r="E14" i="17"/>
  <c r="M13" i="17"/>
  <c r="L13" i="17"/>
  <c r="K13" i="17"/>
  <c r="J13" i="17"/>
  <c r="I13" i="17"/>
  <c r="H13" i="17"/>
  <c r="G13" i="17"/>
  <c r="F13" i="17"/>
  <c r="E13" i="17"/>
  <c r="M12" i="17"/>
  <c r="L12" i="17"/>
  <c r="K12" i="17"/>
  <c r="J12" i="17"/>
  <c r="I12" i="17"/>
  <c r="H12" i="17"/>
  <c r="G12" i="17"/>
  <c r="F12" i="17"/>
  <c r="E12" i="17"/>
  <c r="M11" i="17"/>
  <c r="L11" i="17"/>
  <c r="K11" i="17"/>
  <c r="J11" i="17"/>
  <c r="I11" i="17"/>
  <c r="H11" i="17"/>
  <c r="G11" i="17"/>
  <c r="F11" i="17"/>
  <c r="E11" i="17"/>
  <c r="M10" i="17"/>
  <c r="L10" i="17"/>
  <c r="K10" i="17"/>
  <c r="J10" i="17"/>
  <c r="I10" i="17"/>
  <c r="H10" i="17"/>
  <c r="G10" i="17"/>
  <c r="F10" i="17"/>
  <c r="E10" i="17"/>
  <c r="M9" i="17"/>
  <c r="L9" i="17"/>
  <c r="K9" i="17"/>
  <c r="J9" i="17"/>
  <c r="I9" i="17"/>
  <c r="H9" i="17"/>
  <c r="G9" i="17"/>
  <c r="F9" i="17"/>
  <c r="E9" i="17"/>
  <c r="M8" i="17"/>
  <c r="L8" i="17"/>
  <c r="K8" i="17"/>
  <c r="J8" i="17"/>
  <c r="I8" i="17"/>
  <c r="H8" i="17"/>
  <c r="G8" i="17"/>
  <c r="F8" i="17"/>
  <c r="E8" i="17"/>
  <c r="M7" i="17"/>
  <c r="L7" i="17"/>
  <c r="K7" i="17"/>
  <c r="J7" i="17"/>
  <c r="I7" i="17"/>
  <c r="H7" i="17"/>
  <c r="G7" i="17"/>
  <c r="F7" i="17"/>
  <c r="E7" i="17"/>
  <c r="M6" i="17"/>
  <c r="L6" i="17"/>
  <c r="K6" i="17"/>
  <c r="J6" i="17"/>
  <c r="I6" i="17"/>
  <c r="H6" i="17"/>
  <c r="G6" i="17"/>
  <c r="F6" i="17"/>
  <c r="E6" i="17"/>
  <c r="M5" i="17"/>
  <c r="L5" i="17"/>
  <c r="K5" i="17"/>
  <c r="J5" i="17"/>
  <c r="I5" i="17"/>
  <c r="H5" i="17"/>
  <c r="G5" i="17"/>
  <c r="F5" i="17"/>
  <c r="E5" i="17"/>
  <c r="M115" i="17" l="1"/>
  <c r="L125" i="17"/>
  <c r="F114" i="17"/>
  <c r="K121" i="17"/>
  <c r="E114" i="17"/>
  <c r="G124" i="17"/>
  <c r="G123" i="17"/>
  <c r="K124" i="17"/>
  <c r="H123" i="17"/>
  <c r="L124" i="17"/>
  <c r="I123" i="17"/>
  <c r="I122" i="17"/>
  <c r="K123" i="17"/>
  <c r="J122" i="17"/>
  <c r="L123" i="17"/>
  <c r="J116" i="17"/>
  <c r="K122" i="17"/>
  <c r="M123" i="17"/>
  <c r="K116" i="17"/>
  <c r="L122" i="17"/>
  <c r="L116" i="17"/>
  <c r="I115" i="17"/>
  <c r="I114" i="17"/>
  <c r="E122" i="17"/>
  <c r="K114" i="17"/>
  <c r="G121" i="17"/>
  <c r="H121" i="17"/>
  <c r="L121" i="17"/>
  <c r="M121" i="17"/>
  <c r="G126" i="17"/>
  <c r="H126" i="17"/>
  <c r="E116" i="17"/>
  <c r="E125" i="17"/>
  <c r="J126" i="17"/>
  <c r="F116" i="17"/>
  <c r="H125" i="17"/>
  <c r="G115" i="17"/>
  <c r="G116" i="17"/>
  <c r="I125" i="17"/>
  <c r="H115" i="17"/>
  <c r="E124" i="17"/>
  <c r="J125" i="17"/>
  <c r="F124" i="17"/>
  <c r="L114" i="17"/>
  <c r="H116" i="17"/>
  <c r="J123" i="17"/>
  <c r="H124" i="17"/>
  <c r="F125" i="17"/>
  <c r="M114" i="17"/>
  <c r="M122" i="17"/>
  <c r="I124" i="17"/>
  <c r="G125" i="17"/>
  <c r="E126" i="17"/>
  <c r="J124" i="17"/>
  <c r="F126" i="17"/>
  <c r="M124" i="17"/>
  <c r="K125" i="17"/>
  <c r="I126" i="17"/>
  <c r="E121" i="17"/>
  <c r="M125" i="17"/>
  <c r="F121" i="17"/>
  <c r="F122" i="17"/>
  <c r="Z3" i="8" l="1"/>
  <c r="Z60" i="8" s="1"/>
  <c r="Z67" i="8" l="1"/>
  <c r="Z68" i="8"/>
  <c r="W139" i="16"/>
  <c r="V139" i="16"/>
  <c r="U139" i="16"/>
  <c r="T139" i="16"/>
  <c r="S139" i="16"/>
  <c r="R139" i="16"/>
  <c r="Q139" i="16"/>
  <c r="P139" i="16"/>
  <c r="O139" i="16"/>
  <c r="W138" i="16"/>
  <c r="V138" i="16"/>
  <c r="U138" i="16"/>
  <c r="T138" i="16"/>
  <c r="S138" i="16"/>
  <c r="R138" i="16"/>
  <c r="Q138" i="16"/>
  <c r="P138" i="16"/>
  <c r="O138" i="16"/>
  <c r="W137" i="16"/>
  <c r="V137" i="16"/>
  <c r="U137" i="16"/>
  <c r="T137" i="16"/>
  <c r="S137" i="16"/>
  <c r="R137" i="16"/>
  <c r="Q137" i="16"/>
  <c r="P137" i="16"/>
  <c r="O137" i="16"/>
  <c r="W136" i="16"/>
  <c r="V136" i="16"/>
  <c r="U136" i="16"/>
  <c r="T136" i="16"/>
  <c r="S136" i="16"/>
  <c r="R136" i="16"/>
  <c r="Q136" i="16"/>
  <c r="P136" i="16"/>
  <c r="O136" i="16"/>
  <c r="W135" i="16"/>
  <c r="V135" i="16"/>
  <c r="U135" i="16"/>
  <c r="T135" i="16"/>
  <c r="S135" i="16"/>
  <c r="R135" i="16"/>
  <c r="Q135" i="16"/>
  <c r="P135" i="16"/>
  <c r="O135" i="16"/>
  <c r="W134" i="16"/>
  <c r="V134" i="16"/>
  <c r="U134" i="16"/>
  <c r="T134" i="16"/>
  <c r="S134" i="16"/>
  <c r="R134" i="16"/>
  <c r="Q134" i="16"/>
  <c r="P134" i="16"/>
  <c r="O134" i="16"/>
  <c r="W133" i="16"/>
  <c r="V133" i="16"/>
  <c r="U133" i="16"/>
  <c r="T133" i="16"/>
  <c r="S133" i="16"/>
  <c r="R133" i="16"/>
  <c r="Q133" i="16"/>
  <c r="P133" i="16"/>
  <c r="O133" i="16"/>
  <c r="W132" i="16"/>
  <c r="V132" i="16"/>
  <c r="U132" i="16"/>
  <c r="T132" i="16"/>
  <c r="S132" i="16"/>
  <c r="R132" i="16"/>
  <c r="Q132" i="16"/>
  <c r="P132" i="16"/>
  <c r="O132" i="16"/>
  <c r="W131" i="16"/>
  <c r="V131" i="16"/>
  <c r="U131" i="16"/>
  <c r="T131" i="16"/>
  <c r="S131" i="16"/>
  <c r="R131" i="16"/>
  <c r="Q131" i="16"/>
  <c r="P131" i="16"/>
  <c r="O131" i="16"/>
  <c r="W130" i="16"/>
  <c r="V130" i="16"/>
  <c r="U130" i="16"/>
  <c r="T130" i="16"/>
  <c r="S130" i="16"/>
  <c r="R130" i="16"/>
  <c r="Q130" i="16"/>
  <c r="P130" i="16"/>
  <c r="O130" i="16"/>
  <c r="W129" i="16"/>
  <c r="V129" i="16"/>
  <c r="U129" i="16"/>
  <c r="T129" i="16"/>
  <c r="S129" i="16"/>
  <c r="R129" i="16"/>
  <c r="Q129" i="16"/>
  <c r="P129" i="16"/>
  <c r="O129" i="16"/>
  <c r="W128" i="16"/>
  <c r="V128" i="16"/>
  <c r="U128" i="16"/>
  <c r="T128" i="16"/>
  <c r="S128" i="16"/>
  <c r="R128" i="16"/>
  <c r="Q128" i="16"/>
  <c r="P128" i="16"/>
  <c r="O128" i="16"/>
  <c r="W127" i="16"/>
  <c r="V127" i="16"/>
  <c r="U127" i="16"/>
  <c r="T127" i="16"/>
  <c r="S127" i="16"/>
  <c r="R127" i="16"/>
  <c r="Q127" i="16"/>
  <c r="P127" i="16"/>
  <c r="O127" i="16"/>
  <c r="W120" i="16"/>
  <c r="V120" i="16"/>
  <c r="U120" i="16"/>
  <c r="T120" i="16"/>
  <c r="S120" i="16"/>
  <c r="R120" i="16"/>
  <c r="Q120" i="16"/>
  <c r="P120" i="16"/>
  <c r="O120" i="16"/>
  <c r="W119" i="16"/>
  <c r="V119" i="16"/>
  <c r="U119" i="16"/>
  <c r="T119" i="16"/>
  <c r="S119" i="16"/>
  <c r="R119" i="16"/>
  <c r="Q119" i="16"/>
  <c r="P119" i="16"/>
  <c r="O119" i="16"/>
  <c r="W118" i="16"/>
  <c r="V118" i="16"/>
  <c r="U118" i="16"/>
  <c r="T118" i="16"/>
  <c r="S118" i="16"/>
  <c r="R118" i="16"/>
  <c r="Q118" i="16"/>
  <c r="P118" i="16"/>
  <c r="O118" i="16"/>
  <c r="W117" i="16"/>
  <c r="V117" i="16"/>
  <c r="U117" i="16"/>
  <c r="T117" i="16"/>
  <c r="S117" i="16"/>
  <c r="R117" i="16"/>
  <c r="Q117" i="16"/>
  <c r="P117" i="16"/>
  <c r="O117" i="16"/>
  <c r="W113" i="16"/>
  <c r="V113" i="16"/>
  <c r="U113" i="16"/>
  <c r="T113" i="16"/>
  <c r="S113" i="16"/>
  <c r="R113" i="16"/>
  <c r="Q113" i="16"/>
  <c r="P113" i="16"/>
  <c r="O113" i="16"/>
  <c r="W112" i="16"/>
  <c r="V112" i="16"/>
  <c r="U112" i="16"/>
  <c r="T112" i="16"/>
  <c r="S112" i="16"/>
  <c r="R112" i="16"/>
  <c r="Q112" i="16"/>
  <c r="P112" i="16"/>
  <c r="O112" i="16"/>
  <c r="W111" i="16"/>
  <c r="V111" i="16"/>
  <c r="U111" i="16"/>
  <c r="T111" i="16"/>
  <c r="S111" i="16"/>
  <c r="R111" i="16"/>
  <c r="Q111" i="16"/>
  <c r="P111" i="16"/>
  <c r="O111" i="16"/>
  <c r="W110" i="16"/>
  <c r="V110" i="16"/>
  <c r="U110" i="16"/>
  <c r="T110" i="16"/>
  <c r="S110" i="16"/>
  <c r="R110" i="16"/>
  <c r="Q110" i="16"/>
  <c r="P110" i="16"/>
  <c r="O110" i="16"/>
  <c r="W109" i="16"/>
  <c r="V109" i="16"/>
  <c r="U109" i="16"/>
  <c r="T109" i="16"/>
  <c r="S109" i="16"/>
  <c r="R109" i="16"/>
  <c r="Q109" i="16"/>
  <c r="P109" i="16"/>
  <c r="O109" i="16"/>
  <c r="W108" i="16"/>
  <c r="V108" i="16"/>
  <c r="U108" i="16"/>
  <c r="T108" i="16"/>
  <c r="S108" i="16"/>
  <c r="R108" i="16"/>
  <c r="Q108" i="16"/>
  <c r="P108" i="16"/>
  <c r="O108" i="16"/>
  <c r="W107" i="16"/>
  <c r="V107" i="16"/>
  <c r="U107" i="16"/>
  <c r="T107" i="16"/>
  <c r="S107" i="16"/>
  <c r="R107" i="16"/>
  <c r="Q107" i="16"/>
  <c r="P107" i="16"/>
  <c r="O107" i="16"/>
  <c r="W106" i="16"/>
  <c r="V106" i="16"/>
  <c r="U106" i="16"/>
  <c r="T106" i="16"/>
  <c r="S106" i="16"/>
  <c r="R106" i="16"/>
  <c r="Q106" i="16"/>
  <c r="P106" i="16"/>
  <c r="O106" i="16"/>
  <c r="W105" i="16"/>
  <c r="V105" i="16"/>
  <c r="U105" i="16"/>
  <c r="T105" i="16"/>
  <c r="S105" i="16"/>
  <c r="R105" i="16"/>
  <c r="Q105" i="16"/>
  <c r="P105" i="16"/>
  <c r="O105" i="16"/>
  <c r="W104" i="16"/>
  <c r="V104" i="16"/>
  <c r="U104" i="16"/>
  <c r="T104" i="16"/>
  <c r="S104" i="16"/>
  <c r="R104" i="16"/>
  <c r="Q104" i="16"/>
  <c r="P104" i="16"/>
  <c r="O104" i="16"/>
  <c r="W103" i="16"/>
  <c r="V103" i="16"/>
  <c r="U103" i="16"/>
  <c r="T103" i="16"/>
  <c r="S103" i="16"/>
  <c r="R103" i="16"/>
  <c r="Q103" i="16"/>
  <c r="P103" i="16"/>
  <c r="O103" i="16"/>
  <c r="W102" i="16"/>
  <c r="V102" i="16"/>
  <c r="U102" i="16"/>
  <c r="T102" i="16"/>
  <c r="S102" i="16"/>
  <c r="R102" i="16"/>
  <c r="Q102" i="16"/>
  <c r="P102" i="16"/>
  <c r="O102" i="16"/>
  <c r="W101" i="16"/>
  <c r="V101" i="16"/>
  <c r="U101" i="16"/>
  <c r="T101" i="16"/>
  <c r="S101" i="16"/>
  <c r="R101" i="16"/>
  <c r="Q101" i="16"/>
  <c r="P101" i="16"/>
  <c r="O101" i="16"/>
  <c r="W100" i="16"/>
  <c r="V100" i="16"/>
  <c r="U100" i="16"/>
  <c r="T100" i="16"/>
  <c r="S100" i="16"/>
  <c r="R100" i="16"/>
  <c r="Q100" i="16"/>
  <c r="P100" i="16"/>
  <c r="O100" i="16"/>
  <c r="W99" i="16"/>
  <c r="V99" i="16"/>
  <c r="U99" i="16"/>
  <c r="T99" i="16"/>
  <c r="S99" i="16"/>
  <c r="R99" i="16"/>
  <c r="Q99" i="16"/>
  <c r="P99" i="16"/>
  <c r="O99" i="16"/>
  <c r="W98" i="16"/>
  <c r="V98" i="16"/>
  <c r="U98" i="16"/>
  <c r="T98" i="16"/>
  <c r="S98" i="16"/>
  <c r="R98" i="16"/>
  <c r="Q98" i="16"/>
  <c r="P98" i="16"/>
  <c r="O98" i="16"/>
  <c r="W97" i="16"/>
  <c r="V97" i="16"/>
  <c r="U97" i="16"/>
  <c r="T97" i="16"/>
  <c r="S97" i="16"/>
  <c r="R97" i="16"/>
  <c r="Q97" i="16"/>
  <c r="P97" i="16"/>
  <c r="O97" i="16"/>
  <c r="W96" i="16"/>
  <c r="V96" i="16"/>
  <c r="U96" i="16"/>
  <c r="T96" i="16"/>
  <c r="S96" i="16"/>
  <c r="R96" i="16"/>
  <c r="Q96" i="16"/>
  <c r="P96" i="16"/>
  <c r="O96" i="16"/>
  <c r="W95" i="16"/>
  <c r="V95" i="16"/>
  <c r="U95" i="16"/>
  <c r="T95" i="16"/>
  <c r="S95" i="16"/>
  <c r="R95" i="16"/>
  <c r="Q95" i="16"/>
  <c r="P95" i="16"/>
  <c r="O95" i="16"/>
  <c r="W94" i="16"/>
  <c r="V94" i="16"/>
  <c r="U94" i="16"/>
  <c r="T94" i="16"/>
  <c r="S94" i="16"/>
  <c r="R94" i="16"/>
  <c r="Q94" i="16"/>
  <c r="P94" i="16"/>
  <c r="O94" i="16"/>
  <c r="W93" i="16"/>
  <c r="V93" i="16"/>
  <c r="U93" i="16"/>
  <c r="T93" i="16"/>
  <c r="S93" i="16"/>
  <c r="R93" i="16"/>
  <c r="Q93" i="16"/>
  <c r="P93" i="16"/>
  <c r="O93" i="16"/>
  <c r="W92" i="16"/>
  <c r="V92" i="16"/>
  <c r="U92" i="16"/>
  <c r="T92" i="16"/>
  <c r="S92" i="16"/>
  <c r="R92" i="16"/>
  <c r="Q92" i="16"/>
  <c r="P92" i="16"/>
  <c r="O92" i="16"/>
  <c r="W91" i="16"/>
  <c r="V91" i="16"/>
  <c r="U91" i="16"/>
  <c r="T91" i="16"/>
  <c r="S91" i="16"/>
  <c r="R91" i="16"/>
  <c r="Q91" i="16"/>
  <c r="P91" i="16"/>
  <c r="O91" i="16"/>
  <c r="W90" i="16"/>
  <c r="V90" i="16"/>
  <c r="U90" i="16"/>
  <c r="T90" i="16"/>
  <c r="S90" i="16"/>
  <c r="R90" i="16"/>
  <c r="Q90" i="16"/>
  <c r="P90" i="16"/>
  <c r="O90" i="16"/>
  <c r="W89" i="16"/>
  <c r="V89" i="16"/>
  <c r="U89" i="16"/>
  <c r="T89" i="16"/>
  <c r="S89" i="16"/>
  <c r="R89" i="16"/>
  <c r="Q89" i="16"/>
  <c r="P89" i="16"/>
  <c r="O89" i="16"/>
  <c r="W88" i="16"/>
  <c r="V88" i="16"/>
  <c r="U88" i="16"/>
  <c r="T88" i="16"/>
  <c r="S88" i="16"/>
  <c r="R88" i="16"/>
  <c r="Q88" i="16"/>
  <c r="P88" i="16"/>
  <c r="O88" i="16"/>
  <c r="W87" i="16"/>
  <c r="V87" i="16"/>
  <c r="U87" i="16"/>
  <c r="T87" i="16"/>
  <c r="S87" i="16"/>
  <c r="R87" i="16"/>
  <c r="Q87" i="16"/>
  <c r="P87" i="16"/>
  <c r="O87" i="16"/>
  <c r="W86" i="16"/>
  <c r="V86" i="16"/>
  <c r="U86" i="16"/>
  <c r="T86" i="16"/>
  <c r="S86" i="16"/>
  <c r="R86" i="16"/>
  <c r="Q86" i="16"/>
  <c r="P86" i="16"/>
  <c r="O86" i="16"/>
  <c r="W85" i="16"/>
  <c r="V85" i="16"/>
  <c r="U85" i="16"/>
  <c r="T85" i="16"/>
  <c r="S85" i="16"/>
  <c r="R85" i="16"/>
  <c r="Q85" i="16"/>
  <c r="P85" i="16"/>
  <c r="O85" i="16"/>
  <c r="W84" i="16"/>
  <c r="V84" i="16"/>
  <c r="U84" i="16"/>
  <c r="T84" i="16"/>
  <c r="S84" i="16"/>
  <c r="R84" i="16"/>
  <c r="Q84" i="16"/>
  <c r="P84" i="16"/>
  <c r="O84" i="16"/>
  <c r="W83" i="16"/>
  <c r="V83" i="16"/>
  <c r="U83" i="16"/>
  <c r="T83" i="16"/>
  <c r="S83" i="16"/>
  <c r="R83" i="16"/>
  <c r="Q83" i="16"/>
  <c r="P83" i="16"/>
  <c r="O83" i="16"/>
  <c r="W82" i="16"/>
  <c r="V82" i="16"/>
  <c r="U82" i="16"/>
  <c r="T82" i="16"/>
  <c r="S82" i="16"/>
  <c r="R82" i="16"/>
  <c r="Q82" i="16"/>
  <c r="P82" i="16"/>
  <c r="O82" i="16"/>
  <c r="W81" i="16"/>
  <c r="V81" i="16"/>
  <c r="U81" i="16"/>
  <c r="T81" i="16"/>
  <c r="S81" i="16"/>
  <c r="R81" i="16"/>
  <c r="Q81" i="16"/>
  <c r="P81" i="16"/>
  <c r="O81" i="16"/>
  <c r="W80" i="16"/>
  <c r="V80" i="16"/>
  <c r="U80" i="16"/>
  <c r="T80" i="16"/>
  <c r="S80" i="16"/>
  <c r="R80" i="16"/>
  <c r="Q80" i="16"/>
  <c r="P80" i="16"/>
  <c r="O80" i="16"/>
  <c r="W79" i="16"/>
  <c r="V79" i="16"/>
  <c r="U79" i="16"/>
  <c r="T79" i="16"/>
  <c r="S79" i="16"/>
  <c r="R79" i="16"/>
  <c r="Q79" i="16"/>
  <c r="P79" i="16"/>
  <c r="O79" i="16"/>
  <c r="W78" i="16"/>
  <c r="V78" i="16"/>
  <c r="U78" i="16"/>
  <c r="T78" i="16"/>
  <c r="S78" i="16"/>
  <c r="R78" i="16"/>
  <c r="Q78" i="16"/>
  <c r="P78" i="16"/>
  <c r="O78" i="16"/>
  <c r="W77" i="16"/>
  <c r="V77" i="16"/>
  <c r="U77" i="16"/>
  <c r="T77" i="16"/>
  <c r="S77" i="16"/>
  <c r="R77" i="16"/>
  <c r="Q77" i="16"/>
  <c r="P77" i="16"/>
  <c r="O77" i="16"/>
  <c r="W76" i="16"/>
  <c r="V76" i="16"/>
  <c r="U76" i="16"/>
  <c r="T76" i="16"/>
  <c r="S76" i="16"/>
  <c r="R76" i="16"/>
  <c r="Q76" i="16"/>
  <c r="P76" i="16"/>
  <c r="O76" i="16"/>
  <c r="W75" i="16"/>
  <c r="V75" i="16"/>
  <c r="U75" i="16"/>
  <c r="T75" i="16"/>
  <c r="S75" i="16"/>
  <c r="R75" i="16"/>
  <c r="Q75" i="16"/>
  <c r="P75" i="16"/>
  <c r="O75" i="16"/>
  <c r="W74" i="16"/>
  <c r="V74" i="16"/>
  <c r="U74" i="16"/>
  <c r="T74" i="16"/>
  <c r="S74" i="16"/>
  <c r="R74" i="16"/>
  <c r="Q74" i="16"/>
  <c r="P74" i="16"/>
  <c r="O74" i="16"/>
  <c r="W73" i="16"/>
  <c r="V73" i="16"/>
  <c r="U73" i="16"/>
  <c r="T73" i="16"/>
  <c r="S73" i="16"/>
  <c r="R73" i="16"/>
  <c r="Q73" i="16"/>
  <c r="P73" i="16"/>
  <c r="O73" i="16"/>
  <c r="W72" i="16"/>
  <c r="V72" i="16"/>
  <c r="U72" i="16"/>
  <c r="T72" i="16"/>
  <c r="S72" i="16"/>
  <c r="R72" i="16"/>
  <c r="Q72" i="16"/>
  <c r="P72" i="16"/>
  <c r="O72" i="16"/>
  <c r="W71" i="16"/>
  <c r="V71" i="16"/>
  <c r="U71" i="16"/>
  <c r="T71" i="16"/>
  <c r="S71" i="16"/>
  <c r="R71" i="16"/>
  <c r="Q71" i="16"/>
  <c r="P71" i="16"/>
  <c r="O71" i="16"/>
  <c r="W70" i="16"/>
  <c r="V70" i="16"/>
  <c r="U70" i="16"/>
  <c r="T70" i="16"/>
  <c r="S70" i="16"/>
  <c r="R70" i="16"/>
  <c r="Q70" i="16"/>
  <c r="P70" i="16"/>
  <c r="O70" i="16"/>
  <c r="W69" i="16"/>
  <c r="V69" i="16"/>
  <c r="U69" i="16"/>
  <c r="T69" i="16"/>
  <c r="S69" i="16"/>
  <c r="R69" i="16"/>
  <c r="Q69" i="16"/>
  <c r="P69" i="16"/>
  <c r="O69" i="16"/>
  <c r="W68" i="16"/>
  <c r="V68" i="16"/>
  <c r="U68" i="16"/>
  <c r="T68" i="16"/>
  <c r="S68" i="16"/>
  <c r="R68" i="16"/>
  <c r="Q68" i="16"/>
  <c r="P68" i="16"/>
  <c r="O68" i="16"/>
  <c r="W67" i="16"/>
  <c r="V67" i="16"/>
  <c r="U67" i="16"/>
  <c r="T67" i="16"/>
  <c r="S67" i="16"/>
  <c r="R67" i="16"/>
  <c r="Q67" i="16"/>
  <c r="P67" i="16"/>
  <c r="O67" i="16"/>
  <c r="W66" i="16"/>
  <c r="V66" i="16"/>
  <c r="U66" i="16"/>
  <c r="T66" i="16"/>
  <c r="S66" i="16"/>
  <c r="R66" i="16"/>
  <c r="Q66" i="16"/>
  <c r="P66" i="16"/>
  <c r="O66" i="16"/>
  <c r="W65" i="16"/>
  <c r="V65" i="16"/>
  <c r="U65" i="16"/>
  <c r="T65" i="16"/>
  <c r="S65" i="16"/>
  <c r="R65" i="16"/>
  <c r="Q65" i="16"/>
  <c r="P65" i="16"/>
  <c r="O65" i="16"/>
  <c r="W64" i="16"/>
  <c r="V64" i="16"/>
  <c r="U64" i="16"/>
  <c r="T64" i="16"/>
  <c r="S64" i="16"/>
  <c r="R64" i="16"/>
  <c r="Q64" i="16"/>
  <c r="P64" i="16"/>
  <c r="O64" i="16"/>
  <c r="W63" i="16"/>
  <c r="V63" i="16"/>
  <c r="U63" i="16"/>
  <c r="T63" i="16"/>
  <c r="S63" i="16"/>
  <c r="R63" i="16"/>
  <c r="Q63" i="16"/>
  <c r="P63" i="16"/>
  <c r="O63" i="16"/>
  <c r="W62" i="16"/>
  <c r="V62" i="16"/>
  <c r="U62" i="16"/>
  <c r="T62" i="16"/>
  <c r="S62" i="16"/>
  <c r="R62" i="16"/>
  <c r="Q62" i="16"/>
  <c r="P62" i="16"/>
  <c r="O62" i="16"/>
  <c r="W61" i="16"/>
  <c r="V61" i="16"/>
  <c r="U61" i="16"/>
  <c r="T61" i="16"/>
  <c r="S61" i="16"/>
  <c r="R61" i="16"/>
  <c r="Q61" i="16"/>
  <c r="P61" i="16"/>
  <c r="O61" i="16"/>
  <c r="W60" i="16"/>
  <c r="V60" i="16"/>
  <c r="U60" i="16"/>
  <c r="T60" i="16"/>
  <c r="S60" i="16"/>
  <c r="R60" i="16"/>
  <c r="Q60" i="16"/>
  <c r="P60" i="16"/>
  <c r="O60" i="16"/>
  <c r="W59" i="16"/>
  <c r="V59" i="16"/>
  <c r="U59" i="16"/>
  <c r="T59" i="16"/>
  <c r="S59" i="16"/>
  <c r="R59" i="16"/>
  <c r="Q59" i="16"/>
  <c r="P59" i="16"/>
  <c r="O59" i="16"/>
  <c r="W58" i="16"/>
  <c r="V58" i="16"/>
  <c r="U58" i="16"/>
  <c r="T58" i="16"/>
  <c r="S58" i="16"/>
  <c r="R58" i="16"/>
  <c r="Q58" i="16"/>
  <c r="P58" i="16"/>
  <c r="O58" i="16"/>
  <c r="W57" i="16"/>
  <c r="V57" i="16"/>
  <c r="U57" i="16"/>
  <c r="T57" i="16"/>
  <c r="S57" i="16"/>
  <c r="R57" i="16"/>
  <c r="Q57" i="16"/>
  <c r="P57" i="16"/>
  <c r="O57" i="16"/>
  <c r="W56" i="16"/>
  <c r="V56" i="16"/>
  <c r="U56" i="16"/>
  <c r="T56" i="16"/>
  <c r="S56" i="16"/>
  <c r="R56" i="16"/>
  <c r="Q56" i="16"/>
  <c r="P56" i="16"/>
  <c r="O56" i="16"/>
  <c r="W55" i="16"/>
  <c r="V55" i="16"/>
  <c r="U55" i="16"/>
  <c r="T55" i="16"/>
  <c r="S55" i="16"/>
  <c r="R55" i="16"/>
  <c r="Q55" i="16"/>
  <c r="P55" i="16"/>
  <c r="O55" i="16"/>
  <c r="W54" i="16"/>
  <c r="V54" i="16"/>
  <c r="U54" i="16"/>
  <c r="T54" i="16"/>
  <c r="S54" i="16"/>
  <c r="R54" i="16"/>
  <c r="Q54" i="16"/>
  <c r="P54" i="16"/>
  <c r="O54" i="16"/>
  <c r="W53" i="16"/>
  <c r="V53" i="16"/>
  <c r="U53" i="16"/>
  <c r="T53" i="16"/>
  <c r="S53" i="16"/>
  <c r="R53" i="16"/>
  <c r="Q53" i="16"/>
  <c r="P53" i="16"/>
  <c r="O53" i="16"/>
  <c r="W52" i="16"/>
  <c r="V52" i="16"/>
  <c r="U52" i="16"/>
  <c r="T52" i="16"/>
  <c r="S52" i="16"/>
  <c r="R52" i="16"/>
  <c r="Q52" i="16"/>
  <c r="P52" i="16"/>
  <c r="O52" i="16"/>
  <c r="W51" i="16"/>
  <c r="V51" i="16"/>
  <c r="U51" i="16"/>
  <c r="T51" i="16"/>
  <c r="S51" i="16"/>
  <c r="R51" i="16"/>
  <c r="Q51" i="16"/>
  <c r="P51" i="16"/>
  <c r="O51" i="16"/>
  <c r="W50" i="16"/>
  <c r="V50" i="16"/>
  <c r="U50" i="16"/>
  <c r="T50" i="16"/>
  <c r="S50" i="16"/>
  <c r="R50" i="16"/>
  <c r="Q50" i="16"/>
  <c r="P50" i="16"/>
  <c r="O50" i="16"/>
  <c r="W49" i="16"/>
  <c r="V49" i="16"/>
  <c r="U49" i="16"/>
  <c r="T49" i="16"/>
  <c r="S49" i="16"/>
  <c r="R49" i="16"/>
  <c r="Q49" i="16"/>
  <c r="P49" i="16"/>
  <c r="O49" i="16"/>
  <c r="W48" i="16"/>
  <c r="V48" i="16"/>
  <c r="U48" i="16"/>
  <c r="T48" i="16"/>
  <c r="S48" i="16"/>
  <c r="R48" i="16"/>
  <c r="Q48" i="16"/>
  <c r="P48" i="16"/>
  <c r="O48" i="16"/>
  <c r="W47" i="16"/>
  <c r="V47" i="16"/>
  <c r="U47" i="16"/>
  <c r="T47" i="16"/>
  <c r="S47" i="16"/>
  <c r="R47" i="16"/>
  <c r="Q47" i="16"/>
  <c r="P47" i="16"/>
  <c r="O47" i="16"/>
  <c r="W46" i="16"/>
  <c r="V46" i="16"/>
  <c r="U46" i="16"/>
  <c r="T46" i="16"/>
  <c r="S46" i="16"/>
  <c r="R46" i="16"/>
  <c r="Q46" i="16"/>
  <c r="P46" i="16"/>
  <c r="O46" i="16"/>
  <c r="W45" i="16"/>
  <c r="V45" i="16"/>
  <c r="U45" i="16"/>
  <c r="T45" i="16"/>
  <c r="S45" i="16"/>
  <c r="R45" i="16"/>
  <c r="Q45" i="16"/>
  <c r="P45" i="16"/>
  <c r="O45" i="16"/>
  <c r="W44" i="16"/>
  <c r="V44" i="16"/>
  <c r="U44" i="16"/>
  <c r="T44" i="16"/>
  <c r="S44" i="16"/>
  <c r="R44" i="16"/>
  <c r="Q44" i="16"/>
  <c r="P44" i="16"/>
  <c r="O44" i="16"/>
  <c r="W43" i="16"/>
  <c r="V43" i="16"/>
  <c r="U43" i="16"/>
  <c r="T43" i="16"/>
  <c r="S43" i="16"/>
  <c r="R43" i="16"/>
  <c r="Q43" i="16"/>
  <c r="P43" i="16"/>
  <c r="O43" i="16"/>
  <c r="W42" i="16"/>
  <c r="V42" i="16"/>
  <c r="U42" i="16"/>
  <c r="T42" i="16"/>
  <c r="S42" i="16"/>
  <c r="R42" i="16"/>
  <c r="Q42" i="16"/>
  <c r="P42" i="16"/>
  <c r="O42" i="16"/>
  <c r="W41" i="16"/>
  <c r="V41" i="16"/>
  <c r="U41" i="16"/>
  <c r="T41" i="16"/>
  <c r="S41" i="16"/>
  <c r="R41" i="16"/>
  <c r="Q41" i="16"/>
  <c r="P41" i="16"/>
  <c r="O41" i="16"/>
  <c r="W40" i="16"/>
  <c r="V40" i="16"/>
  <c r="U40" i="16"/>
  <c r="T40" i="16"/>
  <c r="S40" i="16"/>
  <c r="R40" i="16"/>
  <c r="Q40" i="16"/>
  <c r="P40" i="16"/>
  <c r="O40" i="16"/>
  <c r="W39" i="16"/>
  <c r="V39" i="16"/>
  <c r="U39" i="16"/>
  <c r="T39" i="16"/>
  <c r="S39" i="16"/>
  <c r="R39" i="16"/>
  <c r="Q39" i="16"/>
  <c r="P39" i="16"/>
  <c r="O39" i="16"/>
  <c r="W38" i="16"/>
  <c r="V38" i="16"/>
  <c r="U38" i="16"/>
  <c r="T38" i="16"/>
  <c r="S38" i="16"/>
  <c r="R38" i="16"/>
  <c r="Q38" i="16"/>
  <c r="P38" i="16"/>
  <c r="O38" i="16"/>
  <c r="W37" i="16"/>
  <c r="V37" i="16"/>
  <c r="U37" i="16"/>
  <c r="T37" i="16"/>
  <c r="S37" i="16"/>
  <c r="R37" i="16"/>
  <c r="Q37" i="16"/>
  <c r="P37" i="16"/>
  <c r="O37" i="16"/>
  <c r="W36" i="16"/>
  <c r="V36" i="16"/>
  <c r="U36" i="16"/>
  <c r="T36" i="16"/>
  <c r="S36" i="16"/>
  <c r="R36" i="16"/>
  <c r="Q36" i="16"/>
  <c r="P36" i="16"/>
  <c r="O36" i="16"/>
  <c r="W35" i="16"/>
  <c r="V35" i="16"/>
  <c r="U35" i="16"/>
  <c r="T35" i="16"/>
  <c r="S35" i="16"/>
  <c r="R35" i="16"/>
  <c r="Q35" i="16"/>
  <c r="P35" i="16"/>
  <c r="O35" i="16"/>
  <c r="W34" i="16"/>
  <c r="V34" i="16"/>
  <c r="U34" i="16"/>
  <c r="T34" i="16"/>
  <c r="S34" i="16"/>
  <c r="R34" i="16"/>
  <c r="Q34" i="16"/>
  <c r="P34" i="16"/>
  <c r="O34" i="16"/>
  <c r="W33" i="16"/>
  <c r="V33" i="16"/>
  <c r="U33" i="16"/>
  <c r="T33" i="16"/>
  <c r="S33" i="16"/>
  <c r="R33" i="16"/>
  <c r="Q33" i="16"/>
  <c r="P33" i="16"/>
  <c r="O33" i="16"/>
  <c r="W32" i="16"/>
  <c r="V32" i="16"/>
  <c r="U32" i="16"/>
  <c r="T32" i="16"/>
  <c r="S32" i="16"/>
  <c r="R32" i="16"/>
  <c r="Q32" i="16"/>
  <c r="P32" i="16"/>
  <c r="O32" i="16"/>
  <c r="W31" i="16"/>
  <c r="V31" i="16"/>
  <c r="U31" i="16"/>
  <c r="T31" i="16"/>
  <c r="S31" i="16"/>
  <c r="R31" i="16"/>
  <c r="Q31" i="16"/>
  <c r="P31" i="16"/>
  <c r="O31" i="16"/>
  <c r="W30" i="16"/>
  <c r="V30" i="16"/>
  <c r="U30" i="16"/>
  <c r="T30" i="16"/>
  <c r="S30" i="16"/>
  <c r="R30" i="16"/>
  <c r="Q30" i="16"/>
  <c r="P30" i="16"/>
  <c r="O30" i="16"/>
  <c r="W29" i="16"/>
  <c r="V29" i="16"/>
  <c r="U29" i="16"/>
  <c r="T29" i="16"/>
  <c r="S29" i="16"/>
  <c r="R29" i="16"/>
  <c r="Q29" i="16"/>
  <c r="P29" i="16"/>
  <c r="O29" i="16"/>
  <c r="W28" i="16"/>
  <c r="V28" i="16"/>
  <c r="U28" i="16"/>
  <c r="T28" i="16"/>
  <c r="S28" i="16"/>
  <c r="R28" i="16"/>
  <c r="Q28" i="16"/>
  <c r="P28" i="16"/>
  <c r="O28" i="16"/>
  <c r="W27" i="16"/>
  <c r="V27" i="16"/>
  <c r="U27" i="16"/>
  <c r="T27" i="16"/>
  <c r="S27" i="16"/>
  <c r="R27" i="16"/>
  <c r="Q27" i="16"/>
  <c r="P27" i="16"/>
  <c r="O27" i="16"/>
  <c r="W26" i="16"/>
  <c r="V26" i="16"/>
  <c r="U26" i="16"/>
  <c r="T26" i="16"/>
  <c r="S26" i="16"/>
  <c r="R26" i="16"/>
  <c r="Q26" i="16"/>
  <c r="P26" i="16"/>
  <c r="O26" i="16"/>
  <c r="W25" i="16"/>
  <c r="V25" i="16"/>
  <c r="U25" i="16"/>
  <c r="T25" i="16"/>
  <c r="S25" i="16"/>
  <c r="R25" i="16"/>
  <c r="Q25" i="16"/>
  <c r="P25" i="16"/>
  <c r="O25" i="16"/>
  <c r="W24" i="16"/>
  <c r="V24" i="16"/>
  <c r="U24" i="16"/>
  <c r="T24" i="16"/>
  <c r="S24" i="16"/>
  <c r="R24" i="16"/>
  <c r="Q24" i="16"/>
  <c r="P24" i="16"/>
  <c r="O24" i="16"/>
  <c r="W23" i="16"/>
  <c r="V23" i="16"/>
  <c r="U23" i="16"/>
  <c r="T23" i="16"/>
  <c r="S23" i="16"/>
  <c r="R23" i="16"/>
  <c r="Q23" i="16"/>
  <c r="P23" i="16"/>
  <c r="O23" i="16"/>
  <c r="W22" i="16"/>
  <c r="V22" i="16"/>
  <c r="U22" i="16"/>
  <c r="T22" i="16"/>
  <c r="S22" i="16"/>
  <c r="R22" i="16"/>
  <c r="Q22" i="16"/>
  <c r="P22" i="16"/>
  <c r="O22" i="16"/>
  <c r="W21" i="16"/>
  <c r="V21" i="16"/>
  <c r="U21" i="16"/>
  <c r="T21" i="16"/>
  <c r="S21" i="16"/>
  <c r="R21" i="16"/>
  <c r="Q21" i="16"/>
  <c r="P21" i="16"/>
  <c r="O21" i="16"/>
  <c r="W20" i="16"/>
  <c r="V20" i="16"/>
  <c r="U20" i="16"/>
  <c r="T20" i="16"/>
  <c r="S20" i="16"/>
  <c r="R20" i="16"/>
  <c r="Q20" i="16"/>
  <c r="P20" i="16"/>
  <c r="O20" i="16"/>
  <c r="W19" i="16"/>
  <c r="V19" i="16"/>
  <c r="U19" i="16"/>
  <c r="T19" i="16"/>
  <c r="S19" i="16"/>
  <c r="R19" i="16"/>
  <c r="Q19" i="16"/>
  <c r="P19" i="16"/>
  <c r="O19" i="16"/>
  <c r="W18" i="16"/>
  <c r="V18" i="16"/>
  <c r="U18" i="16"/>
  <c r="T18" i="16"/>
  <c r="S18" i="16"/>
  <c r="R18" i="16"/>
  <c r="Q18" i="16"/>
  <c r="P18" i="16"/>
  <c r="O18" i="16"/>
  <c r="W17" i="16"/>
  <c r="V17" i="16"/>
  <c r="U17" i="16"/>
  <c r="T17" i="16"/>
  <c r="S17" i="16"/>
  <c r="R17" i="16"/>
  <c r="Q17" i="16"/>
  <c r="P17" i="16"/>
  <c r="O17" i="16"/>
  <c r="W16" i="16"/>
  <c r="V16" i="16"/>
  <c r="U16" i="16"/>
  <c r="T16" i="16"/>
  <c r="S16" i="16"/>
  <c r="R16" i="16"/>
  <c r="Q16" i="16"/>
  <c r="P16" i="16"/>
  <c r="O16" i="16"/>
  <c r="W15" i="16"/>
  <c r="V15" i="16"/>
  <c r="U15" i="16"/>
  <c r="T15" i="16"/>
  <c r="S15" i="16"/>
  <c r="R15" i="16"/>
  <c r="Q15" i="16"/>
  <c r="P15" i="16"/>
  <c r="O15" i="16"/>
  <c r="W14" i="16"/>
  <c r="V14" i="16"/>
  <c r="U14" i="16"/>
  <c r="T14" i="16"/>
  <c r="S14" i="16"/>
  <c r="R14" i="16"/>
  <c r="Q14" i="16"/>
  <c r="P14" i="16"/>
  <c r="O14" i="16"/>
  <c r="W13" i="16"/>
  <c r="V13" i="16"/>
  <c r="U13" i="16"/>
  <c r="T13" i="16"/>
  <c r="S13" i="16"/>
  <c r="R13" i="16"/>
  <c r="Q13" i="16"/>
  <c r="P13" i="16"/>
  <c r="O13" i="16"/>
  <c r="W12" i="16"/>
  <c r="V12" i="16"/>
  <c r="U12" i="16"/>
  <c r="T12" i="16"/>
  <c r="S12" i="16"/>
  <c r="R12" i="16"/>
  <c r="Q12" i="16"/>
  <c r="P12" i="16"/>
  <c r="O12" i="16"/>
  <c r="W11" i="16"/>
  <c r="V11" i="16"/>
  <c r="U11" i="16"/>
  <c r="T11" i="16"/>
  <c r="S11" i="16"/>
  <c r="R11" i="16"/>
  <c r="Q11" i="16"/>
  <c r="P11" i="16"/>
  <c r="O11" i="16"/>
  <c r="W10" i="16"/>
  <c r="V10" i="16"/>
  <c r="U10" i="16"/>
  <c r="T10" i="16"/>
  <c r="S10" i="16"/>
  <c r="R10" i="16"/>
  <c r="Q10" i="16"/>
  <c r="P10" i="16"/>
  <c r="O10" i="16"/>
  <c r="W9" i="16"/>
  <c r="V9" i="16"/>
  <c r="U9" i="16"/>
  <c r="T9" i="16"/>
  <c r="S9" i="16"/>
  <c r="R9" i="16"/>
  <c r="Q9" i="16"/>
  <c r="P9" i="16"/>
  <c r="O9" i="16"/>
  <c r="W8" i="16"/>
  <c r="V8" i="16"/>
  <c r="U8" i="16"/>
  <c r="T8" i="16"/>
  <c r="S8" i="16"/>
  <c r="R8" i="16"/>
  <c r="Q8" i="16"/>
  <c r="P8" i="16"/>
  <c r="O8" i="16"/>
  <c r="W7" i="16"/>
  <c r="V7" i="16"/>
  <c r="U7" i="16"/>
  <c r="T7" i="16"/>
  <c r="S7" i="16"/>
  <c r="R7" i="16"/>
  <c r="Q7" i="16"/>
  <c r="P7" i="16"/>
  <c r="O7" i="16"/>
  <c r="W6" i="16"/>
  <c r="V6" i="16"/>
  <c r="U6" i="16"/>
  <c r="T6" i="16"/>
  <c r="S6" i="16"/>
  <c r="R6" i="16"/>
  <c r="Q6" i="16"/>
  <c r="P6" i="16"/>
  <c r="O6" i="16"/>
  <c r="W5" i="16"/>
  <c r="V5" i="16"/>
  <c r="U5" i="16"/>
  <c r="T5" i="16"/>
  <c r="S5" i="16"/>
  <c r="R5" i="16"/>
  <c r="Q5" i="16"/>
  <c r="P5" i="16"/>
  <c r="O5" i="16"/>
  <c r="W121" i="16" l="1"/>
  <c r="W123" i="16"/>
  <c r="W126" i="16"/>
  <c r="W122" i="16"/>
  <c r="W124" i="16"/>
  <c r="W125" i="16"/>
  <c r="T114" i="16"/>
  <c r="T115" i="16"/>
  <c r="T116" i="16"/>
  <c r="P121" i="16"/>
  <c r="P122" i="16"/>
  <c r="P123" i="16"/>
  <c r="P124" i="16"/>
  <c r="P125" i="16"/>
  <c r="P126" i="16"/>
  <c r="U114" i="16"/>
  <c r="U115" i="16"/>
  <c r="U116" i="16"/>
  <c r="Q121" i="16"/>
  <c r="Q122" i="16"/>
  <c r="Q123" i="16"/>
  <c r="Q124" i="16"/>
  <c r="Q125" i="16"/>
  <c r="Q126" i="16"/>
  <c r="V114" i="16"/>
  <c r="V115" i="16"/>
  <c r="V116" i="16"/>
  <c r="R121" i="16"/>
  <c r="R122" i="16"/>
  <c r="R123" i="16"/>
  <c r="R124" i="16"/>
  <c r="R125" i="16"/>
  <c r="R126" i="16"/>
  <c r="O115" i="16"/>
  <c r="O114" i="16"/>
  <c r="O116" i="16"/>
  <c r="W114" i="16"/>
  <c r="W116" i="16"/>
  <c r="W115" i="16"/>
  <c r="S123" i="16"/>
  <c r="S124" i="16"/>
  <c r="S126" i="16"/>
  <c r="S122" i="16"/>
  <c r="S121" i="16"/>
  <c r="S125" i="16"/>
  <c r="P116" i="16"/>
  <c r="P114" i="16"/>
  <c r="P115" i="16"/>
  <c r="T123" i="16"/>
  <c r="T125" i="16"/>
  <c r="T121" i="16"/>
  <c r="T122" i="16"/>
  <c r="T124" i="16"/>
  <c r="T126" i="16"/>
  <c r="Q114" i="16"/>
  <c r="Q115" i="16"/>
  <c r="Q116" i="16"/>
  <c r="U121" i="16"/>
  <c r="U122" i="16"/>
  <c r="U123" i="16"/>
  <c r="U124" i="16"/>
  <c r="U125" i="16"/>
  <c r="U126" i="16"/>
  <c r="S114" i="16"/>
  <c r="S116" i="16"/>
  <c r="S115" i="16"/>
  <c r="O126" i="16"/>
  <c r="O122" i="16"/>
  <c r="O125" i="16"/>
  <c r="O123" i="16"/>
  <c r="O124" i="16"/>
  <c r="O121" i="16"/>
  <c r="R115" i="16"/>
  <c r="R114" i="16"/>
  <c r="R116" i="16"/>
  <c r="V121" i="16"/>
  <c r="V122" i="16"/>
  <c r="V123" i="16"/>
  <c r="V124" i="16"/>
  <c r="V125" i="16"/>
  <c r="V126" i="16"/>
  <c r="M68" i="16"/>
  <c r="L68" i="16"/>
  <c r="K68" i="16"/>
  <c r="J68" i="16"/>
  <c r="I68" i="16"/>
  <c r="H68" i="16"/>
  <c r="G68" i="16"/>
  <c r="F68" i="16"/>
  <c r="E68" i="16"/>
  <c r="M67" i="16"/>
  <c r="L67" i="16"/>
  <c r="K67" i="16"/>
  <c r="J67" i="16"/>
  <c r="I67" i="16"/>
  <c r="H67" i="16"/>
  <c r="G67" i="16"/>
  <c r="F67" i="16"/>
  <c r="E67" i="16"/>
  <c r="M66" i="16"/>
  <c r="L66" i="16"/>
  <c r="K66" i="16"/>
  <c r="J66" i="16"/>
  <c r="I66" i="16"/>
  <c r="H66" i="16"/>
  <c r="G66" i="16"/>
  <c r="F66" i="16"/>
  <c r="E66" i="16"/>
  <c r="M65" i="16"/>
  <c r="L65" i="16"/>
  <c r="K65" i="16"/>
  <c r="J65" i="16"/>
  <c r="I65" i="16"/>
  <c r="H65" i="16"/>
  <c r="G65" i="16"/>
  <c r="F65" i="16"/>
  <c r="E65" i="16"/>
  <c r="M64" i="16"/>
  <c r="L64" i="16"/>
  <c r="K64" i="16"/>
  <c r="J64" i="16"/>
  <c r="I64" i="16"/>
  <c r="H64" i="16"/>
  <c r="G64" i="16"/>
  <c r="F64" i="16"/>
  <c r="E64" i="16"/>
  <c r="M63" i="16"/>
  <c r="L63" i="16"/>
  <c r="K63" i="16"/>
  <c r="J63" i="16"/>
  <c r="I63" i="16"/>
  <c r="H63" i="16"/>
  <c r="G63" i="16"/>
  <c r="F63" i="16"/>
  <c r="E63" i="16"/>
  <c r="M62" i="16"/>
  <c r="L62" i="16"/>
  <c r="K62" i="16"/>
  <c r="J62" i="16"/>
  <c r="I62" i="16"/>
  <c r="H62" i="16"/>
  <c r="G62" i="16"/>
  <c r="F62" i="16"/>
  <c r="E62" i="16"/>
  <c r="M61" i="16"/>
  <c r="L61" i="16"/>
  <c r="K61" i="16"/>
  <c r="J61" i="16"/>
  <c r="I61" i="16"/>
  <c r="H61" i="16"/>
  <c r="G61" i="16"/>
  <c r="F61" i="16"/>
  <c r="E61" i="16"/>
  <c r="M60" i="16"/>
  <c r="L60" i="16"/>
  <c r="K60" i="16"/>
  <c r="J60" i="16"/>
  <c r="I60" i="16"/>
  <c r="H60" i="16"/>
  <c r="G60" i="16"/>
  <c r="F60" i="16"/>
  <c r="E60" i="16"/>
  <c r="M59" i="16"/>
  <c r="L59" i="16"/>
  <c r="K59" i="16"/>
  <c r="J59" i="16"/>
  <c r="I59" i="16"/>
  <c r="H59" i="16"/>
  <c r="G59" i="16"/>
  <c r="F59" i="16"/>
  <c r="E59" i="16"/>
  <c r="M58" i="16"/>
  <c r="L58" i="16"/>
  <c r="K58" i="16"/>
  <c r="J58" i="16"/>
  <c r="I58" i="16"/>
  <c r="H58" i="16"/>
  <c r="G58" i="16"/>
  <c r="F58" i="16"/>
  <c r="E58" i="16"/>
  <c r="M57" i="16"/>
  <c r="L57" i="16"/>
  <c r="K57" i="16"/>
  <c r="J57" i="16"/>
  <c r="I57" i="16"/>
  <c r="H57" i="16"/>
  <c r="G57" i="16"/>
  <c r="F57" i="16"/>
  <c r="E57" i="16"/>
  <c r="M56" i="16"/>
  <c r="L56" i="16"/>
  <c r="K56" i="16"/>
  <c r="J56" i="16"/>
  <c r="I56" i="16"/>
  <c r="H56" i="16"/>
  <c r="G56" i="16"/>
  <c r="F56" i="16"/>
  <c r="E56" i="16"/>
  <c r="M55" i="16"/>
  <c r="L55" i="16"/>
  <c r="K55" i="16"/>
  <c r="J55" i="16"/>
  <c r="I55" i="16"/>
  <c r="H55" i="16"/>
  <c r="G55" i="16"/>
  <c r="F55" i="16"/>
  <c r="E55" i="16"/>
  <c r="M54" i="16"/>
  <c r="L54" i="16"/>
  <c r="K54" i="16"/>
  <c r="J54" i="16"/>
  <c r="I54" i="16"/>
  <c r="H54" i="16"/>
  <c r="G54" i="16"/>
  <c r="F54" i="16"/>
  <c r="E54" i="16"/>
  <c r="M53" i="16"/>
  <c r="L53" i="16"/>
  <c r="K53" i="16"/>
  <c r="J53" i="16"/>
  <c r="I53" i="16"/>
  <c r="H53" i="16"/>
  <c r="G53" i="16"/>
  <c r="F53" i="16"/>
  <c r="E53" i="16"/>
  <c r="M52" i="16"/>
  <c r="L52" i="16"/>
  <c r="K52" i="16"/>
  <c r="J52" i="16"/>
  <c r="I52" i="16"/>
  <c r="H52" i="16"/>
  <c r="G52" i="16"/>
  <c r="F52" i="16"/>
  <c r="E52" i="16"/>
  <c r="M51" i="16"/>
  <c r="L51" i="16"/>
  <c r="K51" i="16"/>
  <c r="J51" i="16"/>
  <c r="I51" i="16"/>
  <c r="H51" i="16"/>
  <c r="G51" i="16"/>
  <c r="F51" i="16"/>
  <c r="E51" i="16"/>
  <c r="M50" i="16"/>
  <c r="L50" i="16"/>
  <c r="K50" i="16"/>
  <c r="J50" i="16"/>
  <c r="I50" i="16"/>
  <c r="H50" i="16"/>
  <c r="G50" i="16"/>
  <c r="F50" i="16"/>
  <c r="E50" i="16"/>
  <c r="M49" i="16"/>
  <c r="L49" i="16"/>
  <c r="K49" i="16"/>
  <c r="J49" i="16"/>
  <c r="I49" i="16"/>
  <c r="H49" i="16"/>
  <c r="G49" i="16"/>
  <c r="F49" i="16"/>
  <c r="E49" i="16"/>
  <c r="M48" i="16"/>
  <c r="L48" i="16"/>
  <c r="K48" i="16"/>
  <c r="J48" i="16"/>
  <c r="I48" i="16"/>
  <c r="H48" i="16"/>
  <c r="G48" i="16"/>
  <c r="F48" i="16"/>
  <c r="E48" i="16"/>
  <c r="M47" i="16"/>
  <c r="L47" i="16"/>
  <c r="K47" i="16"/>
  <c r="J47" i="16"/>
  <c r="I47" i="16"/>
  <c r="H47" i="16"/>
  <c r="G47" i="16"/>
  <c r="F47" i="16"/>
  <c r="E47" i="16"/>
  <c r="M46" i="16"/>
  <c r="L46" i="16"/>
  <c r="K46" i="16"/>
  <c r="J46" i="16"/>
  <c r="I46" i="16"/>
  <c r="H46" i="16"/>
  <c r="G46" i="16"/>
  <c r="F46" i="16"/>
  <c r="E46" i="16"/>
  <c r="M45" i="16"/>
  <c r="L45" i="16"/>
  <c r="K45" i="16"/>
  <c r="J45" i="16"/>
  <c r="I45" i="16"/>
  <c r="H45" i="16"/>
  <c r="G45" i="16"/>
  <c r="F45" i="16"/>
  <c r="E45" i="16"/>
  <c r="M44" i="16"/>
  <c r="L44" i="16"/>
  <c r="K44" i="16"/>
  <c r="J44" i="16"/>
  <c r="I44" i="16"/>
  <c r="H44" i="16"/>
  <c r="G44" i="16"/>
  <c r="F44" i="16"/>
  <c r="E44" i="16"/>
  <c r="M43" i="16"/>
  <c r="L43" i="16"/>
  <c r="K43" i="16"/>
  <c r="J43" i="16"/>
  <c r="I43" i="16"/>
  <c r="H43" i="16"/>
  <c r="G43" i="16"/>
  <c r="F43" i="16"/>
  <c r="E43" i="16"/>
  <c r="M42" i="16"/>
  <c r="L42" i="16"/>
  <c r="K42" i="16"/>
  <c r="J42" i="16"/>
  <c r="I42" i="16"/>
  <c r="H42" i="16"/>
  <c r="G42" i="16"/>
  <c r="F42" i="16"/>
  <c r="E42" i="16"/>
  <c r="M41" i="16"/>
  <c r="L41" i="16"/>
  <c r="K41" i="16"/>
  <c r="J41" i="16"/>
  <c r="I41" i="16"/>
  <c r="H41" i="16"/>
  <c r="G41" i="16"/>
  <c r="F41" i="16"/>
  <c r="E41" i="16"/>
  <c r="M40" i="16"/>
  <c r="L40" i="16"/>
  <c r="K40" i="16"/>
  <c r="J40" i="16"/>
  <c r="I40" i="16"/>
  <c r="H40" i="16"/>
  <c r="G40" i="16"/>
  <c r="F40" i="16"/>
  <c r="E40" i="16"/>
  <c r="M39" i="16"/>
  <c r="L39" i="16"/>
  <c r="K39" i="16"/>
  <c r="J39" i="16"/>
  <c r="I39" i="16"/>
  <c r="H39" i="16"/>
  <c r="G39" i="16"/>
  <c r="F39" i="16"/>
  <c r="E39" i="16"/>
  <c r="M38" i="16"/>
  <c r="L38" i="16"/>
  <c r="K38" i="16"/>
  <c r="J38" i="16"/>
  <c r="I38" i="16"/>
  <c r="H38" i="16"/>
  <c r="G38" i="16"/>
  <c r="F38" i="16"/>
  <c r="E38" i="16"/>
  <c r="M37" i="16"/>
  <c r="L37" i="16"/>
  <c r="K37" i="16"/>
  <c r="J37" i="16"/>
  <c r="I37" i="16"/>
  <c r="H37" i="16"/>
  <c r="G37" i="16"/>
  <c r="F37" i="16"/>
  <c r="E37" i="16"/>
  <c r="M36" i="16"/>
  <c r="L36" i="16"/>
  <c r="K36" i="16"/>
  <c r="J36" i="16"/>
  <c r="I36" i="16"/>
  <c r="H36" i="16"/>
  <c r="G36" i="16"/>
  <c r="F36" i="16"/>
  <c r="E36" i="16"/>
  <c r="M35" i="16"/>
  <c r="L35" i="16"/>
  <c r="K35" i="16"/>
  <c r="J35" i="16"/>
  <c r="I35" i="16"/>
  <c r="H35" i="16"/>
  <c r="G35" i="16"/>
  <c r="F35" i="16"/>
  <c r="E35" i="16"/>
  <c r="M34" i="16"/>
  <c r="L34" i="16"/>
  <c r="K34" i="16"/>
  <c r="J34" i="16"/>
  <c r="I34" i="16"/>
  <c r="H34" i="16"/>
  <c r="G34" i="16"/>
  <c r="F34" i="16"/>
  <c r="E34" i="16"/>
  <c r="M33" i="16"/>
  <c r="L33" i="16"/>
  <c r="K33" i="16"/>
  <c r="J33" i="16"/>
  <c r="I33" i="16"/>
  <c r="H33" i="16"/>
  <c r="G33" i="16"/>
  <c r="F33" i="16"/>
  <c r="E33" i="16"/>
  <c r="M32" i="16"/>
  <c r="L32" i="16"/>
  <c r="K32" i="16"/>
  <c r="J32" i="16"/>
  <c r="I32" i="16"/>
  <c r="H32" i="16"/>
  <c r="G32" i="16"/>
  <c r="F32" i="16"/>
  <c r="E32" i="16"/>
  <c r="M31" i="16"/>
  <c r="L31" i="16"/>
  <c r="K31" i="16"/>
  <c r="J31" i="16"/>
  <c r="I31" i="16"/>
  <c r="H31" i="16"/>
  <c r="G31" i="16"/>
  <c r="F31" i="16"/>
  <c r="E31" i="16"/>
  <c r="M30" i="16"/>
  <c r="L30" i="16"/>
  <c r="K30" i="16"/>
  <c r="J30" i="16"/>
  <c r="I30" i="16"/>
  <c r="H30" i="16"/>
  <c r="G30" i="16"/>
  <c r="F30" i="16"/>
  <c r="E30" i="16"/>
  <c r="M29" i="16"/>
  <c r="L29" i="16"/>
  <c r="K29" i="16"/>
  <c r="J29" i="16"/>
  <c r="I29" i="16"/>
  <c r="H29" i="16"/>
  <c r="G29" i="16"/>
  <c r="F29" i="16"/>
  <c r="E29" i="16"/>
  <c r="M28" i="16"/>
  <c r="L28" i="16"/>
  <c r="K28" i="16"/>
  <c r="J28" i="16"/>
  <c r="I28" i="16"/>
  <c r="H28" i="16"/>
  <c r="G28" i="16"/>
  <c r="F28" i="16"/>
  <c r="E28" i="16"/>
  <c r="M27" i="16"/>
  <c r="L27" i="16"/>
  <c r="K27" i="16"/>
  <c r="J27" i="16"/>
  <c r="I27" i="16"/>
  <c r="H27" i="16"/>
  <c r="G27" i="16"/>
  <c r="F27" i="16"/>
  <c r="E27" i="16"/>
  <c r="M26" i="16"/>
  <c r="L26" i="16"/>
  <c r="K26" i="16"/>
  <c r="J26" i="16"/>
  <c r="I26" i="16"/>
  <c r="H26" i="16"/>
  <c r="G26" i="16"/>
  <c r="F26" i="16"/>
  <c r="E26" i="16"/>
  <c r="M25" i="16"/>
  <c r="L25" i="16"/>
  <c r="K25" i="16"/>
  <c r="J25" i="16"/>
  <c r="I25" i="16"/>
  <c r="H25" i="16"/>
  <c r="G25" i="16"/>
  <c r="F25" i="16"/>
  <c r="E25" i="16"/>
  <c r="M24" i="16"/>
  <c r="L24" i="16"/>
  <c r="K24" i="16"/>
  <c r="J24" i="16"/>
  <c r="I24" i="16"/>
  <c r="H24" i="16"/>
  <c r="G24" i="16"/>
  <c r="F24" i="16"/>
  <c r="E24" i="16"/>
  <c r="M23" i="16"/>
  <c r="L23" i="16"/>
  <c r="K23" i="16"/>
  <c r="J23" i="16"/>
  <c r="I23" i="16"/>
  <c r="H23" i="16"/>
  <c r="G23" i="16"/>
  <c r="F23" i="16"/>
  <c r="E23" i="16"/>
  <c r="M22" i="16"/>
  <c r="L22" i="16"/>
  <c r="K22" i="16"/>
  <c r="J22" i="16"/>
  <c r="I22" i="16"/>
  <c r="H22" i="16"/>
  <c r="G22" i="16"/>
  <c r="F22" i="16"/>
  <c r="E22" i="16"/>
  <c r="M21" i="16"/>
  <c r="L21" i="16"/>
  <c r="K21" i="16"/>
  <c r="J21" i="16"/>
  <c r="I21" i="16"/>
  <c r="H21" i="16"/>
  <c r="G21" i="16"/>
  <c r="F21" i="16"/>
  <c r="E21" i="16"/>
  <c r="M20" i="16"/>
  <c r="L20" i="16"/>
  <c r="K20" i="16"/>
  <c r="J20" i="16"/>
  <c r="I20" i="16"/>
  <c r="H20" i="16"/>
  <c r="G20" i="16"/>
  <c r="F20" i="16"/>
  <c r="E20" i="16"/>
  <c r="M19" i="16"/>
  <c r="L19" i="16"/>
  <c r="K19" i="16"/>
  <c r="J19" i="16"/>
  <c r="I19" i="16"/>
  <c r="H19" i="16"/>
  <c r="G19" i="16"/>
  <c r="F19" i="16"/>
  <c r="E19" i="16"/>
  <c r="M18" i="16"/>
  <c r="L18" i="16"/>
  <c r="K18" i="16"/>
  <c r="J18" i="16"/>
  <c r="I18" i="16"/>
  <c r="H18" i="16"/>
  <c r="G18" i="16"/>
  <c r="F18" i="16"/>
  <c r="E18" i="16"/>
  <c r="M17" i="16"/>
  <c r="L17" i="16"/>
  <c r="K17" i="16"/>
  <c r="J17" i="16"/>
  <c r="I17" i="16"/>
  <c r="H17" i="16"/>
  <c r="G17" i="16"/>
  <c r="F17" i="16"/>
  <c r="E17" i="16"/>
  <c r="M16" i="16"/>
  <c r="L16" i="16"/>
  <c r="K16" i="16"/>
  <c r="J16" i="16"/>
  <c r="I16" i="16"/>
  <c r="H16" i="16"/>
  <c r="G16" i="16"/>
  <c r="F16" i="16"/>
  <c r="E16" i="16"/>
  <c r="M15" i="16"/>
  <c r="L15" i="16"/>
  <c r="K15" i="16"/>
  <c r="J15" i="16"/>
  <c r="I15" i="16"/>
  <c r="H15" i="16"/>
  <c r="G15" i="16"/>
  <c r="F15" i="16"/>
  <c r="E15" i="16"/>
  <c r="M14" i="16"/>
  <c r="L14" i="16"/>
  <c r="K14" i="16"/>
  <c r="J14" i="16"/>
  <c r="I14" i="16"/>
  <c r="H14" i="16"/>
  <c r="G14" i="16"/>
  <c r="F14" i="16"/>
  <c r="E14" i="16"/>
  <c r="M13" i="16"/>
  <c r="L13" i="16"/>
  <c r="K13" i="16"/>
  <c r="J13" i="16"/>
  <c r="I13" i="16"/>
  <c r="H13" i="16"/>
  <c r="G13" i="16"/>
  <c r="F13" i="16"/>
  <c r="E13" i="16"/>
  <c r="M12" i="16"/>
  <c r="L12" i="16"/>
  <c r="K12" i="16"/>
  <c r="J12" i="16"/>
  <c r="I12" i="16"/>
  <c r="H12" i="16"/>
  <c r="G12" i="16"/>
  <c r="F12" i="16"/>
  <c r="E12" i="16"/>
  <c r="M11" i="16"/>
  <c r="L11" i="16"/>
  <c r="K11" i="16"/>
  <c r="J11" i="16"/>
  <c r="I11" i="16"/>
  <c r="H11" i="16"/>
  <c r="G11" i="16"/>
  <c r="F11" i="16"/>
  <c r="E11" i="16"/>
  <c r="M10" i="16"/>
  <c r="L10" i="16"/>
  <c r="K10" i="16"/>
  <c r="J10" i="16"/>
  <c r="I10" i="16"/>
  <c r="H10" i="16"/>
  <c r="G10" i="16"/>
  <c r="F10" i="16"/>
  <c r="E10" i="16"/>
  <c r="M9" i="16"/>
  <c r="L9" i="16"/>
  <c r="K9" i="16"/>
  <c r="J9" i="16"/>
  <c r="I9" i="16"/>
  <c r="H9" i="16"/>
  <c r="G9" i="16"/>
  <c r="F9" i="16"/>
  <c r="E9" i="16"/>
  <c r="M8" i="16"/>
  <c r="L8" i="16"/>
  <c r="K8" i="16"/>
  <c r="J8" i="16"/>
  <c r="I8" i="16"/>
  <c r="H8" i="16"/>
  <c r="G8" i="16"/>
  <c r="F8" i="16"/>
  <c r="E8" i="16"/>
  <c r="M7" i="16"/>
  <c r="L7" i="16"/>
  <c r="K7" i="16"/>
  <c r="J7" i="16"/>
  <c r="I7" i="16"/>
  <c r="H7" i="16"/>
  <c r="G7" i="16"/>
  <c r="F7" i="16"/>
  <c r="E7" i="16"/>
  <c r="M6" i="16"/>
  <c r="L6" i="16"/>
  <c r="K6" i="16"/>
  <c r="J6" i="16"/>
  <c r="I6" i="16"/>
  <c r="H6" i="16"/>
  <c r="G6" i="16"/>
  <c r="F6" i="16"/>
  <c r="E6" i="16"/>
  <c r="M5" i="16"/>
  <c r="L5" i="16"/>
  <c r="K5" i="16"/>
  <c r="J5" i="16"/>
  <c r="I5" i="16"/>
  <c r="H5" i="16"/>
  <c r="G5" i="16"/>
  <c r="F5" i="16"/>
  <c r="E5" i="16"/>
  <c r="M139" i="16"/>
  <c r="L139" i="16"/>
  <c r="K139" i="16"/>
  <c r="J139" i="16"/>
  <c r="I139" i="16"/>
  <c r="H139" i="16"/>
  <c r="G139" i="16"/>
  <c r="F139" i="16"/>
  <c r="E139" i="16"/>
  <c r="I149" i="16" s="1"/>
  <c r="M138" i="16"/>
  <c r="L138" i="16"/>
  <c r="K138" i="16"/>
  <c r="J138" i="16"/>
  <c r="I138" i="16"/>
  <c r="H138" i="16"/>
  <c r="G138" i="16"/>
  <c r="F138" i="16"/>
  <c r="E138" i="16"/>
  <c r="M137" i="16"/>
  <c r="L137" i="16"/>
  <c r="K137" i="16"/>
  <c r="J137" i="16"/>
  <c r="I137" i="16"/>
  <c r="H137" i="16"/>
  <c r="G137" i="16"/>
  <c r="F137" i="16"/>
  <c r="E137" i="16"/>
  <c r="M136" i="16"/>
  <c r="L136" i="16"/>
  <c r="K136" i="16"/>
  <c r="J136" i="16"/>
  <c r="I136" i="16"/>
  <c r="H136" i="16"/>
  <c r="G136" i="16"/>
  <c r="F136" i="16"/>
  <c r="E136" i="16"/>
  <c r="M135" i="16"/>
  <c r="L135" i="16"/>
  <c r="K135" i="16"/>
  <c r="J135" i="16"/>
  <c r="I135" i="16"/>
  <c r="H135" i="16"/>
  <c r="G135" i="16"/>
  <c r="F135" i="16"/>
  <c r="E135" i="16"/>
  <c r="M134" i="16"/>
  <c r="L134" i="16"/>
  <c r="K134" i="16"/>
  <c r="J134" i="16"/>
  <c r="I134" i="16"/>
  <c r="H134" i="16"/>
  <c r="G134" i="16"/>
  <c r="F134" i="16"/>
  <c r="E134" i="16"/>
  <c r="M133" i="16"/>
  <c r="L133" i="16"/>
  <c r="K133" i="16"/>
  <c r="J133" i="16"/>
  <c r="I133" i="16"/>
  <c r="H133" i="16"/>
  <c r="G133" i="16"/>
  <c r="F133" i="16"/>
  <c r="E133" i="16"/>
  <c r="M132" i="16"/>
  <c r="L132" i="16"/>
  <c r="K132" i="16"/>
  <c r="J132" i="16"/>
  <c r="I132" i="16"/>
  <c r="H132" i="16"/>
  <c r="G132" i="16"/>
  <c r="F132" i="16"/>
  <c r="E132" i="16"/>
  <c r="M131" i="16"/>
  <c r="L131" i="16"/>
  <c r="K131" i="16"/>
  <c r="J131" i="16"/>
  <c r="I131" i="16"/>
  <c r="H131" i="16"/>
  <c r="G131" i="16"/>
  <c r="F131" i="16"/>
  <c r="E131" i="16"/>
  <c r="M130" i="16"/>
  <c r="L130" i="16"/>
  <c r="K130" i="16"/>
  <c r="J130" i="16"/>
  <c r="I130" i="16"/>
  <c r="H130" i="16"/>
  <c r="G130" i="16"/>
  <c r="F130" i="16"/>
  <c r="E130" i="16"/>
  <c r="M129" i="16"/>
  <c r="L129" i="16"/>
  <c r="K129" i="16"/>
  <c r="J129" i="16"/>
  <c r="I129" i="16"/>
  <c r="H129" i="16"/>
  <c r="G129" i="16"/>
  <c r="F129" i="16"/>
  <c r="E129" i="16"/>
  <c r="M128" i="16"/>
  <c r="L128" i="16"/>
  <c r="K128" i="16"/>
  <c r="J128" i="16"/>
  <c r="I128" i="16"/>
  <c r="H128" i="16"/>
  <c r="G128" i="16"/>
  <c r="F128" i="16"/>
  <c r="E128" i="16"/>
  <c r="M127" i="16"/>
  <c r="L127" i="16"/>
  <c r="K127" i="16"/>
  <c r="J127" i="16"/>
  <c r="I127" i="16"/>
  <c r="H127" i="16"/>
  <c r="G127" i="16"/>
  <c r="F127" i="16"/>
  <c r="E127" i="16"/>
  <c r="M120" i="16"/>
  <c r="L120" i="16"/>
  <c r="K120" i="16"/>
  <c r="J120" i="16"/>
  <c r="I120" i="16"/>
  <c r="H120" i="16"/>
  <c r="G120" i="16"/>
  <c r="F120" i="16"/>
  <c r="E120" i="16"/>
  <c r="M119" i="16"/>
  <c r="L119" i="16"/>
  <c r="K119" i="16"/>
  <c r="J119" i="16"/>
  <c r="I119" i="16"/>
  <c r="H119" i="16"/>
  <c r="G119" i="16"/>
  <c r="F119" i="16"/>
  <c r="E119" i="16"/>
  <c r="M118" i="16"/>
  <c r="L118" i="16"/>
  <c r="K118" i="16"/>
  <c r="J118" i="16"/>
  <c r="I118" i="16"/>
  <c r="H118" i="16"/>
  <c r="G118" i="16"/>
  <c r="F118" i="16"/>
  <c r="E118" i="16"/>
  <c r="M117" i="16"/>
  <c r="L117" i="16"/>
  <c r="K117" i="16"/>
  <c r="J117" i="16"/>
  <c r="I117" i="16"/>
  <c r="H117" i="16"/>
  <c r="G117" i="16"/>
  <c r="F117" i="16"/>
  <c r="E117" i="16"/>
  <c r="M113" i="16"/>
  <c r="L113" i="16"/>
  <c r="K113" i="16"/>
  <c r="J113" i="16"/>
  <c r="I113" i="16"/>
  <c r="H113" i="16"/>
  <c r="G113" i="16"/>
  <c r="F113" i="16"/>
  <c r="E113" i="16"/>
  <c r="M112" i="16"/>
  <c r="L112" i="16"/>
  <c r="K112" i="16"/>
  <c r="J112" i="16"/>
  <c r="I112" i="16"/>
  <c r="H112" i="16"/>
  <c r="G112" i="16"/>
  <c r="F112" i="16"/>
  <c r="E112" i="16"/>
  <c r="M111" i="16"/>
  <c r="L111" i="16"/>
  <c r="K111" i="16"/>
  <c r="J111" i="16"/>
  <c r="I111" i="16"/>
  <c r="H111" i="16"/>
  <c r="G111" i="16"/>
  <c r="F111" i="16"/>
  <c r="E111" i="16"/>
  <c r="M110" i="16"/>
  <c r="L110" i="16"/>
  <c r="K110" i="16"/>
  <c r="J110" i="16"/>
  <c r="I110" i="16"/>
  <c r="H110" i="16"/>
  <c r="G110" i="16"/>
  <c r="F110" i="16"/>
  <c r="E110" i="16"/>
  <c r="M109" i="16"/>
  <c r="L109" i="16"/>
  <c r="K109" i="16"/>
  <c r="J109" i="16"/>
  <c r="I109" i="16"/>
  <c r="H109" i="16"/>
  <c r="G109" i="16"/>
  <c r="F109" i="16"/>
  <c r="E109" i="16"/>
  <c r="M108" i="16"/>
  <c r="L108" i="16"/>
  <c r="K108" i="16"/>
  <c r="J108" i="16"/>
  <c r="I108" i="16"/>
  <c r="H108" i="16"/>
  <c r="G108" i="16"/>
  <c r="F108" i="16"/>
  <c r="E108" i="16"/>
  <c r="M107" i="16"/>
  <c r="L107" i="16"/>
  <c r="K107" i="16"/>
  <c r="J107" i="16"/>
  <c r="I107" i="16"/>
  <c r="H107" i="16"/>
  <c r="G107" i="16"/>
  <c r="F107" i="16"/>
  <c r="E107" i="16"/>
  <c r="M106" i="16"/>
  <c r="L106" i="16"/>
  <c r="K106" i="16"/>
  <c r="J106" i="16"/>
  <c r="I106" i="16"/>
  <c r="H106" i="16"/>
  <c r="G106" i="16"/>
  <c r="F106" i="16"/>
  <c r="E106" i="16"/>
  <c r="M105" i="16"/>
  <c r="L105" i="16"/>
  <c r="K105" i="16"/>
  <c r="J105" i="16"/>
  <c r="I105" i="16"/>
  <c r="H105" i="16"/>
  <c r="G105" i="16"/>
  <c r="F105" i="16"/>
  <c r="E105" i="16"/>
  <c r="M104" i="16"/>
  <c r="L104" i="16"/>
  <c r="K104" i="16"/>
  <c r="J104" i="16"/>
  <c r="I104" i="16"/>
  <c r="H104" i="16"/>
  <c r="G104" i="16"/>
  <c r="F104" i="16"/>
  <c r="E104" i="16"/>
  <c r="M103" i="16"/>
  <c r="L103" i="16"/>
  <c r="K103" i="16"/>
  <c r="J103" i="16"/>
  <c r="I103" i="16"/>
  <c r="H103" i="16"/>
  <c r="G103" i="16"/>
  <c r="F103" i="16"/>
  <c r="E103" i="16"/>
  <c r="M102" i="16"/>
  <c r="L102" i="16"/>
  <c r="K102" i="16"/>
  <c r="J102" i="16"/>
  <c r="I102" i="16"/>
  <c r="H102" i="16"/>
  <c r="G102" i="16"/>
  <c r="F102" i="16"/>
  <c r="E102" i="16"/>
  <c r="M101" i="16"/>
  <c r="L101" i="16"/>
  <c r="K101" i="16"/>
  <c r="J101" i="16"/>
  <c r="I101" i="16"/>
  <c r="H101" i="16"/>
  <c r="G101" i="16"/>
  <c r="F101" i="16"/>
  <c r="E101" i="16"/>
  <c r="M100" i="16"/>
  <c r="L100" i="16"/>
  <c r="K100" i="16"/>
  <c r="J100" i="16"/>
  <c r="I100" i="16"/>
  <c r="H100" i="16"/>
  <c r="G100" i="16"/>
  <c r="F100" i="16"/>
  <c r="E100" i="16"/>
  <c r="M99" i="16"/>
  <c r="L99" i="16"/>
  <c r="K99" i="16"/>
  <c r="J99" i="16"/>
  <c r="I99" i="16"/>
  <c r="H99" i="16"/>
  <c r="G99" i="16"/>
  <c r="F99" i="16"/>
  <c r="E99" i="16"/>
  <c r="M98" i="16"/>
  <c r="L98" i="16"/>
  <c r="K98" i="16"/>
  <c r="J98" i="16"/>
  <c r="I98" i="16"/>
  <c r="H98" i="16"/>
  <c r="G98" i="16"/>
  <c r="F98" i="16"/>
  <c r="E98" i="16"/>
  <c r="M97" i="16"/>
  <c r="L97" i="16"/>
  <c r="K97" i="16"/>
  <c r="J97" i="16"/>
  <c r="I97" i="16"/>
  <c r="H97" i="16"/>
  <c r="G97" i="16"/>
  <c r="F97" i="16"/>
  <c r="E97" i="16"/>
  <c r="M96" i="16"/>
  <c r="L96" i="16"/>
  <c r="K96" i="16"/>
  <c r="J96" i="16"/>
  <c r="I96" i="16"/>
  <c r="H96" i="16"/>
  <c r="G96" i="16"/>
  <c r="F96" i="16"/>
  <c r="E96" i="16"/>
  <c r="M95" i="16"/>
  <c r="L95" i="16"/>
  <c r="K95" i="16"/>
  <c r="J95" i="16"/>
  <c r="I95" i="16"/>
  <c r="H95" i="16"/>
  <c r="G95" i="16"/>
  <c r="F95" i="16"/>
  <c r="E95" i="16"/>
  <c r="M94" i="16"/>
  <c r="L94" i="16"/>
  <c r="K94" i="16"/>
  <c r="J94" i="16"/>
  <c r="I94" i="16"/>
  <c r="H94" i="16"/>
  <c r="G94" i="16"/>
  <c r="F94" i="16"/>
  <c r="E94" i="16"/>
  <c r="M93" i="16"/>
  <c r="L93" i="16"/>
  <c r="K93" i="16"/>
  <c r="J93" i="16"/>
  <c r="I93" i="16"/>
  <c r="H93" i="16"/>
  <c r="G93" i="16"/>
  <c r="F93" i="16"/>
  <c r="E93" i="16"/>
  <c r="M92" i="16"/>
  <c r="L92" i="16"/>
  <c r="K92" i="16"/>
  <c r="J92" i="16"/>
  <c r="I92" i="16"/>
  <c r="H92" i="16"/>
  <c r="G92" i="16"/>
  <c r="F92" i="16"/>
  <c r="E92" i="16"/>
  <c r="M91" i="16"/>
  <c r="L91" i="16"/>
  <c r="K91" i="16"/>
  <c r="J91" i="16"/>
  <c r="I91" i="16"/>
  <c r="H91" i="16"/>
  <c r="G91" i="16"/>
  <c r="F91" i="16"/>
  <c r="E91" i="16"/>
  <c r="M90" i="16"/>
  <c r="L90" i="16"/>
  <c r="K90" i="16"/>
  <c r="J90" i="16"/>
  <c r="I90" i="16"/>
  <c r="H90" i="16"/>
  <c r="G90" i="16"/>
  <c r="F90" i="16"/>
  <c r="E90" i="16"/>
  <c r="M89" i="16"/>
  <c r="L89" i="16"/>
  <c r="K89" i="16"/>
  <c r="J89" i="16"/>
  <c r="I89" i="16"/>
  <c r="H89" i="16"/>
  <c r="G89" i="16"/>
  <c r="F89" i="16"/>
  <c r="E89" i="16"/>
  <c r="M88" i="16"/>
  <c r="L88" i="16"/>
  <c r="K88" i="16"/>
  <c r="J88" i="16"/>
  <c r="I88" i="16"/>
  <c r="H88" i="16"/>
  <c r="G88" i="16"/>
  <c r="F88" i="16"/>
  <c r="E88" i="16"/>
  <c r="M87" i="16"/>
  <c r="L87" i="16"/>
  <c r="K87" i="16"/>
  <c r="J87" i="16"/>
  <c r="I87" i="16"/>
  <c r="H87" i="16"/>
  <c r="G87" i="16"/>
  <c r="F87" i="16"/>
  <c r="E87" i="16"/>
  <c r="M86" i="16"/>
  <c r="L86" i="16"/>
  <c r="K86" i="16"/>
  <c r="J86" i="16"/>
  <c r="I86" i="16"/>
  <c r="H86" i="16"/>
  <c r="G86" i="16"/>
  <c r="F86" i="16"/>
  <c r="E86" i="16"/>
  <c r="M85" i="16"/>
  <c r="L85" i="16"/>
  <c r="K85" i="16"/>
  <c r="J85" i="16"/>
  <c r="I85" i="16"/>
  <c r="H85" i="16"/>
  <c r="G85" i="16"/>
  <c r="F85" i="16"/>
  <c r="E85" i="16"/>
  <c r="M84" i="16"/>
  <c r="L84" i="16"/>
  <c r="K84" i="16"/>
  <c r="J84" i="16"/>
  <c r="I84" i="16"/>
  <c r="H84" i="16"/>
  <c r="G84" i="16"/>
  <c r="F84" i="16"/>
  <c r="E84" i="16"/>
  <c r="M83" i="16"/>
  <c r="L83" i="16"/>
  <c r="K83" i="16"/>
  <c r="J83" i="16"/>
  <c r="I83" i="16"/>
  <c r="H83" i="16"/>
  <c r="G83" i="16"/>
  <c r="F83" i="16"/>
  <c r="E83" i="16"/>
  <c r="M82" i="16"/>
  <c r="L82" i="16"/>
  <c r="K82" i="16"/>
  <c r="J82" i="16"/>
  <c r="I82" i="16"/>
  <c r="H82" i="16"/>
  <c r="G82" i="16"/>
  <c r="F82" i="16"/>
  <c r="E82" i="16"/>
  <c r="M81" i="16"/>
  <c r="L81" i="16"/>
  <c r="K81" i="16"/>
  <c r="J81" i="16"/>
  <c r="I81" i="16"/>
  <c r="H81" i="16"/>
  <c r="G81" i="16"/>
  <c r="F81" i="16"/>
  <c r="E81" i="16"/>
  <c r="M80" i="16"/>
  <c r="L80" i="16"/>
  <c r="K80" i="16"/>
  <c r="J80" i="16"/>
  <c r="I80" i="16"/>
  <c r="H80" i="16"/>
  <c r="G80" i="16"/>
  <c r="F80" i="16"/>
  <c r="E80" i="16"/>
  <c r="M79" i="16"/>
  <c r="L79" i="16"/>
  <c r="K79" i="16"/>
  <c r="J79" i="16"/>
  <c r="I79" i="16"/>
  <c r="H79" i="16"/>
  <c r="G79" i="16"/>
  <c r="F79" i="16"/>
  <c r="E79" i="16"/>
  <c r="M78" i="16"/>
  <c r="L78" i="16"/>
  <c r="K78" i="16"/>
  <c r="J78" i="16"/>
  <c r="I78" i="16"/>
  <c r="H78" i="16"/>
  <c r="G78" i="16"/>
  <c r="F78" i="16"/>
  <c r="E78" i="16"/>
  <c r="M77" i="16"/>
  <c r="L77" i="16"/>
  <c r="K77" i="16"/>
  <c r="J77" i="16"/>
  <c r="I77" i="16"/>
  <c r="H77" i="16"/>
  <c r="G77" i="16"/>
  <c r="F77" i="16"/>
  <c r="E77" i="16"/>
  <c r="M76" i="16"/>
  <c r="L76" i="16"/>
  <c r="K76" i="16"/>
  <c r="J76" i="16"/>
  <c r="I76" i="16"/>
  <c r="H76" i="16"/>
  <c r="G76" i="16"/>
  <c r="F76" i="16"/>
  <c r="E76" i="16"/>
  <c r="M75" i="16"/>
  <c r="L75" i="16"/>
  <c r="K75" i="16"/>
  <c r="J75" i="16"/>
  <c r="I75" i="16"/>
  <c r="H75" i="16"/>
  <c r="G75" i="16"/>
  <c r="F75" i="16"/>
  <c r="E75" i="16"/>
  <c r="M74" i="16"/>
  <c r="L74" i="16"/>
  <c r="K74" i="16"/>
  <c r="J74" i="16"/>
  <c r="I74" i="16"/>
  <c r="H74" i="16"/>
  <c r="G74" i="16"/>
  <c r="F74" i="16"/>
  <c r="E74" i="16"/>
  <c r="M73" i="16"/>
  <c r="L73" i="16"/>
  <c r="K73" i="16"/>
  <c r="J73" i="16"/>
  <c r="I73" i="16"/>
  <c r="H73" i="16"/>
  <c r="G73" i="16"/>
  <c r="F73" i="16"/>
  <c r="E73" i="16"/>
  <c r="M72" i="16"/>
  <c r="L72" i="16"/>
  <c r="K72" i="16"/>
  <c r="J72" i="16"/>
  <c r="I72" i="16"/>
  <c r="H72" i="16"/>
  <c r="G72" i="16"/>
  <c r="F72" i="16"/>
  <c r="E72" i="16"/>
  <c r="M71" i="16"/>
  <c r="L71" i="16"/>
  <c r="K71" i="16"/>
  <c r="J71" i="16"/>
  <c r="I71" i="16"/>
  <c r="H71" i="16"/>
  <c r="G71" i="16"/>
  <c r="F71" i="16"/>
  <c r="E71" i="16"/>
  <c r="M70" i="16"/>
  <c r="L70" i="16"/>
  <c r="K70" i="16"/>
  <c r="J70" i="16"/>
  <c r="I70" i="16"/>
  <c r="H70" i="16"/>
  <c r="G70" i="16"/>
  <c r="F70" i="16"/>
  <c r="E70" i="16"/>
  <c r="M69" i="16"/>
  <c r="L69" i="16"/>
  <c r="K69" i="16"/>
  <c r="J69" i="16"/>
  <c r="I69" i="16"/>
  <c r="H69" i="16"/>
  <c r="G69" i="16"/>
  <c r="F69" i="16"/>
  <c r="E69" i="16"/>
  <c r="E124" i="16" l="1"/>
  <c r="E123" i="16"/>
  <c r="E122" i="16"/>
  <c r="E121" i="16"/>
  <c r="E126" i="16"/>
  <c r="E125" i="16"/>
  <c r="J116" i="16"/>
  <c r="J115" i="16"/>
  <c r="J114" i="16"/>
  <c r="F126" i="16"/>
  <c r="F121" i="16"/>
  <c r="F122" i="16"/>
  <c r="F123" i="16"/>
  <c r="F124" i="16"/>
  <c r="F125" i="16"/>
  <c r="K114" i="16"/>
  <c r="K115" i="16"/>
  <c r="K116" i="16"/>
  <c r="G122" i="16"/>
  <c r="G124" i="16"/>
  <c r="G126" i="16"/>
  <c r="G121" i="16"/>
  <c r="G123" i="16"/>
  <c r="G125" i="16"/>
  <c r="H114" i="16"/>
  <c r="H115" i="16"/>
  <c r="H116" i="16"/>
  <c r="I114" i="16"/>
  <c r="I115" i="16"/>
  <c r="I116" i="16"/>
  <c r="L114" i="16"/>
  <c r="L115" i="16"/>
  <c r="L116" i="16"/>
  <c r="H121" i="16"/>
  <c r="H122" i="16"/>
  <c r="H123" i="16"/>
  <c r="H124" i="16"/>
  <c r="H125" i="16"/>
  <c r="H126" i="16"/>
  <c r="E115" i="16"/>
  <c r="E114" i="16"/>
  <c r="E116" i="16"/>
  <c r="M115" i="16"/>
  <c r="M114" i="16"/>
  <c r="M116" i="16"/>
  <c r="I121" i="16"/>
  <c r="I122" i="16"/>
  <c r="I123" i="16"/>
  <c r="I124" i="16"/>
  <c r="I125" i="16"/>
  <c r="I126" i="16"/>
  <c r="F115" i="16"/>
  <c r="F114" i="16"/>
  <c r="F116" i="16"/>
  <c r="J121" i="16"/>
  <c r="J122" i="16"/>
  <c r="J123" i="16"/>
  <c r="J124" i="16"/>
  <c r="J125" i="16"/>
  <c r="J126" i="16"/>
  <c r="L123" i="16"/>
  <c r="L126" i="16"/>
  <c r="L121" i="16"/>
  <c r="L125" i="16"/>
  <c r="L122" i="16"/>
  <c r="L124" i="16"/>
  <c r="M121" i="16"/>
  <c r="M122" i="16"/>
  <c r="M123" i="16"/>
  <c r="M124" i="16"/>
  <c r="M125" i="16"/>
  <c r="M126" i="16"/>
  <c r="G114" i="16"/>
  <c r="G115" i="16"/>
  <c r="G116" i="16"/>
  <c r="K122" i="16"/>
  <c r="K125" i="16"/>
  <c r="K123" i="16"/>
  <c r="K126" i="16"/>
  <c r="K121" i="16"/>
  <c r="K124" i="16"/>
  <c r="W126" i="15"/>
  <c r="V126" i="15"/>
  <c r="U126" i="15"/>
  <c r="T126" i="15"/>
  <c r="S126" i="15"/>
  <c r="R126" i="15"/>
  <c r="Q126" i="15"/>
  <c r="P126" i="15"/>
  <c r="O126" i="15"/>
  <c r="M126" i="15"/>
  <c r="L126" i="15"/>
  <c r="K126" i="15"/>
  <c r="J126" i="15"/>
  <c r="I126" i="15"/>
  <c r="H126" i="15"/>
  <c r="G126" i="15"/>
  <c r="F126" i="15"/>
  <c r="E126" i="15"/>
  <c r="W125" i="15"/>
  <c r="V125" i="15"/>
  <c r="U125" i="15"/>
  <c r="T125" i="15"/>
  <c r="S125" i="15"/>
  <c r="R125" i="15"/>
  <c r="Q125" i="15"/>
  <c r="P125" i="15"/>
  <c r="O125" i="15"/>
  <c r="M125" i="15"/>
  <c r="L125" i="15"/>
  <c r="K125" i="15"/>
  <c r="J125" i="15"/>
  <c r="I125" i="15"/>
  <c r="H125" i="15"/>
  <c r="G125" i="15"/>
  <c r="F125" i="15"/>
  <c r="E125" i="15"/>
  <c r="W124" i="15"/>
  <c r="V124" i="15"/>
  <c r="U124" i="15"/>
  <c r="T124" i="15"/>
  <c r="S124" i="15"/>
  <c r="R124" i="15"/>
  <c r="Q124" i="15"/>
  <c r="P124" i="15"/>
  <c r="O124" i="15"/>
  <c r="M124" i="15"/>
  <c r="L124" i="15"/>
  <c r="K124" i="15"/>
  <c r="J124" i="15"/>
  <c r="I124" i="15"/>
  <c r="H124" i="15"/>
  <c r="G124" i="15"/>
  <c r="F124" i="15"/>
  <c r="E124" i="15"/>
  <c r="W123" i="15"/>
  <c r="V123" i="15"/>
  <c r="U123" i="15"/>
  <c r="T123" i="15"/>
  <c r="S123" i="15"/>
  <c r="R123" i="15"/>
  <c r="Q123" i="15"/>
  <c r="P123" i="15"/>
  <c r="O123" i="15"/>
  <c r="M123" i="15"/>
  <c r="L123" i="15"/>
  <c r="K123" i="15"/>
  <c r="J123" i="15"/>
  <c r="I123" i="15"/>
  <c r="H123" i="15"/>
  <c r="G123" i="15"/>
  <c r="F123" i="15"/>
  <c r="E123" i="15"/>
  <c r="W122" i="15"/>
  <c r="V122" i="15"/>
  <c r="U122" i="15"/>
  <c r="T122" i="15"/>
  <c r="S122" i="15"/>
  <c r="R122" i="15"/>
  <c r="Q122" i="15"/>
  <c r="P122" i="15"/>
  <c r="O122" i="15"/>
  <c r="M122" i="15"/>
  <c r="L122" i="15"/>
  <c r="K122" i="15"/>
  <c r="J122" i="15"/>
  <c r="I122" i="15"/>
  <c r="H122" i="15"/>
  <c r="G122" i="15"/>
  <c r="F122" i="15"/>
  <c r="E122" i="15"/>
  <c r="W121" i="15"/>
  <c r="V121" i="15"/>
  <c r="U121" i="15"/>
  <c r="T121" i="15"/>
  <c r="S121" i="15"/>
  <c r="R121" i="15"/>
  <c r="Q121" i="15"/>
  <c r="P121" i="15"/>
  <c r="O121" i="15"/>
  <c r="M121" i="15"/>
  <c r="L121" i="15"/>
  <c r="K121" i="15"/>
  <c r="J121" i="15"/>
  <c r="I121" i="15"/>
  <c r="H121" i="15"/>
  <c r="G121" i="15"/>
  <c r="F121" i="15"/>
  <c r="E121" i="15"/>
  <c r="W116" i="15"/>
  <c r="V116" i="15"/>
  <c r="U116" i="15"/>
  <c r="T116" i="15"/>
  <c r="S116" i="15"/>
  <c r="R116" i="15"/>
  <c r="Q116" i="15"/>
  <c r="P116" i="15"/>
  <c r="O116" i="15"/>
  <c r="M116" i="15"/>
  <c r="L116" i="15"/>
  <c r="K116" i="15"/>
  <c r="J116" i="15"/>
  <c r="I116" i="15"/>
  <c r="H116" i="15"/>
  <c r="G116" i="15"/>
  <c r="F116" i="15"/>
  <c r="E116" i="15"/>
  <c r="W115" i="15"/>
  <c r="V115" i="15"/>
  <c r="U115" i="15"/>
  <c r="T115" i="15"/>
  <c r="S115" i="15"/>
  <c r="R115" i="15"/>
  <c r="Q115" i="15"/>
  <c r="P115" i="15"/>
  <c r="O115" i="15"/>
  <c r="M115" i="15"/>
  <c r="L115" i="15"/>
  <c r="K115" i="15"/>
  <c r="J115" i="15"/>
  <c r="I115" i="15"/>
  <c r="H115" i="15"/>
  <c r="G115" i="15"/>
  <c r="F115" i="15"/>
  <c r="E115" i="15"/>
  <c r="W114" i="15"/>
  <c r="V114" i="15"/>
  <c r="U114" i="15"/>
  <c r="T114" i="15"/>
  <c r="S114" i="15"/>
  <c r="R114" i="15"/>
  <c r="Q114" i="15"/>
  <c r="P114" i="15"/>
  <c r="O114" i="15"/>
  <c r="M114" i="15"/>
  <c r="L114" i="15"/>
  <c r="K114" i="15"/>
  <c r="J114" i="15"/>
  <c r="I114" i="15"/>
  <c r="H114" i="15"/>
  <c r="G114" i="15"/>
  <c r="F114" i="15"/>
  <c r="E114" i="15"/>
  <c r="AA3" i="15"/>
  <c r="AA129" i="15" s="1"/>
  <c r="Z3" i="15"/>
  <c r="Z56" i="15" s="1"/>
  <c r="Y3" i="15"/>
  <c r="Y96" i="15" s="1"/>
  <c r="AA3" i="8"/>
  <c r="AA134" i="8" s="1"/>
  <c r="Y3" i="8"/>
  <c r="Y103" i="8" s="1"/>
  <c r="AA113" i="15" l="1"/>
  <c r="Z64" i="15"/>
  <c r="AA131" i="15"/>
  <c r="AA116" i="15"/>
  <c r="AA112" i="15"/>
  <c r="AA121" i="15"/>
  <c r="AA122" i="15"/>
  <c r="AA123" i="15"/>
  <c r="AA120" i="15"/>
  <c r="Z58" i="15"/>
  <c r="AA126" i="15"/>
  <c r="Z59" i="15"/>
  <c r="Z9" i="15"/>
  <c r="AA114" i="15"/>
  <c r="AA125" i="15"/>
  <c r="Z49" i="15"/>
  <c r="AA124" i="15"/>
  <c r="Z62" i="15"/>
  <c r="Z63" i="15"/>
  <c r="AA115" i="15"/>
  <c r="Z25" i="15"/>
  <c r="Z29" i="15"/>
  <c r="Z65" i="15"/>
  <c r="Z17" i="15"/>
  <c r="Z27" i="15"/>
  <c r="Z32" i="15"/>
  <c r="Z15" i="15"/>
  <c r="Z26" i="15"/>
  <c r="AA114" i="8"/>
  <c r="Z28" i="15"/>
  <c r="Z33" i="15"/>
  <c r="AA130" i="15"/>
  <c r="Z45" i="15"/>
  <c r="AA131" i="8"/>
  <c r="AA124" i="8"/>
  <c r="AA125" i="8"/>
  <c r="AA132" i="8"/>
  <c r="AA123" i="8"/>
  <c r="Z41" i="15"/>
  <c r="Z42" i="15"/>
  <c r="Z10" i="15"/>
  <c r="Z46" i="15"/>
  <c r="Z11" i="15"/>
  <c r="Z47" i="15"/>
  <c r="Z12" i="15"/>
  <c r="Z48" i="15"/>
  <c r="AA116" i="8"/>
  <c r="Z16" i="15"/>
  <c r="Z57" i="15"/>
  <c r="Y85" i="15"/>
  <c r="Y139" i="15"/>
  <c r="Y101" i="15"/>
  <c r="Y75" i="15"/>
  <c r="Y100" i="15"/>
  <c r="Y73" i="15"/>
  <c r="Y99" i="15"/>
  <c r="Y68" i="15"/>
  <c r="Y98" i="15"/>
  <c r="Y97" i="15"/>
  <c r="Y95" i="15"/>
  <c r="Y94" i="15"/>
  <c r="Y88" i="15"/>
  <c r="Y89" i="15"/>
  <c r="Y105" i="15"/>
  <c r="Y77" i="15"/>
  <c r="Y104" i="15"/>
  <c r="Y76" i="15"/>
  <c r="Y87" i="8"/>
  <c r="Y110" i="15"/>
  <c r="Y88" i="8"/>
  <c r="Y111" i="15"/>
  <c r="Y101" i="8"/>
  <c r="Y102" i="8"/>
  <c r="Y79" i="15"/>
  <c r="Y84" i="15"/>
  <c r="Y80" i="8"/>
  <c r="Y139" i="8"/>
  <c r="Y93" i="8"/>
  <c r="Y92" i="8"/>
  <c r="Y86" i="8"/>
  <c r="Y85" i="8"/>
  <c r="Y86" i="15"/>
  <c r="Y71" i="8"/>
  <c r="Y102" i="15"/>
  <c r="Y74" i="15"/>
  <c r="AA121" i="8"/>
  <c r="AA133" i="8"/>
  <c r="AA122" i="8"/>
  <c r="Z30" i="15"/>
  <c r="Z60" i="15"/>
  <c r="AA115" i="8"/>
  <c r="AA119" i="15"/>
  <c r="AA128" i="15"/>
  <c r="AA127" i="15"/>
  <c r="Z31" i="15"/>
  <c r="Z61" i="15"/>
  <c r="Z13" i="15"/>
  <c r="Z43" i="15"/>
  <c r="Z14" i="15"/>
  <c r="Z44" i="15"/>
  <c r="AA132" i="15"/>
  <c r="Z18" i="15"/>
  <c r="Z34" i="15"/>
  <c r="Z50" i="15"/>
  <c r="Z66" i="15"/>
  <c r="Y87" i="15"/>
  <c r="Y103" i="15"/>
  <c r="AA133" i="15"/>
  <c r="Z35" i="15"/>
  <c r="AA134" i="15"/>
  <c r="Z51" i="15"/>
  <c r="Z52" i="15"/>
  <c r="AA135" i="15"/>
  <c r="Z5" i="15"/>
  <c r="Z21" i="15"/>
  <c r="Z37" i="15"/>
  <c r="Z53" i="15"/>
  <c r="Y69" i="15"/>
  <c r="Y90" i="15"/>
  <c r="Y106" i="15"/>
  <c r="AA136" i="15"/>
  <c r="Z19" i="15"/>
  <c r="Z6" i="15"/>
  <c r="Z22" i="15"/>
  <c r="Z38" i="15"/>
  <c r="Z54" i="15"/>
  <c r="Y70" i="15"/>
  <c r="Y91" i="15"/>
  <c r="Y107" i="15"/>
  <c r="AA117" i="15"/>
  <c r="AA137" i="15"/>
  <c r="Z20" i="15"/>
  <c r="Z7" i="15"/>
  <c r="Z23" i="15"/>
  <c r="Z39" i="15"/>
  <c r="Z55" i="15"/>
  <c r="Y71" i="15"/>
  <c r="Y92" i="15"/>
  <c r="Y108" i="15"/>
  <c r="AA118" i="15"/>
  <c r="Y138" i="15"/>
  <c r="Z67" i="15"/>
  <c r="Z36" i="15"/>
  <c r="Z8" i="15"/>
  <c r="Z24" i="15"/>
  <c r="Z40" i="15"/>
  <c r="Y72" i="15"/>
  <c r="Y93" i="15"/>
  <c r="Y109" i="15"/>
  <c r="Y94" i="8"/>
  <c r="Y78" i="8"/>
  <c r="Y95" i="8"/>
  <c r="AA120" i="8"/>
  <c r="AA130" i="8"/>
  <c r="AA129" i="8"/>
  <c r="AA117" i="8"/>
  <c r="AA126" i="8"/>
  <c r="Y76" i="8"/>
  <c r="Y96" i="8"/>
  <c r="AA128" i="8"/>
  <c r="AA119" i="8"/>
  <c r="Y75" i="8"/>
  <c r="Y97" i="8"/>
  <c r="AA137" i="8"/>
  <c r="AA112" i="8"/>
  <c r="AA113" i="8"/>
  <c r="AA127" i="8"/>
  <c r="Y74" i="8"/>
  <c r="Y98" i="8"/>
  <c r="AA136" i="8"/>
  <c r="Y73" i="8"/>
  <c r="Y99" i="8"/>
  <c r="AA135" i="8"/>
  <c r="AA118" i="8"/>
  <c r="Y77" i="8"/>
  <c r="Y72" i="8"/>
  <c r="Y100" i="8"/>
  <c r="Y104" i="8"/>
  <c r="Y105" i="8"/>
  <c r="Y89" i="8"/>
  <c r="Y69" i="8"/>
  <c r="Y90" i="8"/>
  <c r="Y70" i="8"/>
  <c r="Y91" i="8"/>
  <c r="Y106" i="8"/>
  <c r="Y107" i="8"/>
  <c r="Y108" i="8"/>
  <c r="Y109" i="8"/>
  <c r="Y110" i="8"/>
  <c r="Y111" i="8"/>
  <c r="Y138" i="8"/>
  <c r="Z45" i="8" l="1"/>
  <c r="Z28" i="8" l="1"/>
  <c r="Z10" i="8"/>
  <c r="Z55" i="8"/>
  <c r="Z27" i="8"/>
  <c r="Z9" i="8"/>
  <c r="Z5" i="8"/>
  <c r="Z26" i="8"/>
  <c r="Z8" i="8"/>
  <c r="Z44" i="8"/>
  <c r="Z25" i="8"/>
  <c r="Z43" i="8"/>
  <c r="Z24" i="8"/>
  <c r="Z42" i="8"/>
  <c r="Z23" i="8"/>
  <c r="Z41" i="8"/>
  <c r="Z22" i="8"/>
  <c r="Z40" i="8"/>
  <c r="Z21" i="8"/>
  <c r="Z65" i="8"/>
  <c r="Z64" i="8"/>
  <c r="Z35" i="8"/>
  <c r="Z38" i="8"/>
  <c r="Z19" i="8"/>
  <c r="Z37" i="8"/>
  <c r="Z18" i="8"/>
  <c r="Z63" i="8"/>
  <c r="Z62" i="8"/>
  <c r="Z17" i="8"/>
  <c r="Z34" i="8"/>
  <c r="Z16" i="8"/>
  <c r="Z32" i="8"/>
  <c r="Z58" i="8"/>
  <c r="Z12" i="8"/>
  <c r="Z57" i="8"/>
  <c r="Z11" i="8"/>
  <c r="Z56" i="8"/>
  <c r="Z15" i="8"/>
  <c r="Z29" i="8"/>
  <c r="Z33" i="8"/>
  <c r="Z49" i="8"/>
  <c r="Z59" i="8"/>
  <c r="Z31" i="8"/>
  <c r="Z48" i="8"/>
  <c r="Z7" i="8"/>
  <c r="Z13" i="8"/>
  <c r="Z6" i="8"/>
  <c r="Z39" i="8"/>
  <c r="Z66" i="8"/>
  <c r="Z54" i="8"/>
  <c r="Z53" i="8"/>
  <c r="Z52" i="8"/>
  <c r="Z36" i="8"/>
  <c r="Z20" i="8"/>
  <c r="Z51" i="8"/>
  <c r="Z50" i="8"/>
  <c r="Z47" i="8"/>
  <c r="Z46" i="8"/>
  <c r="Z30" i="8"/>
  <c r="Z14" i="8"/>
  <c r="Z61" i="8"/>
  <c r="R51" i="17" l="1"/>
  <c r="U51" i="17"/>
  <c r="T51" i="17"/>
  <c r="W51" i="17"/>
  <c r="V51" i="17"/>
  <c r="S51" i="17"/>
  <c r="Q51" i="17"/>
  <c r="O51" i="17"/>
  <c r="P51" i="17"/>
  <c r="V31" i="17"/>
  <c r="R31" i="17"/>
  <c r="S31" i="17"/>
  <c r="W31" i="17"/>
  <c r="U31" i="17"/>
  <c r="Q31" i="17"/>
  <c r="P31" i="17"/>
  <c r="O31" i="17"/>
  <c r="T31" i="17"/>
  <c r="V17" i="17"/>
  <c r="U17" i="17"/>
  <c r="S17" i="17"/>
  <c r="P17" i="17"/>
  <c r="W17" i="17"/>
  <c r="Q17" i="17"/>
  <c r="T17" i="17"/>
  <c r="O17" i="17"/>
  <c r="R17" i="17"/>
  <c r="V56" i="17"/>
  <c r="S56" i="17"/>
  <c r="P56" i="17"/>
  <c r="W56" i="17"/>
  <c r="Q56" i="17"/>
  <c r="R56" i="17"/>
  <c r="T56" i="17"/>
  <c r="O56" i="17"/>
  <c r="U56" i="17"/>
  <c r="V63" i="17"/>
  <c r="P63" i="17"/>
  <c r="R63" i="17"/>
  <c r="T63" i="17"/>
  <c r="S63" i="17"/>
  <c r="U63" i="17"/>
  <c r="W63" i="17"/>
  <c r="O63" i="17"/>
  <c r="Q63" i="17"/>
  <c r="R40" i="17"/>
  <c r="S40" i="17"/>
  <c r="V40" i="17"/>
  <c r="U40" i="17"/>
  <c r="P40" i="17"/>
  <c r="Q40" i="17"/>
  <c r="W40" i="17"/>
  <c r="O40" i="17"/>
  <c r="T40" i="17"/>
  <c r="P22" i="17"/>
  <c r="T22" i="17"/>
  <c r="S22" i="17"/>
  <c r="W22" i="17"/>
  <c r="U22" i="17"/>
  <c r="V22" i="17"/>
  <c r="R22" i="17"/>
  <c r="O22" i="17"/>
  <c r="Q22" i="17"/>
  <c r="P21" i="17"/>
  <c r="V21" i="17"/>
  <c r="R21" i="17"/>
  <c r="S21" i="17"/>
  <c r="T21" i="17"/>
  <c r="U21" i="17"/>
  <c r="Q21" i="17"/>
  <c r="O21" i="17"/>
  <c r="W21" i="17"/>
  <c r="V59" i="17"/>
  <c r="P59" i="17"/>
  <c r="S59" i="17"/>
  <c r="T59" i="17"/>
  <c r="U59" i="17"/>
  <c r="Q59" i="17"/>
  <c r="W59" i="17"/>
  <c r="O59" i="17"/>
  <c r="R59" i="17"/>
  <c r="P47" i="17"/>
  <c r="T47" i="17"/>
  <c r="R47" i="17"/>
  <c r="Q47" i="17"/>
  <c r="V47" i="17"/>
  <c r="S47" i="17"/>
  <c r="U47" i="17"/>
  <c r="O47" i="17"/>
  <c r="W47" i="17"/>
  <c r="S52" i="17"/>
  <c r="T52" i="17"/>
  <c r="V52" i="17"/>
  <c r="W52" i="17"/>
  <c r="Q52" i="17"/>
  <c r="R52" i="17"/>
  <c r="U52" i="17"/>
  <c r="O52" i="17"/>
  <c r="P52" i="17"/>
  <c r="R42" i="17"/>
  <c r="Q42" i="17"/>
  <c r="T42" i="17"/>
  <c r="S42" i="17"/>
  <c r="W42" i="17"/>
  <c r="P42" i="17"/>
  <c r="V42" i="17"/>
  <c r="O42" i="17"/>
  <c r="U42" i="17"/>
  <c r="T16" i="17"/>
  <c r="V16" i="17"/>
  <c r="P16" i="17"/>
  <c r="U16" i="17"/>
  <c r="S16" i="17"/>
  <c r="R16" i="17"/>
  <c r="W16" i="17"/>
  <c r="O16" i="17"/>
  <c r="Q16" i="17"/>
  <c r="S35" i="17"/>
  <c r="T35" i="17"/>
  <c r="V35" i="17"/>
  <c r="U35" i="17"/>
  <c r="P35" i="17"/>
  <c r="R35" i="17"/>
  <c r="Q35" i="17"/>
  <c r="O35" i="17"/>
  <c r="W35" i="17"/>
  <c r="T39" i="17"/>
  <c r="R39" i="17"/>
  <c r="P39" i="17"/>
  <c r="Q39" i="17"/>
  <c r="U39" i="17"/>
  <c r="S39" i="17"/>
  <c r="V39" i="17"/>
  <c r="O39" i="17"/>
  <c r="W39" i="17"/>
  <c r="R26" i="17"/>
  <c r="Q26" i="17"/>
  <c r="S26" i="17"/>
  <c r="U26" i="17"/>
  <c r="V26" i="17"/>
  <c r="P26" i="17"/>
  <c r="W26" i="17"/>
  <c r="O26" i="17"/>
  <c r="T26" i="17"/>
  <c r="P45" i="17"/>
  <c r="U45" i="17"/>
  <c r="V45" i="17"/>
  <c r="R45" i="17"/>
  <c r="W45" i="17"/>
  <c r="T45" i="17"/>
  <c r="Q45" i="17"/>
  <c r="O45" i="17"/>
  <c r="S45" i="17"/>
  <c r="Q10" i="17"/>
  <c r="U10" i="17"/>
  <c r="V10" i="17"/>
  <c r="T10" i="17"/>
  <c r="R10" i="17"/>
  <c r="P10" i="17"/>
  <c r="S10" i="17"/>
  <c r="O10" i="17"/>
  <c r="W10" i="17"/>
  <c r="Q15" i="17"/>
  <c r="U15" i="17"/>
  <c r="S15" i="17"/>
  <c r="V15" i="17"/>
  <c r="W15" i="17"/>
  <c r="T15" i="17"/>
  <c r="P15" i="17"/>
  <c r="O15" i="17"/>
  <c r="R15" i="17"/>
  <c r="R44" i="17"/>
  <c r="U44" i="17"/>
  <c r="P44" i="17"/>
  <c r="W44" i="17"/>
  <c r="Q44" i="17"/>
  <c r="T44" i="17"/>
  <c r="S44" i="17"/>
  <c r="O44" i="17"/>
  <c r="V44" i="17"/>
  <c r="V49" i="17"/>
  <c r="U49" i="17"/>
  <c r="S49" i="17"/>
  <c r="W49" i="17"/>
  <c r="P49" i="17"/>
  <c r="R49" i="17"/>
  <c r="T49" i="17"/>
  <c r="O49" i="17"/>
  <c r="Q49" i="17"/>
  <c r="U61" i="17"/>
  <c r="P61" i="17"/>
  <c r="T61" i="17"/>
  <c r="S61" i="17"/>
  <c r="R61" i="17"/>
  <c r="W61" i="17"/>
  <c r="Q61" i="17"/>
  <c r="O61" i="17"/>
  <c r="V61" i="17"/>
  <c r="V12" i="17"/>
  <c r="U12" i="17"/>
  <c r="T12" i="17"/>
  <c r="R12" i="17"/>
  <c r="S12" i="17"/>
  <c r="P12" i="17"/>
  <c r="W12" i="17"/>
  <c r="O12" i="17"/>
  <c r="Q12" i="17"/>
  <c r="S28" i="17"/>
  <c r="R28" i="17"/>
  <c r="Q28" i="17"/>
  <c r="W28" i="17"/>
  <c r="V28" i="17"/>
  <c r="P28" i="17"/>
  <c r="U28" i="17"/>
  <c r="O28" i="17"/>
  <c r="T28" i="17"/>
  <c r="Q54" i="17"/>
  <c r="R54" i="17"/>
  <c r="P54" i="17"/>
  <c r="V54" i="17"/>
  <c r="U54" i="17"/>
  <c r="T54" i="17"/>
  <c r="W54" i="17"/>
  <c r="O54" i="17"/>
  <c r="S54" i="17"/>
  <c r="U19" i="17"/>
  <c r="R19" i="17"/>
  <c r="Q19" i="17"/>
  <c r="S19" i="17"/>
  <c r="V19" i="17"/>
  <c r="T19" i="17"/>
  <c r="W19" i="17"/>
  <c r="O19" i="17"/>
  <c r="P19" i="17"/>
  <c r="W57" i="17"/>
  <c r="P57" i="17"/>
  <c r="Q57" i="17"/>
  <c r="R57" i="17"/>
  <c r="V57" i="17"/>
  <c r="S57" i="17"/>
  <c r="T57" i="17"/>
  <c r="O57" i="17"/>
  <c r="U57" i="17"/>
  <c r="R18" i="17"/>
  <c r="V18" i="17"/>
  <c r="Q18" i="17"/>
  <c r="U18" i="17"/>
  <c r="S18" i="17"/>
  <c r="W18" i="17"/>
  <c r="T18" i="17"/>
  <c r="O18" i="17"/>
  <c r="P18" i="17"/>
  <c r="R64" i="17"/>
  <c r="W64" i="17"/>
  <c r="T64" i="17"/>
  <c r="V64" i="17"/>
  <c r="U64" i="17"/>
  <c r="P64" i="17"/>
  <c r="S64" i="17"/>
  <c r="O64" i="17"/>
  <c r="Q64" i="17"/>
  <c r="T58" i="17"/>
  <c r="U58" i="17"/>
  <c r="S58" i="17"/>
  <c r="Q58" i="17"/>
  <c r="V58" i="17"/>
  <c r="P58" i="17"/>
  <c r="W58" i="17"/>
  <c r="O58" i="17"/>
  <c r="R58" i="17"/>
  <c r="V20" i="17"/>
  <c r="P20" i="17"/>
  <c r="S20" i="17"/>
  <c r="Q20" i="17"/>
  <c r="R20" i="17"/>
  <c r="W20" i="17"/>
  <c r="T20" i="17"/>
  <c r="O20" i="17"/>
  <c r="U20" i="17"/>
  <c r="S13" i="17"/>
  <c r="Q13" i="17"/>
  <c r="P13" i="17"/>
  <c r="T13" i="17"/>
  <c r="V13" i="17"/>
  <c r="U13" i="17"/>
  <c r="W13" i="17"/>
  <c r="O13" i="17"/>
  <c r="R13" i="17"/>
  <c r="T5" i="17"/>
  <c r="W5" i="17"/>
  <c r="R5" i="17"/>
  <c r="U5" i="17"/>
  <c r="P5" i="17"/>
  <c r="S5" i="17"/>
  <c r="V5" i="17"/>
  <c r="O5" i="17"/>
  <c r="Q5" i="17"/>
  <c r="U24" i="17"/>
  <c r="W24" i="17"/>
  <c r="S24" i="17"/>
  <c r="P24" i="17"/>
  <c r="R24" i="17"/>
  <c r="T24" i="17"/>
  <c r="Q24" i="17"/>
  <c r="O24" i="17"/>
  <c r="V24" i="17"/>
  <c r="W38" i="17"/>
  <c r="Q38" i="17"/>
  <c r="P38" i="17"/>
  <c r="S38" i="17"/>
  <c r="U38" i="17"/>
  <c r="V38" i="17"/>
  <c r="T38" i="17"/>
  <c r="O38" i="17"/>
  <c r="R38" i="17"/>
  <c r="V66" i="17"/>
  <c r="P66" i="17"/>
  <c r="R66" i="17"/>
  <c r="W66" i="17"/>
  <c r="Q66" i="17"/>
  <c r="T66" i="17"/>
  <c r="S66" i="17"/>
  <c r="O66" i="17"/>
  <c r="U66" i="17"/>
  <c r="S55" i="17"/>
  <c r="P55" i="17"/>
  <c r="U55" i="17"/>
  <c r="Q55" i="17"/>
  <c r="W55" i="17"/>
  <c r="R55" i="17"/>
  <c r="V55" i="17"/>
  <c r="O55" i="17"/>
  <c r="T55" i="17"/>
  <c r="V67" i="17"/>
  <c r="R67" i="17"/>
  <c r="P67" i="17"/>
  <c r="W67" i="17"/>
  <c r="Q67" i="17"/>
  <c r="S67" i="17"/>
  <c r="T67" i="17"/>
  <c r="O67" i="17"/>
  <c r="U67" i="17"/>
  <c r="R46" i="17"/>
  <c r="U46" i="17"/>
  <c r="T46" i="17"/>
  <c r="P46" i="17"/>
  <c r="S46" i="17"/>
  <c r="Q46" i="17"/>
  <c r="V46" i="17"/>
  <c r="O46" i="17"/>
  <c r="W46" i="17"/>
  <c r="P25" i="17"/>
  <c r="R25" i="17"/>
  <c r="Q25" i="17"/>
  <c r="T25" i="17"/>
  <c r="U25" i="17"/>
  <c r="S25" i="17"/>
  <c r="W25" i="17"/>
  <c r="O25" i="17"/>
  <c r="V25" i="17"/>
  <c r="W7" i="17"/>
  <c r="T7" i="17"/>
  <c r="U7" i="17"/>
  <c r="P7" i="17"/>
  <c r="Q7" i="17"/>
  <c r="R7" i="17"/>
  <c r="S7" i="17"/>
  <c r="O7" i="17"/>
  <c r="V7" i="17"/>
  <c r="P23" i="17"/>
  <c r="V23" i="17"/>
  <c r="U23" i="17"/>
  <c r="T23" i="17"/>
  <c r="S23" i="17"/>
  <c r="R23" i="17"/>
  <c r="W23" i="17"/>
  <c r="O23" i="17"/>
  <c r="Q23" i="17"/>
  <c r="R14" i="17"/>
  <c r="T14" i="17"/>
  <c r="S14" i="17"/>
  <c r="U14" i="17"/>
  <c r="V14" i="17"/>
  <c r="Q14" i="17"/>
  <c r="P14" i="17"/>
  <c r="O14" i="17"/>
  <c r="W14" i="17"/>
  <c r="Q48" i="17"/>
  <c r="V48" i="17"/>
  <c r="U48" i="17"/>
  <c r="R48" i="17"/>
  <c r="S48" i="17"/>
  <c r="T48" i="17"/>
  <c r="P48" i="17"/>
  <c r="O48" i="17"/>
  <c r="W48" i="17"/>
  <c r="W50" i="17"/>
  <c r="Q50" i="17"/>
  <c r="R50" i="17"/>
  <c r="P50" i="17"/>
  <c r="S50" i="17"/>
  <c r="T50" i="17"/>
  <c r="V50" i="17"/>
  <c r="O50" i="17"/>
  <c r="U50" i="17"/>
  <c r="U41" i="17"/>
  <c r="P41" i="17"/>
  <c r="T41" i="17"/>
  <c r="W41" i="17"/>
  <c r="R41" i="17"/>
  <c r="Q41" i="17"/>
  <c r="S41" i="17"/>
  <c r="O41" i="17"/>
  <c r="V41" i="17"/>
  <c r="U53" i="17"/>
  <c r="S53" i="17"/>
  <c r="Q53" i="17"/>
  <c r="W53" i="17"/>
  <c r="V53" i="17"/>
  <c r="R53" i="17"/>
  <c r="P53" i="17"/>
  <c r="O53" i="17"/>
  <c r="T53" i="17"/>
  <c r="T34" i="17"/>
  <c r="V34" i="17"/>
  <c r="S34" i="17"/>
  <c r="R34" i="17"/>
  <c r="W34" i="17"/>
  <c r="P34" i="17"/>
  <c r="Q34" i="17"/>
  <c r="O34" i="17"/>
  <c r="U34" i="17"/>
  <c r="S30" i="17"/>
  <c r="V30" i="17"/>
  <c r="R30" i="17"/>
  <c r="T30" i="17"/>
  <c r="Q30" i="17"/>
  <c r="W30" i="17"/>
  <c r="P30" i="17"/>
  <c r="O30" i="17"/>
  <c r="U30" i="17"/>
  <c r="V8" i="17"/>
  <c r="Q8" i="17"/>
  <c r="U8" i="17"/>
  <c r="T8" i="17"/>
  <c r="R8" i="17"/>
  <c r="P8" i="17"/>
  <c r="W8" i="17"/>
  <c r="O8" i="17"/>
  <c r="S8" i="17"/>
  <c r="R43" i="17"/>
  <c r="P43" i="17"/>
  <c r="W43" i="17"/>
  <c r="T43" i="17"/>
  <c r="V43" i="17"/>
  <c r="S43" i="17"/>
  <c r="U43" i="17"/>
  <c r="O43" i="17"/>
  <c r="Q43" i="17"/>
  <c r="Q37" i="17"/>
  <c r="V37" i="17"/>
  <c r="U37" i="17"/>
  <c r="R37" i="17"/>
  <c r="T37" i="17"/>
  <c r="P37" i="17"/>
  <c r="S37" i="17"/>
  <c r="O37" i="17"/>
  <c r="W37" i="17"/>
  <c r="Q36" i="17"/>
  <c r="R36" i="17"/>
  <c r="U36" i="17"/>
  <c r="S36" i="17"/>
  <c r="P36" i="17"/>
  <c r="T36" i="17"/>
  <c r="W36" i="17"/>
  <c r="O36" i="17"/>
  <c r="V36" i="17"/>
  <c r="Q27" i="17"/>
  <c r="W27" i="17"/>
  <c r="U27" i="17"/>
  <c r="S27" i="17"/>
  <c r="R27" i="17"/>
  <c r="P27" i="17"/>
  <c r="V27" i="17"/>
  <c r="O27" i="17"/>
  <c r="T27" i="17"/>
  <c r="V6" i="17"/>
  <c r="S6" i="17"/>
  <c r="T6" i="17"/>
  <c r="R6" i="17"/>
  <c r="Q6" i="17"/>
  <c r="P6" i="17"/>
  <c r="U6" i="17"/>
  <c r="O6" i="17"/>
  <c r="W6" i="17"/>
  <c r="R60" i="17"/>
  <c r="S60" i="17"/>
  <c r="T60" i="17"/>
  <c r="V60" i="17"/>
  <c r="Q60" i="17"/>
  <c r="W60" i="17"/>
  <c r="U60" i="17"/>
  <c r="O60" i="17"/>
  <c r="P60" i="17"/>
  <c r="U11" i="17"/>
  <c r="S11" i="17"/>
  <c r="R11" i="17"/>
  <c r="Q11" i="17"/>
  <c r="W11" i="17"/>
  <c r="T11" i="17"/>
  <c r="V11" i="17"/>
  <c r="O11" i="17"/>
  <c r="P11" i="17"/>
  <c r="V32" i="17"/>
  <c r="P32" i="17"/>
  <c r="R32" i="17"/>
  <c r="T32" i="17"/>
  <c r="W32" i="17"/>
  <c r="Q32" i="17"/>
  <c r="U32" i="17"/>
  <c r="O32" i="17"/>
  <c r="S32" i="17"/>
  <c r="V62" i="17"/>
  <c r="Q62" i="17"/>
  <c r="T62" i="17"/>
  <c r="S62" i="17"/>
  <c r="U62" i="17"/>
  <c r="P62" i="17"/>
  <c r="W62" i="17"/>
  <c r="O62" i="17"/>
  <c r="R62" i="17"/>
  <c r="T65" i="17"/>
  <c r="W65" i="17"/>
  <c r="P65" i="17"/>
  <c r="S65" i="17"/>
  <c r="V65" i="17"/>
  <c r="Q65" i="17"/>
  <c r="R65" i="17"/>
  <c r="O65" i="17"/>
  <c r="U65" i="17"/>
  <c r="R33" i="17"/>
  <c r="Q33" i="17"/>
  <c r="S33" i="17"/>
  <c r="T33" i="17"/>
  <c r="V33" i="17"/>
  <c r="P33" i="17"/>
  <c r="U33" i="17"/>
  <c r="O33" i="17"/>
  <c r="W33" i="17"/>
  <c r="U29" i="17"/>
  <c r="T29" i="17"/>
  <c r="R29" i="17"/>
  <c r="S29" i="17"/>
  <c r="P29" i="17"/>
  <c r="Q29" i="17"/>
  <c r="V29" i="17"/>
  <c r="O29" i="17"/>
  <c r="W29" i="17"/>
  <c r="P9" i="17"/>
  <c r="V9" i="17"/>
  <c r="U9" i="17"/>
  <c r="Q9" i="17"/>
  <c r="R9" i="17"/>
  <c r="T9" i="17"/>
  <c r="S9" i="17"/>
  <c r="O9" i="17"/>
  <c r="W9" i="17"/>
</calcChain>
</file>

<file path=xl/sharedStrings.xml><?xml version="1.0" encoding="utf-8"?>
<sst xmlns="http://schemas.openxmlformats.org/spreadsheetml/2006/main" count="7104" uniqueCount="349">
  <si>
    <t>FIT OUT $/M2</t>
  </si>
  <si>
    <t>FIT OUT $/SQFT</t>
  </si>
  <si>
    <t>LOCATION FACTOR</t>
  </si>
  <si>
    <t xml:space="preserve">Activity </t>
  </si>
  <si>
    <t xml:space="preserve"> Team </t>
  </si>
  <si>
    <t>Event</t>
  </si>
  <si>
    <t>EMEA</t>
  </si>
  <si>
    <t>AMERICA</t>
  </si>
  <si>
    <t>APAC</t>
  </si>
  <si>
    <t>Low</t>
  </si>
  <si>
    <t xml:space="preserve">Medium </t>
  </si>
  <si>
    <t xml:space="preserve">High </t>
  </si>
  <si>
    <t>High</t>
  </si>
  <si>
    <t xml:space="preserve">Low </t>
  </si>
  <si>
    <t>COUNTRY</t>
  </si>
  <si>
    <t>CITY</t>
  </si>
  <si>
    <t>REGION</t>
  </si>
  <si>
    <t>United States</t>
  </si>
  <si>
    <t>Cincinnati</t>
  </si>
  <si>
    <t>AMERICAS</t>
  </si>
  <si>
    <t>Charlotte</t>
  </si>
  <si>
    <t>Charleston</t>
  </si>
  <si>
    <t>Chicago</t>
  </si>
  <si>
    <t>Cleveland</t>
  </si>
  <si>
    <t>Boston</t>
  </si>
  <si>
    <t>Baltimore</t>
  </si>
  <si>
    <t>Columbus</t>
  </si>
  <si>
    <t>Austin</t>
  </si>
  <si>
    <t>Atlanta</t>
  </si>
  <si>
    <t>Dallas</t>
  </si>
  <si>
    <t>Denver</t>
  </si>
  <si>
    <t>vh</t>
  </si>
  <si>
    <t>Detroit</t>
  </si>
  <si>
    <t>Houston</t>
  </si>
  <si>
    <t>Indianapolis</t>
  </si>
  <si>
    <t>Kansas City</t>
  </si>
  <si>
    <t>Los Angeles</t>
  </si>
  <si>
    <t>Miami</t>
  </si>
  <si>
    <t>Minneapolis</t>
  </si>
  <si>
    <t>Nashville</t>
  </si>
  <si>
    <t>New York</t>
  </si>
  <si>
    <t>Newark</t>
  </si>
  <si>
    <t>Oakland</t>
  </si>
  <si>
    <t>Orlando</t>
  </si>
  <si>
    <t>Oklahoma</t>
  </si>
  <si>
    <t>Philadelphia</t>
  </si>
  <si>
    <t>Phoenix</t>
  </si>
  <si>
    <t>Portland</t>
  </si>
  <si>
    <t>Sacramento</t>
  </si>
  <si>
    <t>Saddle Brook</t>
  </si>
  <si>
    <t>Salt Lake City</t>
  </si>
  <si>
    <t>San Diego</t>
  </si>
  <si>
    <t>San Francisco</t>
  </si>
  <si>
    <t>San Jose</t>
  </si>
  <si>
    <t>Seattle</t>
  </si>
  <si>
    <t>St. Louis</t>
  </si>
  <si>
    <t>Stamford</t>
  </si>
  <si>
    <t>Tampa</t>
  </si>
  <si>
    <t>Washington DC</t>
  </si>
  <si>
    <t>Tulsa</t>
  </si>
  <si>
    <t>Saint Kitts and Nevis</t>
  </si>
  <si>
    <t>Basseterre</t>
  </si>
  <si>
    <t>Puerto Rico</t>
  </si>
  <si>
    <t>San Juan</t>
  </si>
  <si>
    <t>Barbados</t>
  </si>
  <si>
    <t>Bridgetown</t>
  </si>
  <si>
    <t xml:space="preserve">Saint Lucia </t>
  </si>
  <si>
    <t>Castries</t>
  </si>
  <si>
    <t>Turks &amp; Caicos Islands</t>
  </si>
  <si>
    <t>Cockburn Town</t>
  </si>
  <si>
    <t xml:space="preserve">Cayman Islands </t>
  </si>
  <si>
    <t>George Town</t>
  </si>
  <si>
    <t>Saint Vincent The Grenadines</t>
  </si>
  <si>
    <t>Kingstontown</t>
  </si>
  <si>
    <t xml:space="preserve">Bahamas </t>
  </si>
  <si>
    <t>Nassau</t>
  </si>
  <si>
    <t>St. Maarten</t>
  </si>
  <si>
    <t>Philipsburg</t>
  </si>
  <si>
    <t xml:space="preserve">Trinidad Tobago </t>
  </si>
  <si>
    <t xml:space="preserve">Port of Spain </t>
  </si>
  <si>
    <t>British Virgin Islands</t>
  </si>
  <si>
    <t>Road Town</t>
  </si>
  <si>
    <t>Argentina</t>
  </si>
  <si>
    <t>Buenos Aires</t>
  </si>
  <si>
    <t>Cordoba</t>
  </si>
  <si>
    <t>Brazil</t>
  </si>
  <si>
    <t>Brasilia</t>
  </si>
  <si>
    <t>Rio De Janeiro</t>
  </si>
  <si>
    <t>Sao Paulo</t>
  </si>
  <si>
    <t>Colombia</t>
  </si>
  <si>
    <t>Bogota</t>
  </si>
  <si>
    <t>Chile</t>
  </si>
  <si>
    <t>Santiago</t>
  </si>
  <si>
    <t>Costa Rica</t>
  </si>
  <si>
    <t xml:space="preserve">Mexico </t>
  </si>
  <si>
    <t>Mexico City</t>
  </si>
  <si>
    <t>Guadalajara</t>
  </si>
  <si>
    <t>Monterrey</t>
  </si>
  <si>
    <t>Queretaro</t>
  </si>
  <si>
    <t xml:space="preserve">Panama </t>
  </si>
  <si>
    <t>Panama City</t>
  </si>
  <si>
    <t>Austria</t>
  </si>
  <si>
    <t>Vienna</t>
  </si>
  <si>
    <t xml:space="preserve">Belgium </t>
  </si>
  <si>
    <t>Brussels</t>
  </si>
  <si>
    <t>Botswana</t>
  </si>
  <si>
    <t>Gabarone</t>
  </si>
  <si>
    <t>Bulgaria</t>
  </si>
  <si>
    <t>Sofia</t>
  </si>
  <si>
    <t xml:space="preserve">Croatia </t>
  </si>
  <si>
    <t>Zagreb</t>
  </si>
  <si>
    <t>Czech Republic</t>
  </si>
  <si>
    <t>Prague</t>
  </si>
  <si>
    <t>Denmark</t>
  </si>
  <si>
    <t>Copenhagen</t>
  </si>
  <si>
    <t>Ethiopia</t>
  </si>
  <si>
    <t>Addis Ababa</t>
  </si>
  <si>
    <t>Finland</t>
  </si>
  <si>
    <t>Helsinki</t>
  </si>
  <si>
    <t>France</t>
  </si>
  <si>
    <t>Paris</t>
  </si>
  <si>
    <t>?</t>
  </si>
  <si>
    <t>Germany</t>
  </si>
  <si>
    <t>Berlin</t>
  </si>
  <si>
    <t>Cologne</t>
  </si>
  <si>
    <t>Frankfurt</t>
  </si>
  <si>
    <t>Hamburg</t>
  </si>
  <si>
    <t>Munich</t>
  </si>
  <si>
    <t>Stuttgart</t>
  </si>
  <si>
    <t>Ghana</t>
  </si>
  <si>
    <t>Accra</t>
  </si>
  <si>
    <t>Hungary</t>
  </si>
  <si>
    <t>Budapest</t>
  </si>
  <si>
    <t>Ireland</t>
  </si>
  <si>
    <t>Dublin</t>
  </si>
  <si>
    <t>Israel</t>
  </si>
  <si>
    <t>Tel Aviv</t>
  </si>
  <si>
    <t>Italy</t>
  </si>
  <si>
    <t>Rome</t>
  </si>
  <si>
    <t>Kenya</t>
  </si>
  <si>
    <t>Nairobi</t>
  </si>
  <si>
    <t>Luxembourg</t>
  </si>
  <si>
    <t>Morocco</t>
  </si>
  <si>
    <t>Casablanca</t>
  </si>
  <si>
    <t>Netherlands</t>
  </si>
  <si>
    <t>Amsterdam</t>
  </si>
  <si>
    <t>Nigeria</t>
  </si>
  <si>
    <t>Abuja</t>
  </si>
  <si>
    <t xml:space="preserve">Norway </t>
  </si>
  <si>
    <t>Oslo</t>
  </si>
  <si>
    <t>Poland</t>
  </si>
  <si>
    <t>Warsaw</t>
  </si>
  <si>
    <t>Romania</t>
  </si>
  <si>
    <t>Bucharest</t>
  </si>
  <si>
    <t>Rwanda</t>
  </si>
  <si>
    <t>Kigali</t>
  </si>
  <si>
    <t>Senegal</t>
  </si>
  <si>
    <t>Dakar</t>
  </si>
  <si>
    <t xml:space="preserve">Serbia </t>
  </si>
  <si>
    <t>Belgrade</t>
  </si>
  <si>
    <t>Slovakia</t>
  </si>
  <si>
    <t>Bratislava</t>
  </si>
  <si>
    <t>Slovenia</t>
  </si>
  <si>
    <t>Ljubljana</t>
  </si>
  <si>
    <t>South Africa</t>
  </si>
  <si>
    <t>Johannesburg</t>
  </si>
  <si>
    <t>Spain</t>
  </si>
  <si>
    <t>Madrid</t>
  </si>
  <si>
    <t>Sweden</t>
  </si>
  <si>
    <t>Stockholm</t>
  </si>
  <si>
    <t>Switzerland</t>
  </si>
  <si>
    <t xml:space="preserve">Geneva </t>
  </si>
  <si>
    <t>Zurich</t>
  </si>
  <si>
    <t>Turkey</t>
  </si>
  <si>
    <t>Istanbul</t>
  </si>
  <si>
    <t>UAE</t>
  </si>
  <si>
    <t>Abu Dhabi</t>
  </si>
  <si>
    <t>Dubai</t>
  </si>
  <si>
    <t xml:space="preserve">Uganda </t>
  </si>
  <si>
    <t>Kampala</t>
  </si>
  <si>
    <t>China</t>
  </si>
  <si>
    <t>Hong Kong</t>
  </si>
  <si>
    <t xml:space="preserve">Australia </t>
  </si>
  <si>
    <t>Sydney</t>
  </si>
  <si>
    <t>Brisbane</t>
  </si>
  <si>
    <t>Melborne</t>
  </si>
  <si>
    <t>Perth</t>
  </si>
  <si>
    <t>Beijing</t>
  </si>
  <si>
    <t>Guangzhou</t>
  </si>
  <si>
    <t>Shanghai</t>
  </si>
  <si>
    <t>India</t>
  </si>
  <si>
    <t>Bangalore</t>
  </si>
  <si>
    <t>Chennai</t>
  </si>
  <si>
    <t>Hyderbad</t>
  </si>
  <si>
    <t>Kolkata</t>
  </si>
  <si>
    <t>Mumbai</t>
  </si>
  <si>
    <t>New Delhi</t>
  </si>
  <si>
    <t>Pune</t>
  </si>
  <si>
    <t xml:space="preserve">Indonesia </t>
  </si>
  <si>
    <t>Jakarta</t>
  </si>
  <si>
    <t>Japan</t>
  </si>
  <si>
    <t>Tokyo</t>
  </si>
  <si>
    <t>Malaysia</t>
  </si>
  <si>
    <t>Kuala Lumpur</t>
  </si>
  <si>
    <t>New Zealand</t>
  </si>
  <si>
    <t>Auckland</t>
  </si>
  <si>
    <t>Pakistan</t>
  </si>
  <si>
    <t>Karachi</t>
  </si>
  <si>
    <t xml:space="preserve">Philippines </t>
  </si>
  <si>
    <t>Manila</t>
  </si>
  <si>
    <t>Singapore</t>
  </si>
  <si>
    <t>South Korea</t>
  </si>
  <si>
    <t>Seoul</t>
  </si>
  <si>
    <t>Taiwan</t>
  </si>
  <si>
    <t>Taipei</t>
  </si>
  <si>
    <t>Thailand</t>
  </si>
  <si>
    <t>Bangkok</t>
  </si>
  <si>
    <t>Vietnam</t>
  </si>
  <si>
    <t>Hanoi</t>
  </si>
  <si>
    <t>United Kingdom</t>
  </si>
  <si>
    <t>London</t>
  </si>
  <si>
    <t>Zimbabwe</t>
  </si>
  <si>
    <t>Harare</t>
  </si>
  <si>
    <t>a</t>
  </si>
  <si>
    <t>FURNITURE $/M2</t>
  </si>
  <si>
    <t>FURNITURE $/SQFT</t>
  </si>
  <si>
    <t>TECH $/M2</t>
  </si>
  <si>
    <t>TECH $/SQFT</t>
  </si>
  <si>
    <t>INFLATION 2022 -2023</t>
  </si>
  <si>
    <t>BASED OFF LONDON</t>
  </si>
  <si>
    <t>ACTIVITY SPACE</t>
  </si>
  <si>
    <t>TECHNOLOGY $/M2</t>
  </si>
  <si>
    <t>2023 Professional Fees (%)</t>
  </si>
  <si>
    <t>TOTAL FITOUT COST $/M2</t>
  </si>
  <si>
    <t>Arch</t>
  </si>
  <si>
    <t>M&amp;E Eng</t>
  </si>
  <si>
    <t>PM</t>
  </si>
  <si>
    <t>QS</t>
  </si>
  <si>
    <t>Other</t>
  </si>
  <si>
    <t>Total</t>
  </si>
  <si>
    <t>Charleston (SC)</t>
  </si>
  <si>
    <t>Saddle Brook (NJ)</t>
  </si>
  <si>
    <t>Stamford (CT)</t>
  </si>
  <si>
    <t>LATAM</t>
  </si>
  <si>
    <t>Canada</t>
  </si>
  <si>
    <t>Toronto</t>
  </si>
  <si>
    <t>Montreal</t>
  </si>
  <si>
    <t>Vancouver</t>
  </si>
  <si>
    <t>Ottawa</t>
  </si>
  <si>
    <t>lump sum</t>
  </si>
  <si>
    <t>n/a</t>
  </si>
  <si>
    <t xml:space="preserve">included </t>
  </si>
  <si>
    <t>incl</t>
  </si>
  <si>
    <t>FIT OUT $/SqFt</t>
  </si>
  <si>
    <t>FURNITURE $/SqFt</t>
  </si>
  <si>
    <t>TECHNOLOGY $/SqFt</t>
  </si>
  <si>
    <t>TOTAL FITOUT COST $/SqFt</t>
  </si>
  <si>
    <t>TEAM SPACE</t>
  </si>
  <si>
    <t>EVENT SPACE</t>
  </si>
  <si>
    <t>GWS GLOBAL FIT OUT COST GUIDE - 2023</t>
  </si>
  <si>
    <t>Reinstatement / Dilapidations Cost Data - Master sheet</t>
  </si>
  <si>
    <t>Country</t>
  </si>
  <si>
    <t>City</t>
  </si>
  <si>
    <t>Region</t>
  </si>
  <si>
    <r>
      <t xml:space="preserve"> 2023 Low Rate
($/m</t>
    </r>
    <r>
      <rPr>
        <vertAlign val="superscript"/>
        <sz val="16"/>
        <color rgb="FF435254"/>
        <rFont val="Calibre Semibold"/>
        <family val="2"/>
      </rPr>
      <t>2</t>
    </r>
    <r>
      <rPr>
        <sz val="16"/>
        <color rgb="FF435254"/>
        <rFont val="Calibre Semibold"/>
        <family val="2"/>
      </rPr>
      <t>)</t>
    </r>
  </si>
  <si>
    <r>
      <t>2023 High Rate
($/m</t>
    </r>
    <r>
      <rPr>
        <vertAlign val="superscript"/>
        <sz val="16"/>
        <color rgb="FF435254"/>
        <rFont val="Calibre Semibold"/>
        <family val="2"/>
      </rPr>
      <t>2</t>
    </r>
    <r>
      <rPr>
        <sz val="16"/>
        <color rgb="FF435254"/>
        <rFont val="Calibre Semibold"/>
        <family val="2"/>
      </rPr>
      <t>)</t>
    </r>
  </si>
  <si>
    <t>Reinstatement required?</t>
  </si>
  <si>
    <t>Good Repair / Decorative condition required?</t>
  </si>
  <si>
    <t>Typical process?</t>
  </si>
  <si>
    <t>Rent penalties for works after lease expiry?</t>
  </si>
  <si>
    <t>Other laws / statute / comments?</t>
  </si>
  <si>
    <t>Hybrid – some alterations might be accepted by the landlord, but the tenant might have to remove/reinstate others.</t>
  </si>
  <si>
    <t>Wear and tear – the tenant can hand back the premises with typical wear and tear, therefore not having to redecorate at expiry.  But, any significant disrepair caused by the tenant needs to be made good.</t>
  </si>
  <si>
    <t xml:space="preserve">Tenant to vacate, removing all chattels/FF&amp;E. Non-standard alterations to be removed prior to lease expiration. </t>
  </si>
  <si>
    <t>Depending on the lease language,  the landlord may be able to claim rent on top of cost of works .</t>
  </si>
  <si>
    <t>Rent penalties are sometimes written into contracts. Additionally, there can be additional financial penalties applied to landlord repair/reinstatement costs.</t>
  </si>
  <si>
    <t>Yes</t>
  </si>
  <si>
    <t>Tenant Undertakes Works</t>
  </si>
  <si>
    <t>All subject to private landlord-tenant negotiations.</t>
  </si>
  <si>
    <t>No?</t>
  </si>
  <si>
    <t>Tenant undertakes works.</t>
  </si>
  <si>
    <t>YES</t>
  </si>
  <si>
    <t>Not a normal practice in today, LL prefer space as is.</t>
  </si>
  <si>
    <t xml:space="preserve">Hybrid - Some alterations might be accepted,, but the tenant might have to reinstate some. In the current market, landlord's are preferring fitted out space. </t>
  </si>
  <si>
    <t>Wear and Tear acceptable. The tenant can hand back the premises with typical wear and tear, therefore not having to redecorate at expiry.  But, any significant disrepair caused by the tenant needs to be made good.</t>
  </si>
  <si>
    <t>Not a normal practice in todays Chile Market</t>
  </si>
  <si>
    <t>Hybrid</t>
  </si>
  <si>
    <t xml:space="preserve">Wear and Tear </t>
  </si>
  <si>
    <t>Wear and Tear</t>
  </si>
  <si>
    <t>Yes.</t>
  </si>
  <si>
    <t>Financial settlement.</t>
  </si>
  <si>
    <t>Not common (but can be included in leases)</t>
  </si>
  <si>
    <t>Yes (usually in Lease).</t>
  </si>
  <si>
    <t xml:space="preserve">Good repair to initial state of delivery, wear and tear accepted.. </t>
  </si>
  <si>
    <t>Tenant to reinstate but financial settlement can be negotiated in some instances.</t>
  </si>
  <si>
    <t>Lease Agreement dependant</t>
  </si>
  <si>
    <t>Yes,</t>
  </si>
  <si>
    <t>No.</t>
  </si>
  <si>
    <t>(usually calculated by sq.m rate rather than full claim). Only applies to top 10% of stock.</t>
  </si>
  <si>
    <t>Yes / No, depends on the lease terms</t>
  </si>
  <si>
    <t>depends on the lease terms, sometimes yes, sometimes wear and tear</t>
  </si>
  <si>
    <t>Financial settlement / Tenant Works.</t>
  </si>
  <si>
    <t>No usual rent penalty - it is negotiated and agreed beforehand. But, penalties do exist and need to be considered.</t>
  </si>
  <si>
    <t>Depends on the lease terms</t>
  </si>
  <si>
    <t>Yes, if required</t>
  </si>
  <si>
    <t>Tenant to reinstate</t>
  </si>
  <si>
    <t>No</t>
  </si>
  <si>
    <t>Wear and tear acceptable.</t>
  </si>
  <si>
    <t>Yes (although not specified in civil code).</t>
  </si>
  <si>
    <t xml:space="preserve">Major repairs (article 606 of the civil code) are a landlord cost. Normal wear and tear/obsolescence can either be at the Landlord or Tenant’s expense. </t>
  </si>
  <si>
    <t>Financial settlement (except break clauses in leases which sometimes need works undertaken).</t>
  </si>
  <si>
    <t>No (but sometimes contained in lease contract).</t>
  </si>
  <si>
    <t>s.65 L&amp;T Act 1980 - similar to s.18 in UK.</t>
  </si>
  <si>
    <t>Hybrid.</t>
  </si>
  <si>
    <t>Most lease agreements are received from S&amp;C and need to be returned following demolition and reinstatement of any changes to the core such as closure of any staiway openings etc.</t>
  </si>
  <si>
    <t>In addition “major damage” can also attract additional penalties.</t>
  </si>
  <si>
    <t xml:space="preserve">Yes   </t>
  </si>
  <si>
    <t>Financial settlement</t>
  </si>
  <si>
    <t>Tenant works.</t>
  </si>
  <si>
    <t>Engage 3rd party service providers for repair / reinstatement works through thorough procurement processes. After assessing and selecting the most suitable Service Provider, supervision and completion of works to be carried out.</t>
  </si>
  <si>
    <t>Yes. If property is not restored to condition prior to commencement of lease, landlord is required to either claim reinstatement cost from security deposit (Typically 10% - 15% of rent payable), or demand cost payment from the tenant prior to the lease elapsing (i.e., expiration of notice period).</t>
  </si>
  <si>
    <t>No state law specific to Abuja, however a Federal Law would be the Rent control and Recovery of Premises Act: It guides the process for termination of a lease within residential or commercial office buildings across Nigeria. In other states such as Lagos, this would merely be a guide, as the Tenancy Law of Lagos State takes precedence in Lagos.</t>
  </si>
  <si>
    <t>Yes (but sometimes depends on agreement between Lessor and Lessee)</t>
  </si>
  <si>
    <t>Yes, Good repair is mandatory as well as dismantling of hanged, sticked elements from the walls, cleaning. Loose furniture mostly needs to leave the premises, but sometimes based on agreement with Lessor can be sold to Lessor and can keep inside.</t>
  </si>
  <si>
    <t>Tenant works for payment from side of tenant.</t>
  </si>
  <si>
    <t>All reinstatement/dilapidation process is defined within the Lease Agreement.</t>
  </si>
  <si>
    <t xml:space="preserve">Good repair to initial state of delivery, wear and tear accepted. Servicing of HVAC and fire equipment. Electrical and plumbing certificates of compliance. </t>
  </si>
  <si>
    <t>Sometimes double rent penalties are written into lease contracts.</t>
  </si>
  <si>
    <t>As written into lease contracts.</t>
  </si>
  <si>
    <t>Yes (advanced core and shell)</t>
  </si>
  <si>
    <t>Tenant typically hands back space early to avoid penalties.</t>
  </si>
  <si>
    <t>Financial settlement / Tenant works.</t>
  </si>
  <si>
    <t>Sometimes leases do have full reinstatement, so have to be careful.</t>
  </si>
  <si>
    <t>Tenant undertakes works or pay landlord walk away charges.</t>
  </si>
  <si>
    <t>According to the lease agreement and building manual</t>
  </si>
  <si>
    <t>Follows UK generally.</t>
  </si>
  <si>
    <t>Section 18(1) does not apply.  The landlord can rent the space with fit out in place openly and still claim full reinstatement.</t>
  </si>
  <si>
    <t>Tenant undertakes works or Cash deal with the landlord</t>
  </si>
  <si>
    <t>s.18(1) limitations can reduce tenant's liabilities.</t>
  </si>
  <si>
    <t>Figure 18: Reinstatement/Dilapidations Cost Data</t>
  </si>
  <si>
    <t xml:space="preserve"> 2023 Low Rate
($/Sqft)</t>
  </si>
  <si>
    <t>2023 High Rate
($/Sqft)</t>
  </si>
  <si>
    <t>Activity
FIT-OUT TOTAL
$ per sq m</t>
  </si>
  <si>
    <t>Team
FIT-OUT TOTAL
$ per sq m</t>
  </si>
  <si>
    <t>LF - London</t>
  </si>
  <si>
    <t>LF - Singapore</t>
  </si>
  <si>
    <t>LF - Mexico</t>
  </si>
  <si>
    <t>LF-New York</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</si>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</sst>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_);\(#,##0\);0_)"/>
    <numFmt numFmtId="165" formatCode="_-[$$-409]* #,##0.00_ ;_-[$$-409]* \-#,##0.00\ ;_-[$$-409]* &quot;-&quot;??_ ;_-@_ "/>
    <numFmt numFmtId="166" formatCode="0.00000000"/>
    <numFmt numFmtId="167" formatCode="[$$-409]#,##0"/>
    <numFmt numFmtId="168" formatCode="[$$-409]#,##0.00"/>
    <numFmt numFmtId="169" formatCode="0.0%"/>
  </numFmts>
  <fonts count="33" x14ac:knownFonts="1">
    <font>
      <sz val="11"/>
      <color theme="1"/>
      <name val="Calibre"/>
      <family val="2"/>
      <scheme val="minor"/>
    </font>
    <font>
      <sz val="10"/>
      <color rgb="FFFFFFFF"/>
      <name val="Calibre"/>
      <family val="2"/>
      <scheme val="minor"/>
    </font>
    <font>
      <sz val="11"/>
      <color rgb="FFFFFFFF"/>
      <name val="Calibre"/>
      <family val="2"/>
      <scheme val="minor"/>
    </font>
    <font>
      <sz val="14"/>
      <color rgb="FFFFFFFF"/>
      <name val="Calibre"/>
      <family val="2"/>
      <scheme val="minor"/>
    </font>
    <font>
      <b/>
      <sz val="10"/>
      <color rgb="FFFFFFFF"/>
      <name val="Calibre"/>
      <family val="2"/>
      <scheme val="minor"/>
    </font>
    <font>
      <sz val="11"/>
      <color rgb="FFFF0000"/>
      <name val="Calibre"/>
      <family val="2"/>
      <scheme val="minor"/>
    </font>
    <font>
      <sz val="10"/>
      <color rgb="FFFF0000"/>
      <name val="Calibre"/>
      <family val="2"/>
      <scheme val="minor"/>
    </font>
    <font>
      <sz val="11"/>
      <color theme="1"/>
      <name val="Calibre"/>
      <family val="2"/>
      <scheme val="minor"/>
    </font>
    <font>
      <sz val="8"/>
      <name val="Calibre"/>
      <family val="2"/>
      <scheme val="minor"/>
    </font>
    <font>
      <sz val="12"/>
      <color rgb="FF435254"/>
      <name val="Calibre Semibold"/>
      <family val="2"/>
    </font>
    <font>
      <sz val="10.5"/>
      <color rgb="FF435254"/>
      <name val="Calibre"/>
      <family val="2"/>
    </font>
    <font>
      <sz val="10"/>
      <color rgb="FF435254"/>
      <name val="Calibre"/>
      <family val="2"/>
    </font>
    <font>
      <sz val="10"/>
      <name val="Arial"/>
      <family val="2"/>
    </font>
    <font>
      <sz val="11"/>
      <color rgb="FF435254"/>
      <name val="Calibre"/>
      <family val="2"/>
    </font>
    <font>
      <sz val="14"/>
      <color rgb="FF1C1917"/>
      <name val="Segoe UI"/>
      <family val="2"/>
    </font>
    <font>
      <b/>
      <sz val="11"/>
      <color theme="1"/>
      <name val="Calibre"/>
      <family val="2"/>
      <scheme val="minor"/>
    </font>
    <font>
      <b/>
      <sz val="14"/>
      <color rgb="FFFFFFFF"/>
      <name val="Calibre"/>
      <family val="2"/>
      <scheme val="minor"/>
    </font>
    <font>
      <sz val="10"/>
      <color theme="1"/>
      <name val="Calibre"/>
      <family val="2"/>
    </font>
    <font>
      <sz val="10"/>
      <name val="Calibre"/>
      <family val="2"/>
    </font>
    <font>
      <sz val="22"/>
      <color rgb="FF435254"/>
      <name val="Financier Display"/>
      <family val="1"/>
    </font>
    <font>
      <b/>
      <sz val="10"/>
      <color theme="1"/>
      <name val="Calibre"/>
      <family val="2"/>
    </font>
    <font>
      <b/>
      <sz val="10"/>
      <name val="Calibre"/>
      <family val="2"/>
    </font>
    <font>
      <sz val="16"/>
      <color rgb="FF435254"/>
      <name val="Calibre Semibold"/>
      <family val="2"/>
    </font>
    <font>
      <vertAlign val="superscript"/>
      <sz val="16"/>
      <color rgb="FF435254"/>
      <name val="Calibre Semibold"/>
      <family val="2"/>
    </font>
    <font>
      <sz val="10"/>
      <color theme="1"/>
      <name val="Calibre"/>
      <family val="2"/>
      <scheme val="minor"/>
    </font>
    <font>
      <sz val="11"/>
      <name val="Calibre"/>
      <family val="2"/>
    </font>
    <font>
      <sz val="10"/>
      <color theme="1"/>
      <name val="Arial"/>
      <family val="2"/>
    </font>
    <font>
      <b/>
      <sz val="10"/>
      <color theme="1"/>
      <name val="Arial"/>
      <family val="2"/>
    </font>
    <font>
      <sz val="12"/>
      <color rgb="FFFFFFFF"/>
      <name val="Calibre"/>
      <family val="2"/>
      <scheme val="minor"/>
    </font>
    <font>
      <sz val="12"/>
      <color theme="1"/>
      <name val="Calibre"/>
      <family val="2"/>
      <scheme val="minor"/>
    </font>
    <font>
      <sz val="11"/>
      <name val="Calibre"/>
      <family val="2"/>
      <scheme val="minor"/>
    </font>
    <font>
      <sz val="11"/>
      <color rgb="FF0070C0"/>
      <name val="Calibre"/>
      <family val="2"/>
      <scheme val="minor"/>
    </font>
    <font>
      <sz val="11"/>
      <color rgb="FF0070C0"/>
      <name val="Calibre"/>
      <family val="2"/>
    </font>
  </fonts>
  <fills count="12">
    <fill>
      <patternFill patternType="none"/>
    </fill>
    <fill>
      <patternFill patternType="gray125"/>
    </fill>
    <fill>
      <patternFill patternType="solid">
        <fgColor rgb="FF80BBAD"/>
        <bgColor indexed="64"/>
      </patternFill>
    </fill>
    <fill>
      <patternFill patternType="solid">
        <fgColor rgb="FFC0DDD6"/>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DBD99A"/>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s>
  <borders count="37">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right style="hair">
        <color indexed="64"/>
      </right>
      <top/>
      <bottom style="hair">
        <color indexed="64"/>
      </bottom>
      <diagonal/>
    </border>
    <border>
      <left style="hair">
        <color indexed="64"/>
      </left>
      <right style="hair">
        <color indexed="64"/>
      </right>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top style="hair">
        <color indexed="64"/>
      </top>
      <bottom style="hair">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right style="medium">
        <color indexed="64"/>
      </right>
      <top style="hair">
        <color indexed="64"/>
      </top>
      <bottom/>
      <diagonal/>
    </border>
    <border>
      <left style="medium">
        <color indexed="64"/>
      </left>
      <right style="hair">
        <color indexed="64"/>
      </right>
      <top/>
      <bottom/>
      <diagonal/>
    </border>
    <border>
      <left/>
      <right style="medium">
        <color indexed="64"/>
      </right>
      <top/>
      <bottom/>
      <diagonal/>
    </border>
    <border>
      <left style="medium">
        <color indexed="64"/>
      </left>
      <right style="hair">
        <color indexed="64"/>
      </right>
      <top/>
      <bottom style="hair">
        <color indexed="64"/>
      </bottom>
      <diagonal/>
    </border>
    <border>
      <left/>
      <right style="medium">
        <color indexed="64"/>
      </right>
      <top/>
      <bottom style="hair">
        <color indexed="64"/>
      </bottom>
      <diagonal/>
    </border>
    <border>
      <left style="medium">
        <color indexed="64"/>
      </left>
      <right/>
      <top/>
      <bottom/>
      <diagonal/>
    </border>
    <border>
      <left style="medium">
        <color auto="1"/>
      </left>
      <right style="medium">
        <color auto="1"/>
      </right>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thin">
        <color theme="0"/>
      </right>
      <top style="thin">
        <color theme="0"/>
      </top>
      <bottom style="medium">
        <color rgb="FF17E88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hair">
        <color indexed="64"/>
      </left>
      <right/>
      <top style="hair">
        <color indexed="64"/>
      </top>
      <bottom style="hair">
        <color indexed="64"/>
      </bottom>
      <diagonal/>
    </border>
  </borders>
  <cellStyleXfs count="5">
    <xf numFmtId="0" fontId="0" fillId="0" borderId="0"/>
    <xf numFmtId="9" fontId="7" fillId="0" borderId="0" applyFont="0" applyFill="0" applyBorder="0" applyAlignment="0" applyProtection="0"/>
    <xf numFmtId="0" fontId="12" fillId="0" borderId="0"/>
    <xf numFmtId="0" fontId="26" fillId="0" borderId="0"/>
    <xf numFmtId="0" fontId="7" fillId="0" borderId="0"/>
  </cellStyleXfs>
  <cellXfs count="166">
    <xf numFmtId="0" fontId="0" fillId="0" borderId="0" xfId="0"/>
    <xf numFmtId="49" fontId="1" fillId="3" borderId="0" xfId="0" applyNumberFormat="1" applyFont="1" applyFill="1" applyAlignment="1">
      <alignment horizontal="left" vertical="center" wrapText="1"/>
    </xf>
    <xf numFmtId="49" fontId="1" fillId="2" borderId="2" xfId="0" applyNumberFormat="1" applyFont="1" applyFill="1" applyBorder="1" applyAlignment="1">
      <alignment horizontal="left" vertical="center" wrapText="1"/>
    </xf>
    <xf numFmtId="49" fontId="1" fillId="3" borderId="5" xfId="0" applyNumberFormat="1" applyFont="1" applyFill="1" applyBorder="1" applyAlignment="1">
      <alignment horizontal="left" vertical="center" wrapText="1"/>
    </xf>
    <xf numFmtId="165" fontId="0" fillId="0" borderId="0" xfId="0" applyNumberFormat="1"/>
    <xf numFmtId="165" fontId="4" fillId="3" borderId="7" xfId="0" applyNumberFormat="1" applyFont="1" applyFill="1" applyBorder="1" applyAlignment="1">
      <alignment horizontal="center" vertical="center"/>
    </xf>
    <xf numFmtId="164" fontId="4" fillId="3" borderId="7" xfId="0" applyNumberFormat="1" applyFont="1" applyFill="1" applyBorder="1" applyAlignment="1">
      <alignment horizontal="center" vertical="center"/>
    </xf>
    <xf numFmtId="165" fontId="0" fillId="0" borderId="6" xfId="0" applyNumberFormat="1" applyBorder="1"/>
    <xf numFmtId="165" fontId="0" fillId="0" borderId="3" xfId="0" applyNumberFormat="1" applyBorder="1"/>
    <xf numFmtId="165" fontId="0" fillId="0" borderId="4" xfId="0" applyNumberFormat="1" applyBorder="1"/>
    <xf numFmtId="2" fontId="0" fillId="0" borderId="0" xfId="0" applyNumberFormat="1"/>
    <xf numFmtId="49" fontId="1" fillId="3" borderId="3" xfId="0" applyNumberFormat="1" applyFont="1" applyFill="1" applyBorder="1" applyAlignment="1">
      <alignment horizontal="left" vertical="center" wrapText="1"/>
    </xf>
    <xf numFmtId="49" fontId="4" fillId="3" borderId="5" xfId="0" applyNumberFormat="1" applyFont="1" applyFill="1" applyBorder="1" applyAlignment="1">
      <alignment horizontal="center" vertical="center" wrapText="1"/>
    </xf>
    <xf numFmtId="49" fontId="4" fillId="3" borderId="3" xfId="0" applyNumberFormat="1" applyFont="1" applyFill="1" applyBorder="1" applyAlignment="1">
      <alignment horizontal="center" vertical="center" wrapText="1"/>
    </xf>
    <xf numFmtId="49" fontId="4" fillId="3" borderId="6" xfId="0" applyNumberFormat="1" applyFont="1" applyFill="1" applyBorder="1" applyAlignment="1">
      <alignment horizontal="center" vertical="center" wrapText="1"/>
    </xf>
    <xf numFmtId="0" fontId="2" fillId="2" borderId="2" xfId="0" applyFont="1" applyFill="1" applyBorder="1" applyAlignment="1">
      <alignment horizontal="center" vertical="center" textRotation="90"/>
    </xf>
    <xf numFmtId="0" fontId="2" fillId="2" borderId="0" xfId="0" applyFont="1" applyFill="1" applyAlignment="1">
      <alignment horizontal="center" vertical="center" textRotation="90"/>
    </xf>
    <xf numFmtId="0" fontId="2" fillId="2" borderId="5" xfId="0" applyFont="1" applyFill="1" applyBorder="1" applyAlignment="1">
      <alignment horizontal="center" vertical="center" textRotation="90"/>
    </xf>
    <xf numFmtId="49" fontId="6" fillId="3" borderId="5" xfId="0" applyNumberFormat="1" applyFont="1" applyFill="1" applyBorder="1" applyAlignment="1">
      <alignment horizontal="left" vertical="center" wrapText="1"/>
    </xf>
    <xf numFmtId="49" fontId="6" fillId="3" borderId="3" xfId="0" applyNumberFormat="1" applyFont="1" applyFill="1" applyBorder="1" applyAlignment="1">
      <alignment horizontal="left" vertical="center" wrapText="1"/>
    </xf>
    <xf numFmtId="0" fontId="2" fillId="2" borderId="8" xfId="0" applyFont="1" applyFill="1" applyBorder="1" applyAlignment="1">
      <alignment horizontal="center" vertical="center" textRotation="90"/>
    </xf>
    <xf numFmtId="9" fontId="5" fillId="2" borderId="0" xfId="0" quotePrefix="1" applyNumberFormat="1" applyFont="1" applyFill="1" applyAlignment="1">
      <alignment horizontal="center" vertical="center" wrapText="1"/>
    </xf>
    <xf numFmtId="0" fontId="0" fillId="4" borderId="0" xfId="0" applyFill="1"/>
    <xf numFmtId="49" fontId="6" fillId="3" borderId="5" xfId="0" applyNumberFormat="1" applyFont="1" applyFill="1" applyBorder="1" applyAlignment="1">
      <alignment horizontal="center" vertical="center" wrapText="1"/>
    </xf>
    <xf numFmtId="43" fontId="0" fillId="0" borderId="0" xfId="0" applyNumberFormat="1"/>
    <xf numFmtId="165" fontId="5" fillId="0" borderId="3" xfId="0" applyNumberFormat="1" applyFont="1" applyBorder="1"/>
    <xf numFmtId="43" fontId="5" fillId="0" borderId="0" xfId="0" applyNumberFormat="1" applyFont="1"/>
    <xf numFmtId="43" fontId="3" fillId="2" borderId="1" xfId="0" applyNumberFormat="1" applyFont="1" applyFill="1" applyBorder="1" applyAlignment="1">
      <alignment horizontal="center" vertical="center" wrapText="1"/>
    </xf>
    <xf numFmtId="0" fontId="0" fillId="0" borderId="0" xfId="1" applyNumberFormat="1" applyFont="1"/>
    <xf numFmtId="43" fontId="0" fillId="0" borderId="0" xfId="0" applyNumberFormat="1" applyAlignment="1">
      <alignment horizontal="center"/>
    </xf>
    <xf numFmtId="49" fontId="1" fillId="5" borderId="5" xfId="0" applyNumberFormat="1" applyFont="1" applyFill="1" applyBorder="1" applyAlignment="1">
      <alignment horizontal="left" vertical="center" wrapText="1"/>
    </xf>
    <xf numFmtId="2" fontId="5" fillId="0" borderId="0" xfId="0" applyNumberFormat="1" applyFont="1"/>
    <xf numFmtId="165" fontId="5" fillId="0" borderId="6" xfId="0" applyNumberFormat="1" applyFont="1" applyBorder="1"/>
    <xf numFmtId="0" fontId="5" fillId="4" borderId="0" xfId="0" applyFont="1" applyFill="1"/>
    <xf numFmtId="0" fontId="5" fillId="0" borderId="0" xfId="0" applyFont="1"/>
    <xf numFmtId="0" fontId="5" fillId="2" borderId="0" xfId="0" applyFont="1" applyFill="1" applyAlignment="1">
      <alignment horizontal="center" vertical="center" textRotation="90"/>
    </xf>
    <xf numFmtId="164" fontId="4" fillId="3" borderId="0" xfId="0" applyNumberFormat="1" applyFont="1" applyFill="1" applyAlignment="1">
      <alignment horizontal="center" vertical="center"/>
    </xf>
    <xf numFmtId="49" fontId="4" fillId="3" borderId="0" xfId="0" applyNumberFormat="1" applyFont="1" applyFill="1" applyAlignment="1">
      <alignment horizontal="center" vertical="center" wrapText="1"/>
    </xf>
    <xf numFmtId="49" fontId="1" fillId="2" borderId="9" xfId="0" applyNumberFormat="1" applyFont="1" applyFill="1" applyBorder="1" applyAlignment="1">
      <alignment horizontal="left" vertical="center" wrapText="1"/>
    </xf>
    <xf numFmtId="165" fontId="4" fillId="3" borderId="14" xfId="0" applyNumberFormat="1" applyFont="1" applyFill="1" applyBorder="1" applyAlignment="1">
      <alignment horizontal="center" vertical="center"/>
    </xf>
    <xf numFmtId="164" fontId="4" fillId="3" borderId="15" xfId="0" applyNumberFormat="1" applyFont="1" applyFill="1" applyBorder="1" applyAlignment="1">
      <alignment horizontal="center" vertical="center"/>
    </xf>
    <xf numFmtId="49" fontId="4" fillId="3" borderId="14" xfId="0" applyNumberFormat="1" applyFont="1" applyFill="1" applyBorder="1" applyAlignment="1">
      <alignment horizontal="center" vertical="center" wrapText="1"/>
    </xf>
    <xf numFmtId="49" fontId="4" fillId="3" borderId="16" xfId="0" applyNumberFormat="1" applyFont="1" applyFill="1" applyBorder="1" applyAlignment="1">
      <alignment horizontal="center" vertical="center" wrapText="1"/>
    </xf>
    <xf numFmtId="165" fontId="0" fillId="0" borderId="14" xfId="0" applyNumberFormat="1" applyBorder="1"/>
    <xf numFmtId="165" fontId="0" fillId="0" borderId="16" xfId="0" applyNumberFormat="1" applyBorder="1"/>
    <xf numFmtId="165" fontId="0" fillId="0" borderId="17" xfId="0" applyNumberFormat="1" applyBorder="1"/>
    <xf numFmtId="165" fontId="0" fillId="0" borderId="18" xfId="0" applyNumberFormat="1" applyBorder="1"/>
    <xf numFmtId="165" fontId="0" fillId="0" borderId="21" xfId="0" applyNumberFormat="1" applyBorder="1"/>
    <xf numFmtId="164" fontId="4" fillId="3" borderId="21" xfId="0" applyNumberFormat="1" applyFont="1" applyFill="1" applyBorder="1" applyAlignment="1">
      <alignment horizontal="center" vertical="center"/>
    </xf>
    <xf numFmtId="164" fontId="4" fillId="3" borderId="18" xfId="0" applyNumberFormat="1" applyFont="1" applyFill="1" applyBorder="1" applyAlignment="1">
      <alignment horizontal="center" vertical="center"/>
    </xf>
    <xf numFmtId="49" fontId="4" fillId="3" borderId="21" xfId="0" applyNumberFormat="1" applyFont="1" applyFill="1" applyBorder="1" applyAlignment="1">
      <alignment horizontal="center" vertical="center" wrapText="1"/>
    </xf>
    <xf numFmtId="49" fontId="4" fillId="3" borderId="18" xfId="0" applyNumberFormat="1" applyFont="1" applyFill="1" applyBorder="1" applyAlignment="1">
      <alignment horizontal="center" vertical="center" wrapText="1"/>
    </xf>
    <xf numFmtId="165" fontId="0" fillId="0" borderId="22" xfId="0" applyNumberFormat="1" applyBorder="1"/>
    <xf numFmtId="0" fontId="0" fillId="0" borderId="0" xfId="0" applyAlignment="1">
      <alignment wrapText="1"/>
    </xf>
    <xf numFmtId="0" fontId="3" fillId="2" borderId="26" xfId="0" applyFont="1" applyFill="1" applyBorder="1" applyAlignment="1">
      <alignment horizontal="center" vertical="center" wrapText="1"/>
    </xf>
    <xf numFmtId="0" fontId="10" fillId="0" borderId="0" xfId="2" applyFont="1" applyAlignment="1">
      <alignment horizontal="left" vertical="top"/>
    </xf>
    <xf numFmtId="0" fontId="17" fillId="0" borderId="0" xfId="2" applyFont="1" applyAlignment="1">
      <alignment vertical="top"/>
    </xf>
    <xf numFmtId="0" fontId="18" fillId="0" borderId="0" xfId="2" applyFont="1" applyAlignment="1">
      <alignment vertical="top"/>
    </xf>
    <xf numFmtId="0" fontId="19" fillId="0" borderId="0" xfId="2" applyFont="1" applyAlignment="1">
      <alignment vertical="top"/>
    </xf>
    <xf numFmtId="167" fontId="19" fillId="0" borderId="0" xfId="2" applyNumberFormat="1" applyFont="1" applyAlignment="1">
      <alignment horizontal="center" vertical="top"/>
    </xf>
    <xf numFmtId="0" fontId="11" fillId="0" borderId="0" xfId="2" applyFont="1" applyAlignment="1">
      <alignment horizontal="center" vertical="top"/>
    </xf>
    <xf numFmtId="0" fontId="20" fillId="0" borderId="0" xfId="2" applyFont="1" applyAlignment="1">
      <alignment vertical="top"/>
    </xf>
    <xf numFmtId="0" fontId="21" fillId="0" borderId="0" xfId="2" applyFont="1" applyAlignment="1">
      <alignment vertical="top"/>
    </xf>
    <xf numFmtId="167" fontId="22" fillId="0" borderId="32" xfId="2" applyNumberFormat="1" applyFont="1" applyBorder="1" applyAlignment="1">
      <alignment horizontal="center" wrapText="1"/>
    </xf>
    <xf numFmtId="49" fontId="22" fillId="0" borderId="32" xfId="2" applyNumberFormat="1" applyFont="1" applyBorder="1" applyAlignment="1">
      <alignment horizontal="center" wrapText="1"/>
    </xf>
    <xf numFmtId="49" fontId="24" fillId="3" borderId="5" xfId="2" applyNumberFormat="1" applyFont="1" applyFill="1" applyBorder="1" applyAlignment="1">
      <alignment horizontal="left" vertical="center" wrapText="1"/>
    </xf>
    <xf numFmtId="49" fontId="24" fillId="3" borderId="3" xfId="2" applyNumberFormat="1" applyFont="1" applyFill="1" applyBorder="1" applyAlignment="1">
      <alignment horizontal="left" vertical="center" wrapText="1"/>
    </xf>
    <xf numFmtId="0" fontId="9" fillId="0" borderId="0" xfId="2" applyFont="1" applyAlignment="1">
      <alignment horizontal="center" vertical="center" textRotation="90" wrapText="1"/>
    </xf>
    <xf numFmtId="0" fontId="10" fillId="0" borderId="0" xfId="2" applyFont="1" applyAlignment="1">
      <alignment vertical="top"/>
    </xf>
    <xf numFmtId="167" fontId="10" fillId="0" borderId="10" xfId="2" applyNumberFormat="1" applyFont="1" applyBorder="1" applyAlignment="1">
      <alignment horizontal="center" vertical="top" wrapText="1"/>
    </xf>
    <xf numFmtId="0" fontId="10" fillId="0" borderId="10" xfId="2" applyFont="1" applyBorder="1" applyAlignment="1">
      <alignment horizontal="center" vertical="top" wrapText="1"/>
    </xf>
    <xf numFmtId="0" fontId="18" fillId="6" borderId="0" xfId="2" applyFont="1" applyFill="1" applyAlignment="1">
      <alignment vertical="center"/>
    </xf>
    <xf numFmtId="0" fontId="10" fillId="7" borderId="0" xfId="2" applyFont="1" applyFill="1" applyAlignment="1">
      <alignment vertical="top"/>
    </xf>
    <xf numFmtId="0" fontId="18" fillId="7" borderId="0" xfId="2" applyFont="1" applyFill="1" applyAlignment="1">
      <alignment vertical="center"/>
    </xf>
    <xf numFmtId="0" fontId="11" fillId="6" borderId="0" xfId="2" applyFont="1" applyFill="1" applyAlignment="1">
      <alignment vertical="center"/>
    </xf>
    <xf numFmtId="0" fontId="18" fillId="7" borderId="0" xfId="2" applyFont="1" applyFill="1" applyAlignment="1">
      <alignment vertical="top"/>
    </xf>
    <xf numFmtId="0" fontId="11" fillId="0" borderId="0" xfId="2" applyFont="1" applyAlignment="1">
      <alignment vertical="top"/>
    </xf>
    <xf numFmtId="0" fontId="11" fillId="7" borderId="0" xfId="2" applyFont="1" applyFill="1" applyAlignment="1">
      <alignment vertical="top"/>
    </xf>
    <xf numFmtId="0" fontId="11" fillId="7" borderId="0" xfId="2" applyFont="1" applyFill="1" applyAlignment="1">
      <alignment vertical="center"/>
    </xf>
    <xf numFmtId="167" fontId="13" fillId="0" borderId="10" xfId="2" applyNumberFormat="1" applyFont="1" applyBorder="1" applyAlignment="1">
      <alignment horizontal="center" vertical="center" wrapText="1"/>
    </xf>
    <xf numFmtId="0" fontId="13" fillId="0" borderId="10" xfId="2" applyFont="1" applyBorder="1" applyAlignment="1">
      <alignment horizontal="center" vertical="top" wrapText="1"/>
    </xf>
    <xf numFmtId="0" fontId="18" fillId="8" borderId="0" xfId="2" applyFont="1" applyFill="1" applyAlignment="1">
      <alignment vertical="top"/>
    </xf>
    <xf numFmtId="167" fontId="13" fillId="0" borderId="10" xfId="2" applyNumberFormat="1" applyFont="1" applyBorder="1" applyAlignment="1">
      <alignment horizontal="center" vertical="top" wrapText="1"/>
    </xf>
    <xf numFmtId="0" fontId="18" fillId="9" borderId="0" xfId="2" applyFont="1" applyFill="1" applyAlignment="1">
      <alignment vertical="top"/>
    </xf>
    <xf numFmtId="0" fontId="10" fillId="9" borderId="0" xfId="2" applyFont="1" applyFill="1" applyAlignment="1">
      <alignment vertical="top"/>
    </xf>
    <xf numFmtId="0" fontId="18" fillId="9" borderId="0" xfId="2" applyFont="1" applyFill="1" applyAlignment="1">
      <alignment vertical="center"/>
    </xf>
    <xf numFmtId="0" fontId="13" fillId="7" borderId="0" xfId="2" applyFont="1" applyFill="1" applyAlignment="1">
      <alignment vertical="top"/>
    </xf>
    <xf numFmtId="0" fontId="25" fillId="6" borderId="0" xfId="2" applyFont="1" applyFill="1" applyAlignment="1">
      <alignment vertical="center"/>
    </xf>
    <xf numFmtId="0" fontId="13" fillId="0" borderId="0" xfId="2" applyFont="1" applyAlignment="1">
      <alignment vertical="top"/>
    </xf>
    <xf numFmtId="0" fontId="13" fillId="0" borderId="11" xfId="2" applyFont="1" applyBorder="1" applyAlignment="1">
      <alignment horizontal="center" vertical="top" wrapText="1"/>
    </xf>
    <xf numFmtId="0" fontId="25" fillId="7" borderId="0" xfId="2" applyFont="1" applyFill="1" applyAlignment="1">
      <alignment vertical="center"/>
    </xf>
    <xf numFmtId="0" fontId="0" fillId="10" borderId="0" xfId="0" applyFill="1"/>
    <xf numFmtId="2" fontId="0" fillId="10" borderId="0" xfId="0" applyNumberFormat="1" applyFill="1" applyAlignment="1">
      <alignment horizontal="center"/>
    </xf>
    <xf numFmtId="1" fontId="0" fillId="0" borderId="0" xfId="0" applyNumberFormat="1"/>
    <xf numFmtId="168" fontId="0" fillId="0" borderId="0" xfId="0" applyNumberFormat="1"/>
    <xf numFmtId="0" fontId="0" fillId="0" borderId="0" xfId="0" applyAlignment="1">
      <alignment vertical="center"/>
    </xf>
    <xf numFmtId="2" fontId="0" fillId="0" borderId="0" xfId="0" applyNumberFormat="1" applyAlignment="1">
      <alignment vertical="center"/>
    </xf>
    <xf numFmtId="165" fontId="0" fillId="7" borderId="3" xfId="0" applyNumberFormat="1" applyFill="1" applyBorder="1"/>
    <xf numFmtId="2" fontId="0" fillId="7" borderId="0" xfId="0" applyNumberFormat="1" applyFill="1"/>
    <xf numFmtId="165" fontId="0" fillId="7" borderId="6" xfId="0" applyNumberFormat="1" applyFill="1" applyBorder="1"/>
    <xf numFmtId="0" fontId="3" fillId="2" borderId="35" xfId="0" applyFont="1" applyFill="1" applyBorder="1" applyAlignment="1">
      <alignment horizontal="center" vertical="center" wrapText="1"/>
    </xf>
    <xf numFmtId="164" fontId="4" fillId="3" borderId="22" xfId="0" applyNumberFormat="1" applyFont="1" applyFill="1" applyBorder="1" applyAlignment="1">
      <alignment horizontal="center" vertical="center"/>
    </xf>
    <xf numFmtId="165" fontId="5" fillId="0" borderId="22" xfId="0" applyNumberFormat="1" applyFont="1" applyBorder="1"/>
    <xf numFmtId="165" fontId="0" fillId="0" borderId="8" xfId="0" applyNumberFormat="1" applyBorder="1"/>
    <xf numFmtId="169" fontId="0" fillId="0" borderId="0" xfId="0" applyNumberFormat="1"/>
    <xf numFmtId="169" fontId="0" fillId="0" borderId="0" xfId="0" applyNumberFormat="1" applyAlignment="1">
      <alignment horizontal="center"/>
    </xf>
    <xf numFmtId="169" fontId="5" fillId="0" borderId="0" xfId="0" applyNumberFormat="1" applyFont="1"/>
    <xf numFmtId="165" fontId="30" fillId="0" borderId="17" xfId="0" applyNumberFormat="1" applyFont="1" applyBorder="1"/>
    <xf numFmtId="165" fontId="30" fillId="0" borderId="3" xfId="0" applyNumberFormat="1" applyFont="1" applyBorder="1"/>
    <xf numFmtId="165" fontId="30" fillId="0" borderId="18" xfId="0" applyNumberFormat="1" applyFont="1" applyBorder="1"/>
    <xf numFmtId="165" fontId="30" fillId="0" borderId="19" xfId="0" applyNumberFormat="1" applyFont="1" applyBorder="1"/>
    <xf numFmtId="165" fontId="30" fillId="0" borderId="4" xfId="0" applyNumberFormat="1" applyFont="1" applyBorder="1"/>
    <xf numFmtId="165" fontId="30" fillId="0" borderId="20" xfId="0" applyNumberFormat="1" applyFont="1" applyBorder="1"/>
    <xf numFmtId="165" fontId="30" fillId="0" borderId="21" xfId="0" applyNumberFormat="1" applyFont="1" applyBorder="1"/>
    <xf numFmtId="165" fontId="30" fillId="0" borderId="0" xfId="0" applyNumberFormat="1" applyFont="1"/>
    <xf numFmtId="49" fontId="4" fillId="3" borderId="22" xfId="0" applyNumberFormat="1" applyFont="1" applyFill="1" applyBorder="1" applyAlignment="1">
      <alignment horizontal="center" vertical="center" wrapText="1"/>
    </xf>
    <xf numFmtId="165" fontId="30" fillId="0" borderId="14" xfId="0" applyNumberFormat="1" applyFont="1" applyBorder="1"/>
    <xf numFmtId="165" fontId="30" fillId="0" borderId="6" xfId="0" applyNumberFormat="1" applyFont="1" applyBorder="1"/>
    <xf numFmtId="165" fontId="30" fillId="0" borderId="16" xfId="0" applyNumberFormat="1" applyFont="1" applyBorder="1"/>
    <xf numFmtId="165" fontId="30" fillId="0" borderId="22" xfId="0" applyNumberFormat="1" applyFont="1" applyBorder="1"/>
    <xf numFmtId="169" fontId="30" fillId="0" borderId="0" xfId="0" applyNumberFormat="1" applyFont="1"/>
    <xf numFmtId="169" fontId="30" fillId="0" borderId="0" xfId="0" applyNumberFormat="1" applyFont="1" applyAlignment="1">
      <alignment horizontal="center"/>
    </xf>
    <xf numFmtId="0" fontId="30" fillId="0" borderId="0" xfId="0" applyFont="1"/>
    <xf numFmtId="0" fontId="0" fillId="0" borderId="35" xfId="0" applyBorder="1" applyAlignment="1">
      <alignment horizontal="center" vertical="center" wrapText="1"/>
    </xf>
    <xf numFmtId="0" fontId="31" fillId="2" borderId="0" xfId="0" applyFont="1" applyFill="1" applyAlignment="1">
      <alignment horizontal="center" vertical="center" textRotation="90"/>
    </xf>
    <xf numFmtId="0" fontId="31" fillId="4" borderId="0" xfId="0" applyFont="1" applyFill="1"/>
    <xf numFmtId="0" fontId="31" fillId="0" borderId="0" xfId="0" applyFont="1"/>
    <xf numFmtId="168" fontId="31" fillId="0" borderId="0" xfId="0" applyNumberFormat="1" applyFont="1"/>
    <xf numFmtId="2" fontId="31" fillId="0" borderId="0" xfId="0" applyNumberFormat="1" applyFont="1"/>
    <xf numFmtId="2" fontId="31" fillId="10" borderId="0" xfId="0" applyNumberFormat="1" applyFont="1" applyFill="1" applyAlignment="1">
      <alignment horizontal="center"/>
    </xf>
    <xf numFmtId="167" fontId="32" fillId="0" borderId="10" xfId="2" applyNumberFormat="1" applyFont="1" applyBorder="1" applyAlignment="1">
      <alignment horizontal="center" vertical="center" wrapText="1"/>
    </xf>
    <xf numFmtId="43"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64" fontId="4" fillId="3" borderId="1" xfId="0" applyNumberFormat="1" applyFont="1" applyFill="1" applyBorder="1" applyAlignment="1">
      <alignment horizontal="center" vertical="center"/>
    </xf>
    <xf numFmtId="166" fontId="14" fillId="0" borderId="0" xfId="0" applyNumberFormat="1" applyFont="1" applyAlignment="1"/>
    <xf numFmtId="0" fontId="0" fillId="0" borderId="0" xfId="0" applyAlignment="1"/>
    <xf numFmtId="0" fontId="16" fillId="2" borderId="21" xfId="0" applyFont="1" applyFill="1" applyBorder="1" applyAlignment="1">
      <alignment horizontal="center" vertical="center" wrapText="1"/>
    </xf>
    <xf numFmtId="0" fontId="16" fillId="2" borderId="0" xfId="0" applyFont="1" applyFill="1" applyAlignment="1">
      <alignment horizontal="center" vertical="center" wrapText="1"/>
    </xf>
    <xf numFmtId="0" fontId="15" fillId="0" borderId="0" xfId="0" applyFont="1" applyAlignment="1">
      <alignment wrapText="1"/>
    </xf>
    <xf numFmtId="0" fontId="3" fillId="2" borderId="27" xfId="0" applyFont="1" applyFill="1" applyBorder="1" applyAlignment="1">
      <alignment horizontal="center" vertical="center" wrapText="1"/>
    </xf>
    <xf numFmtId="0" fontId="0" fillId="0" borderId="26" xfId="0" applyBorder="1" applyAlignment="1">
      <alignment horizontal="center" vertical="center" wrapText="1"/>
    </xf>
    <xf numFmtId="0" fontId="0" fillId="0" borderId="28" xfId="0" applyBorder="1" applyAlignment="1">
      <alignment horizontal="center" vertical="center" wrapText="1"/>
    </xf>
    <xf numFmtId="164" fontId="4" fillId="3" borderId="12" xfId="0" applyNumberFormat="1" applyFont="1" applyFill="1" applyBorder="1" applyAlignment="1">
      <alignment horizontal="center" vertical="center"/>
    </xf>
    <xf numFmtId="164" fontId="4" fillId="3" borderId="13" xfId="0" applyNumberFormat="1" applyFont="1" applyFill="1" applyBorder="1" applyAlignment="1">
      <alignment horizontal="center" vertical="center"/>
    </xf>
    <xf numFmtId="164" fontId="4" fillId="3" borderId="36" xfId="0" applyNumberFormat="1" applyFont="1" applyFill="1" applyBorder="1" applyAlignment="1">
      <alignment horizontal="center" vertical="center"/>
    </xf>
    <xf numFmtId="0" fontId="3" fillId="2" borderId="29" xfId="0" applyFont="1" applyFill="1" applyBorder="1" applyAlignment="1">
      <alignment horizontal="center" vertical="center" wrapText="1"/>
    </xf>
    <xf numFmtId="0" fontId="0" fillId="0" borderId="30" xfId="0" applyBorder="1" applyAlignment="1">
      <alignment horizontal="center" vertical="center" wrapText="1"/>
    </xf>
    <xf numFmtId="0" fontId="16" fillId="2" borderId="29" xfId="0" applyFont="1" applyFill="1" applyBorder="1" applyAlignment="1">
      <alignment horizontal="center" vertical="center"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28" fillId="2" borderId="27" xfId="0" applyFont="1" applyFill="1" applyBorder="1" applyAlignment="1">
      <alignment horizontal="center" vertical="center" wrapText="1"/>
    </xf>
    <xf numFmtId="0" fontId="28" fillId="2" borderId="26" xfId="0" applyFont="1" applyFill="1" applyBorder="1" applyAlignment="1">
      <alignment horizontal="center" vertical="center" wrapText="1"/>
    </xf>
    <xf numFmtId="0" fontId="29" fillId="0" borderId="26" xfId="0" applyFont="1" applyBorder="1" applyAlignment="1">
      <alignment horizontal="center" vertical="center" wrapText="1"/>
    </xf>
    <xf numFmtId="0" fontId="29" fillId="0" borderId="28" xfId="0" applyFont="1" applyBorder="1" applyAlignment="1">
      <alignment horizontal="center" vertical="center" wrapText="1"/>
    </xf>
    <xf numFmtId="0" fontId="29" fillId="0" borderId="21" xfId="0" applyFont="1" applyBorder="1" applyAlignment="1">
      <alignment horizontal="center" vertical="center" wrapText="1"/>
    </xf>
    <xf numFmtId="0" fontId="29" fillId="0" borderId="0" xfId="0" applyFont="1" applyAlignment="1">
      <alignment horizontal="center" vertical="center" wrapText="1"/>
    </xf>
    <xf numFmtId="0" fontId="29" fillId="0" borderId="18" xfId="0" applyFont="1" applyBorder="1" applyAlignment="1">
      <alignment horizontal="center" vertical="center" wrapText="1"/>
    </xf>
    <xf numFmtId="0" fontId="0" fillId="0" borderId="31" xfId="0"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18" xfId="0" applyBorder="1" applyAlignment="1">
      <alignment horizontal="center" vertical="center" wrapText="1"/>
    </xf>
    <xf numFmtId="0" fontId="27" fillId="11" borderId="33" xfId="4" applyFont="1" applyFill="1" applyBorder="1" applyAlignment="1">
      <alignment horizontal="center" vertical="center" wrapText="1"/>
    </xf>
    <xf numFmtId="0" fontId="27" fillId="11" borderId="34" xfId="4" applyFont="1" applyFill="1" applyBorder="1" applyAlignment="1">
      <alignment horizontal="center" vertical="center" wrapText="1"/>
    </xf>
  </cellXfs>
  <cellStyles count="5">
    <cellStyle name="Normal" xfId="0" builtinId="0"/>
    <cellStyle name="Normal 2" xfId="2" xr:uid="{2BE2422F-25CC-4790-91E5-4213514FAC4F}"/>
    <cellStyle name="Normal 2 2" xfId="4" xr:uid="{FF90747F-6001-4094-8847-C6528F1BFA5C}"/>
    <cellStyle name="Normal 3" xfId="3" xr:uid="{23E85581-492F-4745-8861-2FDA132B0C1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alibre" panose="020B0503030202060203" pitchFamily="34" charset="0"/>
              </a:defRPr>
            </a:pPr>
            <a:r>
              <a:rPr lang="en-GB">
                <a:latin typeface="Calibre" panose="020B0503030202060203" pitchFamily="34" charset="0"/>
              </a:rPr>
              <a:t>GLOBAL</a:t>
            </a:r>
            <a:r>
              <a:rPr lang="en-GB" baseline="0">
                <a:latin typeface="Calibre" panose="020B0503030202060203" pitchFamily="34" charset="0"/>
              </a:rPr>
              <a:t> </a:t>
            </a:r>
            <a:r>
              <a:rPr lang="en-GB">
                <a:latin typeface="Calibre" panose="020B0503030202060203" pitchFamily="34" charset="0"/>
              </a:rPr>
              <a:t>COST RADAR RELATIVE TO</a:t>
            </a:r>
            <a:r>
              <a:rPr lang="en-GB" baseline="0">
                <a:latin typeface="Calibre" panose="020B0503030202060203" pitchFamily="34" charset="0"/>
              </a:rPr>
              <a:t> LONDON</a:t>
            </a:r>
            <a:endParaRPr lang="en-GB">
              <a:latin typeface="Calibre" panose="020B0503030202060203" pitchFamily="34" charset="0"/>
            </a:endParaRPr>
          </a:p>
        </c:rich>
      </c:tx>
      <c:layout>
        <c:manualLayout>
          <c:xMode val="edge"/>
          <c:yMode val="edge"/>
          <c:x val="0.10119931649502786"/>
          <c:y val="6.3542276527215583E-4"/>
        </c:manualLayout>
      </c:layout>
      <c:overlay val="1"/>
    </c:title>
    <c:autoTitleDeleted val="0"/>
    <c:plotArea>
      <c:layout>
        <c:manualLayout>
          <c:layoutTarget val="inner"/>
          <c:xMode val="edge"/>
          <c:yMode val="edge"/>
          <c:x val="8.5149481900844037E-2"/>
          <c:y val="0.14084394085771787"/>
          <c:w val="0.78269018576658167"/>
          <c:h val="0.91008479744543047"/>
        </c:manualLayout>
      </c:layout>
      <c:radarChart>
        <c:radarStyle val="marker"/>
        <c:varyColors val="0"/>
        <c:ser>
          <c:idx val="1"/>
          <c:order val="0"/>
          <c:spPr>
            <a:ln w="25400">
              <a:solidFill>
                <a:srgbClr val="006A4D"/>
              </a:solidFill>
              <a:prstDash val="solid"/>
            </a:ln>
          </c:spPr>
          <c:dLbls>
            <c:dLbl>
              <c:idx val="0"/>
              <c:layout>
                <c:manualLayout>
                  <c:x val="4.3592851916455042E-3"/>
                  <c:y val="-0.232717339900319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79-4C9E-A97B-F17A0F2C79AD}"/>
                </c:ext>
              </c:extLst>
            </c:dLbl>
            <c:dLbl>
              <c:idx val="1"/>
              <c:layout>
                <c:manualLayout>
                  <c:x val="2.470261608599119E-2"/>
                  <c:y val="-0.20362767241277949"/>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79-4C9E-A97B-F17A0F2C79AD}"/>
                </c:ext>
              </c:extLst>
            </c:dLbl>
            <c:dLbl>
              <c:idx val="2"/>
              <c:layout>
                <c:manualLayout>
                  <c:x val="4.3592851916455046E-2"/>
                  <c:y val="-0.1997490500811074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79-4C9E-A97B-F17A0F2C79AD}"/>
                </c:ext>
              </c:extLst>
            </c:dLbl>
            <c:dLbl>
              <c:idx val="7"/>
              <c:layout>
                <c:manualLayout>
                  <c:x val="1.2404108775289989E-2"/>
                  <c:y val="1.4234319461462195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79-4C9E-A97B-F17A0F2C79AD}"/>
                </c:ext>
              </c:extLst>
            </c:dLbl>
            <c:dLbl>
              <c:idx val="15"/>
              <c:layout>
                <c:manualLayout>
                  <c:x val="-1.0768173467036787E-2"/>
                  <c:y val="1.4457995806190567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79-4C9E-A97B-F17A0F2C79AD}"/>
                </c:ext>
              </c:extLst>
            </c:dLbl>
            <c:dLbl>
              <c:idx val="38"/>
              <c:layout>
                <c:manualLayout>
                  <c:x val="-1.4493421884412581E-2"/>
                  <c:y val="-2.7150356321703931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79-4C9E-A97B-F17A0F2C79AD}"/>
                </c:ext>
              </c:extLst>
            </c:dLbl>
            <c:dLbl>
              <c:idx val="39"/>
              <c:layout>
                <c:manualLayout>
                  <c:x val="-8.6452291284919332E-3"/>
                  <c:y val="-2.13324228241959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79-4C9E-A97B-F17A0F2C79AD}"/>
                </c:ext>
              </c:extLst>
            </c:dLbl>
            <c:dLbl>
              <c:idx val="40"/>
              <c:layout>
                <c:manualLayout>
                  <c:x val="-8.7185703832910084E-3"/>
                  <c:y val="-2.13324228241959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779-4C9E-A97B-F17A0F2C79AD}"/>
                </c:ext>
              </c:extLst>
            </c:dLbl>
            <c:dLbl>
              <c:idx val="41"/>
              <c:layout>
                <c:manualLayout>
                  <c:x val="-7.265475319409174E-3"/>
                  <c:y val="-1.7453800492523975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779-4C9E-A97B-F17A0F2C79AD}"/>
                </c:ext>
              </c:extLst>
            </c:dLbl>
            <c:dLbl>
              <c:idx val="42"/>
              <c:layout>
                <c:manualLayout>
                  <c:x val="2.9061901277636693E-3"/>
                  <c:y val="-9.6965558291799755E-3"/>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779-4C9E-A97B-F17A0F2C79AD}"/>
                </c:ext>
              </c:extLst>
            </c:dLbl>
            <c:dLbl>
              <c:idx val="43"/>
              <c:layout>
                <c:manualLayout>
                  <c:x val="-5.8123802555273392E-2"/>
                  <c:y val="8.339038013094778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A-0779-4C9E-A97B-F17A0F2C79AD}"/>
                </c:ext>
              </c:extLst>
            </c:dLbl>
            <c:dLbl>
              <c:idx val="44"/>
              <c:layout>
                <c:manualLayout>
                  <c:x val="2.500868083475139E-3"/>
                  <c:y val="2.2758620071718087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779-4C9E-A97B-F17A0F2C79AD}"/>
                </c:ext>
              </c:extLst>
            </c:dLbl>
            <c:dLbl>
              <c:idx val="45"/>
              <c:layout>
                <c:manualLayout>
                  <c:x val="-6.8295468002446236E-2"/>
                  <c:y val="4.2664845648391889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C-0779-4C9E-A97B-F17A0F2C79AD}"/>
                </c:ext>
              </c:extLst>
            </c:dLbl>
            <c:dLbl>
              <c:idx val="47"/>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779-4C9E-A97B-F17A0F2C79AD}"/>
                </c:ext>
              </c:extLst>
            </c:dLbl>
            <c:dLbl>
              <c:idx val="48"/>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779-4C9E-A97B-F17A0F2C79AD}"/>
                </c:ext>
              </c:extLst>
            </c:dLbl>
            <c:dLbl>
              <c:idx val="50"/>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779-4C9E-A97B-F17A0F2C79AD}"/>
                </c:ext>
              </c:extLst>
            </c:dLbl>
            <c:dLbl>
              <c:idx val="52"/>
              <c:layout>
                <c:manualLayout>
                  <c:x val="-6.6842372938564404E-2"/>
                  <c:y val="2.9089667487539925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779-4C9E-A97B-F17A0F2C79AD}"/>
                </c:ext>
              </c:extLst>
            </c:dLbl>
            <c:dLbl>
              <c:idx val="53"/>
              <c:layout>
                <c:manualLayout>
                  <c:x val="-5.8123802555273392E-2"/>
                  <c:y val="1.9393111658359951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779-4C9E-A97B-F17A0F2C79AD}"/>
                </c:ext>
              </c:extLst>
            </c:dLbl>
            <c:dLbl>
              <c:idx val="55"/>
              <c:spPr>
                <a:solidFill>
                  <a:srgbClr val="92D050"/>
                </a:solidFill>
              </c:spPr>
              <c:txPr>
                <a:bodyPr wrap="square" lIns="38100" tIns="19050" rIns="38100" bIns="19050" anchor="ctr" anchorCtr="0">
                  <a:spAutoFit/>
                </a:bodyPr>
                <a:lstStyle/>
                <a:p>
                  <a:pPr algn="ctr">
                    <a:defRPr lang="en-US" sz="1000" b="0" i="0" u="none" strike="noStrike" kern="1200" baseline="0">
                      <a:solidFill>
                        <a:srgbClr val="000000"/>
                      </a:solidFill>
                      <a:latin typeface="Futura LtCn BT"/>
                      <a:ea typeface="Futura LtCn BT"/>
                      <a:cs typeface="Futura LtCn BT"/>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779-4C9E-A97B-F17A0F2C79AD}"/>
                </c:ext>
              </c:extLst>
            </c:dLbl>
            <c:dLbl>
              <c:idx val="56"/>
              <c:layout>
                <c:manualLayout>
                  <c:x val="-5.8123802555273392E-2"/>
                  <c:y val="-1.93931116583592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779-4C9E-A97B-F17A0F2C79AD}"/>
                </c:ext>
              </c:extLst>
            </c:dLbl>
            <c:dLbl>
              <c:idx val="57"/>
              <c:layout>
                <c:manualLayout>
                  <c:x val="-4.940523217198238E-2"/>
                  <c:y val="-1.939311165835924E-3"/>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4-0779-4C9E-A97B-F17A0F2C79A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'Table 5 Global Radar Graph'!$B$2:$B$73</c:f>
              <c:strCache>
                <c:ptCount val="72"/>
                <c:pt idx="0">
                  <c:v>United States</c:v>
                </c:pt>
                <c:pt idx="1">
                  <c:v>Saint Kitts and Nevis</c:v>
                </c:pt>
                <c:pt idx="2">
                  <c:v>Puerto Rico</c:v>
                </c:pt>
                <c:pt idx="3">
                  <c:v>Barbados</c:v>
                </c:pt>
                <c:pt idx="4">
                  <c:v>Saint Lucia </c:v>
                </c:pt>
                <c:pt idx="5">
                  <c:v>Turks &amp; Caicos Islands</c:v>
                </c:pt>
                <c:pt idx="6">
                  <c:v>Cayman Islands </c:v>
                </c:pt>
                <c:pt idx="7">
                  <c:v>Saint Vincent The Grenadines</c:v>
                </c:pt>
                <c:pt idx="8">
                  <c:v>Bahamas </c:v>
                </c:pt>
                <c:pt idx="9">
                  <c:v>St. Maarten</c:v>
                </c:pt>
                <c:pt idx="10">
                  <c:v>Trinidad Tobago </c:v>
                </c:pt>
                <c:pt idx="11">
                  <c:v>British Virgin Islands</c:v>
                </c:pt>
                <c:pt idx="12">
                  <c:v>Argentina</c:v>
                </c:pt>
                <c:pt idx="13">
                  <c:v>Brazil</c:v>
                </c:pt>
                <c:pt idx="14">
                  <c:v>Colombia</c:v>
                </c:pt>
                <c:pt idx="15">
                  <c:v>Chile</c:v>
                </c:pt>
                <c:pt idx="16">
                  <c:v>Costa Rica</c:v>
                </c:pt>
                <c:pt idx="17">
                  <c:v>Mexico </c:v>
                </c:pt>
                <c:pt idx="18">
                  <c:v>Panama </c:v>
                </c:pt>
                <c:pt idx="19">
                  <c:v>Canada</c:v>
                </c:pt>
                <c:pt idx="20">
                  <c:v>Austria</c:v>
                </c:pt>
                <c:pt idx="21">
                  <c:v>Belgium </c:v>
                </c:pt>
                <c:pt idx="22">
                  <c:v>Botswana</c:v>
                </c:pt>
                <c:pt idx="23">
                  <c:v>Bulgaria</c:v>
                </c:pt>
                <c:pt idx="24">
                  <c:v>Croatia </c:v>
                </c:pt>
                <c:pt idx="25">
                  <c:v>Czech Republic</c:v>
                </c:pt>
                <c:pt idx="26">
                  <c:v>Denmark</c:v>
                </c:pt>
                <c:pt idx="27">
                  <c:v>Ethiopia</c:v>
                </c:pt>
                <c:pt idx="28">
                  <c:v>Finland</c:v>
                </c:pt>
                <c:pt idx="29">
                  <c:v>France</c:v>
                </c:pt>
                <c:pt idx="30">
                  <c:v>Germany</c:v>
                </c:pt>
                <c:pt idx="31">
                  <c:v>Ghana</c:v>
                </c:pt>
                <c:pt idx="32">
                  <c:v>Hungary</c:v>
                </c:pt>
                <c:pt idx="33">
                  <c:v>Ireland</c:v>
                </c:pt>
                <c:pt idx="34">
                  <c:v>Israel</c:v>
                </c:pt>
                <c:pt idx="35">
                  <c:v>Italy</c:v>
                </c:pt>
                <c:pt idx="36">
                  <c:v>Kenya</c:v>
                </c:pt>
                <c:pt idx="37">
                  <c:v>Luxembourg</c:v>
                </c:pt>
                <c:pt idx="38">
                  <c:v>Morocco</c:v>
                </c:pt>
                <c:pt idx="39">
                  <c:v>Netherlands</c:v>
                </c:pt>
                <c:pt idx="40">
                  <c:v>Nigeria</c:v>
                </c:pt>
                <c:pt idx="41">
                  <c:v>Norway </c:v>
                </c:pt>
                <c:pt idx="42">
                  <c:v>Poland</c:v>
                </c:pt>
                <c:pt idx="43">
                  <c:v>Romania</c:v>
                </c:pt>
                <c:pt idx="44">
                  <c:v>Rwanda</c:v>
                </c:pt>
                <c:pt idx="45">
                  <c:v>Senegal</c:v>
                </c:pt>
                <c:pt idx="46">
                  <c:v>Serbia </c:v>
                </c:pt>
                <c:pt idx="47">
                  <c:v>Slovakia</c:v>
                </c:pt>
                <c:pt idx="48">
                  <c:v>Slovenia</c:v>
                </c:pt>
                <c:pt idx="49">
                  <c:v>South Africa</c:v>
                </c:pt>
                <c:pt idx="50">
                  <c:v>Spain</c:v>
                </c:pt>
                <c:pt idx="51">
                  <c:v>Sweden</c:v>
                </c:pt>
                <c:pt idx="52">
                  <c:v>Switzerland</c:v>
                </c:pt>
                <c:pt idx="53">
                  <c:v>Turkey</c:v>
                </c:pt>
                <c:pt idx="54">
                  <c:v>UAE</c:v>
                </c:pt>
                <c:pt idx="55">
                  <c:v>Uganda </c:v>
                </c:pt>
                <c:pt idx="56">
                  <c:v>China</c:v>
                </c:pt>
                <c:pt idx="57">
                  <c:v>Australia </c:v>
                </c:pt>
                <c:pt idx="58">
                  <c:v>India</c:v>
                </c:pt>
                <c:pt idx="59">
                  <c:v>Indonesia </c:v>
                </c:pt>
                <c:pt idx="60">
                  <c:v>Japan</c:v>
                </c:pt>
                <c:pt idx="61">
                  <c:v>Malaysia</c:v>
                </c:pt>
                <c:pt idx="62">
                  <c:v>New Zealand</c:v>
                </c:pt>
                <c:pt idx="63">
                  <c:v>Pakistan</c:v>
                </c:pt>
                <c:pt idx="64">
                  <c:v>Philippines </c:v>
                </c:pt>
                <c:pt idx="65">
                  <c:v>Singapore</c:v>
                </c:pt>
                <c:pt idx="66">
                  <c:v>South Korea</c:v>
                </c:pt>
                <c:pt idx="67">
                  <c:v>Taiwan</c:v>
                </c:pt>
                <c:pt idx="68">
                  <c:v>Thailand</c:v>
                </c:pt>
                <c:pt idx="69">
                  <c:v>Vietnam</c:v>
                </c:pt>
                <c:pt idx="70">
                  <c:v>United Kingdom</c:v>
                </c:pt>
                <c:pt idx="71">
                  <c:v>Zimbabwe</c:v>
                </c:pt>
              </c:strCache>
            </c:strRef>
          </c:cat>
          <c:val>
            <c:numRef>
              <c:f>'Table 5 Global Radar Graph'!$D$2:$D$73</c:f>
              <c:numCache>
                <c:formatCode>0.00</c:formatCode>
                <c:ptCount val="72"/>
                <c:pt idx="0">
                  <c:v>1.1573274576084609</c:v>
                </c:pt>
                <c:pt idx="1">
                  <c:v>0.82583682074073295</c:v>
                </c:pt>
                <c:pt idx="2">
                  <c:v>0.93201041924208805</c:v>
                </c:pt>
                <c:pt idx="3">
                  <c:v>0.718308422687012</c:v>
                </c:pt>
                <c:pt idx="4">
                  <c:v>0.718308422687012</c:v>
                </c:pt>
                <c:pt idx="5">
                  <c:v>1.2547307158676599</c:v>
                </c:pt>
                <c:pt idx="6">
                  <c:v>1.210013546036466</c:v>
                </c:pt>
                <c:pt idx="7">
                  <c:v>0.57470997129541257</c:v>
                </c:pt>
                <c:pt idx="8">
                  <c:v>1.1240495811393614</c:v>
                </c:pt>
                <c:pt idx="9">
                  <c:v>0.9515963753365746</c:v>
                </c:pt>
                <c:pt idx="10">
                  <c:v>0.90070734706047983</c:v>
                </c:pt>
                <c:pt idx="11">
                  <c:v>1.1467049306342341</c:v>
                </c:pt>
                <c:pt idx="12">
                  <c:v>1.0426329247748338</c:v>
                </c:pt>
                <c:pt idx="13">
                  <c:v>0.67777492637098202</c:v>
                </c:pt>
                <c:pt idx="14">
                  <c:v>0.69157055661810252</c:v>
                </c:pt>
                <c:pt idx="15">
                  <c:v>0.62156489829366091</c:v>
                </c:pt>
                <c:pt idx="16">
                  <c:v>0.62233248363463545</c:v>
                </c:pt>
                <c:pt idx="17">
                  <c:v>0.70443892043010958</c:v>
                </c:pt>
                <c:pt idx="18">
                  <c:v>0.91165498213662466</c:v>
                </c:pt>
                <c:pt idx="19">
                  <c:v>0.71354349528011118</c:v>
                </c:pt>
                <c:pt idx="20">
                  <c:v>0.55221480584395788</c:v>
                </c:pt>
                <c:pt idx="21">
                  <c:v>0.6351154657877548</c:v>
                </c:pt>
                <c:pt idx="22">
                  <c:v>0.57759864698045749</c:v>
                </c:pt>
                <c:pt idx="23">
                  <c:v>0.48867627143713938</c:v>
                </c:pt>
                <c:pt idx="24">
                  <c:v>0.53468512504126819</c:v>
                </c:pt>
                <c:pt idx="25">
                  <c:v>0.38257316119028978</c:v>
                </c:pt>
                <c:pt idx="26">
                  <c:v>0.92574297850869947</c:v>
                </c:pt>
                <c:pt idx="27">
                  <c:v>0.61613886123885453</c:v>
                </c:pt>
                <c:pt idx="28">
                  <c:v>0.81267281445134942</c:v>
                </c:pt>
                <c:pt idx="29">
                  <c:v>0.86775382719176275</c:v>
                </c:pt>
                <c:pt idx="30">
                  <c:v>0.74116171756650584</c:v>
                </c:pt>
                <c:pt idx="31">
                  <c:v>0.62911640920050338</c:v>
                </c:pt>
                <c:pt idx="32">
                  <c:v>0.58840391930671376</c:v>
                </c:pt>
                <c:pt idx="33">
                  <c:v>0.68744710532510578</c:v>
                </c:pt>
                <c:pt idx="34">
                  <c:v>0.60522599823268686</c:v>
                </c:pt>
                <c:pt idx="35">
                  <c:v>0.49049397516209403</c:v>
                </c:pt>
                <c:pt idx="36">
                  <c:v>0.49021537259903658</c:v>
                </c:pt>
                <c:pt idx="37">
                  <c:v>0.65294353983032472</c:v>
                </c:pt>
                <c:pt idx="38">
                  <c:v>0.79289498657597612</c:v>
                </c:pt>
                <c:pt idx="39">
                  <c:v>0.48823840879179187</c:v>
                </c:pt>
                <c:pt idx="40">
                  <c:v>0.64852266264134018</c:v>
                </c:pt>
                <c:pt idx="41">
                  <c:v>0.82041836774181154</c:v>
                </c:pt>
                <c:pt idx="42">
                  <c:v>0.59720792646076382</c:v>
                </c:pt>
                <c:pt idx="43">
                  <c:v>0.56436162489236641</c:v>
                </c:pt>
                <c:pt idx="44">
                  <c:v>0.56840224107114812</c:v>
                </c:pt>
                <c:pt idx="45">
                  <c:v>0.67650830338708301</c:v>
                </c:pt>
                <c:pt idx="46">
                  <c:v>0.46772017454500286</c:v>
                </c:pt>
                <c:pt idx="47">
                  <c:v>0.83121460100046607</c:v>
                </c:pt>
                <c:pt idx="48">
                  <c:v>0.57480136855981601</c:v>
                </c:pt>
                <c:pt idx="49">
                  <c:v>0.49352894502312383</c:v>
                </c:pt>
                <c:pt idx="50">
                  <c:v>0.49949658502370226</c:v>
                </c:pt>
                <c:pt idx="51">
                  <c:v>0.80475538434398541</c:v>
                </c:pt>
                <c:pt idx="52">
                  <c:v>1.1506637733889584</c:v>
                </c:pt>
                <c:pt idx="53">
                  <c:v>0.70891943024822968</c:v>
                </c:pt>
                <c:pt idx="54">
                  <c:v>0.87317410910730642</c:v>
                </c:pt>
                <c:pt idx="55">
                  <c:v>0.66333035069741952</c:v>
                </c:pt>
                <c:pt idx="56">
                  <c:v>0.55630026659448328</c:v>
                </c:pt>
                <c:pt idx="57">
                  <c:v>0.76731284108715936</c:v>
                </c:pt>
                <c:pt idx="58">
                  <c:v>0.25973793845385168</c:v>
                </c:pt>
                <c:pt idx="59">
                  <c:v>0.40782312722460601</c:v>
                </c:pt>
                <c:pt idx="60">
                  <c:v>1.0394832695323921</c:v>
                </c:pt>
                <c:pt idx="61">
                  <c:v>0.42333811585301712</c:v>
                </c:pt>
                <c:pt idx="62">
                  <c:v>0.56703217262775818</c:v>
                </c:pt>
                <c:pt idx="63">
                  <c:v>0.32206010240430843</c:v>
                </c:pt>
                <c:pt idx="64">
                  <c:v>0.47367884832089024</c:v>
                </c:pt>
                <c:pt idx="65">
                  <c:v>0.86052008871572583</c:v>
                </c:pt>
                <c:pt idx="66">
                  <c:v>0.50047921856694266</c:v>
                </c:pt>
                <c:pt idx="67">
                  <c:v>0.52168224837544952</c:v>
                </c:pt>
                <c:pt idx="68">
                  <c:v>0.31503638179026833</c:v>
                </c:pt>
                <c:pt idx="69">
                  <c:v>0.33440916038835217</c:v>
                </c:pt>
                <c:pt idx="70">
                  <c:v>1</c:v>
                </c:pt>
                <c:pt idx="71">
                  <c:v>0.66764479019170853</c:v>
                </c:pt>
              </c:numCache>
            </c:numRef>
          </c:val>
          <c:extLst>
            <c:ext xmlns:c16="http://schemas.microsoft.com/office/drawing/2014/chart" uri="{C3380CC4-5D6E-409C-BE32-E72D297353CC}">
              <c16:uniqueId val="{00000000-BEED-4527-BE68-4D16A217B73C}"/>
            </c:ext>
          </c:extLst>
        </c:ser>
        <c:ser>
          <c:idx val="0"/>
          <c:order val="1"/>
          <c:spPr>
            <a:ln w="25400">
              <a:solidFill>
                <a:srgbClr val="006A4D"/>
              </a:solidFill>
              <a:prstDash val="solid"/>
            </a:ln>
          </c:spPr>
          <c:marker>
            <c:symbol val="square"/>
            <c:size val="6"/>
            <c:spPr>
              <a:solidFill>
                <a:srgbClr val="FFFFFF"/>
              </a:solidFill>
              <a:ln>
                <a:solidFill>
                  <a:srgbClr val="006A4D"/>
                </a:solidFill>
                <a:prstDash val="solid"/>
              </a:ln>
            </c:spPr>
          </c:marker>
          <c:dLbls>
            <c:spPr>
              <a:solidFill>
                <a:srgbClr val="92D050"/>
              </a:solidFill>
            </c:spPr>
            <c:showLegendKey val="0"/>
            <c:showVal val="1"/>
            <c:showCatName val="1"/>
            <c:showSerName val="0"/>
            <c:showPercent val="0"/>
            <c:showBubbleSize val="0"/>
            <c:showLeaderLines val="0"/>
            <c:extLst>
              <c:ext xmlns:c15="http://schemas.microsoft.com/office/drawing/2012/chart" uri="{CE6537A1-D6FC-4f65-9D91-7224C49458BB}">
                <c15:showLeaderLines val="1"/>
              </c:ext>
            </c:extLst>
          </c:dLbls>
          <c:cat>
            <c:strRef>
              <c:f>'Table 5 Global Radar Graph'!$B$2:$B$73</c:f>
              <c:strCache>
                <c:ptCount val="72"/>
                <c:pt idx="0">
                  <c:v>United States</c:v>
                </c:pt>
                <c:pt idx="1">
                  <c:v>Saint Kitts and Nevis</c:v>
                </c:pt>
                <c:pt idx="2">
                  <c:v>Puerto Rico</c:v>
                </c:pt>
                <c:pt idx="3">
                  <c:v>Barbados</c:v>
                </c:pt>
                <c:pt idx="4">
                  <c:v>Saint Lucia </c:v>
                </c:pt>
                <c:pt idx="5">
                  <c:v>Turks &amp; Caicos Islands</c:v>
                </c:pt>
                <c:pt idx="6">
                  <c:v>Cayman Islands </c:v>
                </c:pt>
                <c:pt idx="7">
                  <c:v>Saint Vincent The Grenadines</c:v>
                </c:pt>
                <c:pt idx="8">
                  <c:v>Bahamas </c:v>
                </c:pt>
                <c:pt idx="9">
                  <c:v>St. Maarten</c:v>
                </c:pt>
                <c:pt idx="10">
                  <c:v>Trinidad Tobago </c:v>
                </c:pt>
                <c:pt idx="11">
                  <c:v>British Virgin Islands</c:v>
                </c:pt>
                <c:pt idx="12">
                  <c:v>Argentina</c:v>
                </c:pt>
                <c:pt idx="13">
                  <c:v>Brazil</c:v>
                </c:pt>
                <c:pt idx="14">
                  <c:v>Colombia</c:v>
                </c:pt>
                <c:pt idx="15">
                  <c:v>Chile</c:v>
                </c:pt>
                <c:pt idx="16">
                  <c:v>Costa Rica</c:v>
                </c:pt>
                <c:pt idx="17">
                  <c:v>Mexico </c:v>
                </c:pt>
                <c:pt idx="18">
                  <c:v>Panama </c:v>
                </c:pt>
                <c:pt idx="19">
                  <c:v>Canada</c:v>
                </c:pt>
                <c:pt idx="20">
                  <c:v>Austria</c:v>
                </c:pt>
                <c:pt idx="21">
                  <c:v>Belgium </c:v>
                </c:pt>
                <c:pt idx="22">
                  <c:v>Botswana</c:v>
                </c:pt>
                <c:pt idx="23">
                  <c:v>Bulgaria</c:v>
                </c:pt>
                <c:pt idx="24">
                  <c:v>Croatia </c:v>
                </c:pt>
                <c:pt idx="25">
                  <c:v>Czech Republic</c:v>
                </c:pt>
                <c:pt idx="26">
                  <c:v>Denmark</c:v>
                </c:pt>
                <c:pt idx="27">
                  <c:v>Ethiopia</c:v>
                </c:pt>
                <c:pt idx="28">
                  <c:v>Finland</c:v>
                </c:pt>
                <c:pt idx="29">
                  <c:v>France</c:v>
                </c:pt>
                <c:pt idx="30">
                  <c:v>Germany</c:v>
                </c:pt>
                <c:pt idx="31">
                  <c:v>Ghana</c:v>
                </c:pt>
                <c:pt idx="32">
                  <c:v>Hungary</c:v>
                </c:pt>
                <c:pt idx="33">
                  <c:v>Ireland</c:v>
                </c:pt>
                <c:pt idx="34">
                  <c:v>Israel</c:v>
                </c:pt>
                <c:pt idx="35">
                  <c:v>Italy</c:v>
                </c:pt>
                <c:pt idx="36">
                  <c:v>Kenya</c:v>
                </c:pt>
                <c:pt idx="37">
                  <c:v>Luxembourg</c:v>
                </c:pt>
                <c:pt idx="38">
                  <c:v>Morocco</c:v>
                </c:pt>
                <c:pt idx="39">
                  <c:v>Netherlands</c:v>
                </c:pt>
                <c:pt idx="40">
                  <c:v>Nigeria</c:v>
                </c:pt>
                <c:pt idx="41">
                  <c:v>Norway </c:v>
                </c:pt>
                <c:pt idx="42">
                  <c:v>Poland</c:v>
                </c:pt>
                <c:pt idx="43">
                  <c:v>Romania</c:v>
                </c:pt>
                <c:pt idx="44">
                  <c:v>Rwanda</c:v>
                </c:pt>
                <c:pt idx="45">
                  <c:v>Senegal</c:v>
                </c:pt>
                <c:pt idx="46">
                  <c:v>Serbia </c:v>
                </c:pt>
                <c:pt idx="47">
                  <c:v>Slovakia</c:v>
                </c:pt>
                <c:pt idx="48">
                  <c:v>Slovenia</c:v>
                </c:pt>
                <c:pt idx="49">
                  <c:v>South Africa</c:v>
                </c:pt>
                <c:pt idx="50">
                  <c:v>Spain</c:v>
                </c:pt>
                <c:pt idx="51">
                  <c:v>Sweden</c:v>
                </c:pt>
                <c:pt idx="52">
                  <c:v>Switzerland</c:v>
                </c:pt>
                <c:pt idx="53">
                  <c:v>Turkey</c:v>
                </c:pt>
                <c:pt idx="54">
                  <c:v>UAE</c:v>
                </c:pt>
                <c:pt idx="55">
                  <c:v>Uganda </c:v>
                </c:pt>
                <c:pt idx="56">
                  <c:v>China</c:v>
                </c:pt>
                <c:pt idx="57">
                  <c:v>Australia </c:v>
                </c:pt>
                <c:pt idx="58">
                  <c:v>India</c:v>
                </c:pt>
                <c:pt idx="59">
                  <c:v>Indonesia </c:v>
                </c:pt>
                <c:pt idx="60">
                  <c:v>Japan</c:v>
                </c:pt>
                <c:pt idx="61">
                  <c:v>Malaysia</c:v>
                </c:pt>
                <c:pt idx="62">
                  <c:v>New Zealand</c:v>
                </c:pt>
                <c:pt idx="63">
                  <c:v>Pakistan</c:v>
                </c:pt>
                <c:pt idx="64">
                  <c:v>Philippines </c:v>
                </c:pt>
                <c:pt idx="65">
                  <c:v>Singapore</c:v>
                </c:pt>
                <c:pt idx="66">
                  <c:v>South Korea</c:v>
                </c:pt>
                <c:pt idx="67">
                  <c:v>Taiwan</c:v>
                </c:pt>
                <c:pt idx="68">
                  <c:v>Thailand</c:v>
                </c:pt>
                <c:pt idx="69">
                  <c:v>Vietnam</c:v>
                </c:pt>
                <c:pt idx="70">
                  <c:v>United Kingdom</c:v>
                </c:pt>
                <c:pt idx="71">
                  <c:v>Zimbabwe</c:v>
                </c:pt>
              </c:strCache>
            </c:strRef>
          </c:cat>
          <c:val>
            <c:numRef>
              <c:f>'Table 5 Global Radar Graph'!$D$2:$D$73</c:f>
              <c:numCache>
                <c:formatCode>0.00</c:formatCode>
                <c:ptCount val="72"/>
                <c:pt idx="0">
                  <c:v>1.1573274576084609</c:v>
                </c:pt>
                <c:pt idx="1">
                  <c:v>0.82583682074073295</c:v>
                </c:pt>
                <c:pt idx="2">
                  <c:v>0.93201041924208805</c:v>
                </c:pt>
                <c:pt idx="3">
                  <c:v>0.718308422687012</c:v>
                </c:pt>
                <c:pt idx="4">
                  <c:v>0.718308422687012</c:v>
                </c:pt>
                <c:pt idx="5">
                  <c:v>1.2547307158676599</c:v>
                </c:pt>
                <c:pt idx="6">
                  <c:v>1.210013546036466</c:v>
                </c:pt>
                <c:pt idx="7">
                  <c:v>0.57470997129541257</c:v>
                </c:pt>
                <c:pt idx="8">
                  <c:v>1.1240495811393614</c:v>
                </c:pt>
                <c:pt idx="9">
                  <c:v>0.9515963753365746</c:v>
                </c:pt>
                <c:pt idx="10">
                  <c:v>0.90070734706047983</c:v>
                </c:pt>
                <c:pt idx="11">
                  <c:v>1.1467049306342341</c:v>
                </c:pt>
                <c:pt idx="12">
                  <c:v>1.0426329247748338</c:v>
                </c:pt>
                <c:pt idx="13">
                  <c:v>0.67777492637098202</c:v>
                </c:pt>
                <c:pt idx="14">
                  <c:v>0.69157055661810252</c:v>
                </c:pt>
                <c:pt idx="15">
                  <c:v>0.62156489829366091</c:v>
                </c:pt>
                <c:pt idx="16">
                  <c:v>0.62233248363463545</c:v>
                </c:pt>
                <c:pt idx="17">
                  <c:v>0.70443892043010958</c:v>
                </c:pt>
                <c:pt idx="18">
                  <c:v>0.91165498213662466</c:v>
                </c:pt>
                <c:pt idx="19">
                  <c:v>0.71354349528011118</c:v>
                </c:pt>
                <c:pt idx="20">
                  <c:v>0.55221480584395788</c:v>
                </c:pt>
                <c:pt idx="21">
                  <c:v>0.6351154657877548</c:v>
                </c:pt>
                <c:pt idx="22">
                  <c:v>0.57759864698045749</c:v>
                </c:pt>
                <c:pt idx="23">
                  <c:v>0.48867627143713938</c:v>
                </c:pt>
                <c:pt idx="24">
                  <c:v>0.53468512504126819</c:v>
                </c:pt>
                <c:pt idx="25">
                  <c:v>0.38257316119028978</c:v>
                </c:pt>
                <c:pt idx="26">
                  <c:v>0.92574297850869947</c:v>
                </c:pt>
                <c:pt idx="27">
                  <c:v>0.61613886123885453</c:v>
                </c:pt>
                <c:pt idx="28">
                  <c:v>0.81267281445134942</c:v>
                </c:pt>
                <c:pt idx="29">
                  <c:v>0.86775382719176275</c:v>
                </c:pt>
                <c:pt idx="30">
                  <c:v>0.74116171756650584</c:v>
                </c:pt>
                <c:pt idx="31">
                  <c:v>0.62911640920050338</c:v>
                </c:pt>
                <c:pt idx="32">
                  <c:v>0.58840391930671376</c:v>
                </c:pt>
                <c:pt idx="33">
                  <c:v>0.68744710532510578</c:v>
                </c:pt>
                <c:pt idx="34">
                  <c:v>0.60522599823268686</c:v>
                </c:pt>
                <c:pt idx="35">
                  <c:v>0.49049397516209403</c:v>
                </c:pt>
                <c:pt idx="36">
                  <c:v>0.49021537259903658</c:v>
                </c:pt>
                <c:pt idx="37">
                  <c:v>0.65294353983032472</c:v>
                </c:pt>
                <c:pt idx="38">
                  <c:v>0.79289498657597612</c:v>
                </c:pt>
                <c:pt idx="39">
                  <c:v>0.48823840879179187</c:v>
                </c:pt>
                <c:pt idx="40">
                  <c:v>0.64852266264134018</c:v>
                </c:pt>
                <c:pt idx="41">
                  <c:v>0.82041836774181154</c:v>
                </c:pt>
                <c:pt idx="42">
                  <c:v>0.59720792646076382</c:v>
                </c:pt>
                <c:pt idx="43">
                  <c:v>0.56436162489236641</c:v>
                </c:pt>
                <c:pt idx="44">
                  <c:v>0.56840224107114812</c:v>
                </c:pt>
                <c:pt idx="45">
                  <c:v>0.67650830338708301</c:v>
                </c:pt>
                <c:pt idx="46">
                  <c:v>0.46772017454500286</c:v>
                </c:pt>
                <c:pt idx="47">
                  <c:v>0.83121460100046607</c:v>
                </c:pt>
                <c:pt idx="48">
                  <c:v>0.57480136855981601</c:v>
                </c:pt>
                <c:pt idx="49">
                  <c:v>0.49352894502312383</c:v>
                </c:pt>
                <c:pt idx="50">
                  <c:v>0.49949658502370226</c:v>
                </c:pt>
                <c:pt idx="51">
                  <c:v>0.80475538434398541</c:v>
                </c:pt>
                <c:pt idx="52">
                  <c:v>1.1506637733889584</c:v>
                </c:pt>
                <c:pt idx="53">
                  <c:v>0.70891943024822968</c:v>
                </c:pt>
                <c:pt idx="54">
                  <c:v>0.87317410910730642</c:v>
                </c:pt>
                <c:pt idx="55">
                  <c:v>0.66333035069741952</c:v>
                </c:pt>
                <c:pt idx="56">
                  <c:v>0.55630026659448328</c:v>
                </c:pt>
                <c:pt idx="57">
                  <c:v>0.76731284108715936</c:v>
                </c:pt>
                <c:pt idx="58">
                  <c:v>0.25973793845385168</c:v>
                </c:pt>
                <c:pt idx="59">
                  <c:v>0.40782312722460601</c:v>
                </c:pt>
                <c:pt idx="60">
                  <c:v>1.0394832695323921</c:v>
                </c:pt>
                <c:pt idx="61">
                  <c:v>0.42333811585301712</c:v>
                </c:pt>
                <c:pt idx="62">
                  <c:v>0.56703217262775818</c:v>
                </c:pt>
                <c:pt idx="63">
                  <c:v>0.32206010240430843</c:v>
                </c:pt>
                <c:pt idx="64">
                  <c:v>0.47367884832089024</c:v>
                </c:pt>
                <c:pt idx="65">
                  <c:v>0.86052008871572583</c:v>
                </c:pt>
                <c:pt idx="66">
                  <c:v>0.50047921856694266</c:v>
                </c:pt>
                <c:pt idx="67">
                  <c:v>0.52168224837544952</c:v>
                </c:pt>
                <c:pt idx="68">
                  <c:v>0.31503638179026833</c:v>
                </c:pt>
                <c:pt idx="69">
                  <c:v>0.33440916038835217</c:v>
                </c:pt>
                <c:pt idx="70">
                  <c:v>1</c:v>
                </c:pt>
                <c:pt idx="71">
                  <c:v>0.66764479019170853</c:v>
                </c:pt>
              </c:numCache>
            </c:numRef>
          </c:val>
          <c:extLst>
            <c:ext xmlns:c16="http://schemas.microsoft.com/office/drawing/2014/chart" uri="{C3380CC4-5D6E-409C-BE32-E72D297353CC}">
              <c16:uniqueId val="{00000023-BEED-4527-BE68-4D16A217B73C}"/>
            </c:ext>
          </c:extLst>
        </c:ser>
        <c:dLbls>
          <c:showLegendKey val="0"/>
          <c:showVal val="0"/>
          <c:showCatName val="0"/>
          <c:showSerName val="0"/>
          <c:showPercent val="0"/>
          <c:showBubbleSize val="0"/>
        </c:dLbls>
        <c:axId val="187639296"/>
        <c:axId val="187640832"/>
      </c:radarChart>
      <c:catAx>
        <c:axId val="187639296"/>
        <c:scaling>
          <c:orientation val="minMax"/>
        </c:scaling>
        <c:delete val="1"/>
        <c:axPos val="b"/>
        <c:majorGridlines/>
        <c:numFmt formatCode="@" sourceLinked="0"/>
        <c:majorTickMark val="out"/>
        <c:minorTickMark val="none"/>
        <c:tickLblPos val="low"/>
        <c:crossAx val="187640832"/>
        <c:crosses val="autoZero"/>
        <c:auto val="1"/>
        <c:lblAlgn val="ctr"/>
        <c:lblOffset val="100"/>
        <c:noMultiLvlLbl val="0"/>
      </c:catAx>
      <c:valAx>
        <c:axId val="187640832"/>
        <c:scaling>
          <c:orientation val="minMax"/>
        </c:scaling>
        <c:delete val="0"/>
        <c:axPos val="l"/>
        <c:majorGridlines>
          <c:spPr>
            <a:ln w="3175">
              <a:solidFill>
                <a:srgbClr val="818A8F"/>
              </a:solidFill>
              <a:prstDash val="solid"/>
            </a:ln>
          </c:spPr>
        </c:majorGridlines>
        <c:numFmt formatCode="#,##0.00;\(#,##0.00\);0" sourceLinked="0"/>
        <c:majorTickMark val="none"/>
        <c:minorTickMark val="none"/>
        <c:tickLblPos val="nextTo"/>
        <c:spPr>
          <a:ln w="25400">
            <a:noFill/>
          </a:ln>
        </c:spPr>
        <c:txPr>
          <a:bodyPr/>
          <a:lstStyle/>
          <a:p>
            <a:pPr>
              <a:defRPr sz="1000">
                <a:latin typeface="Futura LtCn BT"/>
                <a:ea typeface="Futura LtCn BT"/>
                <a:cs typeface="Futura LtCn BT"/>
              </a:defRPr>
            </a:pPr>
            <a:endParaRPr lang="en-US"/>
          </a:p>
        </c:txPr>
        <c:crossAx val="187639296"/>
        <c:crosses val="autoZero"/>
        <c:crossBetween val="midCat"/>
      </c:valAx>
    </c:plotArea>
    <c:plotVisOnly val="1"/>
    <c:dispBlanksAs val="gap"/>
    <c:showDLblsOverMax val="0"/>
  </c:chart>
  <c:spPr>
    <a:noFill/>
    <a:ln w="9525">
      <a:noFill/>
    </a:ln>
  </c:spPr>
  <c:txPr>
    <a:bodyPr/>
    <a:lstStyle/>
    <a:p>
      <a:pPr>
        <a:defRPr sz="1000">
          <a:solidFill>
            <a:srgbClr val="000000"/>
          </a:solidFill>
          <a:latin typeface="Futura LtCn BT"/>
          <a:ea typeface="Futura LtCn BT"/>
          <a:cs typeface="Futura LtCn BT"/>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alibre" panose="020B0503030202060203" pitchFamily="34" charset="0"/>
              </a:defRPr>
            </a:pPr>
            <a:r>
              <a:rPr lang="en-GB">
                <a:latin typeface="Calibre" panose="020B0503030202060203" pitchFamily="34" charset="0"/>
              </a:rPr>
              <a:t>EMEA COST RADAR RELATIVE TO</a:t>
            </a:r>
            <a:r>
              <a:rPr lang="en-GB" baseline="0">
                <a:latin typeface="Calibre" panose="020B0503030202060203" pitchFamily="34" charset="0"/>
              </a:rPr>
              <a:t> LONDON</a:t>
            </a:r>
            <a:endParaRPr lang="en-GB">
              <a:latin typeface="Calibre" panose="020B0503030202060203" pitchFamily="34" charset="0"/>
            </a:endParaRPr>
          </a:p>
        </c:rich>
      </c:tx>
      <c:layout>
        <c:manualLayout>
          <c:xMode val="edge"/>
          <c:yMode val="edge"/>
          <c:x val="0.42836069774909485"/>
          <c:y val="1.0145339694274924E-2"/>
        </c:manualLayout>
      </c:layout>
      <c:overlay val="1"/>
    </c:title>
    <c:autoTitleDeleted val="0"/>
    <c:plotArea>
      <c:layout>
        <c:manualLayout>
          <c:layoutTarget val="inner"/>
          <c:xMode val="edge"/>
          <c:yMode val="edge"/>
          <c:x val="0.12213200393782553"/>
          <c:y val="3.8007534504153569E-2"/>
          <c:w val="0.78269018576658167"/>
          <c:h val="0.91008479744543047"/>
        </c:manualLayout>
      </c:layout>
      <c:radarChart>
        <c:radarStyle val="marker"/>
        <c:varyColors val="0"/>
        <c:ser>
          <c:idx val="1"/>
          <c:order val="0"/>
          <c:spPr>
            <a:ln w="25400">
              <a:solidFill>
                <a:srgbClr val="006A4D"/>
              </a:solidFill>
              <a:prstDash val="solid"/>
            </a:ln>
          </c:spPr>
          <c:dLbls>
            <c:dLbl>
              <c:idx val="18"/>
              <c:layout>
                <c:manualLayout>
                  <c:x val="-1.4493421884412581E-2"/>
                  <c:y val="-2.7150356321703931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2E-4AD5-88CE-B944C43F08D7}"/>
                </c:ext>
              </c:extLst>
            </c:dLbl>
            <c:dLbl>
              <c:idx val="19"/>
              <c:layout>
                <c:manualLayout>
                  <c:x val="-8.6452291284919332E-3"/>
                  <c:y val="-2.13324228241959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2E-4AD5-88CE-B944C43F08D7}"/>
                </c:ext>
              </c:extLst>
            </c:dLbl>
            <c:dLbl>
              <c:idx val="20"/>
              <c:layout>
                <c:manualLayout>
                  <c:x val="-8.7185703832910084E-3"/>
                  <c:y val="-2.13324228241959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2E-4AD5-88CE-B944C43F08D7}"/>
                </c:ext>
              </c:extLst>
            </c:dLbl>
            <c:dLbl>
              <c:idx val="21"/>
              <c:layout>
                <c:manualLayout>
                  <c:x val="-7.265475319409174E-3"/>
                  <c:y val="-1.7453800492523975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2E-4AD5-88CE-B944C43F08D7}"/>
                </c:ext>
              </c:extLst>
            </c:dLbl>
            <c:dLbl>
              <c:idx val="22"/>
              <c:layout>
                <c:manualLayout>
                  <c:x val="2.9061901277636693E-3"/>
                  <c:y val="-9.6965558291799755E-3"/>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2E-4AD5-88CE-B944C43F08D7}"/>
                </c:ext>
              </c:extLst>
            </c:dLbl>
            <c:dLbl>
              <c:idx val="23"/>
              <c:layout>
                <c:manualLayout>
                  <c:x val="-5.8123802555273392E-2"/>
                  <c:y val="8.339038013094778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8D2E-4AD5-88CE-B944C43F08D7}"/>
                </c:ext>
              </c:extLst>
            </c:dLbl>
            <c:dLbl>
              <c:idx val="24"/>
              <c:layout>
                <c:manualLayout>
                  <c:x val="2.500868083475139E-3"/>
                  <c:y val="2.2758620071718087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2E-4AD5-88CE-B944C43F08D7}"/>
                </c:ext>
              </c:extLst>
            </c:dLbl>
            <c:dLbl>
              <c:idx val="25"/>
              <c:layout>
                <c:manualLayout>
                  <c:x val="-6.8295468002446236E-2"/>
                  <c:y val="4.2664845648391889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8D2E-4AD5-88CE-B944C43F08D7}"/>
                </c:ext>
              </c:extLst>
            </c:dLbl>
            <c:dLbl>
              <c:idx val="27"/>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D2E-4AD5-88CE-B944C43F08D7}"/>
                </c:ext>
              </c:extLst>
            </c:dLbl>
            <c:dLbl>
              <c:idx val="28"/>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D2E-4AD5-88CE-B944C43F08D7}"/>
                </c:ext>
              </c:extLst>
            </c:dLbl>
            <c:dLbl>
              <c:idx val="30"/>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D2E-4AD5-88CE-B944C43F08D7}"/>
                </c:ext>
              </c:extLst>
            </c:dLbl>
            <c:dLbl>
              <c:idx val="32"/>
              <c:layout>
                <c:manualLayout>
                  <c:x val="-6.6842372938564404E-2"/>
                  <c:y val="2.9089667487539925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D2E-4AD5-88CE-B944C43F08D7}"/>
                </c:ext>
              </c:extLst>
            </c:dLbl>
            <c:dLbl>
              <c:idx val="33"/>
              <c:layout>
                <c:manualLayout>
                  <c:x val="-5.8123802555273392E-2"/>
                  <c:y val="1.9393111658359951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D2E-4AD5-88CE-B944C43F08D7}"/>
                </c:ext>
              </c:extLst>
            </c:dLbl>
            <c:dLbl>
              <c:idx val="35"/>
              <c:spPr>
                <a:solidFill>
                  <a:srgbClr val="92D050"/>
                </a:solidFill>
              </c:spPr>
              <c:txPr>
                <a:bodyPr wrap="square" lIns="38100" tIns="19050" rIns="38100" bIns="19050" anchor="ctr" anchorCtr="0">
                  <a:spAutoFit/>
                </a:bodyPr>
                <a:lstStyle/>
                <a:p>
                  <a:pPr algn="ctr">
                    <a:defRPr lang="en-US" sz="1000" b="0" i="0" u="none" strike="noStrike" kern="1200" baseline="0">
                      <a:solidFill>
                        <a:srgbClr val="000000"/>
                      </a:solidFill>
                      <a:latin typeface="Futura LtCn BT"/>
                      <a:ea typeface="Futura LtCn BT"/>
                      <a:cs typeface="Futura LtCn BT"/>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D2E-4AD5-88CE-B944C43F08D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'Table 6 EMEA Radar Graph'!$B$2:$B$39</c:f>
              <c:strCache>
                <c:ptCount val="38"/>
                <c:pt idx="0">
                  <c:v>Austria</c:v>
                </c:pt>
                <c:pt idx="1">
                  <c:v>Belgium </c:v>
                </c:pt>
                <c:pt idx="2">
                  <c:v>Botswana</c:v>
                </c:pt>
                <c:pt idx="3">
                  <c:v>Bulgaria</c:v>
                </c:pt>
                <c:pt idx="4">
                  <c:v>Croatia </c:v>
                </c:pt>
                <c:pt idx="5">
                  <c:v>Czech Republic</c:v>
                </c:pt>
                <c:pt idx="6">
                  <c:v>Denmark</c:v>
                </c:pt>
                <c:pt idx="7">
                  <c:v>Ethiopia</c:v>
                </c:pt>
                <c:pt idx="8">
                  <c:v>Finland</c:v>
                </c:pt>
                <c:pt idx="9">
                  <c:v>France</c:v>
                </c:pt>
                <c:pt idx="10">
                  <c:v>Germany</c:v>
                </c:pt>
                <c:pt idx="11">
                  <c:v>Ghana</c:v>
                </c:pt>
                <c:pt idx="12">
                  <c:v>Hungary</c:v>
                </c:pt>
                <c:pt idx="13">
                  <c:v>Ireland</c:v>
                </c:pt>
                <c:pt idx="14">
                  <c:v>Israel</c:v>
                </c:pt>
                <c:pt idx="15">
                  <c:v>Italy</c:v>
                </c:pt>
                <c:pt idx="16">
                  <c:v>Kenya</c:v>
                </c:pt>
                <c:pt idx="17">
                  <c:v>Luxembourg</c:v>
                </c:pt>
                <c:pt idx="18">
                  <c:v>Morocco</c:v>
                </c:pt>
                <c:pt idx="19">
                  <c:v>Netherlands</c:v>
                </c:pt>
                <c:pt idx="20">
                  <c:v>Nigeria</c:v>
                </c:pt>
                <c:pt idx="21">
                  <c:v>Norway </c:v>
                </c:pt>
                <c:pt idx="22">
                  <c:v>Poland</c:v>
                </c:pt>
                <c:pt idx="23">
                  <c:v>Romania</c:v>
                </c:pt>
                <c:pt idx="24">
                  <c:v>Rwanda</c:v>
                </c:pt>
                <c:pt idx="25">
                  <c:v>Senegal</c:v>
                </c:pt>
                <c:pt idx="26">
                  <c:v>Serbia </c:v>
                </c:pt>
                <c:pt idx="27">
                  <c:v>Slovakia</c:v>
                </c:pt>
                <c:pt idx="28">
                  <c:v>Slovenia</c:v>
                </c:pt>
                <c:pt idx="29">
                  <c:v>South Africa</c:v>
                </c:pt>
                <c:pt idx="30">
                  <c:v>Spain</c:v>
                </c:pt>
                <c:pt idx="31">
                  <c:v>Sweden</c:v>
                </c:pt>
                <c:pt idx="32">
                  <c:v>Switzerland</c:v>
                </c:pt>
                <c:pt idx="33">
                  <c:v>Turkey</c:v>
                </c:pt>
                <c:pt idx="34">
                  <c:v>UAE</c:v>
                </c:pt>
                <c:pt idx="35">
                  <c:v>Uganda </c:v>
                </c:pt>
                <c:pt idx="36">
                  <c:v>London</c:v>
                </c:pt>
                <c:pt idx="37">
                  <c:v>Harare</c:v>
                </c:pt>
              </c:strCache>
            </c:strRef>
          </c:cat>
          <c:val>
            <c:numRef>
              <c:f>'Table 6 EMEA Radar Graph'!$D$2:$D$37</c:f>
              <c:numCache>
                <c:formatCode>0.00</c:formatCode>
                <c:ptCount val="36"/>
                <c:pt idx="0">
                  <c:v>0.55221480584395788</c:v>
                </c:pt>
                <c:pt idx="1">
                  <c:v>0.6351154657877548</c:v>
                </c:pt>
                <c:pt idx="2">
                  <c:v>0.57759864698045749</c:v>
                </c:pt>
                <c:pt idx="3">
                  <c:v>0.48867627143713938</c:v>
                </c:pt>
                <c:pt idx="4">
                  <c:v>0.53468512504126819</c:v>
                </c:pt>
                <c:pt idx="5">
                  <c:v>0.38257316119028978</c:v>
                </c:pt>
                <c:pt idx="6">
                  <c:v>0.92574297850869947</c:v>
                </c:pt>
                <c:pt idx="7">
                  <c:v>0.61613886123885453</c:v>
                </c:pt>
                <c:pt idx="8">
                  <c:v>0.81267281445134942</c:v>
                </c:pt>
                <c:pt idx="9">
                  <c:v>0.86775382719176275</c:v>
                </c:pt>
                <c:pt idx="10">
                  <c:v>0.74116171756650584</c:v>
                </c:pt>
                <c:pt idx="11">
                  <c:v>0.62911640920050338</c:v>
                </c:pt>
                <c:pt idx="12">
                  <c:v>0.58840391930671376</c:v>
                </c:pt>
                <c:pt idx="13">
                  <c:v>0.68744710532510578</c:v>
                </c:pt>
                <c:pt idx="14">
                  <c:v>0.60522599823268686</c:v>
                </c:pt>
                <c:pt idx="15">
                  <c:v>0.49049397516209403</c:v>
                </c:pt>
                <c:pt idx="16">
                  <c:v>0.49021537259903658</c:v>
                </c:pt>
                <c:pt idx="17">
                  <c:v>0.65294353983032472</c:v>
                </c:pt>
                <c:pt idx="18">
                  <c:v>0.79289498657597612</c:v>
                </c:pt>
                <c:pt idx="19">
                  <c:v>0.48823840879179187</c:v>
                </c:pt>
                <c:pt idx="20">
                  <c:v>0.64852266264134018</c:v>
                </c:pt>
                <c:pt idx="21">
                  <c:v>0.82041836774181154</c:v>
                </c:pt>
                <c:pt idx="22">
                  <c:v>0.59720792646076382</c:v>
                </c:pt>
                <c:pt idx="23">
                  <c:v>0.56436162489236641</c:v>
                </c:pt>
                <c:pt idx="24">
                  <c:v>0.56840224107114812</c:v>
                </c:pt>
                <c:pt idx="25">
                  <c:v>0.67650830338708301</c:v>
                </c:pt>
                <c:pt idx="26">
                  <c:v>0.46772017454500286</c:v>
                </c:pt>
                <c:pt idx="27">
                  <c:v>0.83121460100046607</c:v>
                </c:pt>
                <c:pt idx="28">
                  <c:v>0.57480136855981601</c:v>
                </c:pt>
                <c:pt idx="29">
                  <c:v>0.49352894502312383</c:v>
                </c:pt>
                <c:pt idx="30">
                  <c:v>0.49949658502370226</c:v>
                </c:pt>
                <c:pt idx="31">
                  <c:v>0.80475538434398541</c:v>
                </c:pt>
                <c:pt idx="32">
                  <c:v>1.1506637733889584</c:v>
                </c:pt>
                <c:pt idx="33">
                  <c:v>0.70891943024822968</c:v>
                </c:pt>
                <c:pt idx="34">
                  <c:v>0.87317410910730642</c:v>
                </c:pt>
                <c:pt idx="35">
                  <c:v>0.66333035069741952</c:v>
                </c:pt>
              </c:numCache>
            </c:numRef>
          </c:val>
          <c:extLst>
            <c:ext xmlns:c16="http://schemas.microsoft.com/office/drawing/2014/chart" uri="{C3380CC4-5D6E-409C-BE32-E72D297353CC}">
              <c16:uniqueId val="{00000000-A437-4021-A84C-5D1A82FFFC9E}"/>
            </c:ext>
          </c:extLst>
        </c:ser>
        <c:ser>
          <c:idx val="0"/>
          <c:order val="1"/>
          <c:spPr>
            <a:ln w="25400">
              <a:solidFill>
                <a:srgbClr val="006A4D"/>
              </a:solidFill>
              <a:prstDash val="solid"/>
            </a:ln>
          </c:spPr>
          <c:marker>
            <c:symbol val="square"/>
            <c:size val="6"/>
            <c:spPr>
              <a:solidFill>
                <a:srgbClr val="FFFFFF"/>
              </a:solidFill>
              <a:ln>
                <a:solidFill>
                  <a:srgbClr val="006A4D"/>
                </a:solidFill>
                <a:prstDash val="solid"/>
              </a:ln>
            </c:spPr>
          </c:marker>
          <c:dLbls>
            <c:spPr>
              <a:solidFill>
                <a:srgbClr val="92D050"/>
              </a:solidFill>
            </c:spPr>
            <c:showLegendKey val="0"/>
            <c:showVal val="1"/>
            <c:showCatName val="1"/>
            <c:showSerName val="0"/>
            <c:showPercent val="0"/>
            <c:showBubbleSize val="0"/>
            <c:showLeaderLines val="0"/>
            <c:extLst>
              <c:ext xmlns:c15="http://schemas.microsoft.com/office/drawing/2012/chart" uri="{CE6537A1-D6FC-4f65-9D91-7224C49458BB}">
                <c15:showLeaderLines val="1"/>
              </c:ext>
            </c:extLst>
          </c:dLbls>
          <c:cat>
            <c:strRef>
              <c:f>'Table 6 EMEA Radar Graph'!$B$2:$B$39</c:f>
              <c:strCache>
                <c:ptCount val="38"/>
                <c:pt idx="0">
                  <c:v>Austria</c:v>
                </c:pt>
                <c:pt idx="1">
                  <c:v>Belgium </c:v>
                </c:pt>
                <c:pt idx="2">
                  <c:v>Botswana</c:v>
                </c:pt>
                <c:pt idx="3">
                  <c:v>Bulgaria</c:v>
                </c:pt>
                <c:pt idx="4">
                  <c:v>Croatia </c:v>
                </c:pt>
                <c:pt idx="5">
                  <c:v>Czech Republic</c:v>
                </c:pt>
                <c:pt idx="6">
                  <c:v>Denmark</c:v>
                </c:pt>
                <c:pt idx="7">
                  <c:v>Ethiopia</c:v>
                </c:pt>
                <c:pt idx="8">
                  <c:v>Finland</c:v>
                </c:pt>
                <c:pt idx="9">
                  <c:v>France</c:v>
                </c:pt>
                <c:pt idx="10">
                  <c:v>Germany</c:v>
                </c:pt>
                <c:pt idx="11">
                  <c:v>Ghana</c:v>
                </c:pt>
                <c:pt idx="12">
                  <c:v>Hungary</c:v>
                </c:pt>
                <c:pt idx="13">
                  <c:v>Ireland</c:v>
                </c:pt>
                <c:pt idx="14">
                  <c:v>Israel</c:v>
                </c:pt>
                <c:pt idx="15">
                  <c:v>Italy</c:v>
                </c:pt>
                <c:pt idx="16">
                  <c:v>Kenya</c:v>
                </c:pt>
                <c:pt idx="17">
                  <c:v>Luxembourg</c:v>
                </c:pt>
                <c:pt idx="18">
                  <c:v>Morocco</c:v>
                </c:pt>
                <c:pt idx="19">
                  <c:v>Netherlands</c:v>
                </c:pt>
                <c:pt idx="20">
                  <c:v>Nigeria</c:v>
                </c:pt>
                <c:pt idx="21">
                  <c:v>Norway </c:v>
                </c:pt>
                <c:pt idx="22">
                  <c:v>Poland</c:v>
                </c:pt>
                <c:pt idx="23">
                  <c:v>Romania</c:v>
                </c:pt>
                <c:pt idx="24">
                  <c:v>Rwanda</c:v>
                </c:pt>
                <c:pt idx="25">
                  <c:v>Senegal</c:v>
                </c:pt>
                <c:pt idx="26">
                  <c:v>Serbia </c:v>
                </c:pt>
                <c:pt idx="27">
                  <c:v>Slovakia</c:v>
                </c:pt>
                <c:pt idx="28">
                  <c:v>Slovenia</c:v>
                </c:pt>
                <c:pt idx="29">
                  <c:v>South Africa</c:v>
                </c:pt>
                <c:pt idx="30">
                  <c:v>Spain</c:v>
                </c:pt>
                <c:pt idx="31">
                  <c:v>Sweden</c:v>
                </c:pt>
                <c:pt idx="32">
                  <c:v>Switzerland</c:v>
                </c:pt>
                <c:pt idx="33">
                  <c:v>Turkey</c:v>
                </c:pt>
                <c:pt idx="34">
                  <c:v>UAE</c:v>
                </c:pt>
                <c:pt idx="35">
                  <c:v>Uganda </c:v>
                </c:pt>
                <c:pt idx="36">
                  <c:v>London</c:v>
                </c:pt>
                <c:pt idx="37">
                  <c:v>Harare</c:v>
                </c:pt>
              </c:strCache>
            </c:strRef>
          </c:cat>
          <c:val>
            <c:numRef>
              <c:f>'Table 6 EMEA Radar Graph'!$D$2:$D$39</c:f>
              <c:numCache>
                <c:formatCode>0.00</c:formatCode>
                <c:ptCount val="38"/>
                <c:pt idx="0">
                  <c:v>0.55221480584395788</c:v>
                </c:pt>
                <c:pt idx="1">
                  <c:v>0.6351154657877548</c:v>
                </c:pt>
                <c:pt idx="2">
                  <c:v>0.57759864698045749</c:v>
                </c:pt>
                <c:pt idx="3">
                  <c:v>0.48867627143713938</c:v>
                </c:pt>
                <c:pt idx="4">
                  <c:v>0.53468512504126819</c:v>
                </c:pt>
                <c:pt idx="5">
                  <c:v>0.38257316119028978</c:v>
                </c:pt>
                <c:pt idx="6">
                  <c:v>0.92574297850869947</c:v>
                </c:pt>
                <c:pt idx="7">
                  <c:v>0.61613886123885453</c:v>
                </c:pt>
                <c:pt idx="8">
                  <c:v>0.81267281445134942</c:v>
                </c:pt>
                <c:pt idx="9">
                  <c:v>0.86775382719176275</c:v>
                </c:pt>
                <c:pt idx="10">
                  <c:v>0.74116171756650584</c:v>
                </c:pt>
                <c:pt idx="11">
                  <c:v>0.62911640920050338</c:v>
                </c:pt>
                <c:pt idx="12">
                  <c:v>0.58840391930671376</c:v>
                </c:pt>
                <c:pt idx="13">
                  <c:v>0.68744710532510578</c:v>
                </c:pt>
                <c:pt idx="14">
                  <c:v>0.60522599823268686</c:v>
                </c:pt>
                <c:pt idx="15">
                  <c:v>0.49049397516209403</c:v>
                </c:pt>
                <c:pt idx="16">
                  <c:v>0.49021537259903658</c:v>
                </c:pt>
                <c:pt idx="17">
                  <c:v>0.65294353983032472</c:v>
                </c:pt>
                <c:pt idx="18">
                  <c:v>0.79289498657597612</c:v>
                </c:pt>
                <c:pt idx="19">
                  <c:v>0.48823840879179187</c:v>
                </c:pt>
                <c:pt idx="20">
                  <c:v>0.64852266264134018</c:v>
                </c:pt>
                <c:pt idx="21">
                  <c:v>0.82041836774181154</c:v>
                </c:pt>
                <c:pt idx="22">
                  <c:v>0.59720792646076382</c:v>
                </c:pt>
                <c:pt idx="23">
                  <c:v>0.56436162489236641</c:v>
                </c:pt>
                <c:pt idx="24">
                  <c:v>0.56840224107114812</c:v>
                </c:pt>
                <c:pt idx="25">
                  <c:v>0.67650830338708301</c:v>
                </c:pt>
                <c:pt idx="26">
                  <c:v>0.46772017454500286</c:v>
                </c:pt>
                <c:pt idx="27">
                  <c:v>0.83121460100046607</c:v>
                </c:pt>
                <c:pt idx="28">
                  <c:v>0.57480136855981601</c:v>
                </c:pt>
                <c:pt idx="29">
                  <c:v>0.49352894502312383</c:v>
                </c:pt>
                <c:pt idx="30">
                  <c:v>0.49949658502370226</c:v>
                </c:pt>
                <c:pt idx="31">
                  <c:v>0.80475538434398541</c:v>
                </c:pt>
                <c:pt idx="32">
                  <c:v>1.1506637733889584</c:v>
                </c:pt>
                <c:pt idx="33">
                  <c:v>0.70891943024822968</c:v>
                </c:pt>
                <c:pt idx="34">
                  <c:v>0.87317410910730642</c:v>
                </c:pt>
                <c:pt idx="35">
                  <c:v>0.66333035069741952</c:v>
                </c:pt>
                <c:pt idx="36">
                  <c:v>1</c:v>
                </c:pt>
                <c:pt idx="37">
                  <c:v>0.67</c:v>
                </c:pt>
              </c:numCache>
            </c:numRef>
          </c:val>
          <c:extLst>
            <c:ext xmlns:c16="http://schemas.microsoft.com/office/drawing/2014/chart" uri="{C3380CC4-5D6E-409C-BE32-E72D297353CC}">
              <c16:uniqueId val="{00000017-A437-4021-A84C-5D1A82FFFC9E}"/>
            </c:ext>
          </c:extLst>
        </c:ser>
        <c:dLbls>
          <c:showLegendKey val="0"/>
          <c:showVal val="0"/>
          <c:showCatName val="0"/>
          <c:showSerName val="0"/>
          <c:showPercent val="0"/>
          <c:showBubbleSize val="0"/>
        </c:dLbls>
        <c:axId val="187639296"/>
        <c:axId val="187640832"/>
      </c:radarChart>
      <c:catAx>
        <c:axId val="187639296"/>
        <c:scaling>
          <c:orientation val="minMax"/>
        </c:scaling>
        <c:delete val="1"/>
        <c:axPos val="b"/>
        <c:majorGridlines/>
        <c:numFmt formatCode="@" sourceLinked="0"/>
        <c:majorTickMark val="out"/>
        <c:minorTickMark val="none"/>
        <c:tickLblPos val="low"/>
        <c:crossAx val="187640832"/>
        <c:crosses val="autoZero"/>
        <c:auto val="1"/>
        <c:lblAlgn val="ctr"/>
        <c:lblOffset val="100"/>
        <c:noMultiLvlLbl val="0"/>
      </c:catAx>
      <c:valAx>
        <c:axId val="187640832"/>
        <c:scaling>
          <c:orientation val="minMax"/>
        </c:scaling>
        <c:delete val="0"/>
        <c:axPos val="l"/>
        <c:majorGridlines>
          <c:spPr>
            <a:ln w="3175">
              <a:solidFill>
                <a:srgbClr val="818A8F"/>
              </a:solidFill>
              <a:prstDash val="solid"/>
            </a:ln>
          </c:spPr>
        </c:majorGridlines>
        <c:numFmt formatCode="#,##0.00;\(#,##0.00\);0" sourceLinked="0"/>
        <c:majorTickMark val="none"/>
        <c:minorTickMark val="none"/>
        <c:tickLblPos val="nextTo"/>
        <c:spPr>
          <a:ln w="25400">
            <a:noFill/>
          </a:ln>
        </c:spPr>
        <c:txPr>
          <a:bodyPr/>
          <a:lstStyle/>
          <a:p>
            <a:pPr>
              <a:defRPr sz="1000">
                <a:latin typeface="Futura LtCn BT"/>
                <a:ea typeface="Futura LtCn BT"/>
                <a:cs typeface="Futura LtCn BT"/>
              </a:defRPr>
            </a:pPr>
            <a:endParaRPr lang="en-US"/>
          </a:p>
        </c:txPr>
        <c:crossAx val="187639296"/>
        <c:crosses val="autoZero"/>
        <c:crossBetween val="midCat"/>
      </c:valAx>
    </c:plotArea>
    <c:plotVisOnly val="1"/>
    <c:dispBlanksAs val="gap"/>
    <c:showDLblsOverMax val="0"/>
  </c:chart>
  <c:spPr>
    <a:noFill/>
    <a:ln w="9525">
      <a:noFill/>
    </a:ln>
  </c:spPr>
  <c:txPr>
    <a:bodyPr/>
    <a:lstStyle/>
    <a:p>
      <a:pPr>
        <a:defRPr sz="1000">
          <a:solidFill>
            <a:srgbClr val="000000"/>
          </a:solidFill>
          <a:latin typeface="Futura LtCn BT"/>
          <a:ea typeface="Futura LtCn BT"/>
          <a:cs typeface="Futura LtCn BT"/>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alibre" panose="020B0503030202060203" pitchFamily="34" charset="0"/>
              </a:defRPr>
            </a:pPr>
            <a:r>
              <a:rPr lang="en-GB">
                <a:latin typeface="Calibre" panose="020B0503030202060203" pitchFamily="34" charset="0"/>
              </a:rPr>
              <a:t>APAC</a:t>
            </a:r>
            <a:r>
              <a:rPr lang="en-GB" baseline="0">
                <a:latin typeface="Calibre" panose="020B0503030202060203" pitchFamily="34" charset="0"/>
              </a:rPr>
              <a:t> </a:t>
            </a:r>
            <a:r>
              <a:rPr lang="en-GB">
                <a:latin typeface="Calibre" panose="020B0503030202060203" pitchFamily="34" charset="0"/>
              </a:rPr>
              <a:t>COST RADAR RELATIVE TO</a:t>
            </a:r>
            <a:r>
              <a:rPr lang="en-GB" baseline="0">
                <a:latin typeface="Calibre" panose="020B0503030202060203" pitchFamily="34" charset="0"/>
              </a:rPr>
              <a:t> SINGAPORE</a:t>
            </a:r>
            <a:endParaRPr lang="en-GB">
              <a:latin typeface="Calibre" panose="020B0503030202060203" pitchFamily="34" charset="0"/>
            </a:endParaRPr>
          </a:p>
        </c:rich>
      </c:tx>
      <c:layout>
        <c:manualLayout>
          <c:xMode val="edge"/>
          <c:yMode val="edge"/>
          <c:x val="0.42836069774909485"/>
          <c:y val="1.0145339694274924E-2"/>
        </c:manualLayout>
      </c:layout>
      <c:overlay val="1"/>
    </c:title>
    <c:autoTitleDeleted val="0"/>
    <c:plotArea>
      <c:layout>
        <c:manualLayout>
          <c:layoutTarget val="inner"/>
          <c:xMode val="edge"/>
          <c:yMode val="edge"/>
          <c:x val="7.3577343635777587E-2"/>
          <c:y val="2.3648560501984855E-2"/>
          <c:w val="0.78269018576658167"/>
          <c:h val="0.91008479744543047"/>
        </c:manualLayout>
      </c:layout>
      <c:radarChart>
        <c:radarStyle val="marker"/>
        <c:varyColors val="0"/>
        <c:ser>
          <c:idx val="1"/>
          <c:order val="0"/>
          <c:cat>
            <c:strRef>
              <c:f>'Table 7 APAC Radar Graph'!$B$2:$B$27</c:f>
              <c:strCache>
                <c:ptCount val="26"/>
                <c:pt idx="0">
                  <c:v>Hong Kong</c:v>
                </c:pt>
                <c:pt idx="1">
                  <c:v>Sydney</c:v>
                </c:pt>
                <c:pt idx="2">
                  <c:v>Brisbane</c:v>
                </c:pt>
                <c:pt idx="3">
                  <c:v>Melborne</c:v>
                </c:pt>
                <c:pt idx="4">
                  <c:v>Perth</c:v>
                </c:pt>
                <c:pt idx="5">
                  <c:v>Beijing</c:v>
                </c:pt>
                <c:pt idx="6">
                  <c:v>Guangzhou</c:v>
                </c:pt>
                <c:pt idx="7">
                  <c:v>Shanghai</c:v>
                </c:pt>
                <c:pt idx="8">
                  <c:v>Bangalore</c:v>
                </c:pt>
                <c:pt idx="9">
                  <c:v>Chennai</c:v>
                </c:pt>
                <c:pt idx="10">
                  <c:v>Hyderbad</c:v>
                </c:pt>
                <c:pt idx="11">
                  <c:v>Kolkata</c:v>
                </c:pt>
                <c:pt idx="12">
                  <c:v>Mumbai</c:v>
                </c:pt>
                <c:pt idx="13">
                  <c:v>New Delhi</c:v>
                </c:pt>
                <c:pt idx="14">
                  <c:v>Pune</c:v>
                </c:pt>
                <c:pt idx="15">
                  <c:v>Jakarta</c:v>
                </c:pt>
                <c:pt idx="16">
                  <c:v>Tokyo</c:v>
                </c:pt>
                <c:pt idx="17">
                  <c:v>Kuala Lumpur</c:v>
                </c:pt>
                <c:pt idx="18">
                  <c:v>Auckland</c:v>
                </c:pt>
                <c:pt idx="19">
                  <c:v>Karachi</c:v>
                </c:pt>
                <c:pt idx="20">
                  <c:v>Manila</c:v>
                </c:pt>
                <c:pt idx="21">
                  <c:v>Singapore</c:v>
                </c:pt>
                <c:pt idx="22">
                  <c:v>Seoul</c:v>
                </c:pt>
                <c:pt idx="23">
                  <c:v>Taipei</c:v>
                </c:pt>
                <c:pt idx="24">
                  <c:v>Bangkok</c:v>
                </c:pt>
                <c:pt idx="25">
                  <c:v>Hanoi</c:v>
                </c:pt>
              </c:strCache>
            </c:strRef>
          </c:cat>
          <c:val>
            <c:numRef>
              <c:f>'Table 7 APAC Radar Graph'!#REF!</c:f>
              <c:numCache>
                <c:formatCode>General</c:formatCode>
                <c:ptCount val="1"/>
                <c:pt idx="0">
                  <c:v>1</c:v>
                </c:pt>
              </c:numCache>
            </c:numRef>
          </c:val>
          <c:extLst>
            <c:ext xmlns:c16="http://schemas.microsoft.com/office/drawing/2014/chart" uri="{C3380CC4-5D6E-409C-BE32-E72D297353CC}">
              <c16:uniqueId val="{00000000-FC76-4BD9-B98B-B5622660B0E4}"/>
            </c:ext>
          </c:extLst>
        </c:ser>
        <c:ser>
          <c:idx val="0"/>
          <c:order val="1"/>
          <c:spPr>
            <a:ln w="25400">
              <a:solidFill>
                <a:srgbClr val="006A4D"/>
              </a:solidFill>
              <a:prstDash val="solid"/>
            </a:ln>
          </c:spPr>
          <c:marker>
            <c:symbol val="square"/>
            <c:size val="6"/>
            <c:spPr>
              <a:solidFill>
                <a:srgbClr val="FFFFFF"/>
              </a:solidFill>
              <a:ln>
                <a:solidFill>
                  <a:srgbClr val="006A4D"/>
                </a:solidFill>
                <a:prstDash val="solid"/>
              </a:ln>
            </c:spPr>
          </c:marker>
          <c:dLbls>
            <c:spPr>
              <a:solidFill>
                <a:srgbClr val="92D050"/>
              </a:solidFill>
            </c:spPr>
            <c:showLegendKey val="0"/>
            <c:showVal val="1"/>
            <c:showCatName val="1"/>
            <c:showSerName val="0"/>
            <c:showPercent val="0"/>
            <c:showBubbleSize val="0"/>
            <c:showLeaderLines val="0"/>
            <c:extLst>
              <c:ext xmlns:c15="http://schemas.microsoft.com/office/drawing/2012/chart" uri="{CE6537A1-D6FC-4f65-9D91-7224C49458BB}">
                <c15:showLeaderLines val="1"/>
              </c:ext>
            </c:extLst>
          </c:dLbls>
          <c:cat>
            <c:strRef>
              <c:f>'Table 7 APAC Radar Graph'!$B$2:$B$27</c:f>
              <c:strCache>
                <c:ptCount val="26"/>
                <c:pt idx="0">
                  <c:v>Hong Kong</c:v>
                </c:pt>
                <c:pt idx="1">
                  <c:v>Sydney</c:v>
                </c:pt>
                <c:pt idx="2">
                  <c:v>Brisbane</c:v>
                </c:pt>
                <c:pt idx="3">
                  <c:v>Melborne</c:v>
                </c:pt>
                <c:pt idx="4">
                  <c:v>Perth</c:v>
                </c:pt>
                <c:pt idx="5">
                  <c:v>Beijing</c:v>
                </c:pt>
                <c:pt idx="6">
                  <c:v>Guangzhou</c:v>
                </c:pt>
                <c:pt idx="7">
                  <c:v>Shanghai</c:v>
                </c:pt>
                <c:pt idx="8">
                  <c:v>Bangalore</c:v>
                </c:pt>
                <c:pt idx="9">
                  <c:v>Chennai</c:v>
                </c:pt>
                <c:pt idx="10">
                  <c:v>Hyderbad</c:v>
                </c:pt>
                <c:pt idx="11">
                  <c:v>Kolkata</c:v>
                </c:pt>
                <c:pt idx="12">
                  <c:v>Mumbai</c:v>
                </c:pt>
                <c:pt idx="13">
                  <c:v>New Delhi</c:v>
                </c:pt>
                <c:pt idx="14">
                  <c:v>Pune</c:v>
                </c:pt>
                <c:pt idx="15">
                  <c:v>Jakarta</c:v>
                </c:pt>
                <c:pt idx="16">
                  <c:v>Tokyo</c:v>
                </c:pt>
                <c:pt idx="17">
                  <c:v>Kuala Lumpur</c:v>
                </c:pt>
                <c:pt idx="18">
                  <c:v>Auckland</c:v>
                </c:pt>
                <c:pt idx="19">
                  <c:v>Karachi</c:v>
                </c:pt>
                <c:pt idx="20">
                  <c:v>Manila</c:v>
                </c:pt>
                <c:pt idx="21">
                  <c:v>Singapore</c:v>
                </c:pt>
                <c:pt idx="22">
                  <c:v>Seoul</c:v>
                </c:pt>
                <c:pt idx="23">
                  <c:v>Taipei</c:v>
                </c:pt>
                <c:pt idx="24">
                  <c:v>Bangkok</c:v>
                </c:pt>
                <c:pt idx="25">
                  <c:v>Hanoi</c:v>
                </c:pt>
              </c:strCache>
            </c:strRef>
          </c:cat>
          <c:val>
            <c:numRef>
              <c:f>'Table 7 APAC Radar Graph'!$D$2:$D$27</c:f>
              <c:numCache>
                <c:formatCode>0.00</c:formatCode>
                <c:ptCount val="26"/>
                <c:pt idx="0">
                  <c:v>0.71672604757396152</c:v>
                </c:pt>
                <c:pt idx="1">
                  <c:v>0.87206355352165965</c:v>
                </c:pt>
                <c:pt idx="2">
                  <c:v>0.8895048245920929</c:v>
                </c:pt>
                <c:pt idx="3">
                  <c:v>0.90694609566252604</c:v>
                </c:pt>
                <c:pt idx="4">
                  <c:v>0.89822546012730942</c:v>
                </c:pt>
                <c:pt idx="5">
                  <c:v>0.6371291868095631</c:v>
                </c:pt>
                <c:pt idx="6">
                  <c:v>0.61189149765826578</c:v>
                </c:pt>
                <c:pt idx="7">
                  <c:v>0.62013254673124929</c:v>
                </c:pt>
                <c:pt idx="8">
                  <c:v>0.29839867120278796</c:v>
                </c:pt>
                <c:pt idx="9">
                  <c:v>0.29544422891365141</c:v>
                </c:pt>
                <c:pt idx="10">
                  <c:v>0.29544422891365141</c:v>
                </c:pt>
                <c:pt idx="11">
                  <c:v>0.29254771686547837</c:v>
                </c:pt>
                <c:pt idx="12">
                  <c:v>0.32227056489901101</c:v>
                </c:pt>
                <c:pt idx="13">
                  <c:v>0.31331860476292739</c:v>
                </c:pt>
                <c:pt idx="14">
                  <c:v>0.29544422891365141</c:v>
                </c:pt>
                <c:pt idx="15">
                  <c:v>0.47392632963776288</c:v>
                </c:pt>
                <c:pt idx="16">
                  <c:v>1.2079709505489384</c:v>
                </c:pt>
                <c:pt idx="17">
                  <c:v>0.49195611050152666</c:v>
                </c:pt>
                <c:pt idx="18">
                  <c:v>0.6589412380529307</c:v>
                </c:pt>
                <c:pt idx="19">
                  <c:v>0.37426215451281758</c:v>
                </c:pt>
                <c:pt idx="20">
                  <c:v>0.5504564675855822</c:v>
                </c:pt>
                <c:pt idx="21">
                  <c:v>1</c:v>
                </c:pt>
                <c:pt idx="22">
                  <c:v>0.58160085409961504</c:v>
                </c:pt>
                <c:pt idx="23">
                  <c:v>0.60624063890713897</c:v>
                </c:pt>
                <c:pt idx="24">
                  <c:v>0.36609997363389979</c:v>
                </c:pt>
                <c:pt idx="25">
                  <c:v>0.38861284561925524</c:v>
                </c:pt>
              </c:numCache>
            </c:numRef>
          </c:val>
          <c:extLst>
            <c:ext xmlns:c16="http://schemas.microsoft.com/office/drawing/2014/chart" uri="{C3380CC4-5D6E-409C-BE32-E72D297353CC}">
              <c16:uniqueId val="{00000017-FC76-4BD9-B98B-B5622660B0E4}"/>
            </c:ext>
          </c:extLst>
        </c:ser>
        <c:dLbls>
          <c:showLegendKey val="0"/>
          <c:showVal val="0"/>
          <c:showCatName val="0"/>
          <c:showSerName val="0"/>
          <c:showPercent val="0"/>
          <c:showBubbleSize val="0"/>
        </c:dLbls>
        <c:axId val="187639296"/>
        <c:axId val="187640832"/>
      </c:radarChart>
      <c:catAx>
        <c:axId val="187639296"/>
        <c:scaling>
          <c:orientation val="minMax"/>
        </c:scaling>
        <c:delete val="1"/>
        <c:axPos val="b"/>
        <c:majorGridlines/>
        <c:numFmt formatCode="@" sourceLinked="0"/>
        <c:majorTickMark val="out"/>
        <c:minorTickMark val="none"/>
        <c:tickLblPos val="low"/>
        <c:crossAx val="187640832"/>
        <c:crosses val="autoZero"/>
        <c:auto val="1"/>
        <c:lblAlgn val="ctr"/>
        <c:lblOffset val="100"/>
        <c:noMultiLvlLbl val="0"/>
      </c:catAx>
      <c:valAx>
        <c:axId val="187640832"/>
        <c:scaling>
          <c:orientation val="minMax"/>
        </c:scaling>
        <c:delete val="0"/>
        <c:axPos val="l"/>
        <c:majorGridlines>
          <c:spPr>
            <a:ln w="3175">
              <a:solidFill>
                <a:srgbClr val="818A8F"/>
              </a:solidFill>
              <a:prstDash val="solid"/>
            </a:ln>
          </c:spPr>
        </c:majorGridlines>
        <c:numFmt formatCode="#,##0.00;\(#,##0.00\);0" sourceLinked="0"/>
        <c:majorTickMark val="none"/>
        <c:minorTickMark val="none"/>
        <c:tickLblPos val="nextTo"/>
        <c:spPr>
          <a:ln w="25400">
            <a:noFill/>
          </a:ln>
        </c:spPr>
        <c:txPr>
          <a:bodyPr/>
          <a:lstStyle/>
          <a:p>
            <a:pPr>
              <a:defRPr sz="1000">
                <a:latin typeface="Futura LtCn BT"/>
                <a:ea typeface="Futura LtCn BT"/>
                <a:cs typeface="Futura LtCn BT"/>
              </a:defRPr>
            </a:pPr>
            <a:endParaRPr lang="en-US"/>
          </a:p>
        </c:txPr>
        <c:crossAx val="187639296"/>
        <c:crosses val="autoZero"/>
        <c:crossBetween val="midCat"/>
      </c:valAx>
    </c:plotArea>
    <c:plotVisOnly val="1"/>
    <c:dispBlanksAs val="gap"/>
    <c:showDLblsOverMax val="0"/>
  </c:chart>
  <c:spPr>
    <a:noFill/>
    <a:ln w="9525">
      <a:noFill/>
    </a:ln>
  </c:spPr>
  <c:txPr>
    <a:bodyPr/>
    <a:lstStyle/>
    <a:p>
      <a:pPr>
        <a:defRPr sz="1000">
          <a:solidFill>
            <a:srgbClr val="000000"/>
          </a:solidFill>
          <a:latin typeface="Futura LtCn BT"/>
          <a:ea typeface="Futura LtCn BT"/>
          <a:cs typeface="Futura LtCn BT"/>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alibre" panose="020B0503030202060203" pitchFamily="34" charset="0"/>
              </a:defRPr>
            </a:pPr>
            <a:r>
              <a:rPr lang="en-US">
                <a:latin typeface="Calibre" panose="020B0503030202060203" pitchFamily="34" charset="0"/>
              </a:rPr>
              <a:t>LATAM COST RADAR RELATIVE TO MEXICO CITY</a:t>
            </a:r>
          </a:p>
        </c:rich>
      </c:tx>
      <c:layout>
        <c:manualLayout>
          <c:xMode val="edge"/>
          <c:yMode val="edge"/>
          <c:x val="0.10119931649502786"/>
          <c:y val="6.3542276527215583E-4"/>
        </c:manualLayout>
      </c:layout>
      <c:overlay val="1"/>
    </c:title>
    <c:autoTitleDeleted val="0"/>
    <c:plotArea>
      <c:layout>
        <c:manualLayout>
          <c:layoutTarget val="inner"/>
          <c:xMode val="edge"/>
          <c:yMode val="edge"/>
          <c:x val="8.5149438354914536E-2"/>
          <c:y val="8.3713519312692927E-2"/>
          <c:w val="0.78269018576658167"/>
          <c:h val="0.91008479744543047"/>
        </c:manualLayout>
      </c:layout>
      <c:radarChart>
        <c:radarStyle val="marker"/>
        <c:varyColors val="0"/>
        <c:ser>
          <c:idx val="1"/>
          <c:order val="0"/>
          <c:spPr>
            <a:ln w="25400">
              <a:solidFill>
                <a:srgbClr val="006A4D"/>
              </a:solidFill>
              <a:prstDash val="solid"/>
            </a:ln>
          </c:spPr>
          <c:dLbls>
            <c:dLbl>
              <c:idx val="0"/>
              <c:layout>
                <c:manualLayout>
                  <c:x val="2.9061901277636693E-3"/>
                  <c:y val="-9.6965558291799755E-3"/>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9A-4A95-A985-D0F132372445}"/>
                </c:ext>
              </c:extLst>
            </c:dLbl>
            <c:dLbl>
              <c:idx val="1"/>
              <c:layout>
                <c:manualLayout>
                  <c:x val="-5.8123802555273392E-2"/>
                  <c:y val="8.339038013094778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0E9A-4A95-A985-D0F132372445}"/>
                </c:ext>
              </c:extLst>
            </c:dLbl>
            <c:dLbl>
              <c:idx val="2"/>
              <c:layout>
                <c:manualLayout>
                  <c:x val="2.500868083475139E-3"/>
                  <c:y val="2.2758620071718087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9A-4A95-A985-D0F132372445}"/>
                </c:ext>
              </c:extLst>
            </c:dLbl>
            <c:dLbl>
              <c:idx val="3"/>
              <c:layout>
                <c:manualLayout>
                  <c:x val="-6.8295468002446236E-2"/>
                  <c:y val="4.2664845648391889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0E9A-4A95-A985-D0F132372445}"/>
                </c:ext>
              </c:extLst>
            </c:dLbl>
            <c:dLbl>
              <c:idx val="5"/>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9A-4A95-A985-D0F132372445}"/>
                </c:ext>
              </c:extLst>
            </c:dLbl>
            <c:dLbl>
              <c:idx val="6"/>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9A-4A95-A985-D0F132372445}"/>
                </c:ext>
              </c:extLst>
            </c:dLbl>
            <c:dLbl>
              <c:idx val="8"/>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E9A-4A95-A985-D0F132372445}"/>
                </c:ext>
              </c:extLst>
            </c:dLbl>
            <c:dLbl>
              <c:idx val="10"/>
              <c:layout>
                <c:manualLayout>
                  <c:x val="-6.6842372938564404E-2"/>
                  <c:y val="2.9089667487539925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9A-4A95-A985-D0F132372445}"/>
                </c:ext>
              </c:extLst>
            </c:dLbl>
            <c:dLbl>
              <c:idx val="11"/>
              <c:layout>
                <c:manualLayout>
                  <c:x val="-5.8123802555273392E-2"/>
                  <c:y val="1.9393111658359951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E9A-4A95-A985-D0F132372445}"/>
                </c:ext>
              </c:extLst>
            </c:dLbl>
            <c:dLbl>
              <c:idx val="13"/>
              <c:spPr>
                <a:solidFill>
                  <a:srgbClr val="92D050"/>
                </a:solidFill>
              </c:spPr>
              <c:txPr>
                <a:bodyPr wrap="square" lIns="38100" tIns="19050" rIns="38100" bIns="19050" anchor="ctr" anchorCtr="0">
                  <a:spAutoFit/>
                </a:bodyPr>
                <a:lstStyle/>
                <a:p>
                  <a:pPr algn="ctr">
                    <a:defRPr lang="en-US" sz="1000" b="0" i="0" u="none" strike="noStrike" kern="1200" baseline="0">
                      <a:solidFill>
                        <a:srgbClr val="000000"/>
                      </a:solidFill>
                      <a:latin typeface="Futura LtCn BT"/>
                      <a:ea typeface="Futura LtCn BT"/>
                      <a:cs typeface="Futura LtCn BT"/>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E9A-4A95-A985-D0F132372445}"/>
                </c:ext>
              </c:extLst>
            </c:dLbl>
            <c:dLbl>
              <c:idx val="14"/>
              <c:layout>
                <c:manualLayout>
                  <c:x val="-5.8123802555273392E-2"/>
                  <c:y val="-1.93931116583592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E9A-4A95-A985-D0F132372445}"/>
                </c:ext>
              </c:extLst>
            </c:dLbl>
            <c:dLbl>
              <c:idx val="15"/>
              <c:layout>
                <c:manualLayout>
                  <c:x val="-4.940523217198238E-2"/>
                  <c:y val="-1.939311165835924E-3"/>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E9A-4A95-A985-D0F132372445}"/>
                </c:ext>
              </c:extLst>
            </c:dLbl>
            <c:dLbl>
              <c:idx val="16"/>
              <c:layout>
                <c:manualLayout>
                  <c:x val="-4.795213710810052E-2"/>
                  <c:y val="-1.163586699501597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E9A-4A95-A985-D0F132372445}"/>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'Table 8 LATAM Radar Graph'!$B$2:$B$24</c:f>
              <c:strCache>
                <c:ptCount val="23"/>
                <c:pt idx="0">
                  <c:v>Basseterre</c:v>
                </c:pt>
                <c:pt idx="1">
                  <c:v>San Juan</c:v>
                </c:pt>
                <c:pt idx="2">
                  <c:v>Bridgetown</c:v>
                </c:pt>
                <c:pt idx="3">
                  <c:v>Castries</c:v>
                </c:pt>
                <c:pt idx="4">
                  <c:v>Cockburn Town</c:v>
                </c:pt>
                <c:pt idx="5">
                  <c:v>George Town</c:v>
                </c:pt>
                <c:pt idx="6">
                  <c:v>Kingstontown</c:v>
                </c:pt>
                <c:pt idx="7">
                  <c:v>Nassau</c:v>
                </c:pt>
                <c:pt idx="8">
                  <c:v>Philipsburg</c:v>
                </c:pt>
                <c:pt idx="9">
                  <c:v>Port of Spain </c:v>
                </c:pt>
                <c:pt idx="10">
                  <c:v>Road Town</c:v>
                </c:pt>
                <c:pt idx="11">
                  <c:v>Buenos Aires</c:v>
                </c:pt>
                <c:pt idx="12">
                  <c:v>Cordoba</c:v>
                </c:pt>
                <c:pt idx="13">
                  <c:v>Brasilia</c:v>
                </c:pt>
                <c:pt idx="14">
                  <c:v>Rio De Janeiro</c:v>
                </c:pt>
                <c:pt idx="15">
                  <c:v>Sao Paulo</c:v>
                </c:pt>
                <c:pt idx="16">
                  <c:v>Bogota</c:v>
                </c:pt>
                <c:pt idx="17">
                  <c:v>Santiago</c:v>
                </c:pt>
                <c:pt idx="18">
                  <c:v>Mexico City</c:v>
                </c:pt>
                <c:pt idx="19">
                  <c:v>Guadalajara</c:v>
                </c:pt>
                <c:pt idx="20">
                  <c:v>Monterrey</c:v>
                </c:pt>
                <c:pt idx="21">
                  <c:v>Queretaro</c:v>
                </c:pt>
                <c:pt idx="22">
                  <c:v>Panama City</c:v>
                </c:pt>
              </c:strCache>
            </c:strRef>
          </c:cat>
          <c:val>
            <c:numRef>
              <c:f>'Table 8 LATAM Radar Graph'!$D$2:$D$24</c:f>
              <c:numCache>
                <c:formatCode>0.00</c:formatCode>
                <c:ptCount val="23"/>
                <c:pt idx="0">
                  <c:v>1.1723327556014385</c:v>
                </c:pt>
                <c:pt idx="1">
                  <c:v>1.3230535568265165</c:v>
                </c:pt>
                <c:pt idx="2">
                  <c:v>1.0196887222648545</c:v>
                </c:pt>
                <c:pt idx="3">
                  <c:v>1.0196887222648545</c:v>
                </c:pt>
                <c:pt idx="4">
                  <c:v>1.7811774441729573</c:v>
                </c:pt>
                <c:pt idx="5">
                  <c:v>1.7176983141386728</c:v>
                </c:pt>
                <c:pt idx="6">
                  <c:v>0.8158407416565111</c:v>
                </c:pt>
                <c:pt idx="7">
                  <c:v>1.5956664922106374</c:v>
                </c:pt>
                <c:pt idx="8">
                  <c:v>1.3508571825582236</c:v>
                </c:pt>
                <c:pt idx="9">
                  <c:v>1.2786166705702953</c:v>
                </c:pt>
                <c:pt idx="10">
                  <c:v>1.6278273351706487</c:v>
                </c:pt>
                <c:pt idx="11">
                  <c:v>1.3478502411347262</c:v>
                </c:pt>
                <c:pt idx="12">
                  <c:v>1.6123295403521711</c:v>
                </c:pt>
                <c:pt idx="13">
                  <c:v>0.9577215053897431</c:v>
                </c:pt>
                <c:pt idx="14">
                  <c:v>0.9577215053897431</c:v>
                </c:pt>
                <c:pt idx="15">
                  <c:v>0.97100281176458569</c:v>
                </c:pt>
                <c:pt idx="16">
                  <c:v>0.9817324633281902</c:v>
                </c:pt>
                <c:pt idx="17">
                  <c:v>0.88235456654517574</c:v>
                </c:pt>
                <c:pt idx="18">
                  <c:v>1</c:v>
                </c:pt>
                <c:pt idx="19">
                  <c:v>1</c:v>
                </c:pt>
                <c:pt idx="20">
                  <c:v>1</c:v>
                </c:pt>
                <c:pt idx="21">
                  <c:v>1</c:v>
                </c:pt>
                <c:pt idx="22">
                  <c:v>1.2941575993274124</c:v>
                </c:pt>
              </c:numCache>
            </c:numRef>
          </c:val>
          <c:extLst>
            <c:ext xmlns:c16="http://schemas.microsoft.com/office/drawing/2014/chart" uri="{C3380CC4-5D6E-409C-BE32-E72D297353CC}">
              <c16:uniqueId val="{00000000-174A-4E00-9C3F-741A339824F2}"/>
            </c:ext>
          </c:extLst>
        </c:ser>
        <c:ser>
          <c:idx val="0"/>
          <c:order val="1"/>
          <c:spPr>
            <a:ln w="25400">
              <a:solidFill>
                <a:srgbClr val="006A4D"/>
              </a:solidFill>
              <a:prstDash val="solid"/>
            </a:ln>
          </c:spPr>
          <c:marker>
            <c:symbol val="square"/>
            <c:size val="6"/>
            <c:spPr>
              <a:solidFill>
                <a:srgbClr val="FFFFFF"/>
              </a:solidFill>
              <a:ln>
                <a:solidFill>
                  <a:srgbClr val="006A4D"/>
                </a:solidFill>
                <a:prstDash val="solid"/>
              </a:ln>
            </c:spPr>
          </c:marker>
          <c:dLbls>
            <c:spPr>
              <a:solidFill>
                <a:srgbClr val="92D050"/>
              </a:solidFill>
            </c:spPr>
            <c:showLegendKey val="0"/>
            <c:showVal val="1"/>
            <c:showCatName val="1"/>
            <c:showSerName val="0"/>
            <c:showPercent val="0"/>
            <c:showBubbleSize val="0"/>
            <c:showLeaderLines val="0"/>
            <c:extLst>
              <c:ext xmlns:c15="http://schemas.microsoft.com/office/drawing/2012/chart" uri="{CE6537A1-D6FC-4f65-9D91-7224C49458BB}">
                <c15:showLeaderLines val="1"/>
              </c:ext>
            </c:extLst>
          </c:dLbls>
          <c:cat>
            <c:strRef>
              <c:f>'Table 8 LATAM Radar Graph'!$B$2:$B$24</c:f>
              <c:strCache>
                <c:ptCount val="23"/>
                <c:pt idx="0">
                  <c:v>Basseterre</c:v>
                </c:pt>
                <c:pt idx="1">
                  <c:v>San Juan</c:v>
                </c:pt>
                <c:pt idx="2">
                  <c:v>Bridgetown</c:v>
                </c:pt>
                <c:pt idx="3">
                  <c:v>Castries</c:v>
                </c:pt>
                <c:pt idx="4">
                  <c:v>Cockburn Town</c:v>
                </c:pt>
                <c:pt idx="5">
                  <c:v>George Town</c:v>
                </c:pt>
                <c:pt idx="6">
                  <c:v>Kingstontown</c:v>
                </c:pt>
                <c:pt idx="7">
                  <c:v>Nassau</c:v>
                </c:pt>
                <c:pt idx="8">
                  <c:v>Philipsburg</c:v>
                </c:pt>
                <c:pt idx="9">
                  <c:v>Port of Spain </c:v>
                </c:pt>
                <c:pt idx="10">
                  <c:v>Road Town</c:v>
                </c:pt>
                <c:pt idx="11">
                  <c:v>Buenos Aires</c:v>
                </c:pt>
                <c:pt idx="12">
                  <c:v>Cordoba</c:v>
                </c:pt>
                <c:pt idx="13">
                  <c:v>Brasilia</c:v>
                </c:pt>
                <c:pt idx="14">
                  <c:v>Rio De Janeiro</c:v>
                </c:pt>
                <c:pt idx="15">
                  <c:v>Sao Paulo</c:v>
                </c:pt>
                <c:pt idx="16">
                  <c:v>Bogota</c:v>
                </c:pt>
                <c:pt idx="17">
                  <c:v>Santiago</c:v>
                </c:pt>
                <c:pt idx="18">
                  <c:v>Mexico City</c:v>
                </c:pt>
                <c:pt idx="19">
                  <c:v>Guadalajara</c:v>
                </c:pt>
                <c:pt idx="20">
                  <c:v>Monterrey</c:v>
                </c:pt>
                <c:pt idx="21">
                  <c:v>Queretaro</c:v>
                </c:pt>
                <c:pt idx="22">
                  <c:v>Panama City</c:v>
                </c:pt>
              </c:strCache>
            </c:strRef>
          </c:cat>
          <c:val>
            <c:numRef>
              <c:f>'Table 8 LATAM Radar Graph'!$D$2:$D$24</c:f>
              <c:numCache>
                <c:formatCode>0.00</c:formatCode>
                <c:ptCount val="23"/>
                <c:pt idx="0">
                  <c:v>1.1723327556014385</c:v>
                </c:pt>
                <c:pt idx="1">
                  <c:v>1.3230535568265165</c:v>
                </c:pt>
                <c:pt idx="2">
                  <c:v>1.0196887222648545</c:v>
                </c:pt>
                <c:pt idx="3">
                  <c:v>1.0196887222648545</c:v>
                </c:pt>
                <c:pt idx="4">
                  <c:v>1.7811774441729573</c:v>
                </c:pt>
                <c:pt idx="5">
                  <c:v>1.7176983141386728</c:v>
                </c:pt>
                <c:pt idx="6">
                  <c:v>0.8158407416565111</c:v>
                </c:pt>
                <c:pt idx="7">
                  <c:v>1.5956664922106374</c:v>
                </c:pt>
                <c:pt idx="8">
                  <c:v>1.3508571825582236</c:v>
                </c:pt>
                <c:pt idx="9">
                  <c:v>1.2786166705702953</c:v>
                </c:pt>
                <c:pt idx="10">
                  <c:v>1.6278273351706487</c:v>
                </c:pt>
                <c:pt idx="11">
                  <c:v>1.3478502411347262</c:v>
                </c:pt>
                <c:pt idx="12">
                  <c:v>1.6123295403521711</c:v>
                </c:pt>
                <c:pt idx="13">
                  <c:v>0.9577215053897431</c:v>
                </c:pt>
                <c:pt idx="14">
                  <c:v>0.9577215053897431</c:v>
                </c:pt>
                <c:pt idx="15">
                  <c:v>0.97100281176458569</c:v>
                </c:pt>
                <c:pt idx="16">
                  <c:v>0.9817324633281902</c:v>
                </c:pt>
                <c:pt idx="17">
                  <c:v>0.88235456654517574</c:v>
                </c:pt>
                <c:pt idx="18">
                  <c:v>1</c:v>
                </c:pt>
                <c:pt idx="19">
                  <c:v>1</c:v>
                </c:pt>
                <c:pt idx="20">
                  <c:v>1</c:v>
                </c:pt>
                <c:pt idx="21">
                  <c:v>1</c:v>
                </c:pt>
                <c:pt idx="22">
                  <c:v>1.2941575993274124</c:v>
                </c:pt>
              </c:numCache>
            </c:numRef>
          </c:val>
          <c:extLst>
            <c:ext xmlns:c16="http://schemas.microsoft.com/office/drawing/2014/chart" uri="{C3380CC4-5D6E-409C-BE32-E72D297353CC}">
              <c16:uniqueId val="{00000017-174A-4E00-9C3F-741A339824F2}"/>
            </c:ext>
          </c:extLst>
        </c:ser>
        <c:dLbls>
          <c:showLegendKey val="0"/>
          <c:showVal val="0"/>
          <c:showCatName val="0"/>
          <c:showSerName val="0"/>
          <c:showPercent val="0"/>
          <c:showBubbleSize val="0"/>
        </c:dLbls>
        <c:axId val="187639296"/>
        <c:axId val="187640832"/>
      </c:radarChart>
      <c:catAx>
        <c:axId val="187639296"/>
        <c:scaling>
          <c:orientation val="minMax"/>
        </c:scaling>
        <c:delete val="1"/>
        <c:axPos val="b"/>
        <c:majorGridlines/>
        <c:numFmt formatCode="@" sourceLinked="0"/>
        <c:majorTickMark val="out"/>
        <c:minorTickMark val="none"/>
        <c:tickLblPos val="low"/>
        <c:crossAx val="187640832"/>
        <c:crosses val="autoZero"/>
        <c:auto val="1"/>
        <c:lblAlgn val="ctr"/>
        <c:lblOffset val="100"/>
        <c:noMultiLvlLbl val="0"/>
      </c:catAx>
      <c:valAx>
        <c:axId val="187640832"/>
        <c:scaling>
          <c:orientation val="minMax"/>
        </c:scaling>
        <c:delete val="0"/>
        <c:axPos val="l"/>
        <c:majorGridlines>
          <c:spPr>
            <a:ln w="3175">
              <a:solidFill>
                <a:srgbClr val="818A8F"/>
              </a:solidFill>
              <a:prstDash val="solid"/>
            </a:ln>
          </c:spPr>
        </c:majorGridlines>
        <c:numFmt formatCode="#,##0.00;\(#,##0.00\);0" sourceLinked="0"/>
        <c:majorTickMark val="none"/>
        <c:minorTickMark val="none"/>
        <c:tickLblPos val="nextTo"/>
        <c:spPr>
          <a:ln w="25400">
            <a:noFill/>
          </a:ln>
        </c:spPr>
        <c:txPr>
          <a:bodyPr/>
          <a:lstStyle/>
          <a:p>
            <a:pPr>
              <a:defRPr sz="1000">
                <a:latin typeface="Futura LtCn BT"/>
                <a:ea typeface="Futura LtCn BT"/>
                <a:cs typeface="Futura LtCn BT"/>
              </a:defRPr>
            </a:pPr>
            <a:endParaRPr lang="en-US"/>
          </a:p>
        </c:txPr>
        <c:crossAx val="187639296"/>
        <c:crosses val="autoZero"/>
        <c:crossBetween val="midCat"/>
      </c:valAx>
    </c:plotArea>
    <c:plotVisOnly val="1"/>
    <c:dispBlanksAs val="gap"/>
    <c:showDLblsOverMax val="0"/>
  </c:chart>
  <c:spPr>
    <a:noFill/>
    <a:ln w="9525">
      <a:noFill/>
    </a:ln>
  </c:spPr>
  <c:txPr>
    <a:bodyPr/>
    <a:lstStyle/>
    <a:p>
      <a:pPr>
        <a:defRPr sz="1000">
          <a:solidFill>
            <a:srgbClr val="000000"/>
          </a:solidFill>
          <a:latin typeface="Futura LtCn BT"/>
          <a:ea typeface="Futura LtCn BT"/>
          <a:cs typeface="Futura LtCn BT"/>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alibre" panose="020B0503030202060203" pitchFamily="34" charset="0"/>
              </a:defRPr>
            </a:pPr>
            <a:r>
              <a:rPr lang="en-US">
                <a:latin typeface="Calibre" panose="020B0503030202060203" pitchFamily="34" charset="0"/>
              </a:rPr>
              <a:t>AMERICAS COST RADAR RELATIVE TO NEW YORK</a:t>
            </a:r>
          </a:p>
        </c:rich>
      </c:tx>
      <c:layout>
        <c:manualLayout>
          <c:xMode val="edge"/>
          <c:yMode val="edge"/>
          <c:x val="0.10119931649502786"/>
          <c:y val="6.3542276527215583E-4"/>
        </c:manualLayout>
      </c:layout>
      <c:overlay val="1"/>
    </c:title>
    <c:autoTitleDeleted val="0"/>
    <c:plotArea>
      <c:layout>
        <c:manualLayout>
          <c:layoutTarget val="inner"/>
          <c:xMode val="edge"/>
          <c:yMode val="edge"/>
          <c:x val="8.5149438354914536E-2"/>
          <c:y val="8.3713519312692927E-2"/>
          <c:w val="0.78269018576658167"/>
          <c:h val="0.91008479744543047"/>
        </c:manualLayout>
      </c:layout>
      <c:radarChart>
        <c:radarStyle val="marker"/>
        <c:varyColors val="0"/>
        <c:ser>
          <c:idx val="1"/>
          <c:order val="0"/>
          <c:spPr>
            <a:ln w="25400">
              <a:solidFill>
                <a:srgbClr val="006A4D"/>
              </a:solidFill>
              <a:prstDash val="solid"/>
            </a:ln>
          </c:spPr>
          <c:dLbls>
            <c:dLbl>
              <c:idx val="0"/>
              <c:layout>
                <c:manualLayout>
                  <c:x val="2.470261608599119E-2"/>
                  <c:y val="-0.20362767241277949"/>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58-4038-9AD0-C7EC9E8DBDB3}"/>
                </c:ext>
              </c:extLst>
            </c:dLbl>
            <c:dLbl>
              <c:idx val="1"/>
              <c:layout>
                <c:manualLayout>
                  <c:x val="4.3592851916455046E-2"/>
                  <c:y val="-0.1997490500811074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58-4038-9AD0-C7EC9E8DBDB3}"/>
                </c:ext>
              </c:extLst>
            </c:dLbl>
            <c:dLbl>
              <c:idx val="6"/>
              <c:layout>
                <c:manualLayout>
                  <c:x val="1.2404108775289989E-2"/>
                  <c:y val="1.4234319461462195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58-4038-9AD0-C7EC9E8DBDB3}"/>
                </c:ext>
              </c:extLst>
            </c:dLbl>
            <c:dLbl>
              <c:idx val="14"/>
              <c:layout>
                <c:manualLayout>
                  <c:x val="-1.0768173467036787E-2"/>
                  <c:y val="1.4457995806190567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58-4038-9AD0-C7EC9E8DBDB3}"/>
                </c:ext>
              </c:extLst>
            </c:dLbl>
            <c:dLbl>
              <c:idx val="36"/>
              <c:layout>
                <c:manualLayout>
                  <c:x val="-1.4493421884412581E-2"/>
                  <c:y val="-2.7150356321703931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58-4038-9AD0-C7EC9E8DBDB3}"/>
                </c:ext>
              </c:extLst>
            </c:dLbl>
            <c:dLbl>
              <c:idx val="37"/>
              <c:layout>
                <c:manualLayout>
                  <c:x val="-8.6452291284919332E-3"/>
                  <c:y val="-2.13324228241959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58-4038-9AD0-C7EC9E8DBDB3}"/>
                </c:ext>
              </c:extLst>
            </c:dLbl>
            <c:dLbl>
              <c:idx val="38"/>
              <c:layout>
                <c:manualLayout>
                  <c:x val="-8.7185703832910084E-3"/>
                  <c:y val="-2.13324228241959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58-4038-9AD0-C7EC9E8DBDB3}"/>
                </c:ext>
              </c:extLst>
            </c:dLbl>
            <c:dLbl>
              <c:idx val="39"/>
              <c:layout>
                <c:manualLayout>
                  <c:x val="-7.265475319409174E-3"/>
                  <c:y val="-1.7453800492523975E-2"/>
                </c:manualLayout>
              </c:layout>
              <c:spPr>
                <a:solidFill>
                  <a:srgbClr val="92D050"/>
                </a:solidFill>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58-4038-9AD0-C7EC9E8DBDB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'Table 8 AMERICAS Graph'!$B$2:$B$45</c:f>
              <c:strCache>
                <c:ptCount val="44"/>
                <c:pt idx="0">
                  <c:v>Cincinnati</c:v>
                </c:pt>
                <c:pt idx="1">
                  <c:v>Charlotte</c:v>
                </c:pt>
                <c:pt idx="2">
                  <c:v>Charleston (SC)</c:v>
                </c:pt>
                <c:pt idx="3">
                  <c:v>Chicago</c:v>
                </c:pt>
                <c:pt idx="4">
                  <c:v>Cleveland</c:v>
                </c:pt>
                <c:pt idx="5">
                  <c:v>Boston</c:v>
                </c:pt>
                <c:pt idx="6">
                  <c:v>Baltimore</c:v>
                </c:pt>
                <c:pt idx="7">
                  <c:v>Columbus</c:v>
                </c:pt>
                <c:pt idx="8">
                  <c:v>Austin</c:v>
                </c:pt>
                <c:pt idx="9">
                  <c:v>Atlanta</c:v>
                </c:pt>
                <c:pt idx="10">
                  <c:v>Dallas</c:v>
                </c:pt>
                <c:pt idx="11">
                  <c:v>Denver</c:v>
                </c:pt>
                <c:pt idx="12">
                  <c:v>Detroit</c:v>
                </c:pt>
                <c:pt idx="13">
                  <c:v>Houston</c:v>
                </c:pt>
                <c:pt idx="14">
                  <c:v>Indianapolis</c:v>
                </c:pt>
                <c:pt idx="15">
                  <c:v>Kansas City</c:v>
                </c:pt>
                <c:pt idx="16">
                  <c:v>Los Angeles</c:v>
                </c:pt>
                <c:pt idx="17">
                  <c:v>Miami</c:v>
                </c:pt>
                <c:pt idx="18">
                  <c:v>Minneapolis</c:v>
                </c:pt>
                <c:pt idx="19">
                  <c:v>Nashville</c:v>
                </c:pt>
                <c:pt idx="20">
                  <c:v>New York</c:v>
                </c:pt>
                <c:pt idx="21">
                  <c:v>Newark</c:v>
                </c:pt>
                <c:pt idx="22">
                  <c:v>Oakland</c:v>
                </c:pt>
                <c:pt idx="23">
                  <c:v>Orlando</c:v>
                </c:pt>
                <c:pt idx="24">
                  <c:v>Oklahoma</c:v>
                </c:pt>
                <c:pt idx="25">
                  <c:v>Philadelphia</c:v>
                </c:pt>
                <c:pt idx="26">
                  <c:v>Phoenix</c:v>
                </c:pt>
                <c:pt idx="27">
                  <c:v>Portland</c:v>
                </c:pt>
                <c:pt idx="28">
                  <c:v>Sacramento</c:v>
                </c:pt>
                <c:pt idx="29">
                  <c:v>Saddle Brook (NJ)</c:v>
                </c:pt>
                <c:pt idx="30">
                  <c:v>Salt Lake City</c:v>
                </c:pt>
                <c:pt idx="31">
                  <c:v>San Diego</c:v>
                </c:pt>
                <c:pt idx="32">
                  <c:v>San Francisco</c:v>
                </c:pt>
                <c:pt idx="33">
                  <c:v>San Jose</c:v>
                </c:pt>
                <c:pt idx="34">
                  <c:v>Seattle</c:v>
                </c:pt>
                <c:pt idx="35">
                  <c:v>St. Louis</c:v>
                </c:pt>
                <c:pt idx="36">
                  <c:v>Stamford (CT)</c:v>
                </c:pt>
                <c:pt idx="37">
                  <c:v>Tampa</c:v>
                </c:pt>
                <c:pt idx="38">
                  <c:v>Washington DC</c:v>
                </c:pt>
                <c:pt idx="39">
                  <c:v>Tulsa</c:v>
                </c:pt>
                <c:pt idx="40">
                  <c:v>Toronto</c:v>
                </c:pt>
                <c:pt idx="41">
                  <c:v>Montreal</c:v>
                </c:pt>
                <c:pt idx="42">
                  <c:v>Vancouver</c:v>
                </c:pt>
                <c:pt idx="43">
                  <c:v>Ottawa</c:v>
                </c:pt>
              </c:strCache>
            </c:strRef>
          </c:cat>
          <c:val>
            <c:numRef>
              <c:f>'Table 8 AMERICAS Graph'!$D$2:$D$45</c:f>
              <c:numCache>
                <c:formatCode>0.00</c:formatCode>
                <c:ptCount val="44"/>
                <c:pt idx="0">
                  <c:v>0.7777074331196373</c:v>
                </c:pt>
                <c:pt idx="1">
                  <c:v>0.73320630170113743</c:v>
                </c:pt>
                <c:pt idx="2">
                  <c:v>0.73320630170113743</c:v>
                </c:pt>
                <c:pt idx="3">
                  <c:v>0.96129580080722443</c:v>
                </c:pt>
                <c:pt idx="4">
                  <c:v>0.75823927879918251</c:v>
                </c:pt>
                <c:pt idx="5">
                  <c:v>0.93576957880364964</c:v>
                </c:pt>
                <c:pt idx="6">
                  <c:v>0.7665413697605532</c:v>
                </c:pt>
                <c:pt idx="7">
                  <c:v>0.74073152143988741</c:v>
                </c:pt>
                <c:pt idx="8">
                  <c:v>0.70748908230687102</c:v>
                </c:pt>
                <c:pt idx="9">
                  <c:v>0.6963074372310154</c:v>
                </c:pt>
                <c:pt idx="10">
                  <c:v>0.698553788988166</c:v>
                </c:pt>
                <c:pt idx="11">
                  <c:v>0.74630217420070133</c:v>
                </c:pt>
                <c:pt idx="12">
                  <c:v>0.78370519335979205</c:v>
                </c:pt>
                <c:pt idx="13">
                  <c:v>0.6937790277084358</c:v>
                </c:pt>
                <c:pt idx="14">
                  <c:v>0.73754835831386356</c:v>
                </c:pt>
                <c:pt idx="15">
                  <c:v>0.77495131468014444</c:v>
                </c:pt>
                <c:pt idx="16">
                  <c:v>0.91501326277459583</c:v>
                </c:pt>
                <c:pt idx="17">
                  <c:v>0.71606156115317143</c:v>
                </c:pt>
                <c:pt idx="18">
                  <c:v>0.84179894641075625</c:v>
                </c:pt>
                <c:pt idx="19">
                  <c:v>0.71367427470252098</c:v>
                </c:pt>
                <c:pt idx="20">
                  <c:v>1</c:v>
                </c:pt>
                <c:pt idx="21">
                  <c:v>0.91899223978318312</c:v>
                </c:pt>
                <c:pt idx="22">
                  <c:v>0.95400769170896338</c:v>
                </c:pt>
                <c:pt idx="23">
                  <c:v>0.71685732883361986</c:v>
                </c:pt>
                <c:pt idx="24">
                  <c:v>0.71764127803504074</c:v>
                </c:pt>
                <c:pt idx="25">
                  <c:v>0.90614342257768088</c:v>
                </c:pt>
                <c:pt idx="26">
                  <c:v>0.73436516379143502</c:v>
                </c:pt>
                <c:pt idx="27">
                  <c:v>0.77758338000650429</c:v>
                </c:pt>
                <c:pt idx="28">
                  <c:v>0.88875158053353787</c:v>
                </c:pt>
                <c:pt idx="29">
                  <c:v>0.89983373493808105</c:v>
                </c:pt>
                <c:pt idx="30">
                  <c:v>0.73341557259313706</c:v>
                </c:pt>
                <c:pt idx="31">
                  <c:v>0.88636416849726785</c:v>
                </c:pt>
                <c:pt idx="32">
                  <c:v>0.99684534459910479</c:v>
                </c:pt>
                <c:pt idx="33">
                  <c:v>0.70853906659426391</c:v>
                </c:pt>
                <c:pt idx="34">
                  <c:v>0.83752543445288929</c:v>
                </c:pt>
                <c:pt idx="35">
                  <c:v>0.77127369236690435</c:v>
                </c:pt>
                <c:pt idx="36">
                  <c:v>0.86986263751922333</c:v>
                </c:pt>
                <c:pt idx="37">
                  <c:v>0.70738813398893741</c:v>
                </c:pt>
                <c:pt idx="38">
                  <c:v>0.78152692982623728</c:v>
                </c:pt>
                <c:pt idx="39">
                  <c:v>0.68214930933487994</c:v>
                </c:pt>
                <c:pt idx="40">
                  <c:v>0.64034088616425844</c:v>
                </c:pt>
                <c:pt idx="41">
                  <c:v>0.44568037152891005</c:v>
                </c:pt>
                <c:pt idx="42">
                  <c:v>0.44568037152891005</c:v>
                </c:pt>
                <c:pt idx="43">
                  <c:v>0.45336451586561544</c:v>
                </c:pt>
              </c:numCache>
            </c:numRef>
          </c:val>
          <c:extLst>
            <c:ext xmlns:c16="http://schemas.microsoft.com/office/drawing/2014/chart" uri="{C3380CC4-5D6E-409C-BE32-E72D297353CC}">
              <c16:uniqueId val="{00000000-F1C1-40C0-8ED6-FB580547F4C6}"/>
            </c:ext>
          </c:extLst>
        </c:ser>
        <c:ser>
          <c:idx val="0"/>
          <c:order val="1"/>
          <c:spPr>
            <a:ln w="25400">
              <a:solidFill>
                <a:srgbClr val="006A4D"/>
              </a:solidFill>
              <a:prstDash val="solid"/>
            </a:ln>
          </c:spPr>
          <c:marker>
            <c:symbol val="square"/>
            <c:size val="6"/>
            <c:spPr>
              <a:solidFill>
                <a:srgbClr val="FFFFFF"/>
              </a:solidFill>
              <a:ln>
                <a:solidFill>
                  <a:srgbClr val="006A4D"/>
                </a:solidFill>
                <a:prstDash val="solid"/>
              </a:ln>
            </c:spPr>
          </c:marker>
          <c:dLbls>
            <c:spPr>
              <a:solidFill>
                <a:srgbClr val="92D050"/>
              </a:solidFill>
            </c:spPr>
            <c:showLegendKey val="0"/>
            <c:showVal val="1"/>
            <c:showCatName val="1"/>
            <c:showSerName val="0"/>
            <c:showPercent val="0"/>
            <c:showBubbleSize val="0"/>
            <c:showLeaderLines val="0"/>
            <c:extLst>
              <c:ext xmlns:c15="http://schemas.microsoft.com/office/drawing/2012/chart" uri="{CE6537A1-D6FC-4f65-9D91-7224C49458BB}">
                <c15:showLeaderLines val="1"/>
              </c:ext>
            </c:extLst>
          </c:dLbls>
          <c:cat>
            <c:strRef>
              <c:f>'Table 8 AMERICAS Graph'!$B$2:$B$45</c:f>
              <c:strCache>
                <c:ptCount val="44"/>
                <c:pt idx="0">
                  <c:v>Cincinnati</c:v>
                </c:pt>
                <c:pt idx="1">
                  <c:v>Charlotte</c:v>
                </c:pt>
                <c:pt idx="2">
                  <c:v>Charleston (SC)</c:v>
                </c:pt>
                <c:pt idx="3">
                  <c:v>Chicago</c:v>
                </c:pt>
                <c:pt idx="4">
                  <c:v>Cleveland</c:v>
                </c:pt>
                <c:pt idx="5">
                  <c:v>Boston</c:v>
                </c:pt>
                <c:pt idx="6">
                  <c:v>Baltimore</c:v>
                </c:pt>
                <c:pt idx="7">
                  <c:v>Columbus</c:v>
                </c:pt>
                <c:pt idx="8">
                  <c:v>Austin</c:v>
                </c:pt>
                <c:pt idx="9">
                  <c:v>Atlanta</c:v>
                </c:pt>
                <c:pt idx="10">
                  <c:v>Dallas</c:v>
                </c:pt>
                <c:pt idx="11">
                  <c:v>Denver</c:v>
                </c:pt>
                <c:pt idx="12">
                  <c:v>Detroit</c:v>
                </c:pt>
                <c:pt idx="13">
                  <c:v>Houston</c:v>
                </c:pt>
                <c:pt idx="14">
                  <c:v>Indianapolis</c:v>
                </c:pt>
                <c:pt idx="15">
                  <c:v>Kansas City</c:v>
                </c:pt>
                <c:pt idx="16">
                  <c:v>Los Angeles</c:v>
                </c:pt>
                <c:pt idx="17">
                  <c:v>Miami</c:v>
                </c:pt>
                <c:pt idx="18">
                  <c:v>Minneapolis</c:v>
                </c:pt>
                <c:pt idx="19">
                  <c:v>Nashville</c:v>
                </c:pt>
                <c:pt idx="20">
                  <c:v>New York</c:v>
                </c:pt>
                <c:pt idx="21">
                  <c:v>Newark</c:v>
                </c:pt>
                <c:pt idx="22">
                  <c:v>Oakland</c:v>
                </c:pt>
                <c:pt idx="23">
                  <c:v>Orlando</c:v>
                </c:pt>
                <c:pt idx="24">
                  <c:v>Oklahoma</c:v>
                </c:pt>
                <c:pt idx="25">
                  <c:v>Philadelphia</c:v>
                </c:pt>
                <c:pt idx="26">
                  <c:v>Phoenix</c:v>
                </c:pt>
                <c:pt idx="27">
                  <c:v>Portland</c:v>
                </c:pt>
                <c:pt idx="28">
                  <c:v>Sacramento</c:v>
                </c:pt>
                <c:pt idx="29">
                  <c:v>Saddle Brook (NJ)</c:v>
                </c:pt>
                <c:pt idx="30">
                  <c:v>Salt Lake City</c:v>
                </c:pt>
                <c:pt idx="31">
                  <c:v>San Diego</c:v>
                </c:pt>
                <c:pt idx="32">
                  <c:v>San Francisco</c:v>
                </c:pt>
                <c:pt idx="33">
                  <c:v>San Jose</c:v>
                </c:pt>
                <c:pt idx="34">
                  <c:v>Seattle</c:v>
                </c:pt>
                <c:pt idx="35">
                  <c:v>St. Louis</c:v>
                </c:pt>
                <c:pt idx="36">
                  <c:v>Stamford (CT)</c:v>
                </c:pt>
                <c:pt idx="37">
                  <c:v>Tampa</c:v>
                </c:pt>
                <c:pt idx="38">
                  <c:v>Washington DC</c:v>
                </c:pt>
                <c:pt idx="39">
                  <c:v>Tulsa</c:v>
                </c:pt>
                <c:pt idx="40">
                  <c:v>Toronto</c:v>
                </c:pt>
                <c:pt idx="41">
                  <c:v>Montreal</c:v>
                </c:pt>
                <c:pt idx="42">
                  <c:v>Vancouver</c:v>
                </c:pt>
                <c:pt idx="43">
                  <c:v>Ottawa</c:v>
                </c:pt>
              </c:strCache>
            </c:strRef>
          </c:cat>
          <c:val>
            <c:numRef>
              <c:f>'Table 8 AMERICAS Graph'!$D$2:$D$45</c:f>
              <c:numCache>
                <c:formatCode>0.00</c:formatCode>
                <c:ptCount val="44"/>
                <c:pt idx="0">
                  <c:v>0.7777074331196373</c:v>
                </c:pt>
                <c:pt idx="1">
                  <c:v>0.73320630170113743</c:v>
                </c:pt>
                <c:pt idx="2">
                  <c:v>0.73320630170113743</c:v>
                </c:pt>
                <c:pt idx="3">
                  <c:v>0.96129580080722443</c:v>
                </c:pt>
                <c:pt idx="4">
                  <c:v>0.75823927879918251</c:v>
                </c:pt>
                <c:pt idx="5">
                  <c:v>0.93576957880364964</c:v>
                </c:pt>
                <c:pt idx="6">
                  <c:v>0.7665413697605532</c:v>
                </c:pt>
                <c:pt idx="7">
                  <c:v>0.74073152143988741</c:v>
                </c:pt>
                <c:pt idx="8">
                  <c:v>0.70748908230687102</c:v>
                </c:pt>
                <c:pt idx="9">
                  <c:v>0.6963074372310154</c:v>
                </c:pt>
                <c:pt idx="10">
                  <c:v>0.698553788988166</c:v>
                </c:pt>
                <c:pt idx="11">
                  <c:v>0.74630217420070133</c:v>
                </c:pt>
                <c:pt idx="12">
                  <c:v>0.78370519335979205</c:v>
                </c:pt>
                <c:pt idx="13">
                  <c:v>0.6937790277084358</c:v>
                </c:pt>
                <c:pt idx="14">
                  <c:v>0.73754835831386356</c:v>
                </c:pt>
                <c:pt idx="15">
                  <c:v>0.77495131468014444</c:v>
                </c:pt>
                <c:pt idx="16">
                  <c:v>0.91501326277459583</c:v>
                </c:pt>
                <c:pt idx="17">
                  <c:v>0.71606156115317143</c:v>
                </c:pt>
                <c:pt idx="18">
                  <c:v>0.84179894641075625</c:v>
                </c:pt>
                <c:pt idx="19">
                  <c:v>0.71367427470252098</c:v>
                </c:pt>
                <c:pt idx="20">
                  <c:v>1</c:v>
                </c:pt>
                <c:pt idx="21">
                  <c:v>0.91899223978318312</c:v>
                </c:pt>
                <c:pt idx="22">
                  <c:v>0.95400769170896338</c:v>
                </c:pt>
                <c:pt idx="23">
                  <c:v>0.71685732883361986</c:v>
                </c:pt>
                <c:pt idx="24">
                  <c:v>0.71764127803504074</c:v>
                </c:pt>
                <c:pt idx="25">
                  <c:v>0.90614342257768088</c:v>
                </c:pt>
                <c:pt idx="26">
                  <c:v>0.73436516379143502</c:v>
                </c:pt>
                <c:pt idx="27">
                  <c:v>0.77758338000650429</c:v>
                </c:pt>
                <c:pt idx="28">
                  <c:v>0.88875158053353787</c:v>
                </c:pt>
                <c:pt idx="29">
                  <c:v>0.89983373493808105</c:v>
                </c:pt>
                <c:pt idx="30">
                  <c:v>0.73341557259313706</c:v>
                </c:pt>
                <c:pt idx="31">
                  <c:v>0.88636416849726785</c:v>
                </c:pt>
                <c:pt idx="32">
                  <c:v>0.99684534459910479</c:v>
                </c:pt>
                <c:pt idx="33">
                  <c:v>0.70853906659426391</c:v>
                </c:pt>
                <c:pt idx="34">
                  <c:v>0.83752543445288929</c:v>
                </c:pt>
                <c:pt idx="35">
                  <c:v>0.77127369236690435</c:v>
                </c:pt>
                <c:pt idx="36">
                  <c:v>0.86986263751922333</c:v>
                </c:pt>
                <c:pt idx="37">
                  <c:v>0.70738813398893741</c:v>
                </c:pt>
                <c:pt idx="38">
                  <c:v>0.78152692982623728</c:v>
                </c:pt>
                <c:pt idx="39">
                  <c:v>0.68214930933487994</c:v>
                </c:pt>
                <c:pt idx="40">
                  <c:v>0.64034088616425844</c:v>
                </c:pt>
                <c:pt idx="41">
                  <c:v>0.44568037152891005</c:v>
                </c:pt>
                <c:pt idx="42">
                  <c:v>0.44568037152891005</c:v>
                </c:pt>
                <c:pt idx="43">
                  <c:v>0.45336451586561544</c:v>
                </c:pt>
              </c:numCache>
            </c:numRef>
          </c:val>
          <c:extLst>
            <c:ext xmlns:c16="http://schemas.microsoft.com/office/drawing/2014/chart" uri="{C3380CC4-5D6E-409C-BE32-E72D297353CC}">
              <c16:uniqueId val="{00000016-F1C1-40C0-8ED6-FB580547F4C6}"/>
            </c:ext>
          </c:extLst>
        </c:ser>
        <c:dLbls>
          <c:showLegendKey val="0"/>
          <c:showVal val="0"/>
          <c:showCatName val="0"/>
          <c:showSerName val="0"/>
          <c:showPercent val="0"/>
          <c:showBubbleSize val="0"/>
        </c:dLbls>
        <c:axId val="187639296"/>
        <c:axId val="187640832"/>
      </c:radarChart>
      <c:catAx>
        <c:axId val="187639296"/>
        <c:scaling>
          <c:orientation val="minMax"/>
        </c:scaling>
        <c:delete val="1"/>
        <c:axPos val="b"/>
        <c:majorGridlines/>
        <c:numFmt formatCode="@" sourceLinked="0"/>
        <c:majorTickMark val="out"/>
        <c:minorTickMark val="none"/>
        <c:tickLblPos val="low"/>
        <c:crossAx val="187640832"/>
        <c:crosses val="autoZero"/>
        <c:auto val="1"/>
        <c:lblAlgn val="ctr"/>
        <c:lblOffset val="100"/>
        <c:noMultiLvlLbl val="0"/>
      </c:catAx>
      <c:valAx>
        <c:axId val="187640832"/>
        <c:scaling>
          <c:orientation val="minMax"/>
        </c:scaling>
        <c:delete val="0"/>
        <c:axPos val="l"/>
        <c:majorGridlines>
          <c:spPr>
            <a:ln w="3175">
              <a:solidFill>
                <a:srgbClr val="818A8F"/>
              </a:solidFill>
              <a:prstDash val="solid"/>
            </a:ln>
          </c:spPr>
        </c:majorGridlines>
        <c:numFmt formatCode="#,##0.00;\(#,##0.00\);0" sourceLinked="0"/>
        <c:majorTickMark val="none"/>
        <c:minorTickMark val="none"/>
        <c:tickLblPos val="nextTo"/>
        <c:spPr>
          <a:ln w="25400">
            <a:noFill/>
          </a:ln>
        </c:spPr>
        <c:txPr>
          <a:bodyPr/>
          <a:lstStyle/>
          <a:p>
            <a:pPr>
              <a:defRPr sz="1000">
                <a:latin typeface="Futura LtCn BT"/>
                <a:ea typeface="Futura LtCn BT"/>
                <a:cs typeface="Futura LtCn BT"/>
              </a:defRPr>
            </a:pPr>
            <a:endParaRPr lang="en-US"/>
          </a:p>
        </c:txPr>
        <c:crossAx val="187639296"/>
        <c:crosses val="autoZero"/>
        <c:crossBetween val="midCat"/>
      </c:valAx>
    </c:plotArea>
    <c:plotVisOnly val="1"/>
    <c:dispBlanksAs val="gap"/>
    <c:showDLblsOverMax val="0"/>
  </c:chart>
  <c:spPr>
    <a:noFill/>
    <a:ln w="9525">
      <a:noFill/>
    </a:ln>
  </c:spPr>
  <c:txPr>
    <a:bodyPr/>
    <a:lstStyle/>
    <a:p>
      <a:pPr>
        <a:defRPr sz="1000">
          <a:solidFill>
            <a:srgbClr val="000000"/>
          </a:solidFill>
          <a:latin typeface="Futura LtCn BT"/>
          <a:ea typeface="Futura LtCn BT"/>
          <a:cs typeface="Futura LtCn BT"/>
        </a:defRPr>
      </a:pPr>
      <a:endParaRPr lang="en-US"/>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4587227" y="1251857"/>
    <xdr:ext cx="10054060" cy="9987643"/>
    <xdr:graphicFrame macro="">
      <xdr:nvGraphicFramePr>
        <xdr:cNvPr id="2" name="Chart 1">
          <a:extLst>
            <a:ext uri="{FF2B5EF4-FFF2-40B4-BE49-F238E27FC236}">
              <a16:creationId xmlns:a16="http://schemas.microsoft.com/office/drawing/2014/main" id="{52759D11-34B2-4463-B665-AB712D7ED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4</xdr:col>
      <xdr:colOff>84071</xdr:colOff>
      <xdr:row>0</xdr:row>
      <xdr:rowOff>8031</xdr:rowOff>
    </xdr:from>
    <xdr:to>
      <xdr:col>9</xdr:col>
      <xdr:colOff>198478</xdr:colOff>
      <xdr:row>3</xdr:row>
      <xdr:rowOff>25587</xdr:rowOff>
    </xdr:to>
    <xdr:sp macro="" textlink="">
      <xdr:nvSpPr>
        <xdr:cNvPr id="3" name="TextBox 1">
          <a:extLst>
            <a:ext uri="{FF2B5EF4-FFF2-40B4-BE49-F238E27FC236}">
              <a16:creationId xmlns:a16="http://schemas.microsoft.com/office/drawing/2014/main" id="{68EFCF49-8FD6-4112-8E6A-DEC8A998C184}"/>
            </a:ext>
          </a:extLst>
        </xdr:cNvPr>
        <xdr:cNvSpPr txBox="1"/>
      </xdr:nvSpPr>
      <xdr:spPr>
        <a:xfrm>
          <a:off x="7105357" y="8031"/>
          <a:ext cx="4414264" cy="548235"/>
        </a:xfrm>
        <a:prstGeom prst="rect">
          <a:avLst/>
        </a:prstGeom>
        <a:solidFill>
          <a:srgbClr val="FFFF00"/>
        </a:solid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GB" sz="1100" b="1" i="1" u="sng">
              <a:solidFill>
                <a:srgbClr val="FF0000"/>
              </a:solidFill>
            </a:rPr>
            <a:t>Notes</a:t>
          </a:r>
          <a:r>
            <a:rPr lang="en-GB" sz="1100" b="1" i="1" u="sng" baseline="0">
              <a:solidFill>
                <a:srgbClr val="FF0000"/>
              </a:solidFill>
            </a:rPr>
            <a:t> for Team</a:t>
          </a:r>
          <a:r>
            <a:rPr lang="en-GB" sz="1100" b="1" i="1" u="none" baseline="0">
              <a:solidFill>
                <a:srgbClr val="FF0000"/>
              </a:solidFill>
            </a:rPr>
            <a:t>: </a:t>
          </a:r>
        </a:p>
        <a:p>
          <a:r>
            <a:rPr lang="en-GB" sz="1100" i="1">
              <a:solidFill>
                <a:srgbClr val="FF0000"/>
              </a:solidFill>
            </a:rPr>
            <a:t>Only Radar</a:t>
          </a:r>
          <a:r>
            <a:rPr lang="en-GB" sz="1100" i="1" baseline="0">
              <a:solidFill>
                <a:srgbClr val="FF0000"/>
              </a:solidFill>
            </a:rPr>
            <a:t> to be printed. Not Red table on the left. </a:t>
          </a:r>
          <a:endParaRPr lang="en-GB" sz="11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5185941" y="0"/>
    <xdr:ext cx="8652523" cy="9334500"/>
    <xdr:graphicFrame macro="">
      <xdr:nvGraphicFramePr>
        <xdr:cNvPr id="2" name="Chart 1">
          <a:extLst>
            <a:ext uri="{FF2B5EF4-FFF2-40B4-BE49-F238E27FC236}">
              <a16:creationId xmlns:a16="http://schemas.microsoft.com/office/drawing/2014/main" id="{B36C60C8-6AF4-4E2F-87EF-D5EE1816C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4721681" y="0"/>
    <xdr:ext cx="10355034" cy="9511393"/>
    <xdr:graphicFrame macro="">
      <xdr:nvGraphicFramePr>
        <xdr:cNvPr id="2" name="Chart 1">
          <a:extLst>
            <a:ext uri="{FF2B5EF4-FFF2-40B4-BE49-F238E27FC236}">
              <a16:creationId xmlns:a16="http://schemas.microsoft.com/office/drawing/2014/main" id="{1447E57B-B2FA-40A4-924B-6EB44EC01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4587226" y="1251857"/>
    <xdr:ext cx="12326453" cy="12681857"/>
    <xdr:graphicFrame macro="">
      <xdr:nvGraphicFramePr>
        <xdr:cNvPr id="5" name="Chart 1">
          <a:extLst>
            <a:ext uri="{FF2B5EF4-FFF2-40B4-BE49-F238E27FC236}">
              <a16:creationId xmlns:a16="http://schemas.microsoft.com/office/drawing/2014/main" id="{1E3B5E76-21BE-42DC-A29E-8E5B23319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4</xdr:col>
      <xdr:colOff>84071</xdr:colOff>
      <xdr:row>0</xdr:row>
      <xdr:rowOff>8031</xdr:rowOff>
    </xdr:from>
    <xdr:to>
      <xdr:col>9</xdr:col>
      <xdr:colOff>198478</xdr:colOff>
      <xdr:row>2</xdr:row>
      <xdr:rowOff>25587</xdr:rowOff>
    </xdr:to>
    <xdr:sp macro="" textlink="">
      <xdr:nvSpPr>
        <xdr:cNvPr id="3" name="TextBox 1">
          <a:extLst>
            <a:ext uri="{FF2B5EF4-FFF2-40B4-BE49-F238E27FC236}">
              <a16:creationId xmlns:a16="http://schemas.microsoft.com/office/drawing/2014/main" id="{4ACCD91F-C41C-4F21-87B3-1FE2AA72F606}"/>
            </a:ext>
          </a:extLst>
        </xdr:cNvPr>
        <xdr:cNvSpPr txBox="1"/>
      </xdr:nvSpPr>
      <xdr:spPr>
        <a:xfrm>
          <a:off x="4430646" y="11206"/>
          <a:ext cx="4429232" cy="531906"/>
        </a:xfrm>
        <a:prstGeom prst="rect">
          <a:avLst/>
        </a:prstGeom>
        <a:solidFill>
          <a:srgbClr val="FFFF00"/>
        </a:solid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GB" sz="1100" b="1" i="1" u="sng">
              <a:solidFill>
                <a:srgbClr val="FF0000"/>
              </a:solidFill>
            </a:rPr>
            <a:t>Notes</a:t>
          </a:r>
          <a:r>
            <a:rPr lang="en-GB" sz="1100" b="1" i="1" u="sng" baseline="0">
              <a:solidFill>
                <a:srgbClr val="FF0000"/>
              </a:solidFill>
            </a:rPr>
            <a:t> for Team</a:t>
          </a:r>
          <a:r>
            <a:rPr lang="en-GB" sz="1100" b="1" i="1" u="none" baseline="0">
              <a:solidFill>
                <a:srgbClr val="FF0000"/>
              </a:solidFill>
            </a:rPr>
            <a:t>: </a:t>
          </a:r>
        </a:p>
        <a:p>
          <a:r>
            <a:rPr lang="en-GB" sz="1100" i="1">
              <a:solidFill>
                <a:srgbClr val="FF0000"/>
              </a:solidFill>
            </a:rPr>
            <a:t>Only Radar</a:t>
          </a:r>
          <a:r>
            <a:rPr lang="en-GB" sz="1100" i="1" baseline="0">
              <a:solidFill>
                <a:srgbClr val="FF0000"/>
              </a:solidFill>
            </a:rPr>
            <a:t> to be printed. Not Red table on the left. </a:t>
          </a:r>
          <a:endParaRPr lang="en-GB" sz="11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absoluteAnchor>
    <xdr:pos x="4587226" y="1251857"/>
    <xdr:ext cx="12326453" cy="12681857"/>
    <xdr:graphicFrame macro="">
      <xdr:nvGraphicFramePr>
        <xdr:cNvPr id="2" name="Chart 1">
          <a:extLst>
            <a:ext uri="{FF2B5EF4-FFF2-40B4-BE49-F238E27FC236}">
              <a16:creationId xmlns:a16="http://schemas.microsoft.com/office/drawing/2014/main" id="{34291966-5BA9-4119-A614-06ED13FD6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4</xdr:col>
      <xdr:colOff>84071</xdr:colOff>
      <xdr:row>0</xdr:row>
      <xdr:rowOff>8031</xdr:rowOff>
    </xdr:from>
    <xdr:to>
      <xdr:col>9</xdr:col>
      <xdr:colOff>198478</xdr:colOff>
      <xdr:row>2</xdr:row>
      <xdr:rowOff>25587</xdr:rowOff>
    </xdr:to>
    <xdr:sp macro="" textlink="">
      <xdr:nvSpPr>
        <xdr:cNvPr id="3" name="TextBox 1">
          <a:extLst>
            <a:ext uri="{FF2B5EF4-FFF2-40B4-BE49-F238E27FC236}">
              <a16:creationId xmlns:a16="http://schemas.microsoft.com/office/drawing/2014/main" id="{957741F5-B150-4462-8C13-EE0C37A388F9}"/>
            </a:ext>
            <a:ext uri="{147F2762-F138-4A5C-976F-8EAC2B608ADB}">
              <a16:predDERef xmlns:a16="http://schemas.microsoft.com/office/drawing/2014/main" pred="{34291966-5BA9-4119-A614-06ED13FD67D5}"/>
            </a:ext>
          </a:extLst>
        </xdr:cNvPr>
        <xdr:cNvSpPr txBox="1"/>
      </xdr:nvSpPr>
      <xdr:spPr>
        <a:xfrm>
          <a:off x="4398896" y="8031"/>
          <a:ext cx="4381607" cy="417606"/>
        </a:xfrm>
        <a:prstGeom prst="rect">
          <a:avLst/>
        </a:prstGeom>
        <a:solidFill>
          <a:srgbClr val="FFFF00"/>
        </a:solid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GB" sz="1100" b="1" i="1" u="sng">
              <a:solidFill>
                <a:srgbClr val="FF0000"/>
              </a:solidFill>
            </a:rPr>
            <a:t>Notes</a:t>
          </a:r>
          <a:r>
            <a:rPr lang="en-GB" sz="1100" b="1" i="1" u="sng" baseline="0">
              <a:solidFill>
                <a:srgbClr val="FF0000"/>
              </a:solidFill>
            </a:rPr>
            <a:t> for Team</a:t>
          </a:r>
          <a:r>
            <a:rPr lang="en-GB" sz="1100" b="1" i="1" u="none" baseline="0">
              <a:solidFill>
                <a:srgbClr val="FF0000"/>
              </a:solidFill>
            </a:rPr>
            <a:t>: </a:t>
          </a:r>
        </a:p>
        <a:p>
          <a:r>
            <a:rPr lang="en-GB" sz="1100" i="1">
              <a:solidFill>
                <a:srgbClr val="FF0000"/>
              </a:solidFill>
            </a:rPr>
            <a:t>Only Radar</a:t>
          </a:r>
          <a:r>
            <a:rPr lang="en-GB" sz="1100" i="1" baseline="0">
              <a:solidFill>
                <a:srgbClr val="FF0000"/>
              </a:solidFill>
            </a:rPr>
            <a:t> to be printed. Not Red table on the left. </a:t>
          </a:r>
          <a:endParaRPr lang="en-GB" sz="1100">
            <a:solidFill>
              <a:srgbClr val="FF0000"/>
            </a:solidFill>
          </a:endParaRPr>
        </a:p>
      </xdr:txBody>
    </xdr:sp>
    <xdr:clientData/>
  </xdr:twoCellAnchor>
</xdr:wsDr>
</file>

<file path=xl/theme/theme1.xml><?xml version="1.0" encoding="utf-8"?>
<a:theme xmlns:a="http://schemas.openxmlformats.org/drawingml/2006/main" name="CBRE">
  <a:themeElements>
    <a:clrScheme name="CBRE Excel">
      <a:dk1>
        <a:srgbClr val="435254"/>
      </a:dk1>
      <a:lt1>
        <a:sysClr val="window" lastClr="FFFFFF"/>
      </a:lt1>
      <a:dk2>
        <a:srgbClr val="DBD99A"/>
      </a:dk2>
      <a:lt2>
        <a:srgbClr val="80BBAD"/>
      </a:lt2>
      <a:accent1>
        <a:srgbClr val="80BBAD"/>
      </a:accent1>
      <a:accent2>
        <a:srgbClr val="435254"/>
      </a:accent2>
      <a:accent3>
        <a:srgbClr val="17E88F"/>
      </a:accent3>
      <a:accent4>
        <a:srgbClr val="DBD99A"/>
      </a:accent4>
      <a:accent5>
        <a:srgbClr val="D2785A"/>
      </a:accent5>
      <a:accent6>
        <a:srgbClr val="885073"/>
      </a:accent6>
      <a:hlink>
        <a:srgbClr val="538184"/>
      </a:hlink>
      <a:folHlink>
        <a:srgbClr val="538184"/>
      </a:folHlink>
    </a:clrScheme>
    <a:fontScheme name="CBRE">
      <a:majorFont>
        <a:latin typeface="Financier Display"/>
        <a:ea typeface=""/>
        <a:cs typeface=""/>
      </a:majorFont>
      <a:minorFont>
        <a:latin typeface="Calibre"/>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Celadon (DV1)">
      <a:srgbClr val="80BBAD"/>
    </a:custClr>
    <a:custClr name="Dark Grey (DV2)">
      <a:srgbClr val="435254"/>
    </a:custClr>
    <a:custClr name="Accent Green (DV3)">
      <a:srgbClr val="17E88F"/>
    </a:custClr>
    <a:custClr name="Wheat (DV4)">
      <a:srgbClr val="DBD99A"/>
    </a:custClr>
    <a:custClr name="Data Orange (DV5)">
      <a:srgbClr val="D2785A"/>
    </a:custClr>
    <a:custClr name="Data Purple (DV6)">
      <a:srgbClr val="885073"/>
    </a:custClr>
    <a:custClr name="Data Lt. Purple (DV7)">
      <a:srgbClr val="A388BF"/>
    </a:custClr>
    <a:custClr name="Data Blue (DV8)">
      <a:srgbClr val="1F3765"/>
    </a:custClr>
    <a:custClr name="Data Lt. Blue (DV9)">
      <a:srgbClr val="3E7CA6"/>
    </a:custClr>
    <a:custClr name="Light Grey (DV10)">
      <a:srgbClr val="CAD1D3"/>
    </a:custClr>
    <a:custClr name="Negative Value Red">
      <a:srgbClr val="AD2A2A"/>
    </a:custClr>
    <a:custClr name="DataViz Background (20% Lt. Grey)">
      <a:srgbClr val="F6F6F6"/>
    </a:custClr>
    <a:custClr name=" ">
      <a:srgbClr val="FFFFFF"/>
    </a:custClr>
    <a:custClr name=" ">
      <a:srgbClr val="FFFFFF"/>
    </a:custClr>
    <a:custClr name=" ">
      <a:srgbClr val="FFFFFF"/>
    </a:custClr>
    <a:custClr name=" ">
      <a:srgbClr val="FFFFFF"/>
    </a:custClr>
    <a:custClr name=" ">
      <a:srgbClr val="FFFFFF"/>
    </a:custClr>
    <a:custClr name=" ">
      <a:srgbClr val="FFFFFF"/>
    </a:custClr>
    <a:custClr name=" ">
      <a:srgbClr val="FFFFFF"/>
    </a:custClr>
    <a:custClr name=" ">
      <a:srgbClr val="FFFFFF"/>
    </a:custClr>
    <a:custClr name="Primary Green (Primary)">
      <a:srgbClr val="003F2D"/>
    </a:custClr>
    <a:custClr name="Accent Green (Primary)">
      <a:srgbClr val="17E88F"/>
    </a:custClr>
    <a:custClr name="Dark Green (Primary)">
      <a:srgbClr val="012A2D"/>
    </a:custClr>
    <a:custClr name="Dark Grey (Primary)">
      <a:srgbClr val="435254"/>
    </a:custClr>
    <a:custClr name="Light Grey (Primary)">
      <a:srgbClr val="CAD1D3"/>
    </a:custClr>
    <a:custClr name="Midnight (Secondary)">
      <a:srgbClr val="032842"/>
    </a:custClr>
    <a:custClr name="Sage (Secondary)">
      <a:srgbClr val="538184"/>
    </a:custClr>
    <a:custClr name="Celadon (Secondary)">
      <a:srgbClr val="80BBAD"/>
    </a:custClr>
    <a:custClr name="Wheat (Secondary)">
      <a:srgbClr val="DBD99A"/>
    </a:custClr>
    <a:custClr name="Cement (Secondary)">
      <a:srgbClr val="7F8480"/>
    </a:custClr>
    <a:custClr name=" ">
      <a:srgbClr val="FFFFFF"/>
    </a:custClr>
    <a:custClr name=" ">
      <a:srgbClr val="FFFFFF"/>
    </a:custClr>
    <a:custClr name=" ">
      <a:srgbClr val="FFFFFF"/>
    </a:custClr>
    <a:custClr name=" ">
      <a:srgbClr val="FFFFFF"/>
    </a:custClr>
    <a:custClr name=" ">
      <a:srgbClr val="FFFFFF"/>
    </a:custClr>
    <a:custClr name="Midnight Tint (Secondary)">
      <a:srgbClr val="778F9C"/>
    </a:custClr>
    <a:custClr name="Sage Tint (Secondary)">
      <a:srgbClr val="96B3B6"/>
    </a:custClr>
    <a:custClr name="Celadon Tint (Secondary)">
      <a:srgbClr val="C0D4CB"/>
    </a:custClr>
    <a:custClr name="Wheat Tint (Secondary)">
      <a:srgbClr val="EFECD2"/>
    </a:custClr>
    <a:custClr name="Cement Tint (Secondary)">
      <a:srgbClr val="CBCDCB"/>
    </a:custClr>
  </a:custClr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3B8AD-AE04-4543-B232-6D3D3239B900}">
  <sheetPr filterMode="1"/>
  <dimension ref="A1:AB159"/>
  <sheetViews>
    <sheetView view="pageBreakPreview" topLeftCell="K54" zoomScaleNormal="100" zoomScaleSheetLayoutView="100" workbookViewId="0">
      <selection activeCell="U68" sqref="U68:W68"/>
    </sheetView>
  </sheetViews>
  <sheetFormatPr defaultColWidth="8.83203125" defaultRowHeight="13.5" x14ac:dyDescent="0.25"/>
  <cols>
    <col min="1" max="1" width="4.58203125" customWidth="1"/>
    <col min="2" max="2" width="21" customWidth="1"/>
    <col min="3" max="3" width="14.58203125" customWidth="1"/>
    <col min="4" max="4" width="10.08203125" bestFit="1" customWidth="1"/>
    <col min="5" max="5" width="11" style="4" bestFit="1" customWidth="1"/>
    <col min="6" max="13" width="11" bestFit="1" customWidth="1"/>
    <col min="14" max="14" width="6" customWidth="1"/>
    <col min="15" max="23" width="9.33203125" bestFit="1" customWidth="1"/>
    <col min="24" max="24" width="6" customWidth="1"/>
    <col min="25" max="25" width="8.5" style="24"/>
    <col min="26" max="26" width="11" style="24" customWidth="1"/>
    <col min="27" max="27" width="8.5" style="24"/>
    <col min="28" max="28" width="6" customWidth="1"/>
  </cols>
  <sheetData>
    <row r="1" spans="1:28" ht="17.5" customHeight="1" x14ac:dyDescent="0.25">
      <c r="A1" s="20"/>
      <c r="B1" s="15"/>
      <c r="C1" s="2"/>
      <c r="D1" s="2"/>
      <c r="E1" s="132" t="s">
        <v>0</v>
      </c>
      <c r="F1" s="132"/>
      <c r="G1" s="132"/>
      <c r="H1" s="132"/>
      <c r="I1" s="132"/>
      <c r="J1" s="132"/>
      <c r="K1" s="132"/>
      <c r="L1" s="132"/>
      <c r="M1" s="132"/>
      <c r="N1" s="22"/>
      <c r="O1" s="132" t="s">
        <v>1</v>
      </c>
      <c r="P1" s="132"/>
      <c r="Q1" s="132"/>
      <c r="R1" s="132"/>
      <c r="S1" s="132"/>
      <c r="T1" s="132"/>
      <c r="U1" s="132"/>
      <c r="V1" s="132"/>
      <c r="W1" s="132"/>
      <c r="X1" s="22"/>
      <c r="Y1" s="131" t="s">
        <v>2</v>
      </c>
      <c r="Z1" s="131"/>
      <c r="AA1" s="131"/>
      <c r="AB1" s="22"/>
    </row>
    <row r="2" spans="1:28" x14ac:dyDescent="0.25">
      <c r="A2" s="16"/>
      <c r="B2" s="16"/>
      <c r="C2" s="1"/>
      <c r="D2" s="1"/>
      <c r="E2" s="133" t="s">
        <v>3</v>
      </c>
      <c r="F2" s="133"/>
      <c r="G2" s="133"/>
      <c r="H2" s="133" t="s">
        <v>4</v>
      </c>
      <c r="I2" s="133"/>
      <c r="J2" s="133"/>
      <c r="K2" s="133" t="s">
        <v>5</v>
      </c>
      <c r="L2" s="133"/>
      <c r="M2" s="133"/>
      <c r="N2" s="22"/>
      <c r="O2" s="133" t="s">
        <v>3</v>
      </c>
      <c r="P2" s="133"/>
      <c r="Q2" s="133"/>
      <c r="R2" s="133" t="s">
        <v>4</v>
      </c>
      <c r="S2" s="133"/>
      <c r="T2" s="133"/>
      <c r="U2" s="133" t="s">
        <v>5</v>
      </c>
      <c r="V2" s="133"/>
      <c r="W2" s="133"/>
      <c r="X2" s="22"/>
      <c r="Y2" s="24" t="s">
        <v>6</v>
      </c>
      <c r="Z2" s="24" t="s">
        <v>7</v>
      </c>
      <c r="AA2" s="24" t="s">
        <v>8</v>
      </c>
      <c r="AB2" s="22"/>
    </row>
    <row r="3" spans="1:28" x14ac:dyDescent="0.25">
      <c r="A3" s="16"/>
      <c r="B3" s="16"/>
      <c r="C3" s="1"/>
      <c r="D3" s="1"/>
      <c r="E3" s="5" t="s">
        <v>9</v>
      </c>
      <c r="F3" s="6" t="s">
        <v>10</v>
      </c>
      <c r="G3" s="6" t="s">
        <v>11</v>
      </c>
      <c r="H3" s="6" t="s">
        <v>9</v>
      </c>
      <c r="I3" s="6" t="s">
        <v>10</v>
      </c>
      <c r="J3" s="6" t="s">
        <v>12</v>
      </c>
      <c r="K3" s="6" t="s">
        <v>13</v>
      </c>
      <c r="L3" s="6" t="s">
        <v>10</v>
      </c>
      <c r="M3" s="6" t="s">
        <v>11</v>
      </c>
      <c r="N3" s="22"/>
      <c r="O3" s="5" t="s">
        <v>9</v>
      </c>
      <c r="P3" s="6" t="s">
        <v>10</v>
      </c>
      <c r="Q3" s="6" t="s">
        <v>11</v>
      </c>
      <c r="R3" s="6" t="s">
        <v>9</v>
      </c>
      <c r="S3" s="6" t="s">
        <v>10</v>
      </c>
      <c r="T3" s="6" t="s">
        <v>12</v>
      </c>
      <c r="U3" s="6" t="s">
        <v>13</v>
      </c>
      <c r="V3" s="6" t="s">
        <v>10</v>
      </c>
      <c r="W3" s="6" t="s">
        <v>11</v>
      </c>
      <c r="X3" s="22"/>
      <c r="Y3" s="24">
        <f>O138</f>
        <v>145.4238732537512</v>
      </c>
      <c r="Z3" s="24">
        <f>O25</f>
        <v>213.86533880922462</v>
      </c>
      <c r="AA3" s="24">
        <f>O133</f>
        <v>122.92439594567418</v>
      </c>
      <c r="AB3" s="22"/>
    </row>
    <row r="4" spans="1:28" x14ac:dyDescent="0.25">
      <c r="A4" s="16"/>
      <c r="B4" s="12" t="s">
        <v>14</v>
      </c>
      <c r="C4" s="12" t="s">
        <v>15</v>
      </c>
      <c r="D4" s="13" t="s">
        <v>16</v>
      </c>
      <c r="E4" s="14"/>
      <c r="F4" s="14"/>
      <c r="G4" s="14"/>
      <c r="H4" s="14"/>
      <c r="I4" s="14"/>
      <c r="J4" s="14"/>
      <c r="K4" s="14"/>
      <c r="L4" s="14"/>
      <c r="M4" s="14"/>
      <c r="N4" s="22"/>
      <c r="O4" s="14"/>
      <c r="P4" s="14"/>
      <c r="Q4" s="14"/>
      <c r="R4" s="14"/>
      <c r="S4" s="14"/>
      <c r="T4" s="14"/>
      <c r="U4" s="14"/>
      <c r="V4" s="14"/>
      <c r="W4" s="14"/>
      <c r="X4" s="22"/>
      <c r="AB4" s="22"/>
    </row>
    <row r="5" spans="1:28" x14ac:dyDescent="0.25">
      <c r="A5" s="16"/>
      <c r="B5" s="3" t="s">
        <v>17</v>
      </c>
      <c r="C5" s="3" t="s">
        <v>18</v>
      </c>
      <c r="D5" s="11" t="s">
        <v>19</v>
      </c>
      <c r="E5" s="7">
        <v>1812.7573346593736</v>
      </c>
      <c r="F5" s="7">
        <v>2640.9278965688713</v>
      </c>
      <c r="G5" s="7">
        <v>3159.8935852809545</v>
      </c>
      <c r="H5" s="7">
        <v>1744.1546494281451</v>
      </c>
      <c r="I5" s="7">
        <v>2478.8513177523619</v>
      </c>
      <c r="J5" s="7">
        <v>2933.1367478866237</v>
      </c>
      <c r="K5" s="7">
        <v>1826.7707608155147</v>
      </c>
      <c r="L5" s="7">
        <v>2431.3083043262059</v>
      </c>
      <c r="M5" s="7">
        <v>2969.2192938836401</v>
      </c>
      <c r="N5" s="22"/>
      <c r="O5" s="7">
        <v>168.4092966959864</v>
      </c>
      <c r="P5" s="7">
        <v>245.3482334244955</v>
      </c>
      <c r="Q5" s="7">
        <v>293.56133121442826</v>
      </c>
      <c r="R5" s="7">
        <v>162.03595055066893</v>
      </c>
      <c r="S5" s="7">
        <v>230.29094907236305</v>
      </c>
      <c r="T5" s="7">
        <v>272.49510311183383</v>
      </c>
      <c r="U5" s="7">
        <v>169.7111759923128</v>
      </c>
      <c r="V5" s="7">
        <v>225.87409453765983</v>
      </c>
      <c r="W5" s="7">
        <v>275.8472540468623</v>
      </c>
      <c r="X5" s="22"/>
      <c r="Y5"/>
      <c r="Z5" s="10">
        <f>O5/$Z$3</f>
        <v>0.78745484253628117</v>
      </c>
      <c r="AA5"/>
      <c r="AB5" s="22"/>
    </row>
    <row r="6" spans="1:28" x14ac:dyDescent="0.25">
      <c r="A6" s="16"/>
      <c r="B6" s="3" t="s">
        <v>17</v>
      </c>
      <c r="C6" s="3" t="s">
        <v>20</v>
      </c>
      <c r="D6" s="11" t="s">
        <v>19</v>
      </c>
      <c r="E6" s="8">
        <v>1693.3112879164594</v>
      </c>
      <c r="F6" s="8">
        <v>2466.1541521631029</v>
      </c>
      <c r="G6" s="8">
        <v>2950.4485330681255</v>
      </c>
      <c r="H6" s="8">
        <v>1671.2386872202885</v>
      </c>
      <c r="I6" s="8">
        <v>2376.9915464942815</v>
      </c>
      <c r="J6" s="8">
        <v>2805.8960716061661</v>
      </c>
      <c r="K6" s="8">
        <v>1972.5798110392839</v>
      </c>
      <c r="L6" s="8">
        <v>2620.9930382894081</v>
      </c>
      <c r="M6" s="8">
        <v>3225.4336151168573</v>
      </c>
      <c r="N6" s="22"/>
      <c r="O6" s="8">
        <v>157.31248614088253</v>
      </c>
      <c r="P6" s="8">
        <v>229.11135338901616</v>
      </c>
      <c r="Q6" s="8">
        <v>274.10340749501069</v>
      </c>
      <c r="R6" s="8">
        <v>155.26189112277328</v>
      </c>
      <c r="S6" s="8">
        <v>220.82794367654665</v>
      </c>
      <c r="T6" s="8">
        <v>260.67415366989428</v>
      </c>
      <c r="U6" s="8">
        <v>183.25716978342817</v>
      </c>
      <c r="V6" s="8">
        <v>243.49623955946484</v>
      </c>
      <c r="W6" s="8">
        <v>299.65014967846844</v>
      </c>
      <c r="X6" s="22"/>
      <c r="Y6"/>
      <c r="Z6" s="10">
        <f t="shared" ref="Z6:Z44" si="0">O6/$Z$3</f>
        <v>0.73556793736085857</v>
      </c>
      <c r="AA6"/>
      <c r="AB6" s="22"/>
    </row>
    <row r="7" spans="1:28" x14ac:dyDescent="0.25">
      <c r="A7" s="16"/>
      <c r="B7" s="3" t="s">
        <v>17</v>
      </c>
      <c r="C7" s="3" t="s">
        <v>21</v>
      </c>
      <c r="D7" s="11" t="s">
        <v>19</v>
      </c>
      <c r="E7" s="8">
        <v>1693.3112879164594</v>
      </c>
      <c r="F7" s="8">
        <v>2466.1541521631029</v>
      </c>
      <c r="G7" s="8">
        <v>2950.4485330681255</v>
      </c>
      <c r="H7" s="8">
        <v>1671.2386872202885</v>
      </c>
      <c r="I7" s="8">
        <v>2376.9915464942815</v>
      </c>
      <c r="J7" s="8">
        <v>2805.8960716061661</v>
      </c>
      <c r="K7" s="8">
        <v>1972.5798110392839</v>
      </c>
      <c r="L7" s="8">
        <v>2620.9930382894081</v>
      </c>
      <c r="M7" s="8">
        <v>3225.4336151168573</v>
      </c>
      <c r="N7" s="22"/>
      <c r="O7" s="8">
        <v>157.31248614088253</v>
      </c>
      <c r="P7" s="8">
        <v>229.11135338901616</v>
      </c>
      <c r="Q7" s="8">
        <v>274.10340749501069</v>
      </c>
      <c r="R7" s="8">
        <v>155.26189112277328</v>
      </c>
      <c r="S7" s="8">
        <v>220.82794367654665</v>
      </c>
      <c r="T7" s="8">
        <v>260.67415366989428</v>
      </c>
      <c r="U7" s="8">
        <v>183.25716978342817</v>
      </c>
      <c r="V7" s="8">
        <v>243.49623955946484</v>
      </c>
      <c r="W7" s="8">
        <v>299.65014967846844</v>
      </c>
      <c r="X7" s="22"/>
      <c r="Y7"/>
      <c r="Z7" s="10">
        <f t="shared" si="0"/>
        <v>0.73556793736085857</v>
      </c>
      <c r="AA7"/>
      <c r="AB7" s="22"/>
    </row>
    <row r="8" spans="1:28" x14ac:dyDescent="0.25">
      <c r="A8" s="16"/>
      <c r="B8" s="3" t="s">
        <v>17</v>
      </c>
      <c r="C8" s="3" t="s">
        <v>22</v>
      </c>
      <c r="D8" s="11" t="s">
        <v>19</v>
      </c>
      <c r="E8" s="8">
        <v>2218.492789656887</v>
      </c>
      <c r="F8" s="8">
        <v>3234.6056688214817</v>
      </c>
      <c r="G8" s="8">
        <v>3871.3426156141222</v>
      </c>
      <c r="H8" s="8">
        <v>2189.4728990551962</v>
      </c>
      <c r="I8" s="8">
        <v>3117.3779214321235</v>
      </c>
      <c r="J8" s="8">
        <v>3681.2884137245151</v>
      </c>
      <c r="K8" s="8">
        <v>2585.6683242168074</v>
      </c>
      <c r="L8" s="8">
        <v>3438.1829935355545</v>
      </c>
      <c r="M8" s="8">
        <v>4232.8861263053204</v>
      </c>
      <c r="N8" s="22"/>
      <c r="O8" s="8">
        <v>206.10304715795698</v>
      </c>
      <c r="P8" s="8">
        <v>300.50225441643875</v>
      </c>
      <c r="Q8" s="8">
        <v>359.65657106955427</v>
      </c>
      <c r="R8" s="8">
        <v>203.40703304013599</v>
      </c>
      <c r="S8" s="8">
        <v>289.61152893783719</v>
      </c>
      <c r="T8" s="8">
        <v>342.00010163352795</v>
      </c>
      <c r="U8" s="8">
        <v>240.2144929410895</v>
      </c>
      <c r="V8" s="8">
        <v>319.41505284943452</v>
      </c>
      <c r="W8" s="8">
        <v>393.24478897183826</v>
      </c>
      <c r="X8" s="22"/>
      <c r="Y8"/>
      <c r="Z8" s="10">
        <f t="shared" si="0"/>
        <v>0.9637047700460154</v>
      </c>
      <c r="AA8"/>
      <c r="AB8" s="22"/>
    </row>
    <row r="9" spans="1:28" x14ac:dyDescent="0.25">
      <c r="A9" s="16"/>
      <c r="B9" s="3" t="s">
        <v>17</v>
      </c>
      <c r="C9" s="3" t="s">
        <v>23</v>
      </c>
      <c r="D9" s="11" t="s">
        <v>19</v>
      </c>
      <c r="E9" s="8">
        <v>1758.2913973147688</v>
      </c>
      <c r="F9" s="8">
        <v>2556.5693684733965</v>
      </c>
      <c r="G9" s="8">
        <v>3071.177026355047</v>
      </c>
      <c r="H9" s="8">
        <v>1711.5121829935356</v>
      </c>
      <c r="I9" s="8">
        <v>2430.6210840377921</v>
      </c>
      <c r="J9" s="8">
        <v>2880.7702635504725</v>
      </c>
      <c r="K9" s="8">
        <v>1940.2859273993038</v>
      </c>
      <c r="L9" s="8">
        <v>2568.7384385877672</v>
      </c>
      <c r="M9" s="8">
        <v>3179.7702635504725</v>
      </c>
      <c r="N9" s="22"/>
      <c r="O9" s="8">
        <v>163.34928671742182</v>
      </c>
      <c r="P9" s="8">
        <v>237.51113349101928</v>
      </c>
      <c r="Q9" s="8">
        <v>285.31936026313844</v>
      </c>
      <c r="R9" s="8">
        <v>159.00339086406976</v>
      </c>
      <c r="S9" s="8">
        <v>225.81025020326703</v>
      </c>
      <c r="T9" s="8">
        <v>267.63013711286862</v>
      </c>
      <c r="U9" s="8">
        <v>180.25699423460713</v>
      </c>
      <c r="V9" s="8">
        <v>238.6416678985882</v>
      </c>
      <c r="W9" s="8">
        <v>295.40792002365288</v>
      </c>
      <c r="X9" s="22"/>
      <c r="Y9"/>
      <c r="Z9" s="10">
        <f t="shared" si="0"/>
        <v>0.76379504798173536</v>
      </c>
      <c r="AA9"/>
      <c r="AB9" s="22"/>
    </row>
    <row r="10" spans="1:28" x14ac:dyDescent="0.25">
      <c r="A10" s="16"/>
      <c r="B10" s="3" t="s">
        <v>17</v>
      </c>
      <c r="C10" s="3" t="s">
        <v>24</v>
      </c>
      <c r="D10" s="11" t="s">
        <v>19</v>
      </c>
      <c r="E10" s="8">
        <v>2159.7180507210342</v>
      </c>
      <c r="F10" s="8">
        <v>3148.6056688214817</v>
      </c>
      <c r="G10" s="8">
        <v>3768.2819492789658</v>
      </c>
      <c r="H10" s="8">
        <v>2131.4758826454499</v>
      </c>
      <c r="I10" s="8">
        <v>3034.5181501740426</v>
      </c>
      <c r="J10" s="8">
        <v>3583.3207359522626</v>
      </c>
      <c r="K10" s="8">
        <v>2506.1422178020885</v>
      </c>
      <c r="L10" s="8">
        <v>3309.3117851815018</v>
      </c>
      <c r="M10" s="8">
        <v>4058.2222774738934</v>
      </c>
      <c r="N10" s="22"/>
      <c r="O10" s="8">
        <v>200.64273967033779</v>
      </c>
      <c r="P10" s="8">
        <v>292.51265799393894</v>
      </c>
      <c r="Q10" s="8">
        <v>350.0819997782541</v>
      </c>
      <c r="R10" s="8">
        <v>198.01897775149678</v>
      </c>
      <c r="S10" s="8">
        <v>281.91366693768941</v>
      </c>
      <c r="T10" s="8">
        <v>332.89868061201861</v>
      </c>
      <c r="U10" s="8">
        <v>232.82633601892229</v>
      </c>
      <c r="V10" s="8">
        <v>307.44262325375121</v>
      </c>
      <c r="W10" s="8">
        <v>377.01811848621475</v>
      </c>
      <c r="X10" s="22"/>
      <c r="Y10"/>
      <c r="Z10" s="10">
        <f t="shared" si="0"/>
        <v>0.93817324858479356</v>
      </c>
      <c r="AA10"/>
      <c r="AB10" s="22"/>
    </row>
    <row r="11" spans="1:28" x14ac:dyDescent="0.25">
      <c r="A11" s="16"/>
      <c r="B11" s="3" t="s">
        <v>17</v>
      </c>
      <c r="C11" s="3" t="s">
        <v>25</v>
      </c>
      <c r="D11" s="11" t="s">
        <v>19</v>
      </c>
      <c r="E11" s="8">
        <v>1765.8120338140229</v>
      </c>
      <c r="F11" s="8">
        <v>2572.788165091994</v>
      </c>
      <c r="G11" s="8">
        <v>3092.4574838388862</v>
      </c>
      <c r="H11" s="8">
        <v>1745.531576330184</v>
      </c>
      <c r="I11" s="8">
        <v>2479.1447041273</v>
      </c>
      <c r="J11" s="8">
        <v>2938.3734460467431</v>
      </c>
      <c r="K11" s="8">
        <v>2151.858776727996</v>
      </c>
      <c r="L11" s="8">
        <v>2859.9547488811536</v>
      </c>
      <c r="M11" s="8">
        <v>3520.0318249627053</v>
      </c>
      <c r="N11" s="22"/>
      <c r="O11" s="8">
        <v>164.0479710252051</v>
      </c>
      <c r="P11" s="8">
        <v>239.01789674033557</v>
      </c>
      <c r="Q11" s="8">
        <v>287.29636336758074</v>
      </c>
      <c r="R11" s="8">
        <v>162.16387020474536</v>
      </c>
      <c r="S11" s="8">
        <v>230.31820533668414</v>
      </c>
      <c r="T11" s="8">
        <v>272.98160433143613</v>
      </c>
      <c r="U11" s="8">
        <v>199.91259516593982</v>
      </c>
      <c r="V11" s="8">
        <v>265.6963282578165</v>
      </c>
      <c r="W11" s="8">
        <v>327.01899623032006</v>
      </c>
      <c r="X11" s="22"/>
      <c r="Y11"/>
      <c r="Z11" s="10">
        <f t="shared" si="0"/>
        <v>0.7670619836697411</v>
      </c>
      <c r="AA11"/>
      <c r="AB11" s="22"/>
    </row>
    <row r="12" spans="1:28" x14ac:dyDescent="0.25">
      <c r="A12" s="16"/>
      <c r="B12" s="3" t="s">
        <v>17</v>
      </c>
      <c r="C12" s="3" t="s">
        <v>26</v>
      </c>
      <c r="D12" s="11" t="s">
        <v>19</v>
      </c>
      <c r="E12" s="8">
        <v>1717.8080556936848</v>
      </c>
      <c r="F12" s="8">
        <v>2497.442565887618</v>
      </c>
      <c r="G12" s="8">
        <v>3000.0318249627053</v>
      </c>
      <c r="H12" s="8">
        <v>1672.120835405271</v>
      </c>
      <c r="I12" s="8">
        <v>2374.4356041770266</v>
      </c>
      <c r="J12" s="8">
        <v>2814.0716061660864</v>
      </c>
      <c r="K12" s="8">
        <v>1895.551964196917</v>
      </c>
      <c r="L12" s="8">
        <v>2509.3276976628545</v>
      </c>
      <c r="M12" s="8">
        <v>3106.0885131775235</v>
      </c>
      <c r="N12" s="22"/>
      <c r="O12" s="8">
        <v>159.58829181757704</v>
      </c>
      <c r="P12" s="8">
        <v>232.01811848621477</v>
      </c>
      <c r="Q12" s="8">
        <v>278.70980855939092</v>
      </c>
      <c r="R12" s="8">
        <v>155.34384470396924</v>
      </c>
      <c r="S12" s="8">
        <v>220.59049079754601</v>
      </c>
      <c r="T12" s="8">
        <v>261.43367950328923</v>
      </c>
      <c r="U12" s="8">
        <v>176.10110688151377</v>
      </c>
      <c r="V12" s="8">
        <v>233.12227437356788</v>
      </c>
      <c r="W12" s="8">
        <v>288.56271712617337</v>
      </c>
      <c r="X12" s="22"/>
      <c r="Y12"/>
      <c r="Z12" s="10">
        <f t="shared" si="0"/>
        <v>0.7462092394501354</v>
      </c>
      <c r="AA12"/>
      <c r="AB12" s="22"/>
    </row>
    <row r="13" spans="1:28" x14ac:dyDescent="0.25">
      <c r="A13" s="16"/>
      <c r="B13" s="3" t="s">
        <v>17</v>
      </c>
      <c r="C13" s="3" t="s">
        <v>27</v>
      </c>
      <c r="D13" s="11" t="s">
        <v>19</v>
      </c>
      <c r="E13" s="8">
        <v>1612.2665340626554</v>
      </c>
      <c r="F13" s="8">
        <v>2322.8329189457982</v>
      </c>
      <c r="G13" s="8">
        <v>2795.9229239184488</v>
      </c>
      <c r="H13" s="8">
        <v>1649.2710094480358</v>
      </c>
      <c r="I13" s="8">
        <v>2341.8428642466433</v>
      </c>
      <c r="J13" s="8">
        <v>2775.3809050223767</v>
      </c>
      <c r="K13" s="8">
        <v>1784.6752859273993</v>
      </c>
      <c r="L13" s="8">
        <v>2384.5977125808054</v>
      </c>
      <c r="M13" s="8">
        <v>2928.0397812033816</v>
      </c>
      <c r="N13" s="22"/>
      <c r="O13" s="8">
        <v>149.78324340306008</v>
      </c>
      <c r="P13" s="8">
        <v>215.79648347993199</v>
      </c>
      <c r="Q13" s="8">
        <v>259.74762547120997</v>
      </c>
      <c r="R13" s="8">
        <v>153.22104368393821</v>
      </c>
      <c r="S13" s="8">
        <v>217.56255081676397</v>
      </c>
      <c r="T13" s="8">
        <v>257.83922499815208</v>
      </c>
      <c r="U13" s="8">
        <v>165.80041022987655</v>
      </c>
      <c r="V13" s="8">
        <v>221.53457387833541</v>
      </c>
      <c r="W13" s="8">
        <v>272.02158326557765</v>
      </c>
      <c r="X13" s="22"/>
      <c r="Y13"/>
      <c r="Z13" s="10">
        <f t="shared" si="0"/>
        <v>0.70036240672300798</v>
      </c>
      <c r="AA13"/>
      <c r="AB13" s="22"/>
    </row>
    <row r="14" spans="1:28" x14ac:dyDescent="0.25">
      <c r="A14" s="16"/>
      <c r="B14" s="3" t="s">
        <v>17</v>
      </c>
      <c r="C14" s="3" t="s">
        <v>28</v>
      </c>
      <c r="D14" s="11" t="s">
        <v>19</v>
      </c>
      <c r="E14" s="8">
        <v>1701.2466434609646</v>
      </c>
      <c r="F14" s="8">
        <v>2518.8100447538536</v>
      </c>
      <c r="G14" s="8">
        <v>3020.0353058180008</v>
      </c>
      <c r="H14" s="8">
        <v>1412.245151665838</v>
      </c>
      <c r="I14" s="8">
        <v>2014.3615116857286</v>
      </c>
      <c r="J14" s="8">
        <v>2391.2754848334162</v>
      </c>
      <c r="K14" s="8">
        <v>1877.2511188463452</v>
      </c>
      <c r="L14" s="8">
        <v>2485.0228741919441</v>
      </c>
      <c r="M14" s="8">
        <v>3075.9457981103928</v>
      </c>
      <c r="N14" s="22"/>
      <c r="O14" s="8">
        <v>158.04969879518072</v>
      </c>
      <c r="P14" s="8">
        <v>234.00320607583708</v>
      </c>
      <c r="Q14" s="8">
        <v>280.56817761844923</v>
      </c>
      <c r="R14" s="8">
        <v>131.20080013304752</v>
      </c>
      <c r="S14" s="8">
        <v>187.13878520215832</v>
      </c>
      <c r="T14" s="8">
        <v>222.15495417251827</v>
      </c>
      <c r="U14" s="8">
        <v>174.4009165496341</v>
      </c>
      <c r="V14" s="8">
        <v>230.86430076132751</v>
      </c>
      <c r="W14" s="8">
        <v>285.76239005100155</v>
      </c>
      <c r="X14" s="22"/>
      <c r="Y14"/>
      <c r="Z14" s="10">
        <f t="shared" si="0"/>
        <v>0.73901502541356923</v>
      </c>
      <c r="AA14"/>
      <c r="AB14" s="22"/>
    </row>
    <row r="15" spans="1:28" x14ac:dyDescent="0.25">
      <c r="A15" s="16"/>
      <c r="B15" s="3" t="s">
        <v>17</v>
      </c>
      <c r="C15" s="3" t="s">
        <v>29</v>
      </c>
      <c r="D15" s="11" t="s">
        <v>19</v>
      </c>
      <c r="E15" s="8">
        <v>1620.2794629537543</v>
      </c>
      <c r="F15" s="8">
        <v>2355</v>
      </c>
      <c r="G15" s="8">
        <v>2828.6364992541025</v>
      </c>
      <c r="H15" s="8">
        <v>1577.2247637991049</v>
      </c>
      <c r="I15" s="8">
        <v>2239.0795624067628</v>
      </c>
      <c r="J15" s="8">
        <v>2653.3893585280953</v>
      </c>
      <c r="K15" s="8">
        <v>1787.7836897066136</v>
      </c>
      <c r="L15" s="8">
        <v>2366.2003978120338</v>
      </c>
      <c r="M15" s="8">
        <v>2928.5832918945798</v>
      </c>
      <c r="N15" s="22"/>
      <c r="O15" s="8">
        <v>150.527662798433</v>
      </c>
      <c r="P15" s="8">
        <v>218.78487877891934</v>
      </c>
      <c r="Q15" s="8">
        <v>262.78679133712762</v>
      </c>
      <c r="R15" s="8">
        <v>146.52778291078423</v>
      </c>
      <c r="S15" s="8">
        <v>208.01560536625027</v>
      </c>
      <c r="T15" s="8">
        <v>246.50593170226918</v>
      </c>
      <c r="U15" s="8">
        <v>166.08918804050558</v>
      </c>
      <c r="V15" s="8">
        <v>219.82542131717051</v>
      </c>
      <c r="W15" s="8">
        <v>272.07207665015892</v>
      </c>
      <c r="X15" s="22"/>
      <c r="Y15"/>
      <c r="Z15" s="10">
        <f t="shared" si="0"/>
        <v>0.70384319234033965</v>
      </c>
      <c r="AA15"/>
      <c r="AB15" s="22"/>
    </row>
    <row r="16" spans="1:28" x14ac:dyDescent="0.25">
      <c r="A16" s="16"/>
      <c r="B16" s="3" t="s">
        <v>17</v>
      </c>
      <c r="C16" s="3" t="s">
        <v>30</v>
      </c>
      <c r="D16" s="11" t="s">
        <v>19</v>
      </c>
      <c r="E16" s="8">
        <v>1730.6892093485828</v>
      </c>
      <c r="F16" s="8">
        <v>2516.2555942317254</v>
      </c>
      <c r="G16" s="8">
        <v>3022.66882148185</v>
      </c>
      <c r="H16" s="8">
        <v>1684.654400795624</v>
      </c>
      <c r="I16" s="8">
        <v>2392.3127797115862</v>
      </c>
      <c r="J16" s="8">
        <v>2835.2938836399803</v>
      </c>
      <c r="K16" s="8">
        <v>1909.7851815017405</v>
      </c>
      <c r="L16" s="8">
        <v>2528.2312282446542</v>
      </c>
      <c r="M16" s="8">
        <v>3129.5325708602686</v>
      </c>
      <c r="N16" s="22"/>
      <c r="O16" s="8">
        <v>160.78498041244731</v>
      </c>
      <c r="P16" s="8">
        <v>233.76589178801092</v>
      </c>
      <c r="Q16" s="8">
        <v>280.81283723852465</v>
      </c>
      <c r="R16" s="8">
        <v>156.50824155517776</v>
      </c>
      <c r="S16" s="8">
        <v>222.25132123586368</v>
      </c>
      <c r="T16" s="8" t="s">
        <v>31</v>
      </c>
      <c r="U16" s="8">
        <v>177.42340527755192</v>
      </c>
      <c r="V16" s="8">
        <v>234.8784555399512</v>
      </c>
      <c r="W16" s="8">
        <v>290.74072363071917</v>
      </c>
      <c r="X16" s="22"/>
      <c r="Y16"/>
      <c r="Z16" s="10">
        <f t="shared" si="0"/>
        <v>0.75180476325746803</v>
      </c>
      <c r="AA16"/>
      <c r="AB16" s="22"/>
    </row>
    <row r="17" spans="1:28" x14ac:dyDescent="0.25">
      <c r="A17" s="16"/>
      <c r="B17" s="3" t="s">
        <v>17</v>
      </c>
      <c r="C17" s="3" t="s">
        <v>32</v>
      </c>
      <c r="D17" s="11" t="s">
        <v>19</v>
      </c>
      <c r="E17" s="8">
        <v>1817.1770263550472</v>
      </c>
      <c r="F17" s="8">
        <v>2642.5723520636498</v>
      </c>
      <c r="G17" s="8">
        <v>3174.6613625062159</v>
      </c>
      <c r="H17" s="8">
        <v>1768.8080556936848</v>
      </c>
      <c r="I17" s="8">
        <v>2512.345599204376</v>
      </c>
      <c r="J17" s="8">
        <v>2977.7861760318251</v>
      </c>
      <c r="K17" s="8">
        <v>2005.3530581800098</v>
      </c>
      <c r="L17" s="8">
        <v>2655.1551466931874</v>
      </c>
      <c r="M17" s="8">
        <v>3286.9428145201391</v>
      </c>
      <c r="N17" s="22"/>
      <c r="O17" s="8">
        <v>168.81989614901323</v>
      </c>
      <c r="P17" s="8">
        <v>245.50100709586812</v>
      </c>
      <c r="Q17" s="8">
        <v>294.93329144800055</v>
      </c>
      <c r="R17" s="8">
        <v>164.3263083006874</v>
      </c>
      <c r="S17" s="8">
        <v>233.40264431960972</v>
      </c>
      <c r="T17" s="8">
        <v>276.64313696503802</v>
      </c>
      <c r="U17" s="8">
        <v>186.3018792963264</v>
      </c>
      <c r="V17" s="8">
        <v>246.66997745583561</v>
      </c>
      <c r="W17" s="8">
        <v>305.3644947889718</v>
      </c>
      <c r="X17" s="22"/>
      <c r="Y17"/>
      <c r="Z17" s="10">
        <f t="shared" si="0"/>
        <v>0.78937473967956295</v>
      </c>
      <c r="AA17"/>
      <c r="AB17" s="22"/>
    </row>
    <row r="18" spans="1:28" x14ac:dyDescent="0.25">
      <c r="A18" s="16"/>
      <c r="B18" s="3" t="s">
        <v>17</v>
      </c>
      <c r="C18" s="3" t="s">
        <v>33</v>
      </c>
      <c r="D18" s="11" t="s">
        <v>19</v>
      </c>
      <c r="E18" s="8">
        <v>1609.2391844853307</v>
      </c>
      <c r="F18" s="8">
        <v>2338.8751864743908</v>
      </c>
      <c r="G18" s="8">
        <v>2809.2327200397813</v>
      </c>
      <c r="H18" s="8">
        <v>1566.4818498259572</v>
      </c>
      <c r="I18" s="8">
        <v>2223.7563401292891</v>
      </c>
      <c r="J18" s="8">
        <v>2635.1989060169071</v>
      </c>
      <c r="K18" s="8">
        <v>1775.583789159622</v>
      </c>
      <c r="L18" s="8">
        <v>2349.9975136747885</v>
      </c>
      <c r="M18" s="8">
        <v>2908.4883142715066</v>
      </c>
      <c r="N18" s="22"/>
      <c r="O18" s="8">
        <v>149.50199571291299</v>
      </c>
      <c r="P18" s="8">
        <v>217.28684677359743</v>
      </c>
      <c r="Q18" s="8">
        <v>260.98413593022394</v>
      </c>
      <c r="R18" s="8">
        <v>145.52974166605068</v>
      </c>
      <c r="S18" s="8">
        <v>206.59204301870056</v>
      </c>
      <c r="T18" s="8">
        <v>244.81599711730357</v>
      </c>
      <c r="U18" s="8">
        <v>164.95578941533003</v>
      </c>
      <c r="V18" s="8">
        <v>218.32013637371571</v>
      </c>
      <c r="W18" s="8">
        <v>270.20520733239704</v>
      </c>
      <c r="X18" s="22"/>
      <c r="Y18"/>
      <c r="Z18" s="10">
        <f t="shared" si="0"/>
        <v>0.69904733766266824</v>
      </c>
      <c r="AA18"/>
      <c r="AB18" s="22"/>
    </row>
    <row r="19" spans="1:28" x14ac:dyDescent="0.25">
      <c r="A19" s="16"/>
      <c r="B19" s="3" t="s">
        <v>17</v>
      </c>
      <c r="C19" s="3" t="s">
        <v>34</v>
      </c>
      <c r="D19" s="11" t="s">
        <v>19</v>
      </c>
      <c r="E19" s="8">
        <v>1710.4475385380408</v>
      </c>
      <c r="F19" s="8">
        <v>2486.6921929388363</v>
      </c>
      <c r="G19" s="8">
        <v>2987.0964694181998</v>
      </c>
      <c r="H19" s="8">
        <v>1664.959224266534</v>
      </c>
      <c r="I19" s="8">
        <v>2364.2202884137246</v>
      </c>
      <c r="J19" s="8">
        <v>2801.9448035803084</v>
      </c>
      <c r="K19" s="8">
        <v>1887.4181999005471</v>
      </c>
      <c r="L19" s="8">
        <v>2498.5256091496767</v>
      </c>
      <c r="M19" s="8">
        <v>3092.6921929388363</v>
      </c>
      <c r="N19" s="22"/>
      <c r="O19" s="8">
        <v>158.90448296252492</v>
      </c>
      <c r="P19" s="8">
        <v>231.01938428560868</v>
      </c>
      <c r="Q19" s="8">
        <v>277.50808448517995</v>
      </c>
      <c r="R19" s="8">
        <v>154.67851467218566</v>
      </c>
      <c r="S19" s="8">
        <v>219.64146463153224</v>
      </c>
      <c r="T19" s="8">
        <v>260.30707184566484</v>
      </c>
      <c r="U19" s="8">
        <v>175.34546160100524</v>
      </c>
      <c r="V19" s="8">
        <v>232.11873567891195</v>
      </c>
      <c r="W19" s="8">
        <v>287.31816837903762</v>
      </c>
      <c r="X19" s="22"/>
      <c r="Y19"/>
      <c r="Z19" s="10">
        <f t="shared" si="0"/>
        <v>0.74301185899166811</v>
      </c>
      <c r="AA19"/>
      <c r="AB19" s="22"/>
    </row>
    <row r="20" spans="1:28" x14ac:dyDescent="0.25">
      <c r="A20" s="16"/>
      <c r="B20" s="3" t="s">
        <v>17</v>
      </c>
      <c r="C20" s="3" t="s">
        <v>35</v>
      </c>
      <c r="D20" s="11" t="s">
        <v>19</v>
      </c>
      <c r="E20" s="8">
        <v>1796.9353555445052</v>
      </c>
      <c r="F20" s="8">
        <v>2613.0084535057185</v>
      </c>
      <c r="G20" s="8">
        <v>3139.0890104425657</v>
      </c>
      <c r="H20" s="8">
        <v>1749.1123818995525</v>
      </c>
      <c r="I20" s="8">
        <v>2484.2521133764299</v>
      </c>
      <c r="J20" s="8">
        <v>2944.436598707111</v>
      </c>
      <c r="K20" s="8">
        <v>1982.9860765788164</v>
      </c>
      <c r="L20" s="8">
        <v>2625.4495275982099</v>
      </c>
      <c r="M20" s="8">
        <v>3250.1024365987073</v>
      </c>
      <c r="N20" s="22"/>
      <c r="O20" s="8">
        <v>166.93939869909084</v>
      </c>
      <c r="P20" s="8">
        <v>242.75445339640771</v>
      </c>
      <c r="Q20" s="8">
        <v>291.6285386946559</v>
      </c>
      <c r="R20" s="8">
        <v>162.49653522063713</v>
      </c>
      <c r="S20" s="8">
        <v>230.79269532116194</v>
      </c>
      <c r="T20" s="8">
        <v>273.54488506171924</v>
      </c>
      <c r="U20" s="8">
        <v>184.22393561977972</v>
      </c>
      <c r="V20" s="8">
        <v>243.91025759479635</v>
      </c>
      <c r="W20" s="8">
        <v>301.94193953729024</v>
      </c>
      <c r="X20" s="22"/>
      <c r="Y20"/>
      <c r="Z20" s="10">
        <f t="shared" si="0"/>
        <v>0.78058183541376303</v>
      </c>
      <c r="AA20"/>
      <c r="AB20" s="22"/>
    </row>
    <row r="21" spans="1:28" x14ac:dyDescent="0.25">
      <c r="A21" s="16"/>
      <c r="B21" s="3" t="s">
        <v>17</v>
      </c>
      <c r="C21" s="3" t="s">
        <v>36</v>
      </c>
      <c r="D21" s="11" t="s">
        <v>19</v>
      </c>
      <c r="E21" s="8">
        <v>2120.80258577822</v>
      </c>
      <c r="F21" s="8">
        <v>3086.0233714569868</v>
      </c>
      <c r="G21" s="8">
        <v>3708.2516161113872</v>
      </c>
      <c r="H21" s="8">
        <v>2064.2401790154154</v>
      </c>
      <c r="I21" s="8">
        <v>2933.7354549975139</v>
      </c>
      <c r="J21" s="8">
        <v>3478.0248632521134</v>
      </c>
      <c r="K21" s="8">
        <v>2340.8572849328693</v>
      </c>
      <c r="L21" s="8">
        <v>3100.737941322725</v>
      </c>
      <c r="M21" s="8">
        <v>3839.5539532570861</v>
      </c>
      <c r="N21" s="22"/>
      <c r="O21" s="8">
        <v>197.02740409490721</v>
      </c>
      <c r="P21" s="8">
        <v>286.69861963190181</v>
      </c>
      <c r="Q21" s="8">
        <v>344.50504471875229</v>
      </c>
      <c r="R21" s="8">
        <v>191.77262731909229</v>
      </c>
      <c r="S21" s="8">
        <v>272.55072436987211</v>
      </c>
      <c r="T21" s="8">
        <v>323.11645354423825</v>
      </c>
      <c r="U21" s="8">
        <v>217.4709882474684</v>
      </c>
      <c r="V21" s="8">
        <v>288.0656367802498</v>
      </c>
      <c r="W21" s="8">
        <v>356.70333173183531</v>
      </c>
      <c r="X21" s="22"/>
      <c r="Y21"/>
      <c r="Z21" s="10">
        <f t="shared" si="0"/>
        <v>0.92126851967659218</v>
      </c>
      <c r="AA21"/>
      <c r="AB21" s="22"/>
    </row>
    <row r="22" spans="1:28" x14ac:dyDescent="0.25">
      <c r="A22" s="16"/>
      <c r="B22" s="3" t="s">
        <v>17</v>
      </c>
      <c r="C22" s="3" t="s">
        <v>37</v>
      </c>
      <c r="D22" s="11" t="s">
        <v>19</v>
      </c>
      <c r="E22" s="8">
        <v>1660.7633018398806</v>
      </c>
      <c r="F22" s="8">
        <v>2414.126802585778</v>
      </c>
      <c r="G22" s="8">
        <v>2899.7817006464447</v>
      </c>
      <c r="H22" s="8">
        <v>1616.6156141223271</v>
      </c>
      <c r="I22" s="8">
        <v>2295.2645450024861</v>
      </c>
      <c r="J22" s="8">
        <v>2720.0875186474391</v>
      </c>
      <c r="K22" s="8">
        <v>1832.5176529090004</v>
      </c>
      <c r="L22" s="8">
        <v>2425.6121332670314</v>
      </c>
      <c r="M22" s="8">
        <v>3002.2645450024861</v>
      </c>
      <c r="N22" s="22"/>
      <c r="O22" s="8">
        <v>154.28870389533594</v>
      </c>
      <c r="P22" s="8">
        <v>224.27789378372384</v>
      </c>
      <c r="Q22" s="8">
        <v>269.39634304087514</v>
      </c>
      <c r="R22" s="8">
        <v>150.18728287382658</v>
      </c>
      <c r="S22" s="8">
        <v>213.23531857491312</v>
      </c>
      <c r="T22" s="8">
        <v>252.70234311479044</v>
      </c>
      <c r="U22" s="8">
        <v>170.24507539359894</v>
      </c>
      <c r="V22" s="8">
        <v>225.34490723630717</v>
      </c>
      <c r="W22" s="8">
        <v>278.9172333505802</v>
      </c>
      <c r="X22" s="22"/>
      <c r="Y22"/>
      <c r="Z22" s="10">
        <f t="shared" si="0"/>
        <v>0.72142921688196926</v>
      </c>
      <c r="AA22"/>
      <c r="AB22" s="22"/>
    </row>
    <row r="23" spans="1:28" x14ac:dyDescent="0.25">
      <c r="A23" s="16"/>
      <c r="B23" s="3" t="s">
        <v>17</v>
      </c>
      <c r="C23" s="3" t="s">
        <v>38</v>
      </c>
      <c r="D23" s="11" t="s">
        <v>19</v>
      </c>
      <c r="E23" s="8">
        <v>1951.5077076081552</v>
      </c>
      <c r="F23" s="8">
        <v>2838.7657881650921</v>
      </c>
      <c r="G23" s="8">
        <v>3410.7349577324712</v>
      </c>
      <c r="H23" s="8">
        <v>1899.5141720537047</v>
      </c>
      <c r="I23" s="8">
        <v>2698.7782197911488</v>
      </c>
      <c r="J23" s="8">
        <v>3199.1034311287917</v>
      </c>
      <c r="K23" s="8">
        <v>2153.788165091994</v>
      </c>
      <c r="L23" s="8">
        <v>2852.291894579811</v>
      </c>
      <c r="M23" s="8">
        <v>3531.4316260566884</v>
      </c>
      <c r="N23" s="22"/>
      <c r="O23" s="8">
        <v>181.29952324635966</v>
      </c>
      <c r="P23" s="8">
        <v>263.72782541207772</v>
      </c>
      <c r="Q23" s="8">
        <v>316.86506763249315</v>
      </c>
      <c r="R23" s="8">
        <v>176.46920504102297</v>
      </c>
      <c r="S23" s="8">
        <v>250.72266058097418</v>
      </c>
      <c r="T23" s="8">
        <v>297.20401544829622</v>
      </c>
      <c r="U23" s="8">
        <v>200.09183975164461</v>
      </c>
      <c r="V23" s="8">
        <v>264.98443159139623</v>
      </c>
      <c r="W23" s="8">
        <v>328.07806378889791</v>
      </c>
      <c r="X23" s="22"/>
      <c r="Y23"/>
      <c r="Z23" s="10">
        <f t="shared" si="0"/>
        <v>0.84772747307166585</v>
      </c>
      <c r="AA23"/>
      <c r="AB23" s="22"/>
    </row>
    <row r="24" spans="1:28" x14ac:dyDescent="0.25">
      <c r="A24" s="16"/>
      <c r="B24" s="3" t="s">
        <v>17</v>
      </c>
      <c r="C24" s="3" t="s">
        <v>39</v>
      </c>
      <c r="D24" s="11" t="s">
        <v>19</v>
      </c>
      <c r="E24" s="8">
        <v>1655.2431626056689</v>
      </c>
      <c r="F24" s="8">
        <v>2406.0641471904523</v>
      </c>
      <c r="G24" s="8">
        <v>2890.0805569368472</v>
      </c>
      <c r="H24" s="8">
        <v>1611.2446544007955</v>
      </c>
      <c r="I24" s="8">
        <v>2287.6031824962706</v>
      </c>
      <c r="J24" s="8">
        <v>2710.9925410243659</v>
      </c>
      <c r="K24" s="8">
        <v>1826.4177026355046</v>
      </c>
      <c r="L24" s="8">
        <v>2417.5106911984089</v>
      </c>
      <c r="M24" s="8">
        <v>2992.2173048234708</v>
      </c>
      <c r="N24" s="22"/>
      <c r="O24" s="8">
        <v>153.77587035257594</v>
      </c>
      <c r="P24" s="8">
        <v>223.52885468253379</v>
      </c>
      <c r="Q24" s="8">
        <v>268.49508463301055</v>
      </c>
      <c r="R24" s="8">
        <v>149.688308448518</v>
      </c>
      <c r="S24" s="8">
        <v>212.52356049966735</v>
      </c>
      <c r="T24" s="8">
        <v>251.85739892083672</v>
      </c>
      <c r="U24" s="8">
        <v>169.67837608101115</v>
      </c>
      <c r="V24" s="8">
        <v>224.59226476457977</v>
      </c>
      <c r="W24" s="8">
        <v>277.98382179022838</v>
      </c>
      <c r="X24" s="22"/>
      <c r="Y24"/>
      <c r="Z24" s="10">
        <f t="shared" si="0"/>
        <v>0.71903128954313345</v>
      </c>
      <c r="AA24"/>
      <c r="AB24" s="22"/>
    </row>
    <row r="25" spans="1:28" x14ac:dyDescent="0.25">
      <c r="A25" s="16"/>
      <c r="B25" s="3" t="s">
        <v>17</v>
      </c>
      <c r="C25" s="3" t="s">
        <v>40</v>
      </c>
      <c r="D25" s="11" t="s">
        <v>19</v>
      </c>
      <c r="E25" s="8">
        <v>2302.0460815514671</v>
      </c>
      <c r="F25" s="8">
        <v>3357.5815067130779</v>
      </c>
      <c r="G25" s="8">
        <v>4037.3143560417702</v>
      </c>
      <c r="H25" s="8">
        <v>2275.5186474390848</v>
      </c>
      <c r="I25" s="8">
        <v>3235.0939830929888</v>
      </c>
      <c r="J25" s="8">
        <v>3835.7707608155147</v>
      </c>
      <c r="K25" s="8">
        <v>2619.6762804574837</v>
      </c>
      <c r="L25" s="8">
        <v>3646.4286424664347</v>
      </c>
      <c r="M25" s="8">
        <v>4441.1790154152159</v>
      </c>
      <c r="N25" s="22"/>
      <c r="O25" s="8">
        <v>213.86533880922462</v>
      </c>
      <c r="P25" s="8">
        <v>311.92699063123661</v>
      </c>
      <c r="Q25" s="8">
        <v>375.07572483184271</v>
      </c>
      <c r="R25" s="8">
        <v>211.40087959198758</v>
      </c>
      <c r="S25" s="8">
        <v>300.54761992756301</v>
      </c>
      <c r="T25" s="8">
        <v>356.3518645132678</v>
      </c>
      <c r="U25" s="8">
        <v>243.37390974942713</v>
      </c>
      <c r="V25" s="8">
        <v>338.76154926454279</v>
      </c>
      <c r="W25" s="8">
        <v>412.5956741074728</v>
      </c>
      <c r="X25" s="22"/>
      <c r="Y25"/>
      <c r="Z25" s="10">
        <f t="shared" si="0"/>
        <v>1</v>
      </c>
      <c r="AA25"/>
      <c r="AB25" s="22"/>
    </row>
    <row r="26" spans="1:28" x14ac:dyDescent="0.25">
      <c r="A26" s="16"/>
      <c r="B26" s="3" t="s">
        <v>17</v>
      </c>
      <c r="C26" s="3" t="s">
        <v>41</v>
      </c>
      <c r="D26" s="11" t="s">
        <v>19</v>
      </c>
      <c r="E26" s="8">
        <v>2130.0034808552959</v>
      </c>
      <c r="F26" s="8">
        <v>3099.4619592242666</v>
      </c>
      <c r="G26" s="8">
        <v>3724.4206862257583</v>
      </c>
      <c r="H26" s="8">
        <v>2073.1924415713574</v>
      </c>
      <c r="I26" s="8">
        <v>2946.5052212829437</v>
      </c>
      <c r="J26" s="8">
        <v>3493.1829935355545</v>
      </c>
      <c r="K26" s="8">
        <v>2351.023868722029</v>
      </c>
      <c r="L26" s="8">
        <v>3114.2406762804576</v>
      </c>
      <c r="M26" s="8">
        <v>3856.2998508204873</v>
      </c>
      <c r="N26" s="22"/>
      <c r="O26" s="8">
        <v>197.88218826225145</v>
      </c>
      <c r="P26" s="8">
        <v>287.94709512898214</v>
      </c>
      <c r="Q26" s="8">
        <v>346.00718826225142</v>
      </c>
      <c r="R26" s="8">
        <v>192.60431295735086</v>
      </c>
      <c r="S26" s="8">
        <v>273.73706482371199</v>
      </c>
      <c r="T26" s="8">
        <v>324.52467846847509</v>
      </c>
      <c r="U26" s="8">
        <v>218.41548710178134</v>
      </c>
      <c r="V26" s="8">
        <v>289.32007169783424</v>
      </c>
      <c r="W26" s="8">
        <v>358.25906386281321</v>
      </c>
      <c r="X26" s="22"/>
      <c r="Y26"/>
      <c r="Z26" s="10">
        <f t="shared" si="0"/>
        <v>0.92526535325469117</v>
      </c>
      <c r="AA26"/>
      <c r="AB26" s="22"/>
    </row>
    <row r="27" spans="1:28" x14ac:dyDescent="0.25">
      <c r="A27" s="16"/>
      <c r="B27" s="3" t="s">
        <v>17</v>
      </c>
      <c r="C27" s="3" t="s">
        <v>42</v>
      </c>
      <c r="D27" s="11" t="s">
        <v>19</v>
      </c>
      <c r="E27" s="8">
        <v>2210.970164097464</v>
      </c>
      <c r="F27" s="8">
        <v>3217.7155643958231</v>
      </c>
      <c r="G27" s="8">
        <v>3866.7115862754849</v>
      </c>
      <c r="H27" s="8">
        <v>2151.9741422178022</v>
      </c>
      <c r="I27" s="8">
        <v>3058.8766782695175</v>
      </c>
      <c r="J27" s="8">
        <v>3626.5798110392839</v>
      </c>
      <c r="K27" s="8">
        <v>2440.4912978617604</v>
      </c>
      <c r="L27" s="8">
        <v>3233.0626553953257</v>
      </c>
      <c r="M27" s="8">
        <v>4003.6623570363004</v>
      </c>
      <c r="N27" s="22"/>
      <c r="O27" s="8">
        <v>205.404178061941</v>
      </c>
      <c r="P27" s="8">
        <v>298.93312513859115</v>
      </c>
      <c r="Q27" s="8">
        <v>359.22633786680461</v>
      </c>
      <c r="R27" s="8">
        <v>199.92331288343556</v>
      </c>
      <c r="S27" s="8">
        <v>284.17662983221226</v>
      </c>
      <c r="T27" s="8">
        <v>336.91754749057577</v>
      </c>
      <c r="U27" s="8">
        <v>226.72721561090989</v>
      </c>
      <c r="V27" s="8">
        <v>300.3589049449331</v>
      </c>
      <c r="W27" s="8">
        <v>371.94937726365583</v>
      </c>
      <c r="X27" s="22"/>
      <c r="Y27"/>
      <c r="Z27" s="10">
        <f t="shared" si="0"/>
        <v>0.9604369703178911</v>
      </c>
      <c r="AA27"/>
      <c r="AB27" s="22"/>
    </row>
    <row r="28" spans="1:28" x14ac:dyDescent="0.25">
      <c r="A28" s="16"/>
      <c r="B28" s="3" t="s">
        <v>17</v>
      </c>
      <c r="C28" s="3" t="s">
        <v>43</v>
      </c>
      <c r="D28" s="11" t="s">
        <v>19</v>
      </c>
      <c r="E28" s="8">
        <v>1662.6031824962706</v>
      </c>
      <c r="F28" s="8">
        <v>2416.8150174042767</v>
      </c>
      <c r="G28" s="8">
        <v>2903.0154152163104</v>
      </c>
      <c r="H28" s="8">
        <v>1618.4067628045748</v>
      </c>
      <c r="I28" s="8">
        <v>2297.8189955246148</v>
      </c>
      <c r="J28" s="8">
        <v>2723.1188463451022</v>
      </c>
      <c r="K28" s="8">
        <v>1834.5504724017901</v>
      </c>
      <c r="L28" s="8">
        <v>2428.3127797115862</v>
      </c>
      <c r="M28" s="8">
        <v>3005.613625062158</v>
      </c>
      <c r="N28" s="22"/>
      <c r="O28" s="8">
        <v>154.45963301056989</v>
      </c>
      <c r="P28" s="8">
        <v>224.52763508019808</v>
      </c>
      <c r="Q28" s="8">
        <v>269.69676251016335</v>
      </c>
      <c r="R28" s="8">
        <v>150.35368467735972</v>
      </c>
      <c r="S28" s="8">
        <v>213.47263286273929</v>
      </c>
      <c r="T28" s="8">
        <v>252.98396038140291</v>
      </c>
      <c r="U28" s="8">
        <v>170.43392896740335</v>
      </c>
      <c r="V28" s="8">
        <v>225.5958034592357</v>
      </c>
      <c r="W28" s="8">
        <v>279.22837053736419</v>
      </c>
      <c r="X28" s="22"/>
      <c r="Y28"/>
      <c r="Z28" s="10">
        <f t="shared" si="0"/>
        <v>0.72222845399157132</v>
      </c>
      <c r="AA28"/>
      <c r="AB28" s="22"/>
    </row>
    <row r="29" spans="1:28" x14ac:dyDescent="0.25">
      <c r="A29" s="16"/>
      <c r="B29" s="3" t="s">
        <v>17</v>
      </c>
      <c r="C29" s="3" t="s">
        <v>44</v>
      </c>
      <c r="D29" s="11" t="s">
        <v>19</v>
      </c>
      <c r="E29" s="8">
        <v>1653.4931277971157</v>
      </c>
      <c r="F29" s="8">
        <v>2408.4060517155644</v>
      </c>
      <c r="G29" s="8">
        <v>2894.548189955246</v>
      </c>
      <c r="H29" s="8">
        <v>1634.5206364992541</v>
      </c>
      <c r="I29" s="8">
        <v>2320.8040775733466</v>
      </c>
      <c r="J29" s="8">
        <v>2750.4047737444057</v>
      </c>
      <c r="K29" s="8">
        <v>1887.7409249129787</v>
      </c>
      <c r="L29" s="8">
        <v>2622.0696171059176</v>
      </c>
      <c r="M29" s="8">
        <v>3190.4704127299851</v>
      </c>
      <c r="N29" s="22"/>
      <c r="O29" s="8">
        <v>153.61328812181239</v>
      </c>
      <c r="P29" s="8">
        <v>223.74642296178578</v>
      </c>
      <c r="Q29" s="8">
        <v>268.91013794441568</v>
      </c>
      <c r="R29" s="8">
        <v>151.85070034740187</v>
      </c>
      <c r="S29" s="8">
        <v>215.60799948259293</v>
      </c>
      <c r="T29" s="8">
        <v>255.51888535738041</v>
      </c>
      <c r="U29" s="8">
        <v>175.37544349175843</v>
      </c>
      <c r="V29" s="8">
        <v>243.59625619040577</v>
      </c>
      <c r="W29" s="8">
        <v>296.40198832138367</v>
      </c>
      <c r="X29" s="22"/>
      <c r="Y29"/>
      <c r="Z29" s="10">
        <f t="shared" si="0"/>
        <v>0.71827108112568361</v>
      </c>
      <c r="AA29"/>
      <c r="AB29" s="22"/>
    </row>
    <row r="30" spans="1:28" x14ac:dyDescent="0.25">
      <c r="A30" s="16"/>
      <c r="B30" s="3" t="s">
        <v>17</v>
      </c>
      <c r="C30" s="3" t="s">
        <v>45</v>
      </c>
      <c r="D30" s="11" t="s">
        <v>19</v>
      </c>
      <c r="E30" s="8">
        <v>2086.4658677274988</v>
      </c>
      <c r="F30" s="8">
        <v>3042.0734510193934</v>
      </c>
      <c r="G30" s="8">
        <v>3657.4563053207357</v>
      </c>
      <c r="H30" s="8">
        <v>2062.4500248632521</v>
      </c>
      <c r="I30" s="8">
        <v>2931.1819990054701</v>
      </c>
      <c r="J30" s="8">
        <v>3474.9930382894081</v>
      </c>
      <c r="K30" s="8">
        <v>2376.3794132272501</v>
      </c>
      <c r="L30" s="8">
        <v>3305.929388363998</v>
      </c>
      <c r="M30" s="8">
        <v>4025.4410740924914</v>
      </c>
      <c r="N30" s="22"/>
      <c r="O30" s="8">
        <v>193.8374445635302</v>
      </c>
      <c r="P30" s="8">
        <v>282.61557164239781</v>
      </c>
      <c r="Q30" s="8">
        <v>339.786044330697</v>
      </c>
      <c r="R30" s="8">
        <v>191.60631790967551</v>
      </c>
      <c r="S30" s="8">
        <v>272.31350247616228</v>
      </c>
      <c r="T30" s="8">
        <v>322.83479008056764</v>
      </c>
      <c r="U30" s="8">
        <v>220.77107509793774</v>
      </c>
      <c r="V30" s="8">
        <v>307.12839086406973</v>
      </c>
      <c r="W30" s="8">
        <v>373.97266982038582</v>
      </c>
      <c r="X30" s="22"/>
      <c r="Y30"/>
      <c r="Z30" s="10">
        <f t="shared" si="0"/>
        <v>0.9063527808797478</v>
      </c>
      <c r="AA30"/>
      <c r="AB30" s="22"/>
    </row>
    <row r="31" spans="1:28" x14ac:dyDescent="0.25">
      <c r="A31" s="16"/>
      <c r="B31" s="3" t="s">
        <v>17</v>
      </c>
      <c r="C31" s="3" t="s">
        <v>46</v>
      </c>
      <c r="D31" s="11" t="s">
        <v>19</v>
      </c>
      <c r="E31" s="8">
        <v>1703.0870213823969</v>
      </c>
      <c r="F31" s="8">
        <v>2475.9413227250125</v>
      </c>
      <c r="G31" s="8">
        <v>2974.1611138736948</v>
      </c>
      <c r="H31" s="8">
        <v>1657.7971158627549</v>
      </c>
      <c r="I31" s="8">
        <v>2354.0044753853804</v>
      </c>
      <c r="J31" s="8">
        <v>2789.8180009945299</v>
      </c>
      <c r="K31" s="8">
        <v>1879.2849328692193</v>
      </c>
      <c r="L31" s="8">
        <v>2487.7235206364994</v>
      </c>
      <c r="M31" s="8">
        <v>3079.2948781700647</v>
      </c>
      <c r="N31" s="22"/>
      <c r="O31" s="8">
        <v>158.22067410747283</v>
      </c>
      <c r="P31" s="8">
        <v>230.02060388794439</v>
      </c>
      <c r="Q31" s="8">
        <v>276.30636041096903</v>
      </c>
      <c r="R31" s="8">
        <v>154.01313844334391</v>
      </c>
      <c r="S31" s="8">
        <v>218.69239226846034</v>
      </c>
      <c r="T31" s="8">
        <v>259.1804641880405</v>
      </c>
      <c r="U31" s="8">
        <v>174.58986251755488</v>
      </c>
      <c r="V31" s="8">
        <v>231.11519698425602</v>
      </c>
      <c r="W31" s="8">
        <v>286.07352723778547</v>
      </c>
      <c r="X31" s="22"/>
      <c r="Y31"/>
      <c r="Z31" s="10">
        <f t="shared" si="0"/>
        <v>0.73981447853320081</v>
      </c>
      <c r="AA31"/>
      <c r="AB31" s="22"/>
    </row>
    <row r="32" spans="1:28" x14ac:dyDescent="0.25">
      <c r="A32" s="16"/>
      <c r="B32" s="3" t="s">
        <v>17</v>
      </c>
      <c r="C32" s="3" t="s">
        <v>47</v>
      </c>
      <c r="D32" s="11" t="s">
        <v>19</v>
      </c>
      <c r="E32" s="8">
        <v>1791.1745748383889</v>
      </c>
      <c r="F32" s="8">
        <v>2609.9072998508204</v>
      </c>
      <c r="G32" s="8">
        <v>3137.1468622575831</v>
      </c>
      <c r="H32" s="8">
        <v>1770.59870711089</v>
      </c>
      <c r="I32" s="8">
        <v>2514.8990551964198</v>
      </c>
      <c r="J32" s="8">
        <v>2980.8180009945299</v>
      </c>
      <c r="K32" s="8">
        <v>2043.124316260567</v>
      </c>
      <c r="L32" s="8">
        <v>2839.5310790651415</v>
      </c>
      <c r="M32" s="8">
        <v>3455.9840875186474</v>
      </c>
      <c r="N32" s="22"/>
      <c r="O32" s="8">
        <v>166.40420901396999</v>
      </c>
      <c r="P32" s="8">
        <v>242.46634913888681</v>
      </c>
      <c r="Q32" s="8">
        <v>291.44810869243844</v>
      </c>
      <c r="R32" s="8">
        <v>164.49266390716238</v>
      </c>
      <c r="S32" s="8">
        <v>233.63986621331952</v>
      </c>
      <c r="T32" s="8">
        <v>276.92480042870869</v>
      </c>
      <c r="U32" s="8">
        <v>189.81091544090472</v>
      </c>
      <c r="V32" s="8">
        <v>263.79892268460344</v>
      </c>
      <c r="W32" s="8">
        <v>321.06881513785203</v>
      </c>
      <c r="X32" s="22"/>
      <c r="Y32"/>
      <c r="Z32" s="10">
        <f t="shared" si="0"/>
        <v>0.77807937434129226</v>
      </c>
      <c r="AA32"/>
      <c r="AB32" s="22"/>
    </row>
    <row r="33" spans="1:28" x14ac:dyDescent="0.25">
      <c r="A33" s="16"/>
      <c r="B33" s="3" t="s">
        <v>17</v>
      </c>
      <c r="C33" s="3" t="s">
        <v>48</v>
      </c>
      <c r="D33" s="11" t="s">
        <v>19</v>
      </c>
      <c r="E33" s="8">
        <v>2060.0770760815512</v>
      </c>
      <c r="F33" s="8">
        <v>2997.3336648433615</v>
      </c>
      <c r="G33" s="8">
        <v>3601.533565390353</v>
      </c>
      <c r="H33" s="8">
        <v>2005.1536548980607</v>
      </c>
      <c r="I33" s="8">
        <v>2849.4574838388862</v>
      </c>
      <c r="J33" s="8">
        <v>3377.9771258080559</v>
      </c>
      <c r="K33" s="8">
        <v>2273.7563401292891</v>
      </c>
      <c r="L33" s="8">
        <v>3011.6215813028343</v>
      </c>
      <c r="M33" s="8">
        <v>3729.0318249627053</v>
      </c>
      <c r="N33" s="22"/>
      <c r="O33" s="8">
        <v>191.38586554808188</v>
      </c>
      <c r="P33" s="8">
        <v>278.45914332175323</v>
      </c>
      <c r="Q33" s="8">
        <v>334.59069406460196</v>
      </c>
      <c r="R33" s="8">
        <v>186.2833542759997</v>
      </c>
      <c r="S33" s="8">
        <v>264.72110835981965</v>
      </c>
      <c r="T33" s="8">
        <v>313.82179022839824</v>
      </c>
      <c r="U33" s="8">
        <v>211.23715721782835</v>
      </c>
      <c r="V33" s="8">
        <v>279.78652339419023</v>
      </c>
      <c r="W33" s="8">
        <v>346.43557358267424</v>
      </c>
      <c r="X33" s="22"/>
      <c r="Y33"/>
      <c r="Z33" s="10">
        <f t="shared" si="0"/>
        <v>0.89488959086916264</v>
      </c>
      <c r="AA33"/>
      <c r="AB33" s="22"/>
    </row>
    <row r="34" spans="1:28" x14ac:dyDescent="0.25">
      <c r="A34" s="16"/>
      <c r="B34" s="3" t="s">
        <v>17</v>
      </c>
      <c r="C34" s="3" t="s">
        <v>49</v>
      </c>
      <c r="D34" s="11" t="s">
        <v>19</v>
      </c>
      <c r="E34" s="8">
        <v>2071.9733963202389</v>
      </c>
      <c r="F34" s="8">
        <v>3020.8626603679763</v>
      </c>
      <c r="G34" s="8">
        <v>3631.9197314768771</v>
      </c>
      <c r="H34" s="8">
        <v>2048.1253107906514</v>
      </c>
      <c r="I34" s="8">
        <v>2910.7508702138239</v>
      </c>
      <c r="J34" s="8">
        <v>3450.7389358528094</v>
      </c>
      <c r="K34" s="8">
        <v>2360.0228741919441</v>
      </c>
      <c r="L34" s="8">
        <v>3283.0387866732967</v>
      </c>
      <c r="M34" s="8">
        <v>3997.4922923918448</v>
      </c>
      <c r="N34" s="22"/>
      <c r="O34" s="8">
        <v>192.49106086924382</v>
      </c>
      <c r="P34" s="8">
        <v>280.64504074580532</v>
      </c>
      <c r="Q34" s="8">
        <v>337.41363829551329</v>
      </c>
      <c r="R34" s="8">
        <v>190.27551925493384</v>
      </c>
      <c r="S34" s="8">
        <v>270.41540394707664</v>
      </c>
      <c r="T34" s="8">
        <v>320.58152856826075</v>
      </c>
      <c r="U34" s="8">
        <v>219.251515263508</v>
      </c>
      <c r="V34" s="8">
        <v>305.00180168526867</v>
      </c>
      <c r="W34" s="8">
        <v>371.37616416586587</v>
      </c>
      <c r="X34" s="22"/>
      <c r="Y34"/>
      <c r="Z34" s="10">
        <f t="shared" si="0"/>
        <v>0.90005730681282858</v>
      </c>
      <c r="AA34"/>
      <c r="AB34" s="22"/>
    </row>
    <row r="35" spans="1:28" x14ac:dyDescent="0.25">
      <c r="A35" s="16"/>
      <c r="B35" s="3" t="s">
        <v>17</v>
      </c>
      <c r="C35" s="3" t="s">
        <v>50</v>
      </c>
      <c r="D35" s="11" t="s">
        <v>19</v>
      </c>
      <c r="E35" s="8">
        <v>1689.7252958727004</v>
      </c>
      <c r="F35" s="8">
        <v>2461.4327747389361</v>
      </c>
      <c r="G35" s="8">
        <v>2958.3898657384384</v>
      </c>
      <c r="H35" s="8">
        <v>1670.3311785181502</v>
      </c>
      <c r="I35" s="8">
        <v>2371.8816509199405</v>
      </c>
      <c r="J35" s="8">
        <v>2811.0397812033816</v>
      </c>
      <c r="K35" s="8">
        <v>1928.6315266036797</v>
      </c>
      <c r="L35" s="8">
        <v>2679.2963699651914</v>
      </c>
      <c r="M35" s="8">
        <v>3260.3431128791644</v>
      </c>
      <c r="N35" s="22"/>
      <c r="O35" s="8">
        <v>156.97933928967404</v>
      </c>
      <c r="P35" s="8">
        <v>228.6727266427674</v>
      </c>
      <c r="Q35" s="8">
        <v>274.8411754379481</v>
      </c>
      <c r="R35" s="8">
        <v>155.1775814916106</v>
      </c>
      <c r="S35" s="8">
        <v>220.35322270677801</v>
      </c>
      <c r="T35" s="8">
        <v>261.15201603961856</v>
      </c>
      <c r="U35" s="8">
        <v>179.17427378224554</v>
      </c>
      <c r="V35" s="8">
        <v>248.9127522359376</v>
      </c>
      <c r="W35" s="8">
        <v>302.89332175327075</v>
      </c>
      <c r="X35" s="22"/>
      <c r="Y35"/>
      <c r="Z35" s="10">
        <f t="shared" si="0"/>
        <v>0.7340101961529405</v>
      </c>
      <c r="AA35"/>
      <c r="AB35" s="22"/>
    </row>
    <row r="36" spans="1:28" x14ac:dyDescent="0.25">
      <c r="A36" s="16"/>
      <c r="B36" s="3" t="s">
        <v>17</v>
      </c>
      <c r="C36" s="3" t="s">
        <v>51</v>
      </c>
      <c r="D36" s="11" t="s">
        <v>19</v>
      </c>
      <c r="E36" s="8">
        <v>2054.5569368473398</v>
      </c>
      <c r="F36" s="8">
        <v>2989.2710094480358</v>
      </c>
      <c r="G36" s="8">
        <v>3591.8319244157137</v>
      </c>
      <c r="H36" s="8">
        <v>1999.7817006464445</v>
      </c>
      <c r="I36" s="8">
        <v>2841.7956240676281</v>
      </c>
      <c r="J36" s="8">
        <v>3368.8816509199405</v>
      </c>
      <c r="K36" s="8">
        <v>2267.6553953257085</v>
      </c>
      <c r="L36" s="8">
        <v>3003.5196419691697</v>
      </c>
      <c r="M36" s="8">
        <v>3718.9845847836896</v>
      </c>
      <c r="N36" s="22"/>
      <c r="O36" s="8">
        <v>190.87303200532187</v>
      </c>
      <c r="P36" s="8">
        <v>277.71010422056321</v>
      </c>
      <c r="Q36" s="8">
        <v>333.68938945967921</v>
      </c>
      <c r="R36" s="8">
        <v>185.78428745657476</v>
      </c>
      <c r="S36" s="8">
        <v>264.00930408751572</v>
      </c>
      <c r="T36" s="8">
        <v>312.97679983738635</v>
      </c>
      <c r="U36" s="8">
        <v>210.67036551112423</v>
      </c>
      <c r="V36" s="8">
        <v>279.03383472540469</v>
      </c>
      <c r="W36" s="8">
        <v>345.50216202232241</v>
      </c>
      <c r="X36" s="22"/>
      <c r="Y36"/>
      <c r="Z36" s="10">
        <f t="shared" si="0"/>
        <v>0.89249166353032694</v>
      </c>
      <c r="AA36"/>
      <c r="AB36" s="22"/>
    </row>
    <row r="37" spans="1:28" x14ac:dyDescent="0.25">
      <c r="A37" s="16"/>
      <c r="B37" s="3" t="s">
        <v>17</v>
      </c>
      <c r="C37" s="3" t="s">
        <v>52</v>
      </c>
      <c r="D37" s="11" t="s">
        <v>19</v>
      </c>
      <c r="E37" s="8">
        <v>2294.8003480855295</v>
      </c>
      <c r="F37" s="8">
        <v>3346.975867727499</v>
      </c>
      <c r="G37" s="8">
        <v>4024.5463202386873</v>
      </c>
      <c r="H37" s="8">
        <v>2268.3570363003482</v>
      </c>
      <c r="I37" s="8">
        <v>3224.8781700646446</v>
      </c>
      <c r="J37" s="8">
        <v>3823.6444554947789</v>
      </c>
      <c r="K37" s="8">
        <v>2611.4977623073096</v>
      </c>
      <c r="L37" s="8">
        <v>3634.9835902536051</v>
      </c>
      <c r="M37" s="8">
        <v>4427.2048731974146</v>
      </c>
      <c r="N37" s="22"/>
      <c r="O37" s="8">
        <v>213.19219362111019</v>
      </c>
      <c r="P37" s="8">
        <v>310.94170254638186</v>
      </c>
      <c r="Q37" s="8">
        <v>373.88954514376525</v>
      </c>
      <c r="R37" s="8">
        <v>210.73554956020399</v>
      </c>
      <c r="S37" s="8">
        <v>299.59854756449107</v>
      </c>
      <c r="T37" s="8">
        <v>355.22530305270158</v>
      </c>
      <c r="U37" s="8">
        <v>242.61410673368317</v>
      </c>
      <c r="V37" s="8">
        <v>337.69827777367135</v>
      </c>
      <c r="W37" s="8">
        <v>411.29744437874194</v>
      </c>
      <c r="X37" s="22"/>
      <c r="Y37"/>
      <c r="Z37" s="10">
        <f t="shared" si="0"/>
        <v>0.99685248113667024</v>
      </c>
      <c r="AA37"/>
      <c r="AB37" s="22"/>
    </row>
    <row r="38" spans="1:28" x14ac:dyDescent="0.25">
      <c r="A38" s="16"/>
      <c r="B38" s="3" t="s">
        <v>17</v>
      </c>
      <c r="C38" s="3" t="s">
        <v>53</v>
      </c>
      <c r="D38" s="11" t="s">
        <v>19</v>
      </c>
      <c r="E38" s="8">
        <v>2280.8965688712083</v>
      </c>
      <c r="F38" s="8">
        <v>3319.8438587767282</v>
      </c>
      <c r="G38" s="8">
        <v>3989.5992043759325</v>
      </c>
      <c r="H38" s="8">
        <v>2220.0134261561411</v>
      </c>
      <c r="I38" s="8">
        <v>3155.923421183491</v>
      </c>
      <c r="J38" s="8">
        <v>3741.7866732968673</v>
      </c>
      <c r="K38" s="8">
        <v>2517.7593237195424</v>
      </c>
      <c r="L38" s="8">
        <v>3335.6822476379912</v>
      </c>
      <c r="M38" s="8">
        <v>4130.9308801591251</v>
      </c>
      <c r="N38" s="22"/>
      <c r="O38" s="8">
        <v>211.90050077611056</v>
      </c>
      <c r="P38" s="8">
        <v>308.42107694582006</v>
      </c>
      <c r="Q38" s="8">
        <v>370.64287826151229</v>
      </c>
      <c r="R38" s="8">
        <v>206.24431776184491</v>
      </c>
      <c r="S38" s="8">
        <v>293.19249390198831</v>
      </c>
      <c r="T38" s="8">
        <v>347.62052812476901</v>
      </c>
      <c r="U38" s="8">
        <v>233.90559169192105</v>
      </c>
      <c r="V38" s="8">
        <v>309.89249944563528</v>
      </c>
      <c r="W38" s="8">
        <v>383.77291374085297</v>
      </c>
      <c r="X38" s="22"/>
      <c r="Y38"/>
      <c r="Z38" s="10">
        <f t="shared" si="0"/>
        <v>0.99081273270341963</v>
      </c>
      <c r="AA38"/>
      <c r="AB38" s="22"/>
    </row>
    <row r="39" spans="1:28" x14ac:dyDescent="0.25">
      <c r="A39" s="16"/>
      <c r="B39" s="3" t="s">
        <v>17</v>
      </c>
      <c r="C39" s="3" t="s">
        <v>54</v>
      </c>
      <c r="D39" s="11" t="s">
        <v>19</v>
      </c>
      <c r="E39" s="8">
        <v>1928.8565241173544</v>
      </c>
      <c r="F39" s="8">
        <v>2811.4080507210342</v>
      </c>
      <c r="G39" s="8">
        <v>3379.7445350571852</v>
      </c>
      <c r="H39" s="8">
        <v>1906.6762804574839</v>
      </c>
      <c r="I39" s="8">
        <v>2708.994032819493</v>
      </c>
      <c r="J39" s="8">
        <v>3211.230730979612</v>
      </c>
      <c r="K39" s="8">
        <v>2198.5067130780708</v>
      </c>
      <c r="L39" s="8">
        <v>3056.9930382894081</v>
      </c>
      <c r="M39" s="8">
        <v>3721.4977623073096</v>
      </c>
      <c r="N39" s="22"/>
      <c r="O39" s="8">
        <v>179.19517656515632</v>
      </c>
      <c r="P39" s="8">
        <v>261.1862291189297</v>
      </c>
      <c r="Q39" s="8">
        <v>313.9859865843743</v>
      </c>
      <c r="R39" s="8">
        <v>177.13458126986473</v>
      </c>
      <c r="S39" s="8">
        <v>251.67173294404611</v>
      </c>
      <c r="T39" s="8">
        <v>298.33066930297878</v>
      </c>
      <c r="U39" s="8">
        <v>204.24629499593465</v>
      </c>
      <c r="V39" s="8">
        <v>284.00163537585922</v>
      </c>
      <c r="W39" s="8">
        <v>345.73564195432033</v>
      </c>
      <c r="X39" s="22"/>
      <c r="Y39"/>
      <c r="Z39" s="10">
        <f>O39/$Z$3</f>
        <v>0.83788788572703077</v>
      </c>
      <c r="AA39"/>
      <c r="AB39" s="22"/>
    </row>
    <row r="40" spans="1:28" x14ac:dyDescent="0.25">
      <c r="A40" s="16"/>
      <c r="B40" s="3" t="s">
        <v>17</v>
      </c>
      <c r="C40" s="3" t="s">
        <v>55</v>
      </c>
      <c r="D40" s="11" t="s">
        <v>19</v>
      </c>
      <c r="E40" s="8">
        <v>1776.6821034311288</v>
      </c>
      <c r="F40" s="8">
        <v>2588.696509199403</v>
      </c>
      <c r="G40" s="8">
        <v>3111.6097911486822</v>
      </c>
      <c r="H40" s="8">
        <v>1756.2744903033317</v>
      </c>
      <c r="I40" s="8">
        <v>2494.4679264047736</v>
      </c>
      <c r="J40" s="8">
        <v>2956.5638985579312</v>
      </c>
      <c r="K40" s="8">
        <v>2026.7677772252612</v>
      </c>
      <c r="L40" s="8">
        <v>2816.6404773744407</v>
      </c>
      <c r="M40" s="8">
        <v>3428.0358030830434</v>
      </c>
      <c r="N40" s="22"/>
      <c r="O40" s="8">
        <v>165.05782531968362</v>
      </c>
      <c r="P40" s="8">
        <v>240.49581824229429</v>
      </c>
      <c r="Q40" s="8">
        <v>289.07565646019657</v>
      </c>
      <c r="R40" s="8">
        <v>163.16191144947888</v>
      </c>
      <c r="S40" s="8">
        <v>231.74176768423385</v>
      </c>
      <c r="T40" s="8">
        <v>274.6715389164018</v>
      </c>
      <c r="U40" s="8">
        <v>188.29135560647498</v>
      </c>
      <c r="V40" s="8">
        <v>261.67233350580233</v>
      </c>
      <c r="W40" s="8">
        <v>318.47235568039025</v>
      </c>
      <c r="X40" s="22"/>
      <c r="Y40"/>
      <c r="Z40" s="10">
        <f t="shared" si="0"/>
        <v>0.77178390027437305</v>
      </c>
      <c r="AA40"/>
      <c r="AB40" s="22"/>
    </row>
    <row r="41" spans="1:28" x14ac:dyDescent="0.25">
      <c r="A41" s="16"/>
      <c r="B41" s="3" t="s">
        <v>17</v>
      </c>
      <c r="C41" s="3" t="s">
        <v>56</v>
      </c>
      <c r="D41" s="11" t="s">
        <v>19</v>
      </c>
      <c r="E41" s="8">
        <v>2003.1321730482346</v>
      </c>
      <c r="F41" s="8">
        <v>2920.1122874191947</v>
      </c>
      <c r="G41" s="8">
        <v>3510.6203978120338</v>
      </c>
      <c r="H41" s="8">
        <v>1980.0865241173547</v>
      </c>
      <c r="I41" s="8">
        <v>2813.7031327697664</v>
      </c>
      <c r="J41" s="8">
        <v>3335.5325708602686</v>
      </c>
      <c r="K41" s="8">
        <v>2282.3321730482348</v>
      </c>
      <c r="L41" s="8">
        <v>3174.3078070611637</v>
      </c>
      <c r="M41" s="8">
        <v>3864.7349577324712</v>
      </c>
      <c r="N41" s="22"/>
      <c r="O41" s="8">
        <v>186.09555399512158</v>
      </c>
      <c r="P41" s="8">
        <v>271.28510098676918</v>
      </c>
      <c r="Q41" s="8">
        <v>326.14465315248725</v>
      </c>
      <c r="R41" s="8">
        <v>183.95456057358265</v>
      </c>
      <c r="S41" s="8">
        <v>261.39944748318425</v>
      </c>
      <c r="T41" s="8">
        <v>309.87859413112574</v>
      </c>
      <c r="U41" s="8">
        <v>212.03387168305122</v>
      </c>
      <c r="V41" s="8">
        <v>294.90044533964073</v>
      </c>
      <c r="W41" s="8">
        <v>359.04270456057355</v>
      </c>
      <c r="X41" s="22"/>
      <c r="Y41"/>
      <c r="Z41" s="10">
        <f t="shared" si="0"/>
        <v>0.87015294311494451</v>
      </c>
      <c r="AA41"/>
      <c r="AB41" s="22"/>
    </row>
    <row r="42" spans="1:28" x14ac:dyDescent="0.25">
      <c r="A42" s="16"/>
      <c r="B42" s="3" t="s">
        <v>17</v>
      </c>
      <c r="C42" s="3" t="s">
        <v>57</v>
      </c>
      <c r="D42" s="11" t="s">
        <v>19</v>
      </c>
      <c r="E42" s="8">
        <v>1629.9426106414719</v>
      </c>
      <c r="F42" s="8">
        <v>2373.9388314271509</v>
      </c>
      <c r="G42" s="8">
        <v>2853.0510740924915</v>
      </c>
      <c r="H42" s="8">
        <v>1611.2446544007955</v>
      </c>
      <c r="I42" s="8">
        <v>2287.6031824962706</v>
      </c>
      <c r="J42" s="8">
        <v>2710.9925410243659</v>
      </c>
      <c r="K42" s="8">
        <v>1861.1626056688215</v>
      </c>
      <c r="L42" s="8">
        <v>2584.8722028841371</v>
      </c>
      <c r="M42" s="8">
        <v>3145.0542018896072</v>
      </c>
      <c r="N42" s="22"/>
      <c r="O42" s="8">
        <v>151.42539128908268</v>
      </c>
      <c r="P42" s="8">
        <v>220.54433947446225</v>
      </c>
      <c r="Q42" s="8">
        <v>265.05496110207702</v>
      </c>
      <c r="R42" s="8">
        <v>149.688308448518</v>
      </c>
      <c r="S42" s="8">
        <v>212.52356049966735</v>
      </c>
      <c r="T42" s="8">
        <v>251.85739892083672</v>
      </c>
      <c r="U42" s="8">
        <v>172.90625692955871</v>
      </c>
      <c r="V42" s="8">
        <v>240.14053145095718</v>
      </c>
      <c r="W42" s="8">
        <v>292.18271860447925</v>
      </c>
      <c r="X42" s="22"/>
      <c r="Y42"/>
      <c r="Z42" s="10">
        <f t="shared" si="0"/>
        <v>0.70804082668187496</v>
      </c>
      <c r="AA42"/>
      <c r="AB42" s="22"/>
    </row>
    <row r="43" spans="1:28" x14ac:dyDescent="0.25">
      <c r="A43" s="16"/>
      <c r="B43" s="3" t="s">
        <v>17</v>
      </c>
      <c r="C43" s="3" t="s">
        <v>58</v>
      </c>
      <c r="D43" s="11" t="s">
        <v>19</v>
      </c>
      <c r="E43" s="8">
        <v>1800.2326156141223</v>
      </c>
      <c r="F43" s="8">
        <v>2623.1637294878169</v>
      </c>
      <c r="G43" s="8">
        <v>3153.1069070114372</v>
      </c>
      <c r="H43" s="8">
        <v>1779.5509696668323</v>
      </c>
      <c r="I43" s="8">
        <v>2527.6683242168074</v>
      </c>
      <c r="J43" s="8">
        <v>2995.9771258080559</v>
      </c>
      <c r="K43" s="8">
        <v>2053.3465937344604</v>
      </c>
      <c r="L43" s="8">
        <v>2853.8378915962207</v>
      </c>
      <c r="M43" s="8">
        <v>3473.4525111884636</v>
      </c>
      <c r="N43" s="22"/>
      <c r="O43" s="8">
        <v>167.24572169044274</v>
      </c>
      <c r="P43" s="8">
        <v>243.69790172961783</v>
      </c>
      <c r="Q43" s="8">
        <v>292.93083330253529</v>
      </c>
      <c r="R43" s="8">
        <v>165.32434954542094</v>
      </c>
      <c r="S43" s="8">
        <v>234.82616047010126</v>
      </c>
      <c r="T43" s="8">
        <v>278.33311774706186</v>
      </c>
      <c r="U43" s="8">
        <v>190.76058836573284</v>
      </c>
      <c r="V43" s="8">
        <v>265.12805824525094</v>
      </c>
      <c r="W43" s="8">
        <v>322.69167159435284</v>
      </c>
      <c r="X43" s="22"/>
      <c r="Y43"/>
      <c r="Z43" s="10">
        <f t="shared" si="0"/>
        <v>0.78201415255808138</v>
      </c>
      <c r="AA43"/>
      <c r="AB43" s="22"/>
    </row>
    <row r="44" spans="1:28" x14ac:dyDescent="0.25">
      <c r="A44" s="16"/>
      <c r="B44" s="3" t="s">
        <v>17</v>
      </c>
      <c r="C44" s="3" t="s">
        <v>59</v>
      </c>
      <c r="D44" s="11" t="s">
        <v>19</v>
      </c>
      <c r="E44" s="8">
        <v>1571.9712381899553</v>
      </c>
      <c r="F44" s="8">
        <v>2289.0961710591746</v>
      </c>
      <c r="G44" s="8">
        <v>2750.9042963699653</v>
      </c>
      <c r="H44" s="8">
        <v>1553.9482844356041</v>
      </c>
      <c r="I44" s="8">
        <v>2205.879164594729</v>
      </c>
      <c r="J44" s="8">
        <v>2613.9766285430132</v>
      </c>
      <c r="K44" s="8">
        <v>1795.737941322725</v>
      </c>
      <c r="L44" s="8">
        <v>2493.3092988562903</v>
      </c>
      <c r="M44" s="8">
        <v>3033.2590750870213</v>
      </c>
      <c r="N44" s="22"/>
      <c r="O44" s="8">
        <v>146.03971838273338</v>
      </c>
      <c r="P44" s="8">
        <v>212.662262547121</v>
      </c>
      <c r="Q44" s="8">
        <v>255.56529215019586</v>
      </c>
      <c r="R44" s="8">
        <v>144.36534481484219</v>
      </c>
      <c r="S44" s="8">
        <v>204.93121258038286</v>
      </c>
      <c r="T44" s="8">
        <v>242.84439906866729</v>
      </c>
      <c r="U44" s="8">
        <v>166.82815618301424</v>
      </c>
      <c r="V44" s="8">
        <v>231.63412853869465</v>
      </c>
      <c r="W44" s="8">
        <v>281.79669598639958</v>
      </c>
      <c r="X44" s="22"/>
      <c r="Y44"/>
      <c r="Z44" s="10">
        <f t="shared" si="0"/>
        <v>0.68285828454420994</v>
      </c>
      <c r="AA44"/>
      <c r="AB44" s="22"/>
    </row>
    <row r="45" spans="1:28" x14ac:dyDescent="0.25">
      <c r="A45" s="16"/>
      <c r="B45" s="3" t="s">
        <v>60</v>
      </c>
      <c r="C45" s="3" t="s">
        <v>61</v>
      </c>
      <c r="D45" s="11" t="s">
        <v>19</v>
      </c>
      <c r="E45" s="97">
        <f>O45*10.764</f>
        <v>1540.2207599999999</v>
      </c>
      <c r="F45" s="97">
        <f t="shared" ref="F45:F56" si="1">P45*10.764</f>
        <v>2238.0508799999998</v>
      </c>
      <c r="G45" s="97">
        <f t="shared" ref="G45:G56" si="2">Q45*10.764</f>
        <v>2687.9860799999997</v>
      </c>
      <c r="H45" s="97">
        <f t="shared" ref="H45:H56" si="3">R45*10.764</f>
        <v>1499.3175599999997</v>
      </c>
      <c r="I45" s="97">
        <f t="shared" ref="I45:I56" si="4">S45*10.764</f>
        <v>2127.93516</v>
      </c>
      <c r="J45" s="97">
        <f t="shared" ref="J45:J56" si="5">T45*10.764</f>
        <v>2521.4669999999996</v>
      </c>
      <c r="K45" s="97">
        <f t="shared" ref="K45:K56" si="6">U45*10.764</f>
        <v>1699.31268</v>
      </c>
      <c r="L45" s="97">
        <f t="shared" ref="L45:L56" si="7">V45*10.764</f>
        <v>2248.7072399999997</v>
      </c>
      <c r="M45" s="97">
        <f t="shared" ref="M45:M56" si="8">W45*10.764</f>
        <v>2782.8169199999998</v>
      </c>
      <c r="N45" s="22"/>
      <c r="O45" s="97">
        <v>143.09</v>
      </c>
      <c r="P45" s="97">
        <v>207.92</v>
      </c>
      <c r="Q45" s="97">
        <v>249.72</v>
      </c>
      <c r="R45" s="97">
        <v>139.29</v>
      </c>
      <c r="S45" s="97">
        <v>197.69</v>
      </c>
      <c r="T45" s="97">
        <v>234.25</v>
      </c>
      <c r="U45" s="97">
        <v>157.87</v>
      </c>
      <c r="V45" s="97">
        <v>208.91</v>
      </c>
      <c r="W45" s="97">
        <v>258.52999999999997</v>
      </c>
      <c r="X45" s="22"/>
      <c r="Y45"/>
      <c r="Z45" s="10">
        <f t="shared" ref="Z45:Z66" si="9">O45/$Z$3</f>
        <v>0.66906587480097135</v>
      </c>
      <c r="AA45"/>
      <c r="AB45" s="22"/>
    </row>
    <row r="46" spans="1:28" x14ac:dyDescent="0.25">
      <c r="A46" s="16"/>
      <c r="B46" s="3" t="s">
        <v>62</v>
      </c>
      <c r="C46" s="3" t="s">
        <v>63</v>
      </c>
      <c r="D46" s="11" t="s">
        <v>19</v>
      </c>
      <c r="E46" s="97">
        <f t="shared" ref="E46:E56" si="10">O46*10.764</f>
        <v>1684.13544</v>
      </c>
      <c r="F46" s="97">
        <f t="shared" si="1"/>
        <v>2448.2717999999995</v>
      </c>
      <c r="G46" s="97">
        <f t="shared" si="2"/>
        <v>2940.9400800000003</v>
      </c>
      <c r="H46" s="97">
        <f t="shared" si="3"/>
        <v>1639.3571999999999</v>
      </c>
      <c r="I46" s="97">
        <f t="shared" si="4"/>
        <v>2327.7149999999997</v>
      </c>
      <c r="J46" s="97">
        <f t="shared" si="5"/>
        <v>2758.5979199999997</v>
      </c>
      <c r="K46" s="97">
        <f t="shared" si="6"/>
        <v>1858.4045999999998</v>
      </c>
      <c r="L46" s="97">
        <f t="shared" si="7"/>
        <v>2460.0045599999999</v>
      </c>
      <c r="M46" s="97">
        <f t="shared" si="8"/>
        <v>3044.81268</v>
      </c>
      <c r="N46" s="22"/>
      <c r="O46" s="97">
        <v>156.46</v>
      </c>
      <c r="P46" s="97">
        <v>227.45</v>
      </c>
      <c r="Q46" s="97">
        <v>273.22000000000003</v>
      </c>
      <c r="R46" s="97">
        <v>152.30000000000001</v>
      </c>
      <c r="S46" s="97">
        <v>216.25</v>
      </c>
      <c r="T46" s="97">
        <v>256.27999999999997</v>
      </c>
      <c r="U46" s="97">
        <v>172.65</v>
      </c>
      <c r="V46" s="97">
        <v>228.54</v>
      </c>
      <c r="W46" s="97">
        <v>282.87</v>
      </c>
      <c r="X46" s="22"/>
      <c r="Y46"/>
      <c r="Z46" s="10">
        <f t="shared" si="9"/>
        <v>0.73158184898567324</v>
      </c>
      <c r="AA46"/>
      <c r="AB46" s="22"/>
    </row>
    <row r="47" spans="1:28" x14ac:dyDescent="0.25">
      <c r="A47" s="16"/>
      <c r="B47" s="3" t="s">
        <v>64</v>
      </c>
      <c r="C47" s="3" t="s">
        <v>65</v>
      </c>
      <c r="D47" s="11" t="s">
        <v>19</v>
      </c>
      <c r="E47" s="97">
        <f t="shared" si="10"/>
        <v>1630.3154400000001</v>
      </c>
      <c r="F47" s="97">
        <f t="shared" si="1"/>
        <v>2369.6945999999998</v>
      </c>
      <c r="G47" s="97">
        <f t="shared" si="2"/>
        <v>2846.3245200000001</v>
      </c>
      <c r="H47" s="97">
        <f t="shared" si="3"/>
        <v>1587.0441599999999</v>
      </c>
      <c r="I47" s="97">
        <f t="shared" si="4"/>
        <v>2253.0128399999999</v>
      </c>
      <c r="J47" s="97">
        <f t="shared" si="5"/>
        <v>2669.9025599999995</v>
      </c>
      <c r="K47" s="97">
        <f t="shared" si="6"/>
        <v>1798.87968</v>
      </c>
      <c r="L47" s="97">
        <f t="shared" si="7"/>
        <v>2380.8891599999997</v>
      </c>
      <c r="M47" s="97">
        <f t="shared" si="8"/>
        <v>2946.8602799999994</v>
      </c>
      <c r="N47" s="22"/>
      <c r="O47" s="97">
        <v>151.46</v>
      </c>
      <c r="P47" s="97">
        <v>220.15</v>
      </c>
      <c r="Q47" s="97">
        <v>264.43</v>
      </c>
      <c r="R47" s="97">
        <v>147.44</v>
      </c>
      <c r="S47" s="97">
        <v>209.31</v>
      </c>
      <c r="T47" s="97">
        <v>248.04</v>
      </c>
      <c r="U47" s="97">
        <v>167.12</v>
      </c>
      <c r="V47" s="97">
        <v>221.19</v>
      </c>
      <c r="W47" s="97">
        <v>273.77</v>
      </c>
      <c r="X47" s="22"/>
      <c r="Y47"/>
      <c r="Z47" s="10">
        <f t="shared" si="9"/>
        <v>0.7082026514596067</v>
      </c>
      <c r="AA47"/>
      <c r="AB47" s="22"/>
    </row>
    <row r="48" spans="1:28" x14ac:dyDescent="0.25">
      <c r="A48" s="16"/>
      <c r="B48" s="3" t="s">
        <v>66</v>
      </c>
      <c r="C48" s="3" t="s">
        <v>67</v>
      </c>
      <c r="D48" s="11" t="s">
        <v>19</v>
      </c>
      <c r="E48" s="97">
        <f t="shared" si="10"/>
        <v>1630.3154400000001</v>
      </c>
      <c r="F48" s="97">
        <f t="shared" si="1"/>
        <v>2369.6945999999998</v>
      </c>
      <c r="G48" s="97">
        <f t="shared" si="2"/>
        <v>2846.3245200000001</v>
      </c>
      <c r="H48" s="97">
        <f t="shared" si="3"/>
        <v>1587.0441599999999</v>
      </c>
      <c r="I48" s="97">
        <f t="shared" si="4"/>
        <v>2253.0128399999999</v>
      </c>
      <c r="J48" s="97">
        <f t="shared" si="5"/>
        <v>2669.9025599999995</v>
      </c>
      <c r="K48" s="97">
        <f t="shared" si="6"/>
        <v>1798.87968</v>
      </c>
      <c r="L48" s="97">
        <f t="shared" si="7"/>
        <v>2380.8891599999997</v>
      </c>
      <c r="M48" s="97">
        <f t="shared" si="8"/>
        <v>2946.8602799999994</v>
      </c>
      <c r="N48" s="22"/>
      <c r="O48" s="97">
        <v>151.46</v>
      </c>
      <c r="P48" s="97">
        <v>220.15</v>
      </c>
      <c r="Q48" s="97">
        <v>264.43</v>
      </c>
      <c r="R48" s="97">
        <v>147.44</v>
      </c>
      <c r="S48" s="97">
        <v>209.31</v>
      </c>
      <c r="T48" s="97">
        <v>248.04</v>
      </c>
      <c r="U48" s="97">
        <v>167.12</v>
      </c>
      <c r="V48" s="97">
        <v>221.19</v>
      </c>
      <c r="W48" s="97">
        <v>273.77</v>
      </c>
      <c r="X48" s="22"/>
      <c r="Y48"/>
      <c r="Z48" s="10">
        <f t="shared" si="9"/>
        <v>0.7082026514596067</v>
      </c>
      <c r="AA48"/>
      <c r="AB48" s="22"/>
    </row>
    <row r="49" spans="1:28" x14ac:dyDescent="0.25">
      <c r="A49" s="16"/>
      <c r="B49" s="3" t="s">
        <v>68</v>
      </c>
      <c r="C49" s="3" t="s">
        <v>69</v>
      </c>
      <c r="D49" s="11" t="s">
        <v>19</v>
      </c>
      <c r="E49" s="97">
        <f t="shared" si="10"/>
        <v>2018.0347199999999</v>
      </c>
      <c r="F49" s="97">
        <f t="shared" si="1"/>
        <v>2935.8809999999999</v>
      </c>
      <c r="G49" s="97">
        <f t="shared" si="2"/>
        <v>3527.5780800000002</v>
      </c>
      <c r="H49" s="97">
        <f t="shared" si="3"/>
        <v>1964.2147199999997</v>
      </c>
      <c r="I49" s="97">
        <f t="shared" si="4"/>
        <v>2791.1052</v>
      </c>
      <c r="J49" s="97">
        <f t="shared" si="5"/>
        <v>3308.6383199999996</v>
      </c>
      <c r="K49" s="97">
        <f t="shared" si="6"/>
        <v>2227.2868799999997</v>
      </c>
      <c r="L49" s="97">
        <f t="shared" si="7"/>
        <v>2949.8741999999997</v>
      </c>
      <c r="M49" s="97">
        <f t="shared" si="8"/>
        <v>3652.4404799999998</v>
      </c>
      <c r="N49" s="22"/>
      <c r="O49" s="97">
        <v>187.48</v>
      </c>
      <c r="P49" s="97">
        <v>272.75</v>
      </c>
      <c r="Q49" s="97">
        <v>327.72</v>
      </c>
      <c r="R49" s="97">
        <v>182.48</v>
      </c>
      <c r="S49" s="97">
        <v>259.3</v>
      </c>
      <c r="T49" s="97">
        <v>307.38</v>
      </c>
      <c r="U49" s="97">
        <v>206.92</v>
      </c>
      <c r="V49" s="97">
        <v>274.05</v>
      </c>
      <c r="W49" s="97">
        <v>339.32</v>
      </c>
      <c r="X49" s="22"/>
      <c r="Y49"/>
      <c r="Z49" s="10">
        <f t="shared" si="9"/>
        <v>0.87662639043738977</v>
      </c>
      <c r="AA49"/>
      <c r="AB49" s="22"/>
    </row>
    <row r="50" spans="1:28" x14ac:dyDescent="0.25">
      <c r="A50" s="16"/>
      <c r="B50" s="3" t="s">
        <v>70</v>
      </c>
      <c r="C50" s="3" t="s">
        <v>71</v>
      </c>
      <c r="D50" s="11" t="s">
        <v>19</v>
      </c>
      <c r="E50" s="97">
        <f t="shared" si="10"/>
        <v>2020.7257199999997</v>
      </c>
      <c r="F50" s="97">
        <f t="shared" si="1"/>
        <v>2939.9713199999997</v>
      </c>
      <c r="G50" s="97">
        <f t="shared" si="2"/>
        <v>3532.4218799999999</v>
      </c>
      <c r="H50" s="97">
        <f t="shared" si="3"/>
        <v>1966.9057199999997</v>
      </c>
      <c r="I50" s="97">
        <f t="shared" si="4"/>
        <v>2794.8725999999997</v>
      </c>
      <c r="J50" s="97">
        <f t="shared" si="5"/>
        <v>3313.2668399999998</v>
      </c>
      <c r="K50" s="97">
        <f t="shared" si="6"/>
        <v>2230.3007999999995</v>
      </c>
      <c r="L50" s="97">
        <f t="shared" si="7"/>
        <v>2953.96452</v>
      </c>
      <c r="M50" s="97">
        <f t="shared" si="8"/>
        <v>3657.4995600000002</v>
      </c>
      <c r="N50" s="22"/>
      <c r="O50" s="97">
        <v>187.73</v>
      </c>
      <c r="P50" s="97">
        <v>273.13</v>
      </c>
      <c r="Q50" s="97">
        <v>328.17</v>
      </c>
      <c r="R50" s="97">
        <v>182.73</v>
      </c>
      <c r="S50" s="97">
        <v>259.64999999999998</v>
      </c>
      <c r="T50" s="97">
        <v>307.81</v>
      </c>
      <c r="U50" s="97">
        <v>207.2</v>
      </c>
      <c r="V50" s="97">
        <v>274.43</v>
      </c>
      <c r="W50" s="97">
        <v>339.79</v>
      </c>
      <c r="X50" s="22"/>
      <c r="Y50"/>
      <c r="Z50" s="10">
        <f t="shared" si="9"/>
        <v>0.87779535031369305</v>
      </c>
      <c r="AA50"/>
      <c r="AB50" s="22"/>
    </row>
    <row r="51" spans="1:28" x14ac:dyDescent="0.25">
      <c r="A51" s="16"/>
      <c r="B51" s="3" t="s">
        <v>72</v>
      </c>
      <c r="C51" s="3" t="s">
        <v>73</v>
      </c>
      <c r="D51" s="11" t="s">
        <v>19</v>
      </c>
      <c r="E51" s="97">
        <f t="shared" si="10"/>
        <v>1073.6013599999999</v>
      </c>
      <c r="F51" s="97">
        <f t="shared" si="1"/>
        <v>1556.4743999999998</v>
      </c>
      <c r="G51" s="97">
        <f t="shared" si="2"/>
        <v>1867.8769199999999</v>
      </c>
      <c r="H51" s="97">
        <f t="shared" si="3"/>
        <v>1045.29204</v>
      </c>
      <c r="I51" s="97">
        <f t="shared" si="4"/>
        <v>1480.2652800000001</v>
      </c>
      <c r="J51" s="97">
        <f t="shared" si="5"/>
        <v>1752.7021199999999</v>
      </c>
      <c r="K51" s="97">
        <f t="shared" si="6"/>
        <v>1183.7170799999999</v>
      </c>
      <c r="L51" s="97">
        <f t="shared" si="7"/>
        <v>1563.9015599999998</v>
      </c>
      <c r="M51" s="97">
        <f t="shared" si="8"/>
        <v>1933.5373199999999</v>
      </c>
      <c r="N51" s="22"/>
      <c r="O51" s="97">
        <v>99.74</v>
      </c>
      <c r="P51" s="97">
        <v>144.6</v>
      </c>
      <c r="Q51" s="97">
        <v>173.53</v>
      </c>
      <c r="R51" s="97">
        <v>97.11</v>
      </c>
      <c r="S51" s="97">
        <v>137.52000000000001</v>
      </c>
      <c r="T51" s="97">
        <v>162.83000000000001</v>
      </c>
      <c r="U51" s="97">
        <v>109.97</v>
      </c>
      <c r="V51" s="97">
        <v>145.29</v>
      </c>
      <c r="W51" s="97">
        <v>179.63</v>
      </c>
      <c r="X51" s="22"/>
      <c r="Y51"/>
      <c r="Z51" s="10">
        <f t="shared" si="9"/>
        <v>0.4663682322499747</v>
      </c>
      <c r="AA51"/>
      <c r="AB51" s="22"/>
    </row>
    <row r="52" spans="1:28" x14ac:dyDescent="0.25">
      <c r="A52" s="16"/>
      <c r="B52" s="3" t="s">
        <v>74</v>
      </c>
      <c r="C52" s="3" t="s">
        <v>75</v>
      </c>
      <c r="D52" s="11" t="s">
        <v>19</v>
      </c>
      <c r="E52" s="97">
        <f t="shared" si="10"/>
        <v>2028.1528799999996</v>
      </c>
      <c r="F52" s="97">
        <f t="shared" si="1"/>
        <v>2950.7353199999998</v>
      </c>
      <c r="G52" s="97">
        <f t="shared" si="2"/>
        <v>3545.4463199999996</v>
      </c>
      <c r="H52" s="97">
        <f t="shared" si="3"/>
        <v>1974.1176</v>
      </c>
      <c r="I52" s="97">
        <f t="shared" si="4"/>
        <v>2805.0983999999999</v>
      </c>
      <c r="J52" s="97">
        <f t="shared" si="5"/>
        <v>3325.3225199999997</v>
      </c>
      <c r="K52" s="97">
        <f t="shared" si="6"/>
        <v>2238.48144</v>
      </c>
      <c r="L52" s="97">
        <f t="shared" si="7"/>
        <v>2964.7285200000001</v>
      </c>
      <c r="M52" s="97">
        <f t="shared" si="8"/>
        <v>3670.9545600000001</v>
      </c>
      <c r="N52" s="22"/>
      <c r="O52" s="97">
        <v>188.42</v>
      </c>
      <c r="P52" s="97">
        <v>274.13</v>
      </c>
      <c r="Q52" s="97">
        <v>329.38</v>
      </c>
      <c r="R52" s="97">
        <v>183.4</v>
      </c>
      <c r="S52" s="97">
        <v>260.60000000000002</v>
      </c>
      <c r="T52" s="97">
        <v>308.93</v>
      </c>
      <c r="U52" s="97">
        <v>207.96</v>
      </c>
      <c r="V52" s="97">
        <v>275.43</v>
      </c>
      <c r="W52" s="97">
        <v>341.04</v>
      </c>
      <c r="X52" s="22"/>
      <c r="Y52"/>
      <c r="Z52" s="10">
        <f t="shared" si="9"/>
        <v>0.88102167957229027</v>
      </c>
      <c r="AA52"/>
      <c r="AB52" s="22"/>
    </row>
    <row r="53" spans="1:28" x14ac:dyDescent="0.25">
      <c r="A53" s="16"/>
      <c r="B53" s="3" t="s">
        <v>76</v>
      </c>
      <c r="C53" s="3" t="s">
        <v>77</v>
      </c>
      <c r="D53" s="11" t="s">
        <v>19</v>
      </c>
      <c r="E53" s="97">
        <f t="shared" si="10"/>
        <v>1693.1772000000001</v>
      </c>
      <c r="F53" s="97">
        <f t="shared" si="1"/>
        <v>2461.51152</v>
      </c>
      <c r="G53" s="97">
        <f t="shared" si="2"/>
        <v>2956.76316</v>
      </c>
      <c r="H53" s="97">
        <f t="shared" si="3"/>
        <v>1648.1836799999999</v>
      </c>
      <c r="I53" s="97">
        <f t="shared" si="4"/>
        <v>2340.3088799999996</v>
      </c>
      <c r="J53" s="97">
        <f t="shared" si="5"/>
        <v>2773.5598799999998</v>
      </c>
      <c r="K53" s="97">
        <f t="shared" si="6"/>
        <v>1868.3074799999997</v>
      </c>
      <c r="L53" s="97">
        <f t="shared" si="7"/>
        <v>2473.2442799999999</v>
      </c>
      <c r="M53" s="97">
        <f t="shared" si="8"/>
        <v>3061.2815999999993</v>
      </c>
      <c r="N53" s="22"/>
      <c r="O53" s="97">
        <v>157.30000000000001</v>
      </c>
      <c r="P53" s="97">
        <v>228.68</v>
      </c>
      <c r="Q53" s="97">
        <v>274.69</v>
      </c>
      <c r="R53" s="97">
        <v>153.12</v>
      </c>
      <c r="S53" s="97">
        <v>217.42</v>
      </c>
      <c r="T53" s="97">
        <v>257.67</v>
      </c>
      <c r="U53" s="97">
        <v>173.57</v>
      </c>
      <c r="V53" s="97">
        <v>229.77</v>
      </c>
      <c r="W53" s="97">
        <v>284.39999999999998</v>
      </c>
      <c r="X53" s="22"/>
      <c r="Y53"/>
      <c r="Z53" s="10">
        <f t="shared" si="9"/>
        <v>0.73550955417005237</v>
      </c>
      <c r="AA53"/>
      <c r="AB53" s="22"/>
    </row>
    <row r="54" spans="1:28" x14ac:dyDescent="0.25">
      <c r="A54" s="16"/>
      <c r="B54" s="3" t="s">
        <v>78</v>
      </c>
      <c r="C54" s="3" t="s">
        <v>79</v>
      </c>
      <c r="D54" s="11" t="s">
        <v>19</v>
      </c>
      <c r="E54" s="97">
        <f t="shared" si="10"/>
        <v>1777.4593199999999</v>
      </c>
      <c r="F54" s="97">
        <f t="shared" si="1"/>
        <v>2584.5440399999998</v>
      </c>
      <c r="G54" s="97">
        <f t="shared" si="2"/>
        <v>3104.8757999999998</v>
      </c>
      <c r="H54" s="97">
        <f t="shared" si="3"/>
        <v>1730.2053599999999</v>
      </c>
      <c r="I54" s="97">
        <f t="shared" si="4"/>
        <v>2457.2059199999999</v>
      </c>
      <c r="J54" s="97">
        <f t="shared" si="5"/>
        <v>2912.4154799999997</v>
      </c>
      <c r="K54" s="97">
        <f t="shared" si="6"/>
        <v>1961.5237199999997</v>
      </c>
      <c r="L54" s="97">
        <f t="shared" si="7"/>
        <v>2596.9226399999998</v>
      </c>
      <c r="M54" s="97">
        <f t="shared" si="8"/>
        <v>3214.6685999999995</v>
      </c>
      <c r="N54" s="22"/>
      <c r="O54" s="97">
        <v>165.13</v>
      </c>
      <c r="P54" s="97">
        <v>240.11</v>
      </c>
      <c r="Q54" s="97">
        <v>288.45</v>
      </c>
      <c r="R54" s="97">
        <v>160.74</v>
      </c>
      <c r="S54" s="97">
        <v>228.28</v>
      </c>
      <c r="T54" s="97">
        <v>270.57</v>
      </c>
      <c r="U54" s="97">
        <v>182.23</v>
      </c>
      <c r="V54" s="97">
        <v>241.26</v>
      </c>
      <c r="W54" s="97">
        <v>298.64999999999998</v>
      </c>
      <c r="X54" s="22"/>
      <c r="Y54"/>
      <c r="Z54" s="10">
        <f t="shared" si="9"/>
        <v>0.77212137749587251</v>
      </c>
      <c r="AA54"/>
      <c r="AB54" s="22"/>
    </row>
    <row r="55" spans="1:28" x14ac:dyDescent="0.25">
      <c r="A55" s="16"/>
      <c r="B55" s="3" t="s">
        <v>80</v>
      </c>
      <c r="C55" s="3" t="s">
        <v>81</v>
      </c>
      <c r="D55" s="11" t="s">
        <v>19</v>
      </c>
      <c r="E55" s="97">
        <f t="shared" si="10"/>
        <v>1844.7343199999998</v>
      </c>
      <c r="F55" s="97">
        <f t="shared" si="1"/>
        <v>2682.81936</v>
      </c>
      <c r="G55" s="97">
        <f t="shared" si="2"/>
        <v>3223.0645199999999</v>
      </c>
      <c r="H55" s="97">
        <f t="shared" si="3"/>
        <v>1795.6504799999998</v>
      </c>
      <c r="I55" s="97">
        <f t="shared" si="4"/>
        <v>2550.63744</v>
      </c>
      <c r="J55" s="97">
        <f t="shared" si="5"/>
        <v>3023.17704</v>
      </c>
      <c r="K55" s="97">
        <f t="shared" si="6"/>
        <v>2035.7953199999997</v>
      </c>
      <c r="L55" s="97">
        <f t="shared" si="7"/>
        <v>2695.6285199999998</v>
      </c>
      <c r="M55" s="97">
        <f t="shared" si="8"/>
        <v>3337.0552799999996</v>
      </c>
      <c r="N55" s="22"/>
      <c r="O55" s="97">
        <v>171.38</v>
      </c>
      <c r="P55" s="97">
        <v>249.24</v>
      </c>
      <c r="Q55" s="97">
        <v>299.43</v>
      </c>
      <c r="R55" s="97">
        <v>166.82</v>
      </c>
      <c r="S55" s="97">
        <v>236.96</v>
      </c>
      <c r="T55" s="97">
        <v>280.86</v>
      </c>
      <c r="U55" s="97">
        <v>189.13</v>
      </c>
      <c r="V55" s="97">
        <v>250.43</v>
      </c>
      <c r="W55" s="97">
        <v>310.02</v>
      </c>
      <c r="X55" s="22"/>
      <c r="Y55"/>
      <c r="Z55" s="10">
        <f t="shared" si="9"/>
        <v>0.80134537440345566</v>
      </c>
      <c r="AA55"/>
      <c r="AB55" s="22"/>
    </row>
    <row r="56" spans="1:28" x14ac:dyDescent="0.25">
      <c r="A56" s="16"/>
      <c r="B56" s="3" t="s">
        <v>82</v>
      </c>
      <c r="C56" s="3" t="s">
        <v>83</v>
      </c>
      <c r="D56" s="11" t="s">
        <v>19</v>
      </c>
      <c r="E56" s="97">
        <f t="shared" si="10"/>
        <v>1455.18516</v>
      </c>
      <c r="F56" s="97">
        <f t="shared" si="1"/>
        <v>2113.9419599999997</v>
      </c>
      <c r="G56" s="97">
        <f t="shared" si="2"/>
        <v>2538.58176</v>
      </c>
      <c r="H56" s="97">
        <f t="shared" si="3"/>
        <v>1416.65004</v>
      </c>
      <c r="I56" s="97">
        <f t="shared" si="4"/>
        <v>2009.9617199999998</v>
      </c>
      <c r="J56" s="97">
        <f t="shared" si="5"/>
        <v>2381.4273600000001</v>
      </c>
      <c r="K56" s="97">
        <f t="shared" si="6"/>
        <v>1605.3429599999997</v>
      </c>
      <c r="L56" s="97">
        <f t="shared" si="7"/>
        <v>2123.9524799999999</v>
      </c>
      <c r="M56" s="97">
        <f t="shared" si="8"/>
        <v>2628.1382399999998</v>
      </c>
      <c r="N56" s="22"/>
      <c r="O56" s="97">
        <v>135.19</v>
      </c>
      <c r="P56" s="97">
        <v>196.39</v>
      </c>
      <c r="Q56" s="97">
        <v>235.84</v>
      </c>
      <c r="R56" s="97">
        <v>131.61000000000001</v>
      </c>
      <c r="S56" s="97">
        <v>186.73</v>
      </c>
      <c r="T56" s="97">
        <v>221.24</v>
      </c>
      <c r="U56" s="97">
        <v>149.13999999999999</v>
      </c>
      <c r="V56" s="97">
        <v>197.32</v>
      </c>
      <c r="W56" s="97">
        <v>244.16</v>
      </c>
      <c r="X56" s="22"/>
      <c r="Y56"/>
      <c r="Z56" s="10">
        <f t="shared" si="9"/>
        <v>0.63212674270978619</v>
      </c>
      <c r="AA56"/>
      <c r="AB56" s="22"/>
    </row>
    <row r="57" spans="1:28" x14ac:dyDescent="0.25">
      <c r="A57" s="16"/>
      <c r="B57" s="3" t="s">
        <v>82</v>
      </c>
      <c r="C57" s="3" t="s">
        <v>84</v>
      </c>
      <c r="D57" s="11" t="s">
        <v>19</v>
      </c>
      <c r="E57" s="8">
        <v>1785.1517818146938</v>
      </c>
      <c r="F57" s="8">
        <v>2432.3803920661853</v>
      </c>
      <c r="G57" s="8">
        <v>3420.6233810476879</v>
      </c>
      <c r="H57" s="8">
        <v>1653.1489384465935</v>
      </c>
      <c r="I57" s="8">
        <v>2258.4410380955492</v>
      </c>
      <c r="J57" s="8">
        <v>2985.2047706226499</v>
      </c>
      <c r="K57" s="8">
        <v>1982.6374381107653</v>
      </c>
      <c r="L57" s="8">
        <v>2501.4945125720283</v>
      </c>
      <c r="M57" s="8">
        <v>3265.9440472153901</v>
      </c>
      <c r="N57" s="22"/>
      <c r="O57" s="8">
        <v>165.84467778611449</v>
      </c>
      <c r="P57" s="8">
        <v>225.97369393733365</v>
      </c>
      <c r="Q57" s="8">
        <v>317.78372474346304</v>
      </c>
      <c r="R57" s="8">
        <v>153.5813121450264</v>
      </c>
      <c r="S57" s="8">
        <v>209.81433067901125</v>
      </c>
      <c r="T57" s="8">
        <v>277.33234134646631</v>
      </c>
      <c r="U57" s="8">
        <v>184.19154630981362</v>
      </c>
      <c r="V57" s="8">
        <v>232.39455358777204</v>
      </c>
      <c r="W57" s="8">
        <v>303.41366134554232</v>
      </c>
      <c r="X57" s="22"/>
      <c r="Y57"/>
      <c r="Z57" s="10">
        <f t="shared" si="9"/>
        <v>0.77546309612168507</v>
      </c>
      <c r="AA57"/>
      <c r="AB57" s="22"/>
    </row>
    <row r="58" spans="1:28" x14ac:dyDescent="0.25">
      <c r="A58" s="16"/>
      <c r="B58" s="3" t="s">
        <v>85</v>
      </c>
      <c r="C58" s="3" t="s">
        <v>86</v>
      </c>
      <c r="D58" s="11" t="s">
        <v>19</v>
      </c>
      <c r="E58" s="8">
        <v>1069.0142416708104</v>
      </c>
      <c r="F58" s="8">
        <v>1456.5984286424664</v>
      </c>
      <c r="G58" s="8">
        <v>2048.3945101939335</v>
      </c>
      <c r="H58" s="8">
        <v>989.96610641471898</v>
      </c>
      <c r="I58" s="8">
        <v>1352.4371755345601</v>
      </c>
      <c r="J58" s="8">
        <v>1787.6499055196418</v>
      </c>
      <c r="K58" s="8">
        <v>1187.2758826454499</v>
      </c>
      <c r="L58" s="8">
        <v>1497.986494281452</v>
      </c>
      <c r="M58" s="8">
        <v>1955.7668622575832</v>
      </c>
      <c r="N58" s="22"/>
      <c r="O58" s="8">
        <v>99.313864661098364</v>
      </c>
      <c r="P58" s="8">
        <v>135.32132086628721</v>
      </c>
      <c r="Q58" s="8">
        <v>190.30052849434549</v>
      </c>
      <c r="R58" s="8">
        <v>91.970112351245461</v>
      </c>
      <c r="S58" s="8">
        <v>125.6445025500776</v>
      </c>
      <c r="T58" s="8">
        <v>166.07675918397513</v>
      </c>
      <c r="U58" s="8">
        <v>110.30064121516742</v>
      </c>
      <c r="V58" s="8">
        <v>139.16636669376894</v>
      </c>
      <c r="W58" s="8">
        <v>181.69520844112645</v>
      </c>
      <c r="X58" s="22"/>
      <c r="Y58"/>
      <c r="Z58" s="10">
        <f t="shared" si="9"/>
        <v>0.464375691797771</v>
      </c>
      <c r="AA58"/>
      <c r="AB58" s="22"/>
    </row>
    <row r="59" spans="1:28" x14ac:dyDescent="0.25">
      <c r="A59" s="16"/>
      <c r="B59" s="3" t="s">
        <v>85</v>
      </c>
      <c r="C59" s="3" t="s">
        <v>87</v>
      </c>
      <c r="D59" s="11" t="s">
        <v>19</v>
      </c>
      <c r="E59" s="8">
        <v>1069.0142416708104</v>
      </c>
      <c r="F59" s="8">
        <v>1456.5984286424664</v>
      </c>
      <c r="G59" s="8">
        <v>2048.3945101939335</v>
      </c>
      <c r="H59" s="8">
        <v>989.96610641471898</v>
      </c>
      <c r="I59" s="8">
        <v>1352.4371755345601</v>
      </c>
      <c r="J59" s="8">
        <v>1787.6499055196418</v>
      </c>
      <c r="K59" s="8">
        <v>1187.2758826454499</v>
      </c>
      <c r="L59" s="8">
        <v>1497.986494281452</v>
      </c>
      <c r="M59" s="8">
        <v>1955.7668622575832</v>
      </c>
      <c r="N59" s="22"/>
      <c r="O59" s="8">
        <v>99.313864661098364</v>
      </c>
      <c r="P59" s="8">
        <v>135.32132086628721</v>
      </c>
      <c r="Q59" s="8">
        <v>190.30052849434549</v>
      </c>
      <c r="R59" s="8">
        <v>91.970112351245461</v>
      </c>
      <c r="S59" s="8">
        <v>125.6445025500776</v>
      </c>
      <c r="T59" s="8">
        <v>166.07675918397513</v>
      </c>
      <c r="U59" s="8">
        <v>110.30064121516742</v>
      </c>
      <c r="V59" s="8">
        <v>139.16636669376894</v>
      </c>
      <c r="W59" s="8">
        <v>181.69520844112645</v>
      </c>
      <c r="X59" s="22"/>
      <c r="Y59"/>
      <c r="Z59" s="10">
        <f t="shared" si="9"/>
        <v>0.464375691797771</v>
      </c>
      <c r="AA59"/>
      <c r="AB59" s="22"/>
    </row>
    <row r="60" spans="1:28" s="34" customFormat="1" x14ac:dyDescent="0.25">
      <c r="A60" s="35"/>
      <c r="B60" s="3" t="s">
        <v>85</v>
      </c>
      <c r="C60" s="3" t="s">
        <v>88</v>
      </c>
      <c r="D60" s="11" t="s">
        <v>19</v>
      </c>
      <c r="E60" s="8">
        <v>1069.0142416708104</v>
      </c>
      <c r="F60" s="8">
        <v>1456.5984286424664</v>
      </c>
      <c r="G60" s="8">
        <v>2048.3945101939335</v>
      </c>
      <c r="H60" s="8">
        <v>989.96610641471898</v>
      </c>
      <c r="I60" s="8">
        <v>1352.4371755345601</v>
      </c>
      <c r="J60" s="8">
        <v>1787.6499055196418</v>
      </c>
      <c r="K60" s="8">
        <v>1187.2758826454499</v>
      </c>
      <c r="L60" s="8">
        <v>1497.986494281452</v>
      </c>
      <c r="M60" s="8">
        <v>1955.7668622575832</v>
      </c>
      <c r="N60" s="33"/>
      <c r="O60" s="8">
        <v>99.313864661098364</v>
      </c>
      <c r="P60" s="8">
        <v>135.32132086628721</v>
      </c>
      <c r="Q60" s="8">
        <v>190.30052849434549</v>
      </c>
      <c r="R60" s="8">
        <v>91.970112351245461</v>
      </c>
      <c r="S60" s="8">
        <v>125.6445025500776</v>
      </c>
      <c r="T60" s="8">
        <v>166.07675918397513</v>
      </c>
      <c r="U60" s="8">
        <v>110.30064121516742</v>
      </c>
      <c r="V60" s="8">
        <v>139.16636669376894</v>
      </c>
      <c r="W60" s="8">
        <v>181.69520844112645</v>
      </c>
      <c r="X60" s="33"/>
      <c r="Z60" s="10">
        <f t="shared" si="9"/>
        <v>0.464375691797771</v>
      </c>
      <c r="AB60" s="33"/>
    </row>
    <row r="61" spans="1:28" x14ac:dyDescent="0.25">
      <c r="A61" s="16"/>
      <c r="B61" s="3" t="s">
        <v>89</v>
      </c>
      <c r="C61" s="3" t="s">
        <v>90</v>
      </c>
      <c r="D61" s="11" t="s">
        <v>19</v>
      </c>
      <c r="E61" s="97">
        <f t="shared" ref="E61:E63" si="11">O61*10.764</f>
        <v>1080.9208799999999</v>
      </c>
      <c r="F61" s="97">
        <f t="shared" ref="F61:F63" si="12">P61*10.764</f>
        <v>1567.3460400000001</v>
      </c>
      <c r="G61" s="97">
        <f t="shared" ref="G61:G63" si="13">Q61*10.764</f>
        <v>1880.7937199999997</v>
      </c>
      <c r="H61" s="97">
        <f t="shared" ref="H61:H63" si="14">R61*10.764</f>
        <v>1052.5039199999999</v>
      </c>
      <c r="I61" s="97">
        <f t="shared" ref="I61:I63" si="15">S61*10.764</f>
        <v>1490.5987199999997</v>
      </c>
      <c r="J61" s="97">
        <f t="shared" ref="J61:J63" si="16">T61*10.764</f>
        <v>1764.86544</v>
      </c>
      <c r="K61" s="97">
        <f t="shared" ref="K61:K63" si="17">U61*10.764</f>
        <v>1191.79008</v>
      </c>
      <c r="L61" s="97">
        <f t="shared" ref="L61:L63" si="18">V61*10.764</f>
        <v>1574.6655599999999</v>
      </c>
      <c r="M61" s="97">
        <f t="shared" ref="M61:M63" si="19">W61*10.764</f>
        <v>1946.9923199999998</v>
      </c>
      <c r="N61" s="22"/>
      <c r="O61" s="97">
        <v>100.42</v>
      </c>
      <c r="P61" s="97">
        <v>145.61000000000001</v>
      </c>
      <c r="Q61" s="97">
        <v>174.73</v>
      </c>
      <c r="R61" s="97">
        <v>97.78</v>
      </c>
      <c r="S61" s="97">
        <v>138.47999999999999</v>
      </c>
      <c r="T61" s="97">
        <v>163.96</v>
      </c>
      <c r="U61" s="97">
        <v>110.72</v>
      </c>
      <c r="V61" s="97">
        <v>146.29</v>
      </c>
      <c r="W61" s="97">
        <v>180.88</v>
      </c>
      <c r="X61" s="22"/>
      <c r="Y61"/>
      <c r="Z61" s="10">
        <f t="shared" si="9"/>
        <v>0.46954780311351979</v>
      </c>
      <c r="AA61"/>
      <c r="AB61" s="22"/>
    </row>
    <row r="62" spans="1:28" x14ac:dyDescent="0.25">
      <c r="A62" s="16"/>
      <c r="B62" s="3" t="s">
        <v>91</v>
      </c>
      <c r="C62" s="3" t="s">
        <v>92</v>
      </c>
      <c r="D62" s="11" t="s">
        <v>19</v>
      </c>
      <c r="E62" s="97">
        <f t="shared" si="11"/>
        <v>954.87443999999982</v>
      </c>
      <c r="F62" s="97">
        <f t="shared" si="12"/>
        <v>1383.06636</v>
      </c>
      <c r="G62" s="97">
        <f t="shared" si="13"/>
        <v>1659.1629599999997</v>
      </c>
      <c r="H62" s="97">
        <f t="shared" si="14"/>
        <v>929.79431999999986</v>
      </c>
      <c r="I62" s="97">
        <f t="shared" si="15"/>
        <v>1315.5760799999998</v>
      </c>
      <c r="J62" s="97">
        <f t="shared" si="16"/>
        <v>1557.0126</v>
      </c>
      <c r="K62" s="97">
        <f t="shared" si="17"/>
        <v>1052.5039199999999</v>
      </c>
      <c r="L62" s="97">
        <f t="shared" si="18"/>
        <v>1389.6324</v>
      </c>
      <c r="M62" s="97">
        <f t="shared" si="19"/>
        <v>1717.5038399999999</v>
      </c>
      <c r="N62" s="22"/>
      <c r="O62" s="97">
        <v>88.71</v>
      </c>
      <c r="P62" s="97">
        <v>128.49</v>
      </c>
      <c r="Q62" s="97">
        <v>154.13999999999999</v>
      </c>
      <c r="R62" s="97">
        <v>86.38</v>
      </c>
      <c r="S62" s="97">
        <v>122.22</v>
      </c>
      <c r="T62" s="97">
        <v>144.65</v>
      </c>
      <c r="U62" s="97">
        <v>97.78</v>
      </c>
      <c r="V62" s="97">
        <v>129.1</v>
      </c>
      <c r="W62" s="97">
        <v>159.56</v>
      </c>
      <c r="X62" s="22"/>
      <c r="Y62"/>
      <c r="Z62" s="10">
        <f t="shared" si="9"/>
        <v>0.41479372250747198</v>
      </c>
      <c r="AA62"/>
      <c r="AB62" s="22"/>
    </row>
    <row r="63" spans="1:28" x14ac:dyDescent="0.25">
      <c r="A63" s="16"/>
      <c r="B63" s="3" t="s">
        <v>93</v>
      </c>
      <c r="C63" s="3" t="s">
        <v>53</v>
      </c>
      <c r="D63" s="11" t="s">
        <v>19</v>
      </c>
      <c r="E63" s="97">
        <f t="shared" si="11"/>
        <v>900.19331999999986</v>
      </c>
      <c r="F63" s="97">
        <f t="shared" si="12"/>
        <v>1303.30512</v>
      </c>
      <c r="G63" s="97">
        <f t="shared" si="13"/>
        <v>1563.2557199999999</v>
      </c>
      <c r="H63" s="97">
        <f t="shared" si="14"/>
        <v>876.62015999999994</v>
      </c>
      <c r="I63" s="97">
        <f t="shared" si="15"/>
        <v>1239.7975200000001</v>
      </c>
      <c r="J63" s="97">
        <f t="shared" si="16"/>
        <v>1467.0255599999998</v>
      </c>
      <c r="K63" s="97">
        <f t="shared" si="17"/>
        <v>992.11788000000001</v>
      </c>
      <c r="L63" s="97">
        <f t="shared" si="18"/>
        <v>1309.5482399999999</v>
      </c>
      <c r="M63" s="97">
        <f t="shared" si="19"/>
        <v>1618.0444799999998</v>
      </c>
      <c r="N63" s="22"/>
      <c r="O63" s="97">
        <v>83.63</v>
      </c>
      <c r="P63" s="97">
        <v>121.08</v>
      </c>
      <c r="Q63" s="97">
        <v>145.22999999999999</v>
      </c>
      <c r="R63" s="97">
        <v>81.44</v>
      </c>
      <c r="S63" s="97">
        <v>115.18</v>
      </c>
      <c r="T63" s="97">
        <v>136.29</v>
      </c>
      <c r="U63" s="97">
        <v>92.17</v>
      </c>
      <c r="V63" s="97">
        <v>121.66</v>
      </c>
      <c r="W63" s="97">
        <v>150.32</v>
      </c>
      <c r="X63" s="22"/>
      <c r="Y63"/>
      <c r="Z63" s="10">
        <f t="shared" si="9"/>
        <v>0.3910404578209884</v>
      </c>
      <c r="AA63"/>
      <c r="AB63" s="22"/>
    </row>
    <row r="64" spans="1:28" x14ac:dyDescent="0.25">
      <c r="A64" s="16"/>
      <c r="B64" s="3" t="s">
        <v>94</v>
      </c>
      <c r="C64" s="3" t="s">
        <v>95</v>
      </c>
      <c r="D64" s="11" t="s">
        <v>19</v>
      </c>
      <c r="E64" s="8">
        <v>1115.0524853607656</v>
      </c>
      <c r="F64" s="8">
        <v>1519.3284006131278</v>
      </c>
      <c r="G64" s="8">
        <v>2136.610814483839</v>
      </c>
      <c r="H64" s="8">
        <v>1032.6000574654399</v>
      </c>
      <c r="I64" s="8">
        <v>1410.6813315387865</v>
      </c>
      <c r="J64" s="8">
        <v>1864.6369640400296</v>
      </c>
      <c r="K64" s="8">
        <v>1238.407190612879</v>
      </c>
      <c r="L64" s="8">
        <v>1562.4988876432124</v>
      </c>
      <c r="M64" s="8">
        <v>2039.9940576452013</v>
      </c>
      <c r="N64" s="22"/>
      <c r="O64" s="8">
        <v>103.59092265044072</v>
      </c>
      <c r="P64" s="8">
        <v>141.14907853652338</v>
      </c>
      <c r="Q64" s="8">
        <v>198.49602464737785</v>
      </c>
      <c r="R64" s="8">
        <v>95.930903779057928</v>
      </c>
      <c r="S64" s="8">
        <v>131.05551767150655</v>
      </c>
      <c r="T64" s="8">
        <v>173.22903275761786</v>
      </c>
      <c r="U64" s="8">
        <v>115.05085650835703</v>
      </c>
      <c r="V64" s="8">
        <v>145.15971538225753</v>
      </c>
      <c r="W64" s="8">
        <v>189.52010726608117</v>
      </c>
      <c r="X64" s="22"/>
      <c r="Y64"/>
      <c r="Z64" s="10">
        <f t="shared" si="9"/>
        <v>0.48437452851042612</v>
      </c>
      <c r="AA64"/>
      <c r="AB64" s="22"/>
    </row>
    <row r="65" spans="1:28" x14ac:dyDescent="0.25">
      <c r="A65" s="16"/>
      <c r="B65" s="3" t="s">
        <v>94</v>
      </c>
      <c r="C65" s="3" t="s">
        <v>96</v>
      </c>
      <c r="D65" s="11" t="s">
        <v>19</v>
      </c>
      <c r="E65" s="8">
        <v>1115.0524853607656</v>
      </c>
      <c r="F65" s="8">
        <v>1519.3284006131278</v>
      </c>
      <c r="G65" s="8">
        <v>2136.610814483839</v>
      </c>
      <c r="H65" s="8">
        <v>1032.6000574654399</v>
      </c>
      <c r="I65" s="8">
        <v>1410.6813315387865</v>
      </c>
      <c r="J65" s="8">
        <v>1864.6369640400296</v>
      </c>
      <c r="K65" s="8">
        <v>1238.407190612879</v>
      </c>
      <c r="L65" s="8">
        <v>1562.4988876432124</v>
      </c>
      <c r="M65" s="8">
        <v>2039.9940576452013</v>
      </c>
      <c r="N65" s="22"/>
      <c r="O65" s="8">
        <v>103.59092265044072</v>
      </c>
      <c r="P65" s="8">
        <v>141.14907853652338</v>
      </c>
      <c r="Q65" s="8">
        <v>198.49602464737785</v>
      </c>
      <c r="R65" s="8">
        <v>95.930903779057928</v>
      </c>
      <c r="S65" s="8">
        <v>131.05551767150655</v>
      </c>
      <c r="T65" s="8">
        <v>173.22903275761786</v>
      </c>
      <c r="U65" s="8">
        <v>115.05085650835703</v>
      </c>
      <c r="V65" s="8">
        <v>145.15971538225753</v>
      </c>
      <c r="W65" s="8">
        <v>189.52010726608117</v>
      </c>
      <c r="X65" s="22"/>
      <c r="Y65"/>
      <c r="Z65" s="10">
        <f t="shared" si="9"/>
        <v>0.48437452851042612</v>
      </c>
      <c r="AA65"/>
      <c r="AB65" s="22"/>
    </row>
    <row r="66" spans="1:28" x14ac:dyDescent="0.25">
      <c r="A66" s="16"/>
      <c r="B66" s="3" t="s">
        <v>94</v>
      </c>
      <c r="C66" s="3" t="s">
        <v>97</v>
      </c>
      <c r="D66" s="11" t="s">
        <v>19</v>
      </c>
      <c r="E66" s="8">
        <v>1115.0524853607656</v>
      </c>
      <c r="F66" s="8">
        <v>1519.3284006131278</v>
      </c>
      <c r="G66" s="8">
        <v>2136.610814483839</v>
      </c>
      <c r="H66" s="8">
        <v>1032.6000574654399</v>
      </c>
      <c r="I66" s="8">
        <v>1410.6813315387865</v>
      </c>
      <c r="J66" s="8">
        <v>1864.6369640400296</v>
      </c>
      <c r="K66" s="8">
        <v>1238.407190612879</v>
      </c>
      <c r="L66" s="8">
        <v>1562.4988876432124</v>
      </c>
      <c r="M66" s="8">
        <v>2039.9940576452013</v>
      </c>
      <c r="N66" s="22"/>
      <c r="O66" s="8">
        <v>103.59092265044072</v>
      </c>
      <c r="P66" s="8">
        <v>141.14907853652338</v>
      </c>
      <c r="Q66" s="8">
        <v>198.49602464737785</v>
      </c>
      <c r="R66" s="8">
        <v>95.930903779057928</v>
      </c>
      <c r="S66" s="8">
        <v>131.05551767150655</v>
      </c>
      <c r="T66" s="8">
        <v>173.22903275761786</v>
      </c>
      <c r="U66" s="8">
        <v>115.05085650835703</v>
      </c>
      <c r="V66" s="8">
        <v>145.15971538225753</v>
      </c>
      <c r="W66" s="8">
        <v>189.52010726608117</v>
      </c>
      <c r="X66" s="22"/>
      <c r="Y66"/>
      <c r="Z66" s="10">
        <f t="shared" si="9"/>
        <v>0.48437452851042612</v>
      </c>
      <c r="AA66"/>
      <c r="AB66" s="22"/>
    </row>
    <row r="67" spans="1:28" x14ac:dyDescent="0.25">
      <c r="A67" s="16"/>
      <c r="B67" s="3" t="s">
        <v>94</v>
      </c>
      <c r="C67" s="3" t="s">
        <v>98</v>
      </c>
      <c r="D67" s="11" t="s">
        <v>19</v>
      </c>
      <c r="E67" s="9">
        <v>1115.0524853607656</v>
      </c>
      <c r="F67" s="9">
        <v>1519.3284006131278</v>
      </c>
      <c r="G67" s="9">
        <v>2136.610814483839</v>
      </c>
      <c r="H67" s="9">
        <v>1032.6000574654399</v>
      </c>
      <c r="I67" s="9">
        <v>1410.6813315387865</v>
      </c>
      <c r="J67" s="9">
        <v>1864.6369640400296</v>
      </c>
      <c r="K67" s="9">
        <v>1238.407190612879</v>
      </c>
      <c r="L67" s="9">
        <v>1562.4988876432124</v>
      </c>
      <c r="M67" s="9">
        <v>2039.9940576452013</v>
      </c>
      <c r="N67" s="22"/>
      <c r="O67" s="9">
        <v>103.59092265044072</v>
      </c>
      <c r="P67" s="9">
        <v>141.14907853652338</v>
      </c>
      <c r="Q67" s="9">
        <v>198.49602464737785</v>
      </c>
      <c r="R67" s="9">
        <v>95.930903779057928</v>
      </c>
      <c r="S67" s="9">
        <v>131.05551767150655</v>
      </c>
      <c r="T67" s="9">
        <v>173.22903275761786</v>
      </c>
      <c r="U67" s="9">
        <v>115.05085650835703</v>
      </c>
      <c r="V67" s="9">
        <v>145.15971538225753</v>
      </c>
      <c r="W67" s="9">
        <v>189.52010726608117</v>
      </c>
      <c r="X67" s="22"/>
      <c r="Y67"/>
      <c r="Z67" s="10">
        <f>O67/$Z$3</f>
        <v>0.48437452851042612</v>
      </c>
      <c r="AA67"/>
      <c r="AB67" s="22"/>
    </row>
    <row r="68" spans="1:28" x14ac:dyDescent="0.25">
      <c r="A68" s="16"/>
      <c r="B68" s="3" t="s">
        <v>99</v>
      </c>
      <c r="C68" s="3" t="s">
        <v>100</v>
      </c>
      <c r="D68" s="11" t="s">
        <v>19</v>
      </c>
      <c r="E68" s="97">
        <f t="shared" ref="E68:M68" si="20">O68*10.764</f>
        <v>1292.1105600000001</v>
      </c>
      <c r="F68" s="97">
        <f t="shared" si="20"/>
        <v>1875.7346399999999</v>
      </c>
      <c r="G68" s="97">
        <f t="shared" si="20"/>
        <v>2251.9364399999999</v>
      </c>
      <c r="H68" s="97">
        <f t="shared" si="20"/>
        <v>1257.88104</v>
      </c>
      <c r="I68" s="97">
        <f t="shared" si="20"/>
        <v>1783.5947999999999</v>
      </c>
      <c r="J68" s="97">
        <f t="shared" si="20"/>
        <v>2112.6502799999998</v>
      </c>
      <c r="K68" s="97">
        <f t="shared" si="20"/>
        <v>1425.1535999999999</v>
      </c>
      <c r="L68" s="97">
        <f t="shared" si="20"/>
        <v>1884.5611200000001</v>
      </c>
      <c r="M68" s="97">
        <f t="shared" si="20"/>
        <v>2331.26712</v>
      </c>
      <c r="N68" s="22"/>
      <c r="O68" s="97">
        <v>120.04</v>
      </c>
      <c r="P68" s="97">
        <v>174.26</v>
      </c>
      <c r="Q68" s="97">
        <v>209.21</v>
      </c>
      <c r="R68" s="97">
        <v>116.86</v>
      </c>
      <c r="S68" s="97">
        <v>165.7</v>
      </c>
      <c r="T68" s="97">
        <v>196.27</v>
      </c>
      <c r="U68" s="97">
        <v>132.4</v>
      </c>
      <c r="V68" s="97">
        <v>175.08</v>
      </c>
      <c r="W68" s="97">
        <v>216.58</v>
      </c>
      <c r="X68" s="22"/>
      <c r="Z68" s="10">
        <f t="shared" ref="Z68" si="21">O68/$Z$3</f>
        <v>0.56128777420580478</v>
      </c>
      <c r="AB68" s="22"/>
    </row>
    <row r="69" spans="1:28" hidden="1" x14ac:dyDescent="0.25">
      <c r="A69" s="16"/>
      <c r="B69" s="3" t="s">
        <v>101</v>
      </c>
      <c r="C69" s="3" t="s">
        <v>102</v>
      </c>
      <c r="D69" s="11" t="s">
        <v>6</v>
      </c>
      <c r="E69" s="8">
        <v>873.74731476877184</v>
      </c>
      <c r="F69" s="8">
        <v>1173.3920089507708</v>
      </c>
      <c r="G69" s="8">
        <v>1411.0910989557435</v>
      </c>
      <c r="H69" s="8">
        <v>771.91800596718053</v>
      </c>
      <c r="I69" s="8">
        <v>1008.6306315266038</v>
      </c>
      <c r="J69" s="8">
        <v>1222.5923222277474</v>
      </c>
      <c r="K69" s="8">
        <v>941.60585280954751</v>
      </c>
      <c r="L69" s="8">
        <v>1144.7536797613127</v>
      </c>
      <c r="M69" s="8">
        <v>1626.1950452511189</v>
      </c>
      <c r="N69" s="22"/>
      <c r="O69" s="8">
        <v>81.173121165644176</v>
      </c>
      <c r="P69" s="8">
        <v>109.01079763840639</v>
      </c>
      <c r="Q69" s="8">
        <v>131.09358600044348</v>
      </c>
      <c r="R69" s="8">
        <v>71.712945801611355</v>
      </c>
      <c r="S69" s="8">
        <v>93.704089363589333</v>
      </c>
      <c r="T69" s="8">
        <v>113.5816191144948</v>
      </c>
      <c r="U69" s="8">
        <v>87.47733433734939</v>
      </c>
      <c r="V69" s="8">
        <v>106.35023144726144</v>
      </c>
      <c r="W69" s="8">
        <v>151.07723390494493</v>
      </c>
      <c r="X69" s="22"/>
      <c r="Y69" s="24">
        <f>O69/$Y$3</f>
        <v>0.55818291281517851</v>
      </c>
      <c r="AB69" s="22"/>
    </row>
    <row r="70" spans="1:28" hidden="1" x14ac:dyDescent="0.25">
      <c r="A70" s="16"/>
      <c r="B70" s="3" t="s">
        <v>103</v>
      </c>
      <c r="C70" s="3" t="s">
        <v>104</v>
      </c>
      <c r="D70" s="11" t="s">
        <v>6</v>
      </c>
      <c r="E70" s="8">
        <v>913.27346593734467</v>
      </c>
      <c r="F70" s="8">
        <v>1302.7311188463452</v>
      </c>
      <c r="G70" s="8">
        <v>1620.4620586772751</v>
      </c>
      <c r="H70" s="8">
        <v>889.69409249129785</v>
      </c>
      <c r="I70" s="8">
        <v>1329.3587419194432</v>
      </c>
      <c r="J70" s="8">
        <v>1563.1098458478371</v>
      </c>
      <c r="K70" s="8">
        <v>1140.8467165589259</v>
      </c>
      <c r="L70" s="8">
        <v>1500.9848264545003</v>
      </c>
      <c r="M70" s="8">
        <v>1928.0522078567878</v>
      </c>
      <c r="N70" s="22"/>
      <c r="O70" s="8">
        <v>84.845190886244367</v>
      </c>
      <c r="P70" s="8">
        <v>121.02669635597606</v>
      </c>
      <c r="Q70" s="8">
        <v>150.54462635819351</v>
      </c>
      <c r="R70" s="8">
        <v>82.65461323822899</v>
      </c>
      <c r="S70" s="8">
        <v>123.50046335649347</v>
      </c>
      <c r="T70" s="8">
        <v>145.21647479488507</v>
      </c>
      <c r="U70" s="8">
        <v>105.98726564232391</v>
      </c>
      <c r="V70" s="8">
        <v>139.4449186007835</v>
      </c>
      <c r="W70" s="8">
        <v>179.12045374750537</v>
      </c>
      <c r="X70" s="22"/>
      <c r="Y70" s="24">
        <f>O70/$Y$3</f>
        <v>0.58343371681620226</v>
      </c>
      <c r="AB70" s="22"/>
    </row>
    <row r="71" spans="1:28" hidden="1" x14ac:dyDescent="0.25">
      <c r="A71" s="16"/>
      <c r="B71" s="3" t="s">
        <v>105</v>
      </c>
      <c r="C71" s="3" t="s">
        <v>106</v>
      </c>
      <c r="D71" s="11" t="s">
        <v>6</v>
      </c>
      <c r="E71" s="8">
        <v>860.94069169567365</v>
      </c>
      <c r="F71" s="8">
        <v>1268.7336111387367</v>
      </c>
      <c r="G71" s="8">
        <v>1716.5761964196915</v>
      </c>
      <c r="H71" s="8">
        <v>887.75782794629538</v>
      </c>
      <c r="I71" s="8">
        <v>1222.5156086524119</v>
      </c>
      <c r="J71" s="8">
        <v>1554.3876931874688</v>
      </c>
      <c r="K71" s="8">
        <v>1150.2660094480357</v>
      </c>
      <c r="L71" s="8">
        <v>1432.9167821979115</v>
      </c>
      <c r="M71" s="8">
        <v>1944.1945887618099</v>
      </c>
      <c r="N71" s="22"/>
      <c r="O71" s="8">
        <v>79.983356632049663</v>
      </c>
      <c r="P71" s="8">
        <v>117.8682502402247</v>
      </c>
      <c r="Q71" s="8">
        <v>159.473849277478</v>
      </c>
      <c r="R71" s="8">
        <v>82.47472983960381</v>
      </c>
      <c r="S71" s="8">
        <v>113.57449224813362</v>
      </c>
      <c r="T71" s="8">
        <v>144.40616689149235</v>
      </c>
      <c r="U71" s="8">
        <v>106.86233946522285</v>
      </c>
      <c r="V71" s="8">
        <v>133.1212418231207</v>
      </c>
      <c r="W71" s="8">
        <v>180.62011780249833</v>
      </c>
      <c r="X71" s="22"/>
      <c r="Y71" s="24">
        <f t="shared" ref="Y71:Y80" si="22">O71/$Y$3</f>
        <v>0.55000155643280191</v>
      </c>
      <c r="AB71" s="22"/>
    </row>
    <row r="72" spans="1:28" hidden="1" x14ac:dyDescent="0.25">
      <c r="A72" s="16"/>
      <c r="B72" s="3" t="s">
        <v>107</v>
      </c>
      <c r="C72" s="3" t="s">
        <v>108</v>
      </c>
      <c r="D72" s="11" t="s">
        <v>6</v>
      </c>
      <c r="E72" s="8">
        <v>967.29903033316759</v>
      </c>
      <c r="F72" s="8">
        <v>967.29903033316759</v>
      </c>
      <c r="G72" s="8">
        <v>967.29903033316759</v>
      </c>
      <c r="H72" s="8">
        <v>967.29903033316759</v>
      </c>
      <c r="I72" s="8">
        <v>967.29903033316759</v>
      </c>
      <c r="J72" s="8">
        <v>967.29903033316759</v>
      </c>
      <c r="K72" s="8">
        <v>967.29903033316759</v>
      </c>
      <c r="L72" s="8">
        <v>967.29903033316759</v>
      </c>
      <c r="M72" s="8">
        <v>967.29903033316759</v>
      </c>
      <c r="N72" s="22"/>
      <c r="O72" s="8">
        <v>89.864500000000007</v>
      </c>
      <c r="P72" s="8">
        <v>150.76600000000002</v>
      </c>
      <c r="Q72" s="8">
        <v>188.79300000000001</v>
      </c>
      <c r="R72" s="8">
        <v>90.2</v>
      </c>
      <c r="S72" s="8">
        <v>151.11250000000001</v>
      </c>
      <c r="T72" s="8">
        <v>175.16400000000002</v>
      </c>
      <c r="U72" s="8">
        <v>97.476500000000001</v>
      </c>
      <c r="V72" s="8">
        <v>150.73850000000002</v>
      </c>
      <c r="W72" s="8">
        <v>172.86500000000001</v>
      </c>
      <c r="X72" s="22"/>
      <c r="Y72" s="24">
        <f t="shared" si="22"/>
        <v>0.61794874520495524</v>
      </c>
      <c r="AB72" s="22"/>
    </row>
    <row r="73" spans="1:28" hidden="1" x14ac:dyDescent="0.25">
      <c r="A73" s="16"/>
      <c r="B73" s="3" t="s">
        <v>109</v>
      </c>
      <c r="C73" s="3" t="s">
        <v>110</v>
      </c>
      <c r="D73" s="11" t="s">
        <v>6</v>
      </c>
      <c r="E73" s="8">
        <v>1058.3843013426156</v>
      </c>
      <c r="F73" s="8">
        <v>1058.3843013426156</v>
      </c>
      <c r="G73" s="8">
        <v>1058.3843013426156</v>
      </c>
      <c r="H73" s="8">
        <v>1058.3843013426156</v>
      </c>
      <c r="I73" s="8">
        <v>1058.3843013426156</v>
      </c>
      <c r="J73" s="8">
        <v>1058.3843013426156</v>
      </c>
      <c r="K73" s="8">
        <v>1058.3843013426156</v>
      </c>
      <c r="L73" s="8">
        <v>1058.3843013426156</v>
      </c>
      <c r="M73" s="8">
        <v>1058.3843013426156</v>
      </c>
      <c r="N73" s="22"/>
      <c r="O73" s="8">
        <v>98.322300000000013</v>
      </c>
      <c r="P73" s="8">
        <v>164.96189999999999</v>
      </c>
      <c r="Q73" s="8">
        <v>206.57420000000002</v>
      </c>
      <c r="R73" s="8">
        <v>98.68610000000001</v>
      </c>
      <c r="S73" s="8">
        <v>165.34710000000001</v>
      </c>
      <c r="T73" s="8">
        <v>191.65840000000003</v>
      </c>
      <c r="U73" s="8">
        <v>106.65760000000002</v>
      </c>
      <c r="V73" s="8">
        <v>164.9298</v>
      </c>
      <c r="W73" s="8">
        <v>191.7654</v>
      </c>
      <c r="X73" s="22"/>
      <c r="Y73" s="24">
        <f t="shared" si="22"/>
        <v>0.67610838440836118</v>
      </c>
      <c r="AB73" s="22"/>
    </row>
    <row r="74" spans="1:28" hidden="1" x14ac:dyDescent="0.25">
      <c r="A74" s="16"/>
      <c r="B74" s="3" t="s">
        <v>111</v>
      </c>
      <c r="C74" s="3" t="s">
        <v>112</v>
      </c>
      <c r="D74" s="11" t="s">
        <v>6</v>
      </c>
      <c r="E74" s="8">
        <v>504.76085629040273</v>
      </c>
      <c r="F74" s="8">
        <v>844.20454549975136</v>
      </c>
      <c r="G74" s="8">
        <v>1154.8402232720039</v>
      </c>
      <c r="H74" s="8">
        <v>540.41963799104917</v>
      </c>
      <c r="I74" s="8">
        <v>871.09930283441076</v>
      </c>
      <c r="J74" s="8">
        <v>1113.611070611636</v>
      </c>
      <c r="K74" s="8">
        <v>649.62988761810038</v>
      </c>
      <c r="L74" s="8">
        <v>927.69384584783677</v>
      </c>
      <c r="M74" s="8">
        <v>1298.2303838886126</v>
      </c>
      <c r="N74" s="22"/>
      <c r="O74" s="8">
        <v>46.89343641436912</v>
      </c>
      <c r="P74" s="8">
        <v>78.428530425382505</v>
      </c>
      <c r="Q74" s="8">
        <v>107.28729437689405</v>
      </c>
      <c r="R74" s="8">
        <v>50.206218678394549</v>
      </c>
      <c r="S74" s="8">
        <v>80.927114808928962</v>
      </c>
      <c r="T74" s="8">
        <v>103.45701192808041</v>
      </c>
      <c r="U74" s="8">
        <v>60.352100303052687</v>
      </c>
      <c r="V74" s="8">
        <v>86.184877115825245</v>
      </c>
      <c r="W74" s="8">
        <v>120.60856779880255</v>
      </c>
      <c r="X74" s="22"/>
      <c r="Y74" s="24">
        <f t="shared" si="22"/>
        <v>0.32246037301278874</v>
      </c>
      <c r="AB74" s="22"/>
    </row>
    <row r="75" spans="1:28" hidden="1" x14ac:dyDescent="0.25">
      <c r="A75" s="16"/>
      <c r="B75" s="3" t="s">
        <v>113</v>
      </c>
      <c r="C75" s="3" t="s">
        <v>114</v>
      </c>
      <c r="D75" s="11" t="s">
        <v>6</v>
      </c>
      <c r="E75" s="8">
        <v>1346.741596384883</v>
      </c>
      <c r="F75" s="8">
        <v>1835.0192323122824</v>
      </c>
      <c r="G75" s="8">
        <v>2580.5625268125318</v>
      </c>
      <c r="H75" s="8">
        <v>1247.156943799105</v>
      </c>
      <c r="I75" s="8">
        <v>1703.7971336499254</v>
      </c>
      <c r="J75" s="8">
        <v>2252.0770946643461</v>
      </c>
      <c r="K75" s="8">
        <v>1495.7273301093981</v>
      </c>
      <c r="L75" s="8">
        <v>1887.1598188612627</v>
      </c>
      <c r="M75" s="8">
        <v>2463.8704364843366</v>
      </c>
      <c r="N75" s="22"/>
      <c r="O75" s="8">
        <v>125.1153702384692</v>
      </c>
      <c r="P75" s="8">
        <v>170.47747783372756</v>
      </c>
      <c r="Q75" s="8">
        <v>239.74015270068003</v>
      </c>
      <c r="R75" s="8">
        <v>115.86372856364105</v>
      </c>
      <c r="S75" s="8">
        <v>158.28664515901028</v>
      </c>
      <c r="T75" s="8">
        <v>209.22310579911667</v>
      </c>
      <c r="U75" s="8">
        <v>138.95648518229359</v>
      </c>
      <c r="V75" s="8">
        <v>175.32145741231798</v>
      </c>
      <c r="W75" s="8">
        <v>228.89919098649193</v>
      </c>
      <c r="X75" s="22"/>
      <c r="Y75" s="24">
        <f t="shared" si="22"/>
        <v>0.86034959349593487</v>
      </c>
      <c r="AB75" s="22"/>
    </row>
    <row r="76" spans="1:28" hidden="1" x14ac:dyDescent="0.25">
      <c r="A76" s="16"/>
      <c r="B76" s="3" t="s">
        <v>115</v>
      </c>
      <c r="C76" s="3" t="s">
        <v>116</v>
      </c>
      <c r="D76" s="11" t="s">
        <v>6</v>
      </c>
      <c r="E76" s="8">
        <v>828.67683043262048</v>
      </c>
      <c r="F76" s="8">
        <v>1147.6344226752858</v>
      </c>
      <c r="G76" s="8">
        <v>1833.9745211337643</v>
      </c>
      <c r="H76" s="8">
        <v>1016.1419254102436</v>
      </c>
      <c r="I76" s="8">
        <v>1304.4877384385877</v>
      </c>
      <c r="J76" s="8">
        <v>1843.1820537046244</v>
      </c>
      <c r="K76" s="8">
        <v>1158.1098498259571</v>
      </c>
      <c r="L76" s="8">
        <v>1385.1916737941322</v>
      </c>
      <c r="M76" s="8">
        <v>2090.2599801093984</v>
      </c>
      <c r="N76" s="22"/>
      <c r="O76" s="8">
        <v>76.985970230615706</v>
      </c>
      <c r="P76" s="8">
        <v>106.6178590435361</v>
      </c>
      <c r="Q76" s="8">
        <v>170.3804217791411</v>
      </c>
      <c r="R76" s="8">
        <v>94.401905721043661</v>
      </c>
      <c r="S76" s="8">
        <v>121.18989032818388</v>
      </c>
      <c r="T76" s="8">
        <v>171.23582258481778</v>
      </c>
      <c r="U76" s="8">
        <v>107.59105015152635</v>
      </c>
      <c r="V76" s="8">
        <v>128.6874702490945</v>
      </c>
      <c r="W76" s="8">
        <v>194.18992626949515</v>
      </c>
      <c r="X76" s="22"/>
      <c r="Y76" s="24">
        <f t="shared" si="22"/>
        <v>0.529390178573241</v>
      </c>
      <c r="AB76" s="22"/>
    </row>
    <row r="77" spans="1:28" hidden="1" x14ac:dyDescent="0.25">
      <c r="A77" s="16"/>
      <c r="B77" s="3" t="s">
        <v>117</v>
      </c>
      <c r="C77" s="3" t="s">
        <v>118</v>
      </c>
      <c r="D77" s="11" t="s">
        <v>6</v>
      </c>
      <c r="E77" s="8">
        <v>1237.1230943535554</v>
      </c>
      <c r="F77" s="8">
        <v>1685.6572017752362</v>
      </c>
      <c r="G77" s="8">
        <v>2370.5167397463952</v>
      </c>
      <c r="H77" s="8">
        <v>1145.6441693038291</v>
      </c>
      <c r="I77" s="8">
        <v>1565.1159716086522</v>
      </c>
      <c r="J77" s="8">
        <v>2068.7684939358528</v>
      </c>
      <c r="K77" s="8">
        <v>1373.9820823097959</v>
      </c>
      <c r="L77" s="8">
        <v>1733.5537870934857</v>
      </c>
      <c r="M77" s="8">
        <v>2263.3228428170064</v>
      </c>
      <c r="N77" s="22"/>
      <c r="O77" s="8">
        <v>114.93156103301241</v>
      </c>
      <c r="P77" s="8">
        <v>156.60140405656367</v>
      </c>
      <c r="Q77" s="8">
        <v>220.22641934132233</v>
      </c>
      <c r="R77" s="8">
        <v>106.43295995962376</v>
      </c>
      <c r="S77" s="8">
        <v>145.40284846002109</v>
      </c>
      <c r="T77" s="8">
        <v>192.19331811779324</v>
      </c>
      <c r="U77" s="8">
        <v>127.6460735976883</v>
      </c>
      <c r="V77" s="8">
        <v>161.05110622759443</v>
      </c>
      <c r="W77" s="8">
        <v>210.26786148759149</v>
      </c>
      <c r="X77" s="22"/>
      <c r="Y77" s="24">
        <f t="shared" si="22"/>
        <v>0.79032113821138217</v>
      </c>
      <c r="AB77" s="22"/>
    </row>
    <row r="78" spans="1:28" hidden="1" x14ac:dyDescent="0.25">
      <c r="A78" s="16"/>
      <c r="B78" s="3" t="s">
        <v>119</v>
      </c>
      <c r="C78" s="3" t="s">
        <v>120</v>
      </c>
      <c r="D78" s="11" t="s">
        <v>6</v>
      </c>
      <c r="E78" s="8">
        <v>1315.4220243759321</v>
      </c>
      <c r="F78" s="8">
        <v>1792.3443664445549</v>
      </c>
      <c r="G78" s="8">
        <v>2520.5494447936353</v>
      </c>
      <c r="H78" s="8">
        <v>1218.1532939433118</v>
      </c>
      <c r="I78" s="8">
        <v>1664.1739444952757</v>
      </c>
      <c r="J78" s="8">
        <v>2199.7032087419193</v>
      </c>
      <c r="K78" s="8">
        <v>1460.942973595226</v>
      </c>
      <c r="L78" s="8">
        <v>1843.2723812133265</v>
      </c>
      <c r="M78" s="8">
        <v>2406.5711240079563</v>
      </c>
      <c r="N78" s="22"/>
      <c r="O78" s="8">
        <v>122.20571046548156</v>
      </c>
      <c r="P78" s="8">
        <v>166.51288532596644</v>
      </c>
      <c r="Q78" s="8">
        <v>234.16480031229207</v>
      </c>
      <c r="R78" s="8">
        <v>113.16922324820754</v>
      </c>
      <c r="S78" s="8">
        <v>154.6055603878705</v>
      </c>
      <c r="T78" s="8">
        <v>204.35745217588143</v>
      </c>
      <c r="U78" s="8">
        <v>135.72493901526352</v>
      </c>
      <c r="V78" s="8">
        <v>171.24421421668268</v>
      </c>
      <c r="W78" s="8">
        <v>223.5759539868061</v>
      </c>
      <c r="X78" s="22"/>
      <c r="Y78" s="24">
        <f t="shared" si="22"/>
        <v>0.84034146341463423</v>
      </c>
      <c r="AB78" s="22"/>
    </row>
    <row r="79" spans="1:28" hidden="1" x14ac:dyDescent="0.25">
      <c r="A79" s="21" t="s">
        <v>121</v>
      </c>
      <c r="B79" s="18" t="s">
        <v>122</v>
      </c>
      <c r="C79" s="18" t="s">
        <v>123</v>
      </c>
      <c r="D79" s="19" t="s">
        <v>6</v>
      </c>
      <c r="E79" s="8"/>
      <c r="F79" s="8"/>
      <c r="G79" s="8"/>
      <c r="H79" s="8"/>
      <c r="I79" s="8"/>
      <c r="J79" s="8"/>
      <c r="K79" s="8"/>
      <c r="L79" s="8"/>
      <c r="M79" s="8"/>
      <c r="N79" s="22"/>
      <c r="X79" s="22"/>
      <c r="AB79" s="22"/>
    </row>
    <row r="80" spans="1:28" hidden="1" x14ac:dyDescent="0.25">
      <c r="A80" s="16"/>
      <c r="B80" s="3" t="s">
        <v>122</v>
      </c>
      <c r="C80" s="3" t="s">
        <v>124</v>
      </c>
      <c r="D80" s="11" t="s">
        <v>6</v>
      </c>
      <c r="E80" s="8">
        <v>1218.5937891596222</v>
      </c>
      <c r="F80" s="8">
        <v>1429.124669318747</v>
      </c>
      <c r="G80" s="8">
        <v>1720.9361760318252</v>
      </c>
      <c r="H80" s="8">
        <v>1056.8764047737445</v>
      </c>
      <c r="I80" s="8">
        <v>1265.5226802585778</v>
      </c>
      <c r="J80" s="8">
        <v>1546.8560616608654</v>
      </c>
      <c r="K80" s="8">
        <v>1228.1855862754851</v>
      </c>
      <c r="L80" s="8">
        <v>1438.0752113376432</v>
      </c>
      <c r="M80" s="8">
        <v>1726.6877851815018</v>
      </c>
      <c r="N80" s="22"/>
      <c r="O80" s="8">
        <v>113.21014625988617</v>
      </c>
      <c r="P80" s="8">
        <v>132.76894587552664</v>
      </c>
      <c r="Q80" s="8">
        <v>159.87890134156257</v>
      </c>
      <c r="R80" s="8">
        <v>98.186231890753191</v>
      </c>
      <c r="S80" s="8">
        <v>117.56994742774779</v>
      </c>
      <c r="T80" s="8">
        <v>143.70646112055584</v>
      </c>
      <c r="U80" s="8">
        <v>114.10124611944713</v>
      </c>
      <c r="V80" s="8">
        <v>133.60047167196393</v>
      </c>
      <c r="W80" s="8">
        <v>160.41323896814251</v>
      </c>
      <c r="X80" s="22"/>
      <c r="Y80" s="24">
        <f t="shared" si="22"/>
        <v>0.77848391551464835</v>
      </c>
      <c r="AB80" s="22"/>
    </row>
    <row r="81" spans="1:28" hidden="1" x14ac:dyDescent="0.25">
      <c r="A81" s="21" t="s">
        <v>121</v>
      </c>
      <c r="B81" s="18" t="s">
        <v>122</v>
      </c>
      <c r="C81" s="18" t="s">
        <v>125</v>
      </c>
      <c r="D81" s="19" t="s">
        <v>6</v>
      </c>
      <c r="E81" s="8"/>
      <c r="F81" s="8"/>
      <c r="G81" s="8"/>
      <c r="H81" s="8"/>
      <c r="I81" s="8"/>
      <c r="J81" s="8"/>
      <c r="K81" s="8"/>
      <c r="L81" s="8"/>
      <c r="M81" s="8"/>
      <c r="N81" s="22"/>
      <c r="X81" s="22"/>
      <c r="AB81" s="22"/>
    </row>
    <row r="82" spans="1:28" hidden="1" x14ac:dyDescent="0.25">
      <c r="A82" s="21" t="s">
        <v>121</v>
      </c>
      <c r="B82" s="18" t="s">
        <v>122</v>
      </c>
      <c r="C82" s="18" t="s">
        <v>126</v>
      </c>
      <c r="D82" s="19" t="s">
        <v>6</v>
      </c>
      <c r="E82" s="8"/>
      <c r="F82" s="8"/>
      <c r="G82" s="8"/>
      <c r="H82" s="8"/>
      <c r="I82" s="8"/>
      <c r="J82" s="8"/>
      <c r="K82" s="8"/>
      <c r="L82" s="8"/>
      <c r="M82" s="8"/>
      <c r="N82" s="22"/>
      <c r="X82" s="22"/>
      <c r="AB82" s="22"/>
    </row>
    <row r="83" spans="1:28" hidden="1" x14ac:dyDescent="0.25">
      <c r="A83" s="21" t="s">
        <v>121</v>
      </c>
      <c r="B83" s="18" t="s">
        <v>122</v>
      </c>
      <c r="C83" s="18" t="s">
        <v>127</v>
      </c>
      <c r="D83" s="19" t="s">
        <v>6</v>
      </c>
      <c r="E83" s="8"/>
      <c r="F83" s="8"/>
      <c r="G83" s="8"/>
      <c r="H83" s="8"/>
      <c r="I83" s="8"/>
      <c r="J83" s="8"/>
      <c r="K83" s="8"/>
      <c r="L83" s="8"/>
      <c r="M83" s="8"/>
      <c r="N83" s="22"/>
      <c r="X83" s="22"/>
      <c r="AB83" s="22"/>
    </row>
    <row r="84" spans="1:28" hidden="1" x14ac:dyDescent="0.25">
      <c r="A84" s="21" t="s">
        <v>121</v>
      </c>
      <c r="B84" s="18" t="s">
        <v>122</v>
      </c>
      <c r="C84" s="18" t="s">
        <v>128</v>
      </c>
      <c r="D84" s="19" t="s">
        <v>6</v>
      </c>
      <c r="E84" s="8"/>
      <c r="F84" s="8"/>
      <c r="G84" s="8"/>
      <c r="H84" s="8"/>
      <c r="I84" s="8"/>
      <c r="J84" s="8"/>
      <c r="K84" s="8"/>
      <c r="L84" s="8"/>
      <c r="M84" s="8"/>
      <c r="N84" s="22"/>
      <c r="X84" s="22"/>
      <c r="AB84" s="22"/>
    </row>
    <row r="85" spans="1:28" hidden="1" x14ac:dyDescent="0.25">
      <c r="A85" s="21"/>
      <c r="B85" s="3" t="s">
        <v>129</v>
      </c>
      <c r="C85" s="3" t="s">
        <v>130</v>
      </c>
      <c r="D85" s="11" t="s">
        <v>6</v>
      </c>
      <c r="E85" s="8">
        <v>954.49575932371965</v>
      </c>
      <c r="F85" s="8">
        <v>1403.1196260566883</v>
      </c>
      <c r="G85" s="8">
        <v>1891.0941720537048</v>
      </c>
      <c r="H85" s="8">
        <v>934.80283441074096</v>
      </c>
      <c r="I85" s="8">
        <v>1306.9535355544506</v>
      </c>
      <c r="J85" s="8">
        <v>1665.6792739930384</v>
      </c>
      <c r="K85" s="8">
        <v>1264.8225022376928</v>
      </c>
      <c r="L85" s="8">
        <v>1580.0541183490802</v>
      </c>
      <c r="M85" s="8">
        <v>2164.7676340129287</v>
      </c>
      <c r="N85" s="22"/>
      <c r="O85" s="8">
        <v>88.674836092837609</v>
      </c>
      <c r="P85" s="8">
        <v>130.35301796141621</v>
      </c>
      <c r="Q85" s="8">
        <v>175.68696780988986</v>
      </c>
      <c r="R85" s="8">
        <v>86.845318390124916</v>
      </c>
      <c r="S85" s="8">
        <v>121.41896851208514</v>
      </c>
      <c r="T85" s="8">
        <v>154.74540893635893</v>
      </c>
      <c r="U85" s="8">
        <v>117.50489929041318</v>
      </c>
      <c r="V85" s="8">
        <v>146.79063641067339</v>
      </c>
      <c r="W85" s="8">
        <v>201.11185749131494</v>
      </c>
      <c r="X85" s="22"/>
      <c r="Y85" s="24">
        <f t="shared" ref="Y85:Y111" si="23">O85/$Y$3</f>
        <v>0.60976808077521238</v>
      </c>
      <c r="AB85" s="22"/>
    </row>
    <row r="86" spans="1:28" hidden="1" x14ac:dyDescent="0.25">
      <c r="A86" s="21"/>
      <c r="B86" s="3" t="s">
        <v>131</v>
      </c>
      <c r="C86" s="3" t="s">
        <v>132</v>
      </c>
      <c r="D86" s="11" t="s">
        <v>6</v>
      </c>
      <c r="E86" s="8">
        <v>971.50637056190953</v>
      </c>
      <c r="F86" s="8">
        <v>1262.3664107409249</v>
      </c>
      <c r="G86" s="8">
        <v>1412.3895224266535</v>
      </c>
      <c r="H86" s="8">
        <v>947.13959542516159</v>
      </c>
      <c r="I86" s="8">
        <v>1152.0544320238687</v>
      </c>
      <c r="J86" s="8">
        <v>1234.1369499751368</v>
      </c>
      <c r="K86" s="8">
        <v>1024.0751564395823</v>
      </c>
      <c r="L86" s="8">
        <v>1231.2371560815516</v>
      </c>
      <c r="M86" s="8">
        <v>1475.2084022476381</v>
      </c>
      <c r="N86" s="22"/>
      <c r="O86" s="8">
        <v>90.255160728804782</v>
      </c>
      <c r="P86" s="8">
        <v>117.27672278069331</v>
      </c>
      <c r="Q86" s="8">
        <v>131.21421250646756</v>
      </c>
      <c r="R86" s="8">
        <v>87.991431665311538</v>
      </c>
      <c r="S86" s="8">
        <v>107.02848800724368</v>
      </c>
      <c r="T86" s="8">
        <v>114.65414139995565</v>
      </c>
      <c r="U86" s="8">
        <v>95.138921003030518</v>
      </c>
      <c r="V86" s="8">
        <v>114.38474392416289</v>
      </c>
      <c r="W86" s="8">
        <v>137.05022991906273</v>
      </c>
      <c r="X86" s="22"/>
      <c r="Y86" s="24">
        <f t="shared" si="23"/>
        <v>0.62063510419171608</v>
      </c>
      <c r="AB86" s="22"/>
    </row>
    <row r="87" spans="1:28" hidden="1" x14ac:dyDescent="0.25">
      <c r="A87" s="21"/>
      <c r="B87" s="3" t="s">
        <v>133</v>
      </c>
      <c r="C87" s="3" t="s">
        <v>134</v>
      </c>
      <c r="D87" s="11" t="s">
        <v>6</v>
      </c>
      <c r="E87" s="8">
        <v>1152.6033615116858</v>
      </c>
      <c r="F87" s="8">
        <v>1576.4909646941821</v>
      </c>
      <c r="G87" s="8">
        <v>2005.5599005469915</v>
      </c>
      <c r="H87" s="8">
        <v>1141.8405768274492</v>
      </c>
      <c r="I87" s="8">
        <v>1532.6268175037296</v>
      </c>
      <c r="J87" s="8">
        <v>1918.8994778717058</v>
      </c>
      <c r="K87" s="8">
        <v>1355.8854838388861</v>
      </c>
      <c r="L87" s="8">
        <v>1678.3695967180511</v>
      </c>
      <c r="M87" s="8">
        <v>2447.6861884634513</v>
      </c>
      <c r="N87" s="22"/>
      <c r="O87" s="8">
        <v>107.07948481040727</v>
      </c>
      <c r="P87" s="8">
        <v>146.45961129795253</v>
      </c>
      <c r="Q87" s="8">
        <v>186.32109542464335</v>
      </c>
      <c r="R87" s="8">
        <v>106.07959753122921</v>
      </c>
      <c r="S87" s="8">
        <v>142.38453183901248</v>
      </c>
      <c r="T87" s="8">
        <v>178.27014422721561</v>
      </c>
      <c r="U87" s="8">
        <v>125.96485826742553</v>
      </c>
      <c r="V87" s="8">
        <v>155.92436890198832</v>
      </c>
      <c r="W87" s="8">
        <v>227.39563738081159</v>
      </c>
      <c r="X87" s="22"/>
      <c r="Y87" s="24">
        <f t="shared" si="23"/>
        <v>0.73632672830521761</v>
      </c>
      <c r="AB87" s="22"/>
    </row>
    <row r="88" spans="1:28" hidden="1" x14ac:dyDescent="0.25">
      <c r="A88" s="21"/>
      <c r="B88" s="3" t="s">
        <v>135</v>
      </c>
      <c r="C88" s="3" t="s">
        <v>136</v>
      </c>
      <c r="D88" s="11" t="s">
        <v>6</v>
      </c>
      <c r="E88" s="8">
        <v>1170.9677274987569</v>
      </c>
      <c r="F88" s="8">
        <v>1170.9677274987569</v>
      </c>
      <c r="G88" s="8">
        <v>1170.9677274987569</v>
      </c>
      <c r="H88" s="8">
        <v>1170.9677274987569</v>
      </c>
      <c r="I88" s="8">
        <v>1170.9677274987569</v>
      </c>
      <c r="J88" s="8">
        <v>1170.9677274987569</v>
      </c>
      <c r="K88" s="8">
        <v>1170.9677274987569</v>
      </c>
      <c r="L88" s="8">
        <v>1170.9677274987569</v>
      </c>
      <c r="M88" s="8">
        <v>1170.9677274987569</v>
      </c>
      <c r="N88" s="22"/>
      <c r="O88" s="8">
        <v>108.78660000000001</v>
      </c>
      <c r="P88" s="8">
        <v>146.8246</v>
      </c>
      <c r="Q88" s="8">
        <v>157.53919999999999</v>
      </c>
      <c r="R88" s="8">
        <v>98.378799999999998</v>
      </c>
      <c r="S88" s="8">
        <v>127.9902</v>
      </c>
      <c r="T88" s="8">
        <v>141.60380000000001</v>
      </c>
      <c r="U88" s="8">
        <v>107.3254</v>
      </c>
      <c r="V88" s="8">
        <v>131.8434</v>
      </c>
      <c r="W88" s="8">
        <v>145.06960000000001</v>
      </c>
      <c r="X88" s="22"/>
      <c r="Y88" s="24">
        <f t="shared" si="23"/>
        <v>0.74806562063009741</v>
      </c>
      <c r="AB88" s="22"/>
    </row>
    <row r="89" spans="1:28" hidden="1" x14ac:dyDescent="0.25">
      <c r="A89" s="21"/>
      <c r="B89" s="3" t="s">
        <v>137</v>
      </c>
      <c r="C89" s="3" t="s">
        <v>138</v>
      </c>
      <c r="D89" s="11" t="s">
        <v>6</v>
      </c>
      <c r="E89" s="8">
        <v>686.05941819990062</v>
      </c>
      <c r="F89" s="8">
        <v>1162.8963252113376</v>
      </c>
      <c r="G89" s="8">
        <v>1660.5452909000498</v>
      </c>
      <c r="H89" s="8">
        <v>681.51125310790655</v>
      </c>
      <c r="I89" s="8">
        <v>947.87421183490801</v>
      </c>
      <c r="J89" s="8">
        <v>1253.1269617105918</v>
      </c>
      <c r="K89" s="8">
        <v>858.10036051715565</v>
      </c>
      <c r="L89" s="8">
        <v>1039.1328677274989</v>
      </c>
      <c r="M89" s="8">
        <v>1443.1224082545996</v>
      </c>
      <c r="N89" s="22"/>
      <c r="O89" s="8">
        <v>71.145825633823634</v>
      </c>
      <c r="P89" s="8">
        <v>119.5462917621406</v>
      </c>
      <c r="Q89" s="8">
        <v>140.78529547638405</v>
      </c>
      <c r="R89" s="8">
        <v>71.661784869539503</v>
      </c>
      <c r="S89" s="8">
        <v>114.98585076502329</v>
      </c>
      <c r="T89" s="8">
        <v>128.94102067780324</v>
      </c>
      <c r="U89" s="8">
        <v>76.484921187818756</v>
      </c>
      <c r="V89" s="8">
        <v>105.58739970618672</v>
      </c>
      <c r="W89" s="8">
        <v>132.36847193990687</v>
      </c>
      <c r="X89" s="22"/>
      <c r="Y89" s="24">
        <f t="shared" si="23"/>
        <v>0.48923071598898177</v>
      </c>
      <c r="AB89" s="22"/>
    </row>
    <row r="90" spans="1:28" hidden="1" x14ac:dyDescent="0.25">
      <c r="A90" s="16"/>
      <c r="B90" s="3" t="s">
        <v>139</v>
      </c>
      <c r="C90" s="3" t="s">
        <v>140</v>
      </c>
      <c r="D90" s="11" t="s">
        <v>6</v>
      </c>
      <c r="E90" s="8">
        <v>746.2023440079563</v>
      </c>
      <c r="F90" s="8">
        <v>1095.9434756837395</v>
      </c>
      <c r="G90" s="8">
        <v>1467.9147628045748</v>
      </c>
      <c r="H90" s="8">
        <v>731.07117941322724</v>
      </c>
      <c r="I90" s="8">
        <v>1020.2901305818002</v>
      </c>
      <c r="J90" s="8">
        <v>1294.1182460467428</v>
      </c>
      <c r="K90" s="8">
        <v>1012.6319152660368</v>
      </c>
      <c r="L90" s="8">
        <v>1257.4741828940826</v>
      </c>
      <c r="M90" s="8">
        <v>1700.9926338140228</v>
      </c>
      <c r="N90" s="22"/>
      <c r="O90" s="4">
        <v>69.323902071476084</v>
      </c>
      <c r="P90" s="4">
        <v>101.81565200680021</v>
      </c>
      <c r="Q90" s="4">
        <v>136.37263415625694</v>
      </c>
      <c r="R90" s="4">
        <v>67.918182321309772</v>
      </c>
      <c r="S90" s="4">
        <v>94.787283455909531</v>
      </c>
      <c r="T90" s="4">
        <v>120.22654080124177</v>
      </c>
      <c r="U90" s="4">
        <v>94.075817761844917</v>
      </c>
      <c r="V90" s="4">
        <v>116.82222363995859</v>
      </c>
      <c r="W90" s="4">
        <v>158.02610071882623</v>
      </c>
      <c r="X90" s="22"/>
      <c r="Y90" s="24">
        <f t="shared" si="23"/>
        <v>0.47670234962393204</v>
      </c>
      <c r="AB90" s="22"/>
    </row>
    <row r="91" spans="1:28" hidden="1" x14ac:dyDescent="0.25">
      <c r="A91" s="16"/>
      <c r="B91" s="3" t="s">
        <v>141</v>
      </c>
      <c r="C91" s="3" t="s">
        <v>141</v>
      </c>
      <c r="D91" s="11" t="s">
        <v>6</v>
      </c>
      <c r="E91" s="8">
        <v>1009.3823968175037</v>
      </c>
      <c r="F91" s="8">
        <v>1402.8199900546992</v>
      </c>
      <c r="G91" s="8">
        <v>1669.17105917454</v>
      </c>
      <c r="H91" s="8">
        <v>972.71954251616114</v>
      </c>
      <c r="I91" s="8">
        <v>1430.9517652909001</v>
      </c>
      <c r="J91" s="8">
        <v>1594.3575335653904</v>
      </c>
      <c r="K91" s="8">
        <v>1228.1882645450025</v>
      </c>
      <c r="L91" s="8">
        <v>1659.8113376429637</v>
      </c>
      <c r="M91" s="8">
        <v>1947.8415713575334</v>
      </c>
      <c r="N91" s="22"/>
      <c r="O91" s="8">
        <v>93.773930076132743</v>
      </c>
      <c r="P91" s="8">
        <v>130.32518109246803</v>
      </c>
      <c r="Q91" s="8">
        <v>155.06980375489687</v>
      </c>
      <c r="R91" s="8">
        <v>90.367867174218333</v>
      </c>
      <c r="S91" s="8">
        <v>132.93868726439499</v>
      </c>
      <c r="T91" s="8">
        <v>148.11945635301942</v>
      </c>
      <c r="U91" s="8">
        <v>114.10149493680242</v>
      </c>
      <c r="V91" s="8">
        <v>154.20026424717273</v>
      </c>
      <c r="W91" s="8">
        <v>180.95893081528567</v>
      </c>
      <c r="X91" s="22"/>
      <c r="Y91" s="24">
        <f t="shared" si="23"/>
        <v>0.6448317458338213</v>
      </c>
      <c r="AB91" s="22"/>
    </row>
    <row r="92" spans="1:28" hidden="1" x14ac:dyDescent="0.25">
      <c r="A92" s="16"/>
      <c r="B92" s="3" t="s">
        <v>142</v>
      </c>
      <c r="C92" s="3" t="s">
        <v>143</v>
      </c>
      <c r="D92" s="11" t="s">
        <v>6</v>
      </c>
      <c r="E92" s="8">
        <v>1234.5493153031327</v>
      </c>
      <c r="F92" s="8">
        <v>1682.1502676537048</v>
      </c>
      <c r="G92" s="8">
        <v>2365.584986106614</v>
      </c>
      <c r="H92" s="8">
        <v>1143.2607080495277</v>
      </c>
      <c r="I92" s="8">
        <v>1561.859818104127</v>
      </c>
      <c r="J92" s="8">
        <v>2064.4645139728495</v>
      </c>
      <c r="K92" s="8">
        <v>1371.1235742799602</v>
      </c>
      <c r="L92" s="8">
        <v>1729.9472062767777</v>
      </c>
      <c r="M92" s="8">
        <v>2258.6141012667331</v>
      </c>
      <c r="N92" s="22"/>
      <c r="O92" s="8">
        <v>114.6924510807617</v>
      </c>
      <c r="P92" s="8">
        <v>156.27560186689703</v>
      </c>
      <c r="Q92" s="8">
        <v>219.76824816414737</v>
      </c>
      <c r="R92" s="8">
        <v>106.21153096531525</v>
      </c>
      <c r="S92" s="8">
        <v>145.10034436245289</v>
      </c>
      <c r="T92" s="8">
        <v>191.79346854901507</v>
      </c>
      <c r="U92" s="8">
        <v>127.38051167293408</v>
      </c>
      <c r="V92" s="8">
        <v>160.71604663235456</v>
      </c>
      <c r="W92" s="8">
        <v>209.83040864288751</v>
      </c>
      <c r="X92" s="22"/>
      <c r="Y92" s="24">
        <f t="shared" si="23"/>
        <v>0.78867691056910572</v>
      </c>
      <c r="AB92" s="22"/>
    </row>
    <row r="93" spans="1:28" hidden="1" x14ac:dyDescent="0.25">
      <c r="A93" s="16"/>
      <c r="B93" s="3" t="s">
        <v>144</v>
      </c>
      <c r="C93" s="3" t="s">
        <v>145</v>
      </c>
      <c r="D93" s="11" t="s">
        <v>6</v>
      </c>
      <c r="E93" s="8">
        <v>752.06740427647935</v>
      </c>
      <c r="F93" s="8">
        <v>1066.1323570363004</v>
      </c>
      <c r="G93" s="8">
        <v>1396.1472799602188</v>
      </c>
      <c r="H93" s="8">
        <v>778.28000994530089</v>
      </c>
      <c r="I93" s="8">
        <v>974.37520139234221</v>
      </c>
      <c r="J93" s="8">
        <v>1199.1065937344606</v>
      </c>
      <c r="K93" s="8">
        <v>742.82315763301847</v>
      </c>
      <c r="L93" s="8">
        <v>906.49325211337646</v>
      </c>
      <c r="M93" s="8">
        <v>1185.0784733963203</v>
      </c>
      <c r="N93" s="22"/>
      <c r="O93" s="8">
        <v>69.868779566117226</v>
      </c>
      <c r="P93" s="8">
        <v>99.046130996378139</v>
      </c>
      <c r="Q93" s="8">
        <v>129.70527108433734</v>
      </c>
      <c r="R93" s="8">
        <v>72.30399050188484</v>
      </c>
      <c r="S93" s="8">
        <v>90.521681665311561</v>
      </c>
      <c r="T93" s="8">
        <v>111.39974129647423</v>
      </c>
      <c r="U93" s="8">
        <v>69.009967939241633</v>
      </c>
      <c r="V93" s="8">
        <v>84.215293536107623</v>
      </c>
      <c r="W93" s="8">
        <v>110.09649687707886</v>
      </c>
      <c r="X93" s="22"/>
      <c r="Y93" s="24">
        <f t="shared" si="23"/>
        <v>0.48044917249730157</v>
      </c>
      <c r="AB93" s="22"/>
    </row>
    <row r="94" spans="1:28" hidden="1" x14ac:dyDescent="0.25">
      <c r="A94" s="16"/>
      <c r="B94" s="3" t="s">
        <v>146</v>
      </c>
      <c r="C94" s="3" t="s">
        <v>147</v>
      </c>
      <c r="D94" s="11" t="s">
        <v>6</v>
      </c>
      <c r="E94" s="8">
        <v>963.33580009945297</v>
      </c>
      <c r="F94" s="8">
        <v>1403.5290337145698</v>
      </c>
      <c r="G94" s="8">
        <v>1992.8350245648928</v>
      </c>
      <c r="H94" s="8">
        <v>939.43483262058669</v>
      </c>
      <c r="I94" s="8">
        <v>1316.8858406762804</v>
      </c>
      <c r="J94" s="8">
        <v>1755.0051246146195</v>
      </c>
      <c r="K94" s="8">
        <v>1212.2018458478367</v>
      </c>
      <c r="L94" s="8">
        <v>1535.4781294878167</v>
      </c>
      <c r="M94" s="8">
        <v>2170.2963180507209</v>
      </c>
      <c r="N94" s="22"/>
      <c r="O94" s="8">
        <v>89.496096071402164</v>
      </c>
      <c r="P94" s="8">
        <v>130.39105286791334</v>
      </c>
      <c r="Q94" s="8">
        <v>185.13892538251162</v>
      </c>
      <c r="R94" s="8">
        <v>87.275641603222695</v>
      </c>
      <c r="S94" s="8">
        <v>122.34170234311478</v>
      </c>
      <c r="T94" s="8">
        <v>163.04398447778843</v>
      </c>
      <c r="U94" s="8">
        <v>112.61632012713429</v>
      </c>
      <c r="V94" s="8">
        <v>142.64942523468102</v>
      </c>
      <c r="W94" s="8">
        <v>201.6254848658437</v>
      </c>
      <c r="X94" s="22"/>
      <c r="Y94" s="24">
        <f t="shared" si="23"/>
        <v>0.61541543399301268</v>
      </c>
      <c r="AB94" s="22"/>
    </row>
    <row r="95" spans="1:28" hidden="1" x14ac:dyDescent="0.25">
      <c r="A95" s="16"/>
      <c r="B95" s="3" t="s">
        <v>148</v>
      </c>
      <c r="C95" s="3" t="s">
        <v>149</v>
      </c>
      <c r="D95" s="11" t="s">
        <v>6</v>
      </c>
      <c r="E95" s="8">
        <v>1248.914066911984</v>
      </c>
      <c r="F95" s="8">
        <v>1701.723135634013</v>
      </c>
      <c r="G95" s="8">
        <v>2393.1100434808554</v>
      </c>
      <c r="H95" s="8">
        <v>1156.5632597513677</v>
      </c>
      <c r="I95" s="8">
        <v>1580.0330316459474</v>
      </c>
      <c r="J95" s="8">
        <v>2088.4858467628046</v>
      </c>
      <c r="K95" s="8">
        <v>1387.0774526106416</v>
      </c>
      <c r="L95" s="8">
        <v>1750.0762214619592</v>
      </c>
      <c r="M95" s="8">
        <v>2284.8944856489311</v>
      </c>
      <c r="N95" s="22"/>
      <c r="O95" s="8">
        <v>116.02696931406608</v>
      </c>
      <c r="P95" s="8">
        <v>158.09396600635671</v>
      </c>
      <c r="Q95" s="8">
        <v>222.32538886096532</v>
      </c>
      <c r="R95" s="8">
        <v>107.4473684012122</v>
      </c>
      <c r="S95" s="8">
        <v>146.78867740779069</v>
      </c>
      <c r="T95" s="8">
        <v>194.02510522950701</v>
      </c>
      <c r="U95" s="8">
        <v>128.86266340823417</v>
      </c>
      <c r="V95" s="8">
        <v>162.5860781173775</v>
      </c>
      <c r="W95" s="8">
        <v>212.27191637593316</v>
      </c>
      <c r="X95" s="22"/>
      <c r="Y95" s="24">
        <f t="shared" si="23"/>
        <v>0.79785365853658541</v>
      </c>
      <c r="AB95" s="22"/>
    </row>
    <row r="96" spans="1:28" hidden="1" x14ac:dyDescent="0.25">
      <c r="A96" s="16"/>
      <c r="B96" s="3" t="s">
        <v>150</v>
      </c>
      <c r="C96" s="3" t="s">
        <v>151</v>
      </c>
      <c r="D96" s="11" t="s">
        <v>6</v>
      </c>
      <c r="E96" s="8">
        <v>1002.5789358528094</v>
      </c>
      <c r="F96" s="8">
        <v>1381.4179214321232</v>
      </c>
      <c r="G96" s="8">
        <v>1639.8664147190452</v>
      </c>
      <c r="H96" s="8">
        <v>952.93867727498753</v>
      </c>
      <c r="I96" s="8">
        <v>1288.2369368473394</v>
      </c>
      <c r="J96" s="8">
        <v>1490.6664942814518</v>
      </c>
      <c r="K96" s="8">
        <v>935.20507608155151</v>
      </c>
      <c r="L96" s="8">
        <v>1167.1389159622076</v>
      </c>
      <c r="M96" s="8">
        <v>1435.5876877175535</v>
      </c>
      <c r="N96" s="22"/>
      <c r="O96" s="8">
        <v>93.141873013526478</v>
      </c>
      <c r="P96" s="8">
        <v>128.33688003547934</v>
      </c>
      <c r="Q96" s="8">
        <v>152.34733535368466</v>
      </c>
      <c r="R96" s="8">
        <v>88.530179614162165</v>
      </c>
      <c r="S96" s="8">
        <v>119.68015374380958</v>
      </c>
      <c r="T96" s="8">
        <v>138.48632197501661</v>
      </c>
      <c r="U96" s="8">
        <v>86.882687560056169</v>
      </c>
      <c r="V96" s="8">
        <v>108.42987101781358</v>
      </c>
      <c r="W96" s="8">
        <v>133.36937504619704</v>
      </c>
      <c r="X96" s="22"/>
      <c r="Y96" s="24">
        <f t="shared" si="23"/>
        <v>0.64048543701626304</v>
      </c>
      <c r="AB96" s="22"/>
    </row>
    <row r="97" spans="1:28" hidden="1" x14ac:dyDescent="0.25">
      <c r="A97" s="16"/>
      <c r="B97" s="3" t="s">
        <v>152</v>
      </c>
      <c r="C97" s="3" t="s">
        <v>153</v>
      </c>
      <c r="D97" s="11" t="s">
        <v>6</v>
      </c>
      <c r="E97" s="8">
        <v>791.21266036797613</v>
      </c>
      <c r="F97" s="8">
        <v>1361.37093983093</v>
      </c>
      <c r="G97" s="8">
        <v>1695.3626653406266</v>
      </c>
      <c r="H97" s="8">
        <v>760.85922426653406</v>
      </c>
      <c r="I97" s="8">
        <v>1340.9206762804574</v>
      </c>
      <c r="J97" s="8">
        <v>1581.3148184982595</v>
      </c>
      <c r="K97" s="8">
        <v>840.83376429636996</v>
      </c>
      <c r="L97" s="8">
        <v>1340.9766882148185</v>
      </c>
      <c r="M97" s="8">
        <v>1571.3847120835405</v>
      </c>
      <c r="N97" s="22"/>
      <c r="O97" s="8">
        <v>73.505463264099333</v>
      </c>
      <c r="P97" s="8">
        <v>126.47446965777219</v>
      </c>
      <c r="Q97" s="8">
        <v>157.50306378889789</v>
      </c>
      <c r="R97" s="8">
        <v>70.685559723556807</v>
      </c>
      <c r="S97" s="8">
        <v>124.5745934658881</v>
      </c>
      <c r="T97" s="8">
        <v>146.90775833394926</v>
      </c>
      <c r="U97" s="8">
        <v>78.115377152782912</v>
      </c>
      <c r="V97" s="8">
        <v>124.57979710252052</v>
      </c>
      <c r="W97" s="8">
        <v>145.98522876783204</v>
      </c>
      <c r="X97" s="22"/>
      <c r="Y97" s="24">
        <f t="shared" si="23"/>
        <v>0.50545664628144726</v>
      </c>
      <c r="AB97" s="22"/>
    </row>
    <row r="98" spans="1:28" hidden="1" x14ac:dyDescent="0.25">
      <c r="A98" s="16"/>
      <c r="B98" s="3" t="s">
        <v>154</v>
      </c>
      <c r="C98" s="3" t="s">
        <v>155</v>
      </c>
      <c r="D98" s="11" t="s">
        <v>6</v>
      </c>
      <c r="E98" s="8">
        <v>825.60973717056186</v>
      </c>
      <c r="F98" s="8">
        <v>1270.6612336051714</v>
      </c>
      <c r="G98" s="8">
        <v>1716.0124070810539</v>
      </c>
      <c r="H98" s="8">
        <v>866.77743454997506</v>
      </c>
      <c r="I98" s="8">
        <v>1236.1546660815513</v>
      </c>
      <c r="J98" s="8">
        <v>1577.309375743411</v>
      </c>
      <c r="K98" s="8">
        <v>1078.8648354152162</v>
      </c>
      <c r="L98" s="8">
        <v>1395.1896568523121</v>
      </c>
      <c r="M98" s="8">
        <v>1903.0768497165586</v>
      </c>
      <c r="N98" s="22"/>
      <c r="O98" s="8">
        <v>76.70103026138294</v>
      </c>
      <c r="P98" s="8">
        <v>118.04733077001255</v>
      </c>
      <c r="Q98" s="8">
        <v>159.42147196023353</v>
      </c>
      <c r="R98" s="8">
        <v>80.525603374233128</v>
      </c>
      <c r="S98" s="8">
        <v>114.84159183466994</v>
      </c>
      <c r="T98" s="8">
        <v>146.53564355366248</v>
      </c>
      <c r="U98" s="8">
        <v>100.22900731853795</v>
      </c>
      <c r="V98" s="8">
        <v>129.61630571041835</v>
      </c>
      <c r="W98" s="8">
        <v>176.80018593299576</v>
      </c>
      <c r="X98" s="22"/>
      <c r="Y98" s="24">
        <f t="shared" si="23"/>
        <v>0.52743080310855661</v>
      </c>
      <c r="AB98" s="22"/>
    </row>
    <row r="99" spans="1:28" hidden="1" x14ac:dyDescent="0.25">
      <c r="A99" s="16"/>
      <c r="B99" s="3" t="s">
        <v>156</v>
      </c>
      <c r="C99" s="3" t="s">
        <v>157</v>
      </c>
      <c r="D99" s="11" t="s">
        <v>6</v>
      </c>
      <c r="E99" s="8">
        <v>960.78473754351069</v>
      </c>
      <c r="F99" s="8">
        <v>1330.5906227747391</v>
      </c>
      <c r="G99" s="8">
        <v>2126.3472731974143</v>
      </c>
      <c r="H99" s="8">
        <v>962.629915464943</v>
      </c>
      <c r="I99" s="8">
        <v>1296.9146542018896</v>
      </c>
      <c r="J99" s="8">
        <v>1922.9498120338144</v>
      </c>
      <c r="K99" s="8">
        <v>1222.4189525609152</v>
      </c>
      <c r="L99" s="8">
        <v>1490.3509609149678</v>
      </c>
      <c r="M99" s="8">
        <v>2307.8214762804578</v>
      </c>
      <c r="N99" s="22"/>
      <c r="O99" s="8">
        <v>89.259096533372755</v>
      </c>
      <c r="P99" s="8">
        <v>123.61490790154483</v>
      </c>
      <c r="Q99" s="8">
        <v>197.54251822011975</v>
      </c>
      <c r="R99" s="8">
        <v>89.43051777662798</v>
      </c>
      <c r="S99" s="8">
        <v>120.48633350580235</v>
      </c>
      <c r="T99" s="8">
        <v>178.64642952176806</v>
      </c>
      <c r="U99" s="8">
        <v>113.56551267647276</v>
      </c>
      <c r="V99" s="8">
        <v>138.45700820459751</v>
      </c>
      <c r="W99" s="8">
        <v>214.40188617044865</v>
      </c>
      <c r="X99" s="22"/>
      <c r="Y99" s="24">
        <f t="shared" si="23"/>
        <v>0.61378571850870656</v>
      </c>
      <c r="AB99" s="22"/>
    </row>
    <row r="100" spans="1:28" hidden="1" x14ac:dyDescent="0.25">
      <c r="A100" s="16"/>
      <c r="B100" s="3" t="s">
        <v>158</v>
      </c>
      <c r="C100" s="3" t="s">
        <v>159</v>
      </c>
      <c r="D100" s="11" t="s">
        <v>6</v>
      </c>
      <c r="E100" s="8">
        <v>925.81870059671814</v>
      </c>
      <c r="F100" s="8">
        <v>925.81870059671814</v>
      </c>
      <c r="G100" s="8">
        <v>925.81870059671814</v>
      </c>
      <c r="H100" s="8">
        <v>925.81870059671814</v>
      </c>
      <c r="I100" s="8">
        <v>925.81870059671814</v>
      </c>
      <c r="J100" s="8">
        <v>925.81870059671814</v>
      </c>
      <c r="K100" s="8">
        <v>925.81870059671814</v>
      </c>
      <c r="L100" s="8">
        <v>925.81870059671814</v>
      </c>
      <c r="M100" s="8">
        <v>925.81870059671814</v>
      </c>
      <c r="N100" s="22"/>
      <c r="O100" s="8">
        <v>86.010651999999993</v>
      </c>
      <c r="P100" s="8">
        <v>146.28104400000001</v>
      </c>
      <c r="Q100" s="8">
        <v>182.81608800000001</v>
      </c>
      <c r="R100" s="8">
        <v>86.46601600000001</v>
      </c>
      <c r="S100" s="8">
        <v>152.11969500000001</v>
      </c>
      <c r="T100" s="8">
        <v>173.39877100000001</v>
      </c>
      <c r="U100" s="8">
        <v>93.311582000000016</v>
      </c>
      <c r="V100" s="8">
        <v>149.59726599999999</v>
      </c>
      <c r="W100" s="8">
        <v>167.76177600000003</v>
      </c>
      <c r="X100" s="22"/>
      <c r="Y100" s="24">
        <f t="shared" si="23"/>
        <v>0.59144795194609734</v>
      </c>
      <c r="AB100" s="22"/>
    </row>
    <row r="101" spans="1:28" hidden="1" x14ac:dyDescent="0.25">
      <c r="A101" s="16"/>
      <c r="B101" s="3" t="s">
        <v>160</v>
      </c>
      <c r="C101" s="3" t="s">
        <v>161</v>
      </c>
      <c r="D101" s="11" t="s">
        <v>6</v>
      </c>
      <c r="E101" s="8">
        <v>1442.5164296369965</v>
      </c>
      <c r="F101" s="8">
        <v>1664.3682396817503</v>
      </c>
      <c r="G101" s="8">
        <v>1801.1297762307311</v>
      </c>
      <c r="H101" s="8">
        <v>1440.09070611636</v>
      </c>
      <c r="I101" s="8">
        <v>1682.1240676280459</v>
      </c>
      <c r="J101" s="8">
        <v>1781.2898160119344</v>
      </c>
      <c r="K101" s="8">
        <v>1446.8076031824962</v>
      </c>
      <c r="L101" s="8">
        <v>1742.8634609646942</v>
      </c>
      <c r="M101" s="8">
        <v>1939.8408304326208</v>
      </c>
      <c r="N101" s="22"/>
      <c r="O101" s="8">
        <v>134.013070995639</v>
      </c>
      <c r="P101" s="8">
        <v>154.62361085446079</v>
      </c>
      <c r="Q101" s="8">
        <v>167.32906996082491</v>
      </c>
      <c r="R101" s="8">
        <v>133.78771574026166</v>
      </c>
      <c r="S101" s="8">
        <v>156.27316782467292</v>
      </c>
      <c r="T101" s="8">
        <v>165.48589234237565</v>
      </c>
      <c r="U101" s="8">
        <v>134.41173081898145</v>
      </c>
      <c r="V101" s="8">
        <v>161.91599619336242</v>
      </c>
      <c r="W101" s="8">
        <v>180.21564370980857</v>
      </c>
      <c r="X101" s="22"/>
      <c r="Y101" s="24">
        <f t="shared" si="23"/>
        <v>0.92153418828144262</v>
      </c>
      <c r="AB101" s="22"/>
    </row>
    <row r="102" spans="1:28" hidden="1" x14ac:dyDescent="0.25">
      <c r="A102" s="16"/>
      <c r="B102" s="3" t="s">
        <v>162</v>
      </c>
      <c r="C102" s="3" t="s">
        <v>163</v>
      </c>
      <c r="D102" s="11" t="s">
        <v>6</v>
      </c>
      <c r="E102" s="8">
        <v>1137.7632968672301</v>
      </c>
      <c r="F102" s="8">
        <v>1137.7632968672301</v>
      </c>
      <c r="G102" s="8">
        <v>1137.7632968672301</v>
      </c>
      <c r="H102" s="8">
        <v>1137.7632968672301</v>
      </c>
      <c r="I102" s="8">
        <v>1137.7632968672301</v>
      </c>
      <c r="J102" s="8">
        <v>1137.7632968672301</v>
      </c>
      <c r="K102" s="8">
        <v>1137.7632968672301</v>
      </c>
      <c r="L102" s="8">
        <v>1137.7632968672301</v>
      </c>
      <c r="M102" s="8">
        <v>1137.7632968672301</v>
      </c>
      <c r="N102" s="22"/>
      <c r="O102" s="8">
        <v>105.70530000000001</v>
      </c>
      <c r="P102" s="8">
        <v>177.33109999999999</v>
      </c>
      <c r="Q102" s="8">
        <v>222.06780000000001</v>
      </c>
      <c r="R102" s="8">
        <v>106.09050000000001</v>
      </c>
      <c r="S102" s="8">
        <v>177.73770000000002</v>
      </c>
      <c r="T102" s="8">
        <v>206.02850000000004</v>
      </c>
      <c r="U102" s="8">
        <v>114.65050000000001</v>
      </c>
      <c r="V102" s="8">
        <v>177.29900000000001</v>
      </c>
      <c r="W102" s="8">
        <v>205.69680000000002</v>
      </c>
      <c r="X102" s="22"/>
      <c r="Y102" s="24">
        <f t="shared" si="23"/>
        <v>0.72687721510177383</v>
      </c>
      <c r="AB102" s="22"/>
    </row>
    <row r="103" spans="1:28" hidden="1" x14ac:dyDescent="0.25">
      <c r="A103" s="16"/>
      <c r="B103" s="3" t="s">
        <v>164</v>
      </c>
      <c r="C103" s="3" t="s">
        <v>165</v>
      </c>
      <c r="D103" s="11" t="s">
        <v>6</v>
      </c>
      <c r="E103" s="8">
        <v>767.68974042764796</v>
      </c>
      <c r="F103" s="8">
        <v>1088.4362526106415</v>
      </c>
      <c r="G103" s="8">
        <v>1356.5160243659871</v>
      </c>
      <c r="H103" s="8">
        <v>789.99886623570353</v>
      </c>
      <c r="I103" s="8">
        <v>1107.3345609149676</v>
      </c>
      <c r="J103" s="8">
        <v>1324.5906534062653</v>
      </c>
      <c r="K103" s="8">
        <v>870.900401292889</v>
      </c>
      <c r="L103" s="8">
        <v>1128.3439085032321</v>
      </c>
      <c r="M103" s="8">
        <v>1448.0780706116359</v>
      </c>
      <c r="N103" s="22"/>
      <c r="O103" s="8">
        <v>71.320130275704031</v>
      </c>
      <c r="P103" s="8">
        <v>101.11821383694284</v>
      </c>
      <c r="Q103" s="8">
        <v>126.02343692253677</v>
      </c>
      <c r="R103" s="8">
        <v>73.392699016926599</v>
      </c>
      <c r="S103" s="8">
        <v>102.87390984182126</v>
      </c>
      <c r="T103" s="8">
        <v>123.05749704338827</v>
      </c>
      <c r="U103" s="8">
        <v>80.908636401433938</v>
      </c>
      <c r="V103" s="8">
        <v>104.82572621775444</v>
      </c>
      <c r="W103" s="8">
        <v>134.52976014487396</v>
      </c>
      <c r="X103" s="22"/>
      <c r="Y103" s="24">
        <f t="shared" si="23"/>
        <v>0.49042931315174781</v>
      </c>
      <c r="AB103" s="22"/>
    </row>
    <row r="104" spans="1:28" hidden="1" x14ac:dyDescent="0.25">
      <c r="A104" s="16"/>
      <c r="B104" s="3" t="s">
        <v>166</v>
      </c>
      <c r="C104" s="3" t="s">
        <v>167</v>
      </c>
      <c r="D104" s="11" t="s">
        <v>6</v>
      </c>
      <c r="E104" s="8">
        <v>686.05941819990062</v>
      </c>
      <c r="F104" s="8">
        <v>1162.8963252113376</v>
      </c>
      <c r="G104" s="8">
        <v>1660.5452909000498</v>
      </c>
      <c r="H104" s="8">
        <v>681.51125310790655</v>
      </c>
      <c r="I104" s="8">
        <v>947.87421183490801</v>
      </c>
      <c r="J104" s="8">
        <v>1253.1269617105918</v>
      </c>
      <c r="K104" s="8">
        <v>858.10036051715565</v>
      </c>
      <c r="L104" s="8">
        <v>1039.1328677274989</v>
      </c>
      <c r="M104" s="8">
        <v>1443.1224082545996</v>
      </c>
      <c r="N104" s="22"/>
      <c r="O104" s="8">
        <v>63.7364868985143</v>
      </c>
      <c r="P104" s="8">
        <v>108.03572464705447</v>
      </c>
      <c r="Q104" s="8">
        <v>154.26845018109245</v>
      </c>
      <c r="R104" s="8">
        <v>63.31395197353833</v>
      </c>
      <c r="S104" s="8">
        <v>88.059679207628051</v>
      </c>
      <c r="T104" s="8">
        <v>116.41835686303496</v>
      </c>
      <c r="U104" s="8">
        <v>79.719483378298463</v>
      </c>
      <c r="V104" s="8">
        <v>96.537816773227888</v>
      </c>
      <c r="W104" s="8">
        <v>134.06936779325892</v>
      </c>
      <c r="X104" s="22"/>
      <c r="Y104" s="24">
        <f t="shared" si="23"/>
        <v>0.43828076829792612</v>
      </c>
      <c r="AB104" s="22"/>
    </row>
    <row r="105" spans="1:28" hidden="1" x14ac:dyDescent="0.25">
      <c r="A105" s="16"/>
      <c r="B105" s="3" t="s">
        <v>168</v>
      </c>
      <c r="C105" s="3" t="s">
        <v>169</v>
      </c>
      <c r="D105" s="11" t="s">
        <v>6</v>
      </c>
      <c r="E105" s="8">
        <v>1247.6312498219791</v>
      </c>
      <c r="F105" s="8">
        <v>1699.975217519642</v>
      </c>
      <c r="G105" s="8">
        <v>2390.6519700686231</v>
      </c>
      <c r="H105" s="8">
        <v>1155.3753004236698</v>
      </c>
      <c r="I105" s="8">
        <v>1578.4101070353058</v>
      </c>
      <c r="J105" s="8">
        <v>2086.3406668761809</v>
      </c>
      <c r="K105" s="8">
        <v>1385.652721551467</v>
      </c>
      <c r="L105" s="8">
        <v>1748.2786376688214</v>
      </c>
      <c r="M105" s="8">
        <v>2282.5475654142224</v>
      </c>
      <c r="N105" s="22"/>
      <c r="O105" s="8">
        <v>115.90779267647275</v>
      </c>
      <c r="P105" s="8">
        <v>157.93158042131719</v>
      </c>
      <c r="Q105" s="8">
        <v>222.09702822677215</v>
      </c>
      <c r="R105" s="8">
        <v>107.33700426639071</v>
      </c>
      <c r="S105" s="8">
        <v>146.63790400473059</v>
      </c>
      <c r="T105" s="8">
        <v>193.82581311848622</v>
      </c>
      <c r="U105" s="8">
        <v>128.73030263877595</v>
      </c>
      <c r="V105" s="8">
        <v>162.41907847734495</v>
      </c>
      <c r="W105" s="8">
        <v>212.05388212580385</v>
      </c>
      <c r="X105" s="22"/>
      <c r="Y105" s="24">
        <f t="shared" si="23"/>
        <v>0.79703414634146341</v>
      </c>
      <c r="AB105" s="22"/>
    </row>
    <row r="106" spans="1:28" hidden="1" x14ac:dyDescent="0.25">
      <c r="A106" s="16"/>
      <c r="B106" s="3" t="s">
        <v>170</v>
      </c>
      <c r="C106" s="3" t="s">
        <v>171</v>
      </c>
      <c r="D106" s="11" t="s">
        <v>6</v>
      </c>
      <c r="E106" s="8">
        <v>1298.5023968175039</v>
      </c>
      <c r="F106" s="8">
        <v>1781.9915713575338</v>
      </c>
      <c r="G106" s="8">
        <v>2194.8238090502241</v>
      </c>
      <c r="H106" s="8">
        <v>1192.5263749378419</v>
      </c>
      <c r="I106" s="8">
        <v>1626.9779462953757</v>
      </c>
      <c r="J106" s="8">
        <v>1914.6340875186477</v>
      </c>
      <c r="K106" s="8">
        <v>1475.5609199403282</v>
      </c>
      <c r="L106" s="8">
        <v>1923.5797712580807</v>
      </c>
      <c r="M106" s="8">
        <v>2522.8467478866237</v>
      </c>
      <c r="N106" s="22"/>
      <c r="O106" s="8">
        <v>120.63383842116934</v>
      </c>
      <c r="P106" s="8">
        <v>165.55108701677878</v>
      </c>
      <c r="Q106" s="8">
        <v>203.90414480005916</v>
      </c>
      <c r="R106" s="8">
        <v>110.78842394116343</v>
      </c>
      <c r="S106" s="8">
        <v>151.1499672000887</v>
      </c>
      <c r="T106" s="8">
        <v>177.87387972133934</v>
      </c>
      <c r="U106" s="8">
        <v>137.08297961785794</v>
      </c>
      <c r="V106" s="8">
        <v>178.70495417251828</v>
      </c>
      <c r="W106" s="8">
        <v>234.37822501663095</v>
      </c>
      <c r="X106" s="22"/>
      <c r="Y106" s="24">
        <f t="shared" si="23"/>
        <v>0.82953256382240947</v>
      </c>
      <c r="AB106" s="22"/>
    </row>
    <row r="107" spans="1:28" hidden="1" x14ac:dyDescent="0.25">
      <c r="A107" s="16"/>
      <c r="B107" s="3" t="s">
        <v>170</v>
      </c>
      <c r="C107" s="18" t="s">
        <v>172</v>
      </c>
      <c r="D107" s="11" t="s">
        <v>6</v>
      </c>
      <c r="E107" s="8">
        <v>2004.5162403729491</v>
      </c>
      <c r="F107" s="8">
        <v>2731.2781178219798</v>
      </c>
      <c r="G107" s="8">
        <v>3840.959177454004</v>
      </c>
      <c r="H107" s="8">
        <v>1856.2925173247145</v>
      </c>
      <c r="I107" s="8">
        <v>2535.9646081103933</v>
      </c>
      <c r="J107" s="8">
        <v>3352.0351067677784</v>
      </c>
      <c r="K107" s="8">
        <v>2226.2694880905028</v>
      </c>
      <c r="L107" s="8">
        <v>2808.8851753306822</v>
      </c>
      <c r="M107" s="8">
        <v>3667.2724131824975</v>
      </c>
      <c r="N107" s="22"/>
      <c r="O107" s="8">
        <v>186.22413701077318</v>
      </c>
      <c r="P107" s="8">
        <v>253.74197533723856</v>
      </c>
      <c r="Q107" s="8">
        <v>356.83388026923654</v>
      </c>
      <c r="R107" s="8">
        <v>172.45381459919435</v>
      </c>
      <c r="S107" s="8">
        <v>235.59690419238308</v>
      </c>
      <c r="T107" s="8">
        <v>311.41171740843748</v>
      </c>
      <c r="U107" s="8">
        <v>206.82552020428341</v>
      </c>
      <c r="V107" s="8">
        <v>260.95184823296262</v>
      </c>
      <c r="W107" s="8">
        <v>340.69798317087367</v>
      </c>
      <c r="X107" s="22"/>
      <c r="Y107" s="24">
        <f t="shared" si="23"/>
        <v>1.2805609756097562</v>
      </c>
      <c r="AB107" s="22"/>
    </row>
    <row r="108" spans="1:28" hidden="1" x14ac:dyDescent="0.25">
      <c r="A108" s="16"/>
      <c r="B108" s="3" t="s">
        <v>173</v>
      </c>
      <c r="C108" s="3" t="s">
        <v>174</v>
      </c>
      <c r="D108" s="11" t="s">
        <v>6</v>
      </c>
      <c r="E108" s="8">
        <v>1091.5971675261062</v>
      </c>
      <c r="F108" s="8">
        <v>1487.3690704475384</v>
      </c>
      <c r="G108" s="8">
        <v>2091.6668442217801</v>
      </c>
      <c r="H108" s="8">
        <v>1010.8791404127301</v>
      </c>
      <c r="I108" s="8">
        <v>1381.0074108677277</v>
      </c>
      <c r="J108" s="8">
        <v>1825.4140097737445</v>
      </c>
      <c r="K108" s="8">
        <v>1212.3570856663353</v>
      </c>
      <c r="L108" s="8">
        <v>1529.6314589731476</v>
      </c>
      <c r="M108" s="8">
        <v>1997.0824372227748</v>
      </c>
      <c r="N108" s="22"/>
      <c r="O108" s="8">
        <v>101.41187005206409</v>
      </c>
      <c r="P108" s="8">
        <v>138.17998376958752</v>
      </c>
      <c r="Q108" s="8">
        <v>194.32062715878851</v>
      </c>
      <c r="R108" s="8">
        <v>93.912980974665516</v>
      </c>
      <c r="S108" s="8">
        <v>128.29874266644799</v>
      </c>
      <c r="T108" s="8">
        <v>169.58513072173662</v>
      </c>
      <c r="U108" s="8">
        <v>112.63074226083782</v>
      </c>
      <c r="V108" s="8">
        <v>142.1062561901748</v>
      </c>
      <c r="W108" s="8">
        <v>185.53351971944525</v>
      </c>
      <c r="X108" s="22"/>
      <c r="Y108" s="24">
        <f t="shared" si="23"/>
        <v>0.69735365853658537</v>
      </c>
      <c r="AB108" s="22"/>
    </row>
    <row r="109" spans="1:28" hidden="1" x14ac:dyDescent="0.25">
      <c r="A109" s="16"/>
      <c r="B109" s="3" t="s">
        <v>175</v>
      </c>
      <c r="C109" s="3" t="s">
        <v>176</v>
      </c>
      <c r="D109" s="11" t="s">
        <v>6</v>
      </c>
      <c r="E109" s="8">
        <v>1499.8651601442068</v>
      </c>
      <c r="F109" s="8">
        <v>2043.6596167578318</v>
      </c>
      <c r="G109" s="8">
        <v>2873.9706547488813</v>
      </c>
      <c r="H109" s="8">
        <v>1388.9578032322227</v>
      </c>
      <c r="I109" s="8">
        <v>1897.5176586026853</v>
      </c>
      <c r="J109" s="8">
        <v>2508.1366620835406</v>
      </c>
      <c r="K109" s="8">
        <v>1665.7904660616607</v>
      </c>
      <c r="L109" s="8">
        <v>2101.7285509945305</v>
      </c>
      <c r="M109" s="8">
        <v>2744.0107565638991</v>
      </c>
      <c r="N109" s="22"/>
      <c r="O109" s="8">
        <v>139.3408990432589</v>
      </c>
      <c r="P109" s="8">
        <v>189.86064607971764</v>
      </c>
      <c r="Q109" s="8">
        <v>266.99843792501292</v>
      </c>
      <c r="R109" s="8">
        <v>129.03735227566708</v>
      </c>
      <c r="S109" s="8">
        <v>176.28372438142139</v>
      </c>
      <c r="T109" s="8">
        <v>233.01162444794517</v>
      </c>
      <c r="U109" s="8">
        <v>154.75573893349471</v>
      </c>
      <c r="V109" s="8">
        <v>195.25538269873974</v>
      </c>
      <c r="W109" s="8">
        <v>254.92486655748763</v>
      </c>
      <c r="X109" s="22"/>
      <c r="Y109" s="24">
        <f t="shared" si="23"/>
        <v>0.95817073170731692</v>
      </c>
      <c r="AB109" s="22"/>
    </row>
    <row r="110" spans="1:28" hidden="1" x14ac:dyDescent="0.25">
      <c r="A110" s="16"/>
      <c r="B110" s="3" t="s">
        <v>175</v>
      </c>
      <c r="C110" s="3" t="s">
        <v>177</v>
      </c>
      <c r="D110" s="11" t="s">
        <v>6</v>
      </c>
      <c r="E110" s="8">
        <v>1499.8651601442068</v>
      </c>
      <c r="F110" s="8">
        <v>2043.6596167578318</v>
      </c>
      <c r="G110" s="8">
        <v>2873.9706547488813</v>
      </c>
      <c r="H110" s="8">
        <v>1388.9578032322227</v>
      </c>
      <c r="I110" s="8">
        <v>1897.5176586026853</v>
      </c>
      <c r="J110" s="8">
        <v>2508.1366620835406</v>
      </c>
      <c r="K110" s="8">
        <v>1665.7904660616607</v>
      </c>
      <c r="L110" s="8">
        <v>2101.7285509945305</v>
      </c>
      <c r="M110" s="8">
        <v>2744.0107565638991</v>
      </c>
      <c r="N110" s="22"/>
      <c r="O110" s="9">
        <v>139.3408990432589</v>
      </c>
      <c r="P110" s="9">
        <v>189.86064607971764</v>
      </c>
      <c r="Q110" s="9">
        <v>266.99843792501292</v>
      </c>
      <c r="R110" s="9">
        <v>129.03735227566708</v>
      </c>
      <c r="S110" s="9">
        <v>176.28372438142139</v>
      </c>
      <c r="T110" s="9">
        <v>233.01162444794517</v>
      </c>
      <c r="U110" s="9">
        <v>154.75573893349471</v>
      </c>
      <c r="V110" s="9">
        <v>195.25538269873974</v>
      </c>
      <c r="W110" s="9">
        <v>254.92486655748763</v>
      </c>
      <c r="X110" s="22"/>
      <c r="Y110" s="24">
        <f t="shared" si="23"/>
        <v>0.95817073170731692</v>
      </c>
      <c r="AB110" s="22"/>
    </row>
    <row r="111" spans="1:28" hidden="1" x14ac:dyDescent="0.25">
      <c r="A111" s="16"/>
      <c r="B111" s="3" t="s">
        <v>178</v>
      </c>
      <c r="C111" s="3" t="s">
        <v>179</v>
      </c>
      <c r="D111" s="11" t="s">
        <v>6</v>
      </c>
      <c r="E111" s="8">
        <v>945.77247523620088</v>
      </c>
      <c r="F111" s="8">
        <v>1309.8001442715067</v>
      </c>
      <c r="G111" s="8">
        <v>2093.1230970313277</v>
      </c>
      <c r="H111" s="8">
        <v>932.79404394331186</v>
      </c>
      <c r="I111" s="8">
        <v>1261.8555845101939</v>
      </c>
      <c r="J111" s="8">
        <v>1878.1089415464944</v>
      </c>
      <c r="K111" s="8">
        <v>1195.1703760367977</v>
      </c>
      <c r="L111" s="8">
        <v>1454.3398449577326</v>
      </c>
      <c r="M111" s="8">
        <v>2259.037383431129</v>
      </c>
      <c r="N111" s="22"/>
      <c r="O111" s="8">
        <v>87.864423077278431</v>
      </c>
      <c r="P111" s="8">
        <v>121.68342496350432</v>
      </c>
      <c r="Q111" s="8">
        <v>194.4559163708515</v>
      </c>
      <c r="R111" s="8">
        <v>86.65869716765836</v>
      </c>
      <c r="S111" s="8">
        <v>117.22926585714022</v>
      </c>
      <c r="T111" s="8">
        <v>174.48061023773005</v>
      </c>
      <c r="U111" s="8">
        <v>111.0340576821088</v>
      </c>
      <c r="V111" s="8">
        <v>135.11149328340971</v>
      </c>
      <c r="W111" s="8">
        <v>209.86973252272895</v>
      </c>
      <c r="X111" s="22"/>
      <c r="Y111" s="24">
        <f t="shared" si="23"/>
        <v>0.60419531615667499</v>
      </c>
      <c r="AB111" s="22"/>
    </row>
    <row r="112" spans="1:28" hidden="1" x14ac:dyDescent="0.25">
      <c r="A112" s="16"/>
      <c r="B112" s="3" t="s">
        <v>180</v>
      </c>
      <c r="C112" s="3" t="s">
        <v>181</v>
      </c>
      <c r="D112" s="11" t="s">
        <v>8</v>
      </c>
      <c r="E112" s="97">
        <v>987.46489582297363</v>
      </c>
      <c r="F112" s="97">
        <v>1487.1147856787666</v>
      </c>
      <c r="G112" s="97">
        <v>1927.5031282943808</v>
      </c>
      <c r="H112" s="97">
        <v>974.33342839383386</v>
      </c>
      <c r="I112" s="97">
        <v>1340.6164572352063</v>
      </c>
      <c r="J112" s="97">
        <v>1916.1050728493285</v>
      </c>
      <c r="K112" s="97">
        <v>987.90945574341117</v>
      </c>
      <c r="L112" s="97">
        <v>1333.4941315266037</v>
      </c>
      <c r="M112" s="97">
        <v>1889.7377630532073</v>
      </c>
      <c r="N112" s="22"/>
      <c r="O112" s="97">
        <v>91.738579494697433</v>
      </c>
      <c r="P112" s="97">
        <v>138.15761811971188</v>
      </c>
      <c r="Q112" s="97">
        <v>179.07107352301497</v>
      </c>
      <c r="R112" s="97">
        <v>90.518625070265784</v>
      </c>
      <c r="S112" s="97">
        <v>124.54746488124252</v>
      </c>
      <c r="T112" s="97">
        <v>178.01215849732239</v>
      </c>
      <c r="U112" s="97">
        <v>91.779880502737043</v>
      </c>
      <c r="V112" s="97">
        <v>123.88577853070019</v>
      </c>
      <c r="W112" s="97">
        <v>175.56255289004983</v>
      </c>
      <c r="X112" s="22"/>
      <c r="AA112" s="24">
        <f>O112/$AA$3</f>
        <v>0.74630083628998134</v>
      </c>
      <c r="AB112" s="22"/>
    </row>
    <row r="113" spans="1:28" hidden="1" x14ac:dyDescent="0.25">
      <c r="A113" s="16"/>
      <c r="B113" s="3" t="s">
        <v>182</v>
      </c>
      <c r="C113" s="3" t="s">
        <v>183</v>
      </c>
      <c r="D113" s="11" t="s">
        <v>8</v>
      </c>
      <c r="E113" s="8">
        <v>1240.5316360019892</v>
      </c>
      <c r="F113" s="8">
        <v>1794.1551864743908</v>
      </c>
      <c r="G113" s="8">
        <v>2201.2012332173049</v>
      </c>
      <c r="H113" s="8">
        <v>1138.3512282446543</v>
      </c>
      <c r="I113" s="8">
        <v>1628.4400596718051</v>
      </c>
      <c r="J113" s="8">
        <v>2066.7633615116856</v>
      </c>
      <c r="K113" s="8">
        <v>1029.7733664843361</v>
      </c>
      <c r="L113" s="8">
        <v>1365.7991447041275</v>
      </c>
      <c r="M113" s="8">
        <v>1931.4582595723521</v>
      </c>
      <c r="N113" s="22"/>
      <c r="O113" s="8">
        <v>115.24927173254947</v>
      </c>
      <c r="P113" s="8">
        <v>166.68263236135516</v>
      </c>
      <c r="Q113" s="8">
        <v>204.49848411981762</v>
      </c>
      <c r="R113" s="8">
        <v>105.75639203677611</v>
      </c>
      <c r="S113" s="8">
        <v>151.28717840855128</v>
      </c>
      <c r="T113" s="8">
        <v>192.00878506040428</v>
      </c>
      <c r="U113" s="8">
        <v>95.669168840693061</v>
      </c>
      <c r="V113" s="8">
        <v>126.88701536656114</v>
      </c>
      <c r="W113" s="8">
        <v>179.43851759792938</v>
      </c>
      <c r="X113" s="22"/>
      <c r="AA113" s="24">
        <f>O113/$AA$3</f>
        <v>0.93756223771466252</v>
      </c>
      <c r="AB113" s="22"/>
    </row>
    <row r="114" spans="1:28" hidden="1" x14ac:dyDescent="0.25">
      <c r="A114" s="21">
        <v>0.02</v>
      </c>
      <c r="B114" s="18" t="s">
        <v>182</v>
      </c>
      <c r="C114" s="18" t="s">
        <v>184</v>
      </c>
      <c r="D114" s="19" t="s">
        <v>8</v>
      </c>
      <c r="E114" s="25">
        <v>1265.3422687220291</v>
      </c>
      <c r="F114" s="25">
        <v>1830.0382902038787</v>
      </c>
      <c r="G114" s="25">
        <v>2245.225257881651</v>
      </c>
      <c r="H114" s="25">
        <v>1161.1182528095474</v>
      </c>
      <c r="I114" s="25">
        <v>1661.0088608652413</v>
      </c>
      <c r="J114" s="25">
        <v>2108.0986287419196</v>
      </c>
      <c r="K114" s="25">
        <v>1050.3688338140228</v>
      </c>
      <c r="L114" s="25">
        <v>1393.1151275982099</v>
      </c>
      <c r="M114" s="25">
        <v>1970.0874247637992</v>
      </c>
      <c r="N114" s="22"/>
      <c r="O114" s="25">
        <v>117.55425716720048</v>
      </c>
      <c r="P114" s="25">
        <v>170.01628500858229</v>
      </c>
      <c r="Q114" s="25">
        <v>208.58845380221399</v>
      </c>
      <c r="R114" s="25">
        <v>107.87151987751163</v>
      </c>
      <c r="S114" s="25">
        <v>154.31292197672232</v>
      </c>
      <c r="T114" s="25">
        <v>195.8489607616124</v>
      </c>
      <c r="U114" s="25">
        <v>97.58255221750693</v>
      </c>
      <c r="V114" s="25">
        <v>129.42475567389235</v>
      </c>
      <c r="W114" s="25">
        <v>183.02728794988798</v>
      </c>
      <c r="X114" s="22"/>
      <c r="AA114" s="26">
        <f t="shared" ref="AA114:AA116" si="24">O114/$AA$3</f>
        <v>0.95631348246895587</v>
      </c>
      <c r="AB114" s="22"/>
    </row>
    <row r="115" spans="1:28" hidden="1" x14ac:dyDescent="0.25">
      <c r="A115" s="21">
        <v>0.04</v>
      </c>
      <c r="B115" s="18" t="s">
        <v>182</v>
      </c>
      <c r="C115" s="18" t="s">
        <v>185</v>
      </c>
      <c r="D115" s="19" t="s">
        <v>8</v>
      </c>
      <c r="E115" s="25">
        <v>1290.1529014420689</v>
      </c>
      <c r="F115" s="25">
        <v>1865.9213939333665</v>
      </c>
      <c r="G115" s="25">
        <v>2289.2492825459972</v>
      </c>
      <c r="H115" s="25">
        <v>1183.8852773744404</v>
      </c>
      <c r="I115" s="25">
        <v>1693.5776620586773</v>
      </c>
      <c r="J115" s="25">
        <v>2149.4338959721531</v>
      </c>
      <c r="K115" s="25">
        <v>1070.9643011437095</v>
      </c>
      <c r="L115" s="25">
        <v>1420.4311104922926</v>
      </c>
      <c r="M115" s="25">
        <v>2008.7165899552463</v>
      </c>
      <c r="N115" s="22"/>
      <c r="O115" s="25">
        <v>119.85924260185146</v>
      </c>
      <c r="P115" s="25">
        <v>173.34993765580938</v>
      </c>
      <c r="Q115" s="25">
        <v>212.67842348461033</v>
      </c>
      <c r="R115" s="25">
        <v>109.98664771824714</v>
      </c>
      <c r="S115" s="25">
        <v>157.33866554489333</v>
      </c>
      <c r="T115" s="25">
        <v>199.68913646282047</v>
      </c>
      <c r="U115" s="25">
        <v>99.495935594320784</v>
      </c>
      <c r="V115" s="25">
        <v>131.96249598122361</v>
      </c>
      <c r="W115" s="25">
        <v>186.61605830184658</v>
      </c>
      <c r="X115" s="22"/>
      <c r="AA115" s="26">
        <f t="shared" si="24"/>
        <v>0.97506472722324911</v>
      </c>
      <c r="AB115" s="22"/>
    </row>
    <row r="116" spans="1:28" hidden="1" x14ac:dyDescent="0.25">
      <c r="A116" s="21">
        <v>0.03</v>
      </c>
      <c r="B116" s="18" t="s">
        <v>182</v>
      </c>
      <c r="C116" s="18" t="s">
        <v>186</v>
      </c>
      <c r="D116" s="19" t="s">
        <v>8</v>
      </c>
      <c r="E116" s="25">
        <v>1277.747585082049</v>
      </c>
      <c r="F116" s="25">
        <v>1847.9798420686225</v>
      </c>
      <c r="G116" s="25">
        <v>2267.2372702138241</v>
      </c>
      <c r="H116" s="25">
        <v>1172.501765091994</v>
      </c>
      <c r="I116" s="25">
        <v>1677.2932614619592</v>
      </c>
      <c r="J116" s="25">
        <v>2128.7662623570363</v>
      </c>
      <c r="K116" s="25">
        <v>1060.6665674788662</v>
      </c>
      <c r="L116" s="25">
        <v>1406.7731190452514</v>
      </c>
      <c r="M116" s="25">
        <v>1989.4020073595227</v>
      </c>
      <c r="N116" s="22"/>
      <c r="O116" s="25">
        <v>118.70674988452596</v>
      </c>
      <c r="P116" s="25">
        <v>171.68311133219581</v>
      </c>
      <c r="Q116" s="25">
        <v>210.63343864341218</v>
      </c>
      <c r="R116" s="25">
        <v>108.9290837978794</v>
      </c>
      <c r="S116" s="25">
        <v>155.82579376080781</v>
      </c>
      <c r="T116" s="25">
        <v>197.76904861221644</v>
      </c>
      <c r="U116" s="25">
        <v>98.539243905913864</v>
      </c>
      <c r="V116" s="25">
        <v>130.69362582755798</v>
      </c>
      <c r="W116" s="25">
        <v>184.82167312586728</v>
      </c>
      <c r="X116" s="22"/>
      <c r="AA116" s="26">
        <f t="shared" si="24"/>
        <v>0.96568910484610249</v>
      </c>
      <c r="AB116" s="22"/>
    </row>
    <row r="117" spans="1:28" hidden="1" x14ac:dyDescent="0.25">
      <c r="A117" s="16"/>
      <c r="B117" s="3" t="s">
        <v>180</v>
      </c>
      <c r="C117" s="3" t="s">
        <v>187</v>
      </c>
      <c r="D117" s="11" t="s">
        <v>8</v>
      </c>
      <c r="E117" s="97">
        <v>812.25928464694186</v>
      </c>
      <c r="F117" s="97">
        <v>1219.4384362133269</v>
      </c>
      <c r="G117" s="97">
        <v>1658.157023033317</v>
      </c>
      <c r="H117" s="97">
        <v>836.66473224266542</v>
      </c>
      <c r="I117" s="97">
        <v>1313.8716672302337</v>
      </c>
      <c r="J117" s="97">
        <v>1710.136038756837</v>
      </c>
      <c r="K117" s="97">
        <v>899.18778447538546</v>
      </c>
      <c r="L117" s="97">
        <v>1276.643287369468</v>
      </c>
      <c r="M117" s="97">
        <v>1940.6529726205868</v>
      </c>
      <c r="N117" s="22"/>
      <c r="O117" s="97">
        <v>75.461429839272185</v>
      </c>
      <c r="P117" s="97">
        <v>113.28964745244075</v>
      </c>
      <c r="Q117" s="97">
        <v>154.04797731615093</v>
      </c>
      <c r="R117" s="97">
        <v>77.728772307682661</v>
      </c>
      <c r="S117" s="97">
        <v>122.06279018108992</v>
      </c>
      <c r="T117" s="97">
        <v>158.87699056632235</v>
      </c>
      <c r="U117" s="97">
        <v>83.537359551406595</v>
      </c>
      <c r="V117" s="97">
        <v>118.60415717067866</v>
      </c>
      <c r="W117" s="97">
        <v>180.29273521870203</v>
      </c>
      <c r="X117" s="22"/>
      <c r="AA117" s="24">
        <f t="shared" ref="AA117:AA126" si="25">O117/$AA$3</f>
        <v>0.61388489452184891</v>
      </c>
      <c r="AB117" s="22"/>
    </row>
    <row r="118" spans="1:28" hidden="1" x14ac:dyDescent="0.25">
      <c r="A118" s="16"/>
      <c r="B118" s="3" t="s">
        <v>180</v>
      </c>
      <c r="C118" s="3" t="s">
        <v>188</v>
      </c>
      <c r="D118" s="11" t="s">
        <v>8</v>
      </c>
      <c r="E118" s="97">
        <v>771.93229005967191</v>
      </c>
      <c r="F118" s="97">
        <v>1160.7155672153158</v>
      </c>
      <c r="G118" s="97">
        <v>1578.9137613326704</v>
      </c>
      <c r="H118" s="97">
        <v>805.82636232222785</v>
      </c>
      <c r="I118" s="97">
        <v>1262.8163976131277</v>
      </c>
      <c r="J118" s="97">
        <v>1640.0522896220787</v>
      </c>
      <c r="K118" s="97">
        <v>862.40045574838393</v>
      </c>
      <c r="L118" s="97">
        <v>1223.1128008702137</v>
      </c>
      <c r="M118" s="97">
        <v>1856.7166185629042</v>
      </c>
      <c r="N118" s="22"/>
      <c r="O118" s="97">
        <v>71.714925822394477</v>
      </c>
      <c r="P118" s="97">
        <v>107.83410912543928</v>
      </c>
      <c r="Q118" s="97">
        <v>146.68603028016523</v>
      </c>
      <c r="R118" s="97">
        <v>74.863791220861202</v>
      </c>
      <c r="S118" s="97">
        <v>117.31959583544327</v>
      </c>
      <c r="T118" s="97">
        <v>152.36599091612507</v>
      </c>
      <c r="U118" s="97">
        <v>80.119701571770818</v>
      </c>
      <c r="V118" s="97">
        <v>113.63100742948316</v>
      </c>
      <c r="W118" s="97">
        <v>172.49478521380766</v>
      </c>
      <c r="X118" s="22"/>
      <c r="AA118" s="24">
        <f t="shared" si="25"/>
        <v>0.5834067783752912</v>
      </c>
      <c r="AB118" s="22"/>
    </row>
    <row r="119" spans="1:28" hidden="1" x14ac:dyDescent="0.25">
      <c r="A119" s="16"/>
      <c r="B119" s="3" t="s">
        <v>180</v>
      </c>
      <c r="C119" s="3" t="s">
        <v>189</v>
      </c>
      <c r="D119" s="11" t="s">
        <v>8</v>
      </c>
      <c r="E119" s="97">
        <v>809.38724199403293</v>
      </c>
      <c r="F119" s="97">
        <v>1216.6627533814024</v>
      </c>
      <c r="G119" s="97">
        <v>1655.7329346593738</v>
      </c>
      <c r="H119" s="97">
        <v>823.0158639731477</v>
      </c>
      <c r="I119" s="97">
        <v>1192.2828180009944</v>
      </c>
      <c r="J119" s="97">
        <v>1590.3650812779711</v>
      </c>
      <c r="K119" s="97">
        <v>776.72555857782208</v>
      </c>
      <c r="L119" s="97">
        <v>1089.2915621581303</v>
      </c>
      <c r="M119" s="97">
        <v>1730.3081148184986</v>
      </c>
      <c r="N119" s="22"/>
      <c r="O119" s="97">
        <v>75.19460808759213</v>
      </c>
      <c r="P119" s="97">
        <v>113.03177782972736</v>
      </c>
      <c r="Q119" s="97">
        <v>153.82277191904177</v>
      </c>
      <c r="R119" s="97">
        <v>76.460749725763691</v>
      </c>
      <c r="S119" s="97">
        <v>110.76680552597055</v>
      </c>
      <c r="T119" s="97">
        <v>147.74989374464377</v>
      </c>
      <c r="U119" s="97">
        <v>72.160235470212669</v>
      </c>
      <c r="V119" s="97">
        <v>101.19859550517288</v>
      </c>
      <c r="W119" s="97">
        <v>160.75103956916161</v>
      </c>
      <c r="X119" s="22"/>
      <c r="AA119" s="24">
        <f t="shared" si="25"/>
        <v>0.6117142777811494</v>
      </c>
      <c r="AB119" s="22"/>
    </row>
    <row r="120" spans="1:28" hidden="1" x14ac:dyDescent="0.25">
      <c r="A120" s="16"/>
      <c r="B120" s="3" t="s">
        <v>190</v>
      </c>
      <c r="C120" s="3" t="s">
        <v>191</v>
      </c>
      <c r="D120" s="11" t="s">
        <v>8</v>
      </c>
      <c r="E120" s="8">
        <v>453.57549875683736</v>
      </c>
      <c r="F120" s="8">
        <v>562.75089010442571</v>
      </c>
      <c r="G120" s="8">
        <v>758.58851516658387</v>
      </c>
      <c r="H120" s="8">
        <v>416.57961810044759</v>
      </c>
      <c r="I120" s="8">
        <v>578.66105818000995</v>
      </c>
      <c r="J120" s="8">
        <v>702.95440278468425</v>
      </c>
      <c r="K120" s="8">
        <v>518.40874191944306</v>
      </c>
      <c r="L120" s="8">
        <v>638.70439184485326</v>
      </c>
      <c r="M120" s="8">
        <v>986.48250820487317</v>
      </c>
      <c r="N120" s="22"/>
      <c r="O120" s="8">
        <v>42.138583483387748</v>
      </c>
      <c r="P120" s="8">
        <v>52.281319048339888</v>
      </c>
      <c r="Q120" s="8">
        <v>70.475247370059549</v>
      </c>
      <c r="R120" s="8">
        <v>38.701550376763777</v>
      </c>
      <c r="S120" s="8">
        <v>53.759423459899288</v>
      </c>
      <c r="T120" s="8">
        <v>65.306664200214072</v>
      </c>
      <c r="U120" s="8">
        <v>48.161794695179545</v>
      </c>
      <c r="V120" s="8">
        <v>59.337637087380344</v>
      </c>
      <c r="W120" s="8">
        <v>91.647312610194561</v>
      </c>
      <c r="X120" s="22"/>
      <c r="AA120" s="24">
        <f t="shared" si="25"/>
        <v>0.34280081800858053</v>
      </c>
      <c r="AB120" s="22"/>
    </row>
    <row r="121" spans="1:28" hidden="1" x14ac:dyDescent="0.25">
      <c r="A121" s="21">
        <v>-0.01</v>
      </c>
      <c r="B121" s="18" t="s">
        <v>190</v>
      </c>
      <c r="C121" s="18" t="s">
        <v>192</v>
      </c>
      <c r="D121" s="19" t="s">
        <v>8</v>
      </c>
      <c r="E121" s="25">
        <v>449.08465223449241</v>
      </c>
      <c r="F121" s="25">
        <v>557.17909911329275</v>
      </c>
      <c r="G121" s="25">
        <v>751.07773778869694</v>
      </c>
      <c r="H121" s="25">
        <v>412.45506742618574</v>
      </c>
      <c r="I121" s="25">
        <v>572.93174077228707</v>
      </c>
      <c r="J121" s="25">
        <v>695.99445820265771</v>
      </c>
      <c r="K121" s="25">
        <v>513.27598209845848</v>
      </c>
      <c r="L121" s="25">
        <v>632.38058598500322</v>
      </c>
      <c r="M121" s="25">
        <v>976.71535465829027</v>
      </c>
      <c r="N121" s="22"/>
      <c r="O121" s="25">
        <v>41.721369785532424</v>
      </c>
      <c r="P121" s="25">
        <v>51.763682226079098</v>
      </c>
      <c r="Q121" s="25">
        <v>69.777472643623312</v>
      </c>
      <c r="R121" s="25">
        <v>38.318366709667103</v>
      </c>
      <c r="S121" s="25">
        <v>53.227151940494345</v>
      </c>
      <c r="T121" s="25">
        <v>64.660063564568389</v>
      </c>
      <c r="U121" s="25">
        <v>47.684945242752022</v>
      </c>
      <c r="V121" s="25">
        <v>58.750135730079549</v>
      </c>
      <c r="W121" s="25">
        <v>90.739913475440162</v>
      </c>
      <c r="X121" s="22"/>
      <c r="AA121" s="26">
        <f t="shared" si="25"/>
        <v>0.33940675050354507</v>
      </c>
      <c r="AB121" s="22"/>
    </row>
    <row r="122" spans="1:28" hidden="1" x14ac:dyDescent="0.25">
      <c r="A122" s="21">
        <v>-0.01</v>
      </c>
      <c r="B122" s="18" t="s">
        <v>190</v>
      </c>
      <c r="C122" s="18" t="s">
        <v>193</v>
      </c>
      <c r="D122" s="19" t="s">
        <v>8</v>
      </c>
      <c r="E122" s="25">
        <v>449.08465223449241</v>
      </c>
      <c r="F122" s="25">
        <v>557.17909911329275</v>
      </c>
      <c r="G122" s="25">
        <v>751.07773778869694</v>
      </c>
      <c r="H122" s="25">
        <v>412.45506742618574</v>
      </c>
      <c r="I122" s="25">
        <v>572.93174077228707</v>
      </c>
      <c r="J122" s="25">
        <v>695.99445820265771</v>
      </c>
      <c r="K122" s="25">
        <v>513.27598209845848</v>
      </c>
      <c r="L122" s="25">
        <v>632.38058598500322</v>
      </c>
      <c r="M122" s="25">
        <v>976.71535465829027</v>
      </c>
      <c r="N122" s="22"/>
      <c r="O122" s="25">
        <v>41.721369785532424</v>
      </c>
      <c r="P122" s="25">
        <v>51.763682226079098</v>
      </c>
      <c r="Q122" s="25">
        <v>69.777472643623312</v>
      </c>
      <c r="R122" s="25">
        <v>38.318366709667103</v>
      </c>
      <c r="S122" s="25">
        <v>53.227151940494345</v>
      </c>
      <c r="T122" s="25">
        <v>64.660063564568389</v>
      </c>
      <c r="U122" s="25">
        <v>47.684945242752022</v>
      </c>
      <c r="V122" s="25">
        <v>58.750135730079549</v>
      </c>
      <c r="W122" s="25">
        <v>90.739913475440162</v>
      </c>
      <c r="X122" s="22"/>
      <c r="AA122" s="26">
        <f t="shared" si="25"/>
        <v>0.33940675050354507</v>
      </c>
      <c r="AB122" s="22"/>
    </row>
    <row r="123" spans="1:28" hidden="1" x14ac:dyDescent="0.25">
      <c r="A123" s="21">
        <v>-0.02</v>
      </c>
      <c r="B123" s="18" t="s">
        <v>190</v>
      </c>
      <c r="C123" s="18" t="s">
        <v>194</v>
      </c>
      <c r="D123" s="19" t="s">
        <v>8</v>
      </c>
      <c r="E123" s="25">
        <v>444.68186152631114</v>
      </c>
      <c r="F123" s="25">
        <v>551.71655892590752</v>
      </c>
      <c r="G123" s="25">
        <v>743.71423055547439</v>
      </c>
      <c r="H123" s="25">
        <v>408.41139029455644</v>
      </c>
      <c r="I123" s="25">
        <v>567.31476292157834</v>
      </c>
      <c r="J123" s="25">
        <v>689.17098312223948</v>
      </c>
      <c r="K123" s="25">
        <v>508.24386462690495</v>
      </c>
      <c r="L123" s="25">
        <v>626.18077631848359</v>
      </c>
      <c r="M123" s="25">
        <v>967.13971392634619</v>
      </c>
      <c r="N123" s="22"/>
      <c r="O123" s="25">
        <v>41.312336748419362</v>
      </c>
      <c r="P123" s="25">
        <v>51.256195145431263</v>
      </c>
      <c r="Q123" s="25">
        <v>69.093379774568177</v>
      </c>
      <c r="R123" s="25">
        <v>37.94269644780762</v>
      </c>
      <c r="S123" s="25">
        <v>52.705317117548319</v>
      </c>
      <c r="T123" s="25">
        <v>64.0261413727589</v>
      </c>
      <c r="U123" s="25">
        <v>47.217445779587784</v>
      </c>
      <c r="V123" s="25">
        <v>58.174154007235629</v>
      </c>
      <c r="W123" s="25">
        <v>89.850306480582901</v>
      </c>
      <c r="X123" s="22"/>
      <c r="AA123" s="26">
        <f t="shared" si="25"/>
        <v>0.33607923334174561</v>
      </c>
      <c r="AB123" s="22"/>
    </row>
    <row r="124" spans="1:28" hidden="1" x14ac:dyDescent="0.25">
      <c r="A124" s="21">
        <v>0.08</v>
      </c>
      <c r="B124" s="18" t="s">
        <v>190</v>
      </c>
      <c r="C124" s="18" t="s">
        <v>195</v>
      </c>
      <c r="D124" s="19" t="s">
        <v>8</v>
      </c>
      <c r="E124" s="25">
        <v>489.86153865738436</v>
      </c>
      <c r="F124" s="25">
        <v>607.77096131277983</v>
      </c>
      <c r="G124" s="25">
        <v>819.27559637991067</v>
      </c>
      <c r="H124" s="25">
        <v>449.90598754848344</v>
      </c>
      <c r="I124" s="25">
        <v>624.95394283441078</v>
      </c>
      <c r="J124" s="25">
        <v>759.19075500745907</v>
      </c>
      <c r="K124" s="25">
        <v>559.88144127299859</v>
      </c>
      <c r="L124" s="25">
        <v>689.80074319244159</v>
      </c>
      <c r="M124" s="25">
        <v>1065.4011088612631</v>
      </c>
      <c r="N124" s="22"/>
      <c r="O124" s="25">
        <v>45.509670162058768</v>
      </c>
      <c r="P124" s="25">
        <v>56.463824572207088</v>
      </c>
      <c r="Q124" s="25">
        <v>76.113267159664318</v>
      </c>
      <c r="R124" s="25">
        <v>41.797674406904882</v>
      </c>
      <c r="S124" s="25">
        <v>58.06017733669124</v>
      </c>
      <c r="T124" s="25">
        <v>70.531197336231202</v>
      </c>
      <c r="U124" s="25">
        <v>52.014738270793913</v>
      </c>
      <c r="V124" s="25">
        <v>64.084648054370774</v>
      </c>
      <c r="W124" s="25">
        <v>98.979097619010133</v>
      </c>
      <c r="X124" s="22"/>
      <c r="AA124" s="26">
        <f t="shared" si="25"/>
        <v>0.37022488344926696</v>
      </c>
      <c r="AB124" s="22"/>
    </row>
    <row r="125" spans="1:28" hidden="1" x14ac:dyDescent="0.25">
      <c r="A125" s="21">
        <v>0.05</v>
      </c>
      <c r="B125" s="18" t="s">
        <v>190</v>
      </c>
      <c r="C125" s="18" t="s">
        <v>196</v>
      </c>
      <c r="D125" s="19" t="s">
        <v>8</v>
      </c>
      <c r="E125" s="25">
        <v>476.25427369467923</v>
      </c>
      <c r="F125" s="25">
        <v>590.88843460964699</v>
      </c>
      <c r="G125" s="25">
        <v>796.51794092491309</v>
      </c>
      <c r="H125" s="25">
        <v>437.40859900546997</v>
      </c>
      <c r="I125" s="25">
        <v>607.59411108901043</v>
      </c>
      <c r="J125" s="25">
        <v>738.1021229239185</v>
      </c>
      <c r="K125" s="25">
        <v>544.32917901541521</v>
      </c>
      <c r="L125" s="25">
        <v>670.63961143709594</v>
      </c>
      <c r="M125" s="25">
        <v>1035.8066336151169</v>
      </c>
      <c r="N125" s="22"/>
      <c r="O125" s="25">
        <v>44.245512657557136</v>
      </c>
      <c r="P125" s="25">
        <v>54.895385000756882</v>
      </c>
      <c r="Q125" s="25">
        <v>73.999009738562521</v>
      </c>
      <c r="R125" s="25">
        <v>40.636627895601961</v>
      </c>
      <c r="S125" s="25">
        <v>56.447394632894252</v>
      </c>
      <c r="T125" s="25">
        <v>68.571997410224782</v>
      </c>
      <c r="U125" s="25">
        <v>50.569884429938519</v>
      </c>
      <c r="V125" s="25">
        <v>62.304518941749365</v>
      </c>
      <c r="W125" s="25">
        <v>96.229678240704288</v>
      </c>
      <c r="X125" s="22"/>
      <c r="AA125" s="26">
        <f t="shared" si="25"/>
        <v>0.35994085890900956</v>
      </c>
      <c r="AB125" s="22"/>
    </row>
    <row r="126" spans="1:28" hidden="1" x14ac:dyDescent="0.25">
      <c r="A126" s="21">
        <v>-0.01</v>
      </c>
      <c r="B126" s="18" t="s">
        <v>190</v>
      </c>
      <c r="C126" s="18" t="s">
        <v>197</v>
      </c>
      <c r="D126" s="19" t="s">
        <v>8</v>
      </c>
      <c r="E126" s="25">
        <v>449.08465223449241</v>
      </c>
      <c r="F126" s="25">
        <v>557.17909911329275</v>
      </c>
      <c r="G126" s="25">
        <v>751.07773778869694</v>
      </c>
      <c r="H126" s="25">
        <v>412.45506742618574</v>
      </c>
      <c r="I126" s="25">
        <v>572.93174077228707</v>
      </c>
      <c r="J126" s="25">
        <v>695.99445820265771</v>
      </c>
      <c r="K126" s="25">
        <v>513.27598209845848</v>
      </c>
      <c r="L126" s="25">
        <v>632.38058598500322</v>
      </c>
      <c r="M126" s="25">
        <v>976.71535465829027</v>
      </c>
      <c r="N126" s="22"/>
      <c r="O126" s="25">
        <v>41.721369785532424</v>
      </c>
      <c r="P126" s="25">
        <v>51.763682226079098</v>
      </c>
      <c r="Q126" s="25">
        <v>69.777472643623312</v>
      </c>
      <c r="R126" s="25">
        <v>38.318366709667103</v>
      </c>
      <c r="S126" s="25">
        <v>53.227151940494345</v>
      </c>
      <c r="T126" s="25">
        <v>64.660063564568389</v>
      </c>
      <c r="U126" s="25">
        <v>47.684945242752022</v>
      </c>
      <c r="V126" s="25">
        <v>58.750135730079549</v>
      </c>
      <c r="W126" s="25">
        <v>90.739913475440162</v>
      </c>
      <c r="X126" s="22"/>
      <c r="AA126" s="26">
        <f t="shared" si="25"/>
        <v>0.33940675050354507</v>
      </c>
      <c r="AB126" s="22"/>
    </row>
    <row r="127" spans="1:28" hidden="1" x14ac:dyDescent="0.25">
      <c r="A127" s="16"/>
      <c r="B127" s="3" t="s">
        <v>198</v>
      </c>
      <c r="C127" s="3" t="s">
        <v>199</v>
      </c>
      <c r="D127" s="11" t="s">
        <v>8</v>
      </c>
      <c r="E127" s="97">
        <v>782.91969863669817</v>
      </c>
      <c r="F127" s="97">
        <v>998.33313265742413</v>
      </c>
      <c r="G127" s="97">
        <v>1254.9884853987865</v>
      </c>
      <c r="H127" s="97">
        <v>705.51674946705123</v>
      </c>
      <c r="I127" s="97">
        <v>811.55899723998004</v>
      </c>
      <c r="J127" s="97">
        <v>1082.7055860186574</v>
      </c>
      <c r="K127" s="97">
        <v>994.45204850187952</v>
      </c>
      <c r="L127" s="97">
        <v>1076.2543262284632</v>
      </c>
      <c r="M127" s="97">
        <v>1438.4205608455891</v>
      </c>
      <c r="N127" s="22"/>
      <c r="O127" s="97">
        <v>72.735690468761149</v>
      </c>
      <c r="P127" s="97">
        <v>92.748272713182416</v>
      </c>
      <c r="Q127" s="97">
        <v>116.59235829009806</v>
      </c>
      <c r="R127" s="97">
        <v>65.544714226911367</v>
      </c>
      <c r="S127" s="97">
        <v>75.396370947331363</v>
      </c>
      <c r="T127" s="97">
        <v>100.58673770832667</v>
      </c>
      <c r="U127" s="97">
        <v>92.387707847702004</v>
      </c>
      <c r="V127" s="97">
        <v>99.987395481978027</v>
      </c>
      <c r="W127" s="97">
        <v>133.63377222434147</v>
      </c>
      <c r="X127" s="22"/>
      <c r="AA127" s="24">
        <f>O127/$AA$3</f>
        <v>0.59171078213722783</v>
      </c>
      <c r="AB127" s="22"/>
    </row>
    <row r="128" spans="1:28" hidden="1" x14ac:dyDescent="0.25">
      <c r="A128" s="16"/>
      <c r="B128" s="3" t="s">
        <v>200</v>
      </c>
      <c r="C128" s="3" t="s">
        <v>201</v>
      </c>
      <c r="D128" s="11" t="s">
        <v>8</v>
      </c>
      <c r="E128" s="8">
        <v>1776.8153242168075</v>
      </c>
      <c r="F128" s="8">
        <v>2284.4697821979116</v>
      </c>
      <c r="G128" s="8">
        <v>2721.0351150671308</v>
      </c>
      <c r="H128" s="8">
        <v>1561.5775945300845</v>
      </c>
      <c r="I128" s="8">
        <v>2098.6411864743909</v>
      </c>
      <c r="J128" s="8">
        <v>2413.9908766782696</v>
      </c>
      <c r="K128" s="8">
        <v>1441.4861540527099</v>
      </c>
      <c r="L128" s="8">
        <v>1763.3797524614617</v>
      </c>
      <c r="M128" s="8">
        <v>2482.5079315763301</v>
      </c>
      <c r="N128" s="22"/>
      <c r="O128" s="8">
        <v>165.07170488547902</v>
      </c>
      <c r="P128" s="8">
        <v>212.23439294288426</v>
      </c>
      <c r="Q128" s="8">
        <v>252.7926787750844</v>
      </c>
      <c r="R128" s="8">
        <v>145.07544612362477</v>
      </c>
      <c r="S128" s="8">
        <v>194.97033477404946</v>
      </c>
      <c r="T128" s="8">
        <v>224.26730800901808</v>
      </c>
      <c r="U128" s="8">
        <v>133.91857542830294</v>
      </c>
      <c r="V128" s="8">
        <v>163.82349821732475</v>
      </c>
      <c r="W128" s="8">
        <v>230.63275686101971</v>
      </c>
      <c r="X128" s="22"/>
      <c r="AA128" s="24">
        <f>O128/$AA$3</f>
        <v>1.3428718003091236</v>
      </c>
      <c r="AB128" s="22"/>
    </row>
    <row r="129" spans="1:28" hidden="1" x14ac:dyDescent="0.25">
      <c r="A129" s="16"/>
      <c r="B129" s="3" t="s">
        <v>202</v>
      </c>
      <c r="C129" s="3" t="s">
        <v>203</v>
      </c>
      <c r="D129" s="11" t="s">
        <v>8</v>
      </c>
      <c r="E129" s="8">
        <v>775.03335156638479</v>
      </c>
      <c r="F129" s="8">
        <v>1050.0586872202884</v>
      </c>
      <c r="G129" s="8">
        <v>1484.9770412729983</v>
      </c>
      <c r="H129" s="8">
        <v>689.8920835405271</v>
      </c>
      <c r="I129" s="8">
        <v>983.19264047737431</v>
      </c>
      <c r="J129" s="8">
        <v>1177.3131526603679</v>
      </c>
      <c r="K129" s="8">
        <v>938.79304326205863</v>
      </c>
      <c r="L129" s="8">
        <v>1105.2009696668324</v>
      </c>
      <c r="M129" s="8">
        <v>1538.5297563401293</v>
      </c>
      <c r="N129" s="22"/>
      <c r="O129" s="8">
        <v>72.003024142400506</v>
      </c>
      <c r="P129" s="8">
        <v>97.553738628219179</v>
      </c>
      <c r="Q129" s="8">
        <v>137.959014973476</v>
      </c>
      <c r="R129" s="8">
        <v>64.093133858594669</v>
      </c>
      <c r="S129" s="8">
        <v>91.341673601331706</v>
      </c>
      <c r="T129" s="8">
        <v>109.37607676217431</v>
      </c>
      <c r="U129" s="8">
        <v>87.216812053443334</v>
      </c>
      <c r="V129" s="8">
        <v>102.67662925768843</v>
      </c>
      <c r="W129" s="8">
        <v>142.93422981820061</v>
      </c>
      <c r="X129" s="22"/>
      <c r="AA129" s="24">
        <f t="shared" ref="AA129:AA137" si="26">O129/$AA$3</f>
        <v>0.585750481736936</v>
      </c>
      <c r="AB129" s="22"/>
    </row>
    <row r="130" spans="1:28" hidden="1" x14ac:dyDescent="0.25">
      <c r="A130" s="16"/>
      <c r="B130" s="3" t="s">
        <v>204</v>
      </c>
      <c r="C130" s="3" t="s">
        <v>205</v>
      </c>
      <c r="D130" s="11" t="s">
        <v>8</v>
      </c>
      <c r="E130" s="8">
        <v>1048.590775733466</v>
      </c>
      <c r="F130" s="8">
        <v>1495.5901491795128</v>
      </c>
      <c r="G130" s="8">
        <v>1911.2608453505718</v>
      </c>
      <c r="H130" s="8">
        <v>741.19373446046734</v>
      </c>
      <c r="I130" s="8">
        <v>1057.8186573843857</v>
      </c>
      <c r="J130" s="8">
        <v>1359.4351069119841</v>
      </c>
      <c r="K130" s="8">
        <v>814.14249627051208</v>
      </c>
      <c r="L130" s="8">
        <v>1093.3321979114869</v>
      </c>
      <c r="M130" s="8">
        <v>1553.6275484833416</v>
      </c>
      <c r="N130" s="22"/>
      <c r="O130" s="8">
        <v>97.417365056667748</v>
      </c>
      <c r="P130" s="8">
        <v>138.94500591602605</v>
      </c>
      <c r="Q130" s="8">
        <v>177.56211460070904</v>
      </c>
      <c r="R130" s="8">
        <v>68.85921779842505</v>
      </c>
      <c r="S130" s="8">
        <v>98.274664144444458</v>
      </c>
      <c r="T130" s="8">
        <v>126.29577633682811</v>
      </c>
      <c r="U130" s="8">
        <v>75.636386093378064</v>
      </c>
      <c r="V130" s="8">
        <v>101.57398321347159</v>
      </c>
      <c r="W130" s="8">
        <v>144.33686196298197</v>
      </c>
      <c r="X130" s="22"/>
      <c r="AA130" s="24">
        <f t="shared" si="26"/>
        <v>0.79249822061131681</v>
      </c>
      <c r="AB130" s="22"/>
    </row>
    <row r="131" spans="1:28" hidden="1" x14ac:dyDescent="0.25">
      <c r="A131" s="16"/>
      <c r="B131" s="3" t="s">
        <v>206</v>
      </c>
      <c r="C131" s="3" t="s">
        <v>207</v>
      </c>
      <c r="D131" s="11" t="s">
        <v>8</v>
      </c>
      <c r="E131" s="97">
        <v>781.64635573097951</v>
      </c>
      <c r="F131" s="97">
        <v>837.30437823222269</v>
      </c>
      <c r="G131" s="97">
        <v>891.45326199651902</v>
      </c>
      <c r="H131" s="97">
        <v>744.78635504724014</v>
      </c>
      <c r="I131" s="97">
        <v>771.44873980606656</v>
      </c>
      <c r="J131" s="97">
        <v>837.44498085529585</v>
      </c>
      <c r="K131" s="97">
        <v>761.32215551964202</v>
      </c>
      <c r="L131" s="97">
        <v>979.09215813028345</v>
      </c>
      <c r="M131" s="97">
        <v>1089.5529543759326</v>
      </c>
      <c r="N131" s="22"/>
      <c r="O131" s="97">
        <v>72.617392927375718</v>
      </c>
      <c r="P131" s="97">
        <v>77.788197422144648</v>
      </c>
      <c r="Q131" s="97">
        <v>82.818798204788138</v>
      </c>
      <c r="R131" s="97">
        <v>69.192983495502574</v>
      </c>
      <c r="S131" s="97">
        <v>71.67000249036748</v>
      </c>
      <c r="T131" s="97">
        <v>77.8012598459012</v>
      </c>
      <c r="U131" s="97">
        <v>70.729211114897211</v>
      </c>
      <c r="V131" s="97">
        <v>90.960725957160832</v>
      </c>
      <c r="W131" s="97">
        <v>101.2228796603399</v>
      </c>
      <c r="X131" s="22"/>
      <c r="AA131" s="24">
        <f t="shared" si="26"/>
        <v>0.59074842197694111</v>
      </c>
      <c r="AB131" s="22"/>
    </row>
    <row r="132" spans="1:28" hidden="1" x14ac:dyDescent="0.25">
      <c r="A132" s="16"/>
      <c r="B132" s="3" t="s">
        <v>208</v>
      </c>
      <c r="C132" s="3" t="s">
        <v>209</v>
      </c>
      <c r="D132" s="11" t="s">
        <v>8</v>
      </c>
      <c r="E132" s="97">
        <v>828.97673316757823</v>
      </c>
      <c r="F132" s="97">
        <v>1204.377152759821</v>
      </c>
      <c r="G132" s="97">
        <v>1547.1323937344603</v>
      </c>
      <c r="H132" s="97">
        <v>849.3382866235703</v>
      </c>
      <c r="I132" s="97">
        <v>1010.882260069617</v>
      </c>
      <c r="J132" s="97">
        <v>1280.2124815017403</v>
      </c>
      <c r="K132" s="97">
        <v>720.54624181998997</v>
      </c>
      <c r="L132" s="97">
        <v>771.27427056190936</v>
      </c>
      <c r="M132" s="97">
        <v>1001.7878594231724</v>
      </c>
      <c r="N132" s="22"/>
      <c r="O132" s="97">
        <v>77.014533130889205</v>
      </c>
      <c r="P132" s="97">
        <v>111.89040707920188</v>
      </c>
      <c r="Q132" s="97">
        <v>143.73344175758419</v>
      </c>
      <c r="R132" s="97">
        <v>78.906185176708291</v>
      </c>
      <c r="S132" s="97">
        <v>93.914125927369923</v>
      </c>
      <c r="T132" s="97">
        <v>118.93574647681048</v>
      </c>
      <c r="U132" s="97">
        <v>66.941001107404375</v>
      </c>
      <c r="V132" s="97">
        <v>71.653793751512865</v>
      </c>
      <c r="W132" s="97">
        <v>93.069227642692013</v>
      </c>
      <c r="X132" s="22"/>
      <c r="AA132" s="24">
        <f t="shared" si="26"/>
        <v>0.62651951663789662</v>
      </c>
      <c r="AB132" s="22"/>
    </row>
    <row r="133" spans="1:28" hidden="1" x14ac:dyDescent="0.25">
      <c r="A133" s="16"/>
      <c r="B133" s="3" t="s">
        <v>210</v>
      </c>
      <c r="C133" s="3" t="s">
        <v>210</v>
      </c>
      <c r="D133" s="11" t="s">
        <v>8</v>
      </c>
      <c r="E133" s="97">
        <v>1323.1459055196422</v>
      </c>
      <c r="F133" s="97">
        <v>2024.6085012431624</v>
      </c>
      <c r="G133" s="97">
        <v>2400.2929965191447</v>
      </c>
      <c r="H133" s="97">
        <v>1220.2865862754848</v>
      </c>
      <c r="I133" s="97">
        <v>1907.1311277971158</v>
      </c>
      <c r="J133" s="97">
        <v>2217.8611939333664</v>
      </c>
      <c r="K133" s="97">
        <v>1310.2220134261561</v>
      </c>
      <c r="L133" s="97">
        <v>1734.3075131775236</v>
      </c>
      <c r="M133" s="97">
        <v>2044.7764082545996</v>
      </c>
      <c r="N133" s="22"/>
      <c r="O133" s="97">
        <v>122.92439594567418</v>
      </c>
      <c r="P133" s="97">
        <v>188.09246660068956</v>
      </c>
      <c r="Q133" s="97">
        <v>222.99473206915195</v>
      </c>
      <c r="R133" s="97">
        <v>113.36844324784556</v>
      </c>
      <c r="S133" s="97">
        <v>177.17845091436337</v>
      </c>
      <c r="T133" s="97">
        <v>206.0462466144582</v>
      </c>
      <c r="U133" s="97">
        <v>121.72372591961614</v>
      </c>
      <c r="V133" s="97">
        <v>161.12259619445774</v>
      </c>
      <c r="W133" s="97">
        <v>189.96612828571426</v>
      </c>
      <c r="X133" s="22">
        <v>178.00386487183857</v>
      </c>
      <c r="AA133" s="24">
        <f t="shared" si="26"/>
        <v>1</v>
      </c>
      <c r="AB133" s="22"/>
    </row>
    <row r="134" spans="1:28" hidden="1" x14ac:dyDescent="0.25">
      <c r="A134" s="16"/>
      <c r="B134" s="3" t="s">
        <v>211</v>
      </c>
      <c r="C134" s="3" t="s">
        <v>212</v>
      </c>
      <c r="D134" s="11" t="s">
        <v>8</v>
      </c>
      <c r="E134" s="97">
        <v>850.50802821979119</v>
      </c>
      <c r="F134" s="97">
        <v>1451.4087023122827</v>
      </c>
      <c r="G134" s="97">
        <v>1585.8698882705121</v>
      </c>
      <c r="H134" s="97">
        <v>860.02830842864239</v>
      </c>
      <c r="I134" s="97">
        <v>1195.3563785927399</v>
      </c>
      <c r="J134" s="97">
        <v>1273.9843634510196</v>
      </c>
      <c r="K134" s="97">
        <v>1027.6041531824962</v>
      </c>
      <c r="L134" s="97">
        <v>1478.2359327697666</v>
      </c>
      <c r="M134" s="97">
        <v>1582.451336673297</v>
      </c>
      <c r="N134" s="22"/>
      <c r="O134" s="97">
        <v>79.014857832178976</v>
      </c>
      <c r="P134" s="97">
        <v>134.84041121826502</v>
      </c>
      <c r="Q134" s="97">
        <v>147.33227624471726</v>
      </c>
      <c r="R134" s="97">
        <v>79.899321661167647</v>
      </c>
      <c r="S134" s="97">
        <v>111.05234892490083</v>
      </c>
      <c r="T134" s="97">
        <v>118.35713481647169</v>
      </c>
      <c r="U134" s="97">
        <v>95.467642135517451</v>
      </c>
      <c r="V134" s="97">
        <v>137.33274489448681</v>
      </c>
      <c r="W134" s="97">
        <v>147.0146821015893</v>
      </c>
      <c r="X134" s="22">
        <v>120.39584843172042</v>
      </c>
      <c r="AA134" s="24">
        <f t="shared" si="26"/>
        <v>0.64279232144528253</v>
      </c>
      <c r="AB134" s="22"/>
    </row>
    <row r="135" spans="1:28" hidden="1" x14ac:dyDescent="0.25">
      <c r="A135" s="16"/>
      <c r="B135" s="3" t="s">
        <v>213</v>
      </c>
      <c r="C135" s="3" t="s">
        <v>214</v>
      </c>
      <c r="D135" s="11" t="s">
        <v>8</v>
      </c>
      <c r="E135" s="8">
        <v>835.39582815514666</v>
      </c>
      <c r="F135" s="8">
        <v>1257.1376777424166</v>
      </c>
      <c r="G135" s="8">
        <v>1731.7612144604673</v>
      </c>
      <c r="H135" s="8">
        <v>807.84112961710582</v>
      </c>
      <c r="I135" s="8">
        <v>1155.7776893088017</v>
      </c>
      <c r="J135" s="8">
        <v>1511.2864640775731</v>
      </c>
      <c r="K135" s="8">
        <v>719.30217544505217</v>
      </c>
      <c r="L135" s="8">
        <v>906.1576564395823</v>
      </c>
      <c r="M135" s="8">
        <v>1351.6231607458974</v>
      </c>
      <c r="N135" s="22"/>
      <c r="O135" s="8">
        <v>77.610887146401083</v>
      </c>
      <c r="P135" s="8">
        <v>116.79202498559228</v>
      </c>
      <c r="Q135" s="8">
        <v>160.88603707396643</v>
      </c>
      <c r="R135" s="8">
        <v>75.050969408588514</v>
      </c>
      <c r="S135" s="8">
        <v>107.37536481282822</v>
      </c>
      <c r="T135" s="8">
        <v>140.40324269805305</v>
      </c>
      <c r="U135" s="8">
        <v>66.825423447361288</v>
      </c>
      <c r="V135" s="8">
        <v>84.184882471927679</v>
      </c>
      <c r="W135" s="8">
        <v>125.57002208733799</v>
      </c>
      <c r="X135" s="22"/>
      <c r="AA135" s="24">
        <f t="shared" si="26"/>
        <v>0.6313709052570885</v>
      </c>
      <c r="AB135" s="22"/>
    </row>
    <row r="136" spans="1:28" hidden="1" x14ac:dyDescent="0.25">
      <c r="A136" s="16"/>
      <c r="B136" s="3" t="s">
        <v>215</v>
      </c>
      <c r="C136" s="3" t="s">
        <v>216</v>
      </c>
      <c r="D136" s="11" t="s">
        <v>8</v>
      </c>
      <c r="E136" s="8">
        <v>520.38490104425659</v>
      </c>
      <c r="F136" s="8">
        <v>830.9091059174541</v>
      </c>
      <c r="G136" s="8">
        <v>1167.4521193436103</v>
      </c>
      <c r="H136" s="8">
        <v>508.8425519641969</v>
      </c>
      <c r="I136" s="8">
        <v>708.67977722526109</v>
      </c>
      <c r="J136" s="8">
        <v>921.57452610641485</v>
      </c>
      <c r="K136" s="8">
        <v>605.25191248135252</v>
      </c>
      <c r="L136" s="8">
        <v>836.63430532073596</v>
      </c>
      <c r="M136" s="8">
        <v>1155.8849448035803</v>
      </c>
      <c r="N136" s="22"/>
      <c r="O136" s="8">
        <v>48.345386063067906</v>
      </c>
      <c r="P136" s="8">
        <v>77.194056607498595</v>
      </c>
      <c r="Q136" s="8">
        <v>108.45995590293577</v>
      </c>
      <c r="R136" s="8">
        <v>47.273065707057562</v>
      </c>
      <c r="S136" s="8">
        <v>65.838569405630039</v>
      </c>
      <c r="T136" s="8">
        <v>85.617157917336172</v>
      </c>
      <c r="U136" s="8">
        <v>56.229797051380309</v>
      </c>
      <c r="V136" s="8">
        <v>77.725945551402006</v>
      </c>
      <c r="W136" s="8">
        <v>107.38532918399282</v>
      </c>
      <c r="X136" s="22"/>
      <c r="AA136" s="24">
        <f t="shared" si="26"/>
        <v>0.39329366389104653</v>
      </c>
      <c r="AB136" s="22"/>
    </row>
    <row r="137" spans="1:28" hidden="1" x14ac:dyDescent="0.25">
      <c r="A137" s="16"/>
      <c r="B137" s="3" t="s">
        <v>217</v>
      </c>
      <c r="C137" s="3" t="s">
        <v>218</v>
      </c>
      <c r="D137" s="11" t="s">
        <v>8</v>
      </c>
      <c r="E137" s="8">
        <v>612.14130537792141</v>
      </c>
      <c r="F137" s="8">
        <v>768.30720191645946</v>
      </c>
      <c r="G137" s="8">
        <v>986.16239814619598</v>
      </c>
      <c r="H137" s="8">
        <v>558.45171978965686</v>
      </c>
      <c r="I137" s="8">
        <v>699.53923815763301</v>
      </c>
      <c r="J137" s="8">
        <v>863.94799935007461</v>
      </c>
      <c r="K137" s="8">
        <v>474.29589361113875</v>
      </c>
      <c r="L137" s="8">
        <v>571.93005475385382</v>
      </c>
      <c r="M137" s="8">
        <v>851.23458758329184</v>
      </c>
      <c r="N137" s="22"/>
      <c r="O137" s="8">
        <v>56.869843214626805</v>
      </c>
      <c r="P137" s="8">
        <v>71.378143787703294</v>
      </c>
      <c r="Q137" s="8">
        <v>91.617573383828912</v>
      </c>
      <c r="R137" s="8">
        <v>51.88191267009698</v>
      </c>
      <c r="S137" s="8">
        <v>64.989384717215231</v>
      </c>
      <c r="T137" s="8">
        <v>80.263473216034583</v>
      </c>
      <c r="U137" s="8">
        <v>44.063573018249777</v>
      </c>
      <c r="V137" s="8">
        <v>53.134092174198372</v>
      </c>
      <c r="W137" s="8">
        <v>79.08235747111101</v>
      </c>
      <c r="X137" s="22"/>
      <c r="AA137" s="24">
        <f t="shared" si="26"/>
        <v>0.46264081899381593</v>
      </c>
      <c r="AB137" s="22"/>
    </row>
    <row r="138" spans="1:28" hidden="1" x14ac:dyDescent="0.25">
      <c r="A138" s="16"/>
      <c r="B138" s="3" t="s">
        <v>219</v>
      </c>
      <c r="C138" s="3" t="s">
        <v>220</v>
      </c>
      <c r="D138" s="11" t="s">
        <v>6</v>
      </c>
      <c r="E138" s="8">
        <v>1565.342282446544</v>
      </c>
      <c r="F138" s="8">
        <v>2132.8762705121831</v>
      </c>
      <c r="G138" s="8">
        <v>2999.4348184982596</v>
      </c>
      <c r="H138" s="8">
        <v>1449.5932272501243</v>
      </c>
      <c r="I138" s="8">
        <v>1980.3544356041768</v>
      </c>
      <c r="J138" s="8">
        <v>2617.6302187966185</v>
      </c>
      <c r="K138" s="8">
        <v>1738.5111138736945</v>
      </c>
      <c r="L138" s="8">
        <v>2193.4802237692688</v>
      </c>
      <c r="M138" s="8">
        <v>2863.8014768771759</v>
      </c>
      <c r="N138" s="22"/>
      <c r="O138" s="8">
        <v>145.4238732537512</v>
      </c>
      <c r="P138" s="8">
        <v>198.14907698277773</v>
      </c>
      <c r="Q138" s="8">
        <v>278.65434529529159</v>
      </c>
      <c r="R138" s="8">
        <v>134.67052165718087</v>
      </c>
      <c r="S138" s="8">
        <v>183.97945016261363</v>
      </c>
      <c r="T138" s="8">
        <v>243.18382594796361</v>
      </c>
      <c r="U138" s="8">
        <v>161.5116532079237</v>
      </c>
      <c r="V138" s="8">
        <v>203.77932265873309</v>
      </c>
      <c r="W138" s="8">
        <v>266.0536980745066</v>
      </c>
      <c r="X138" s="22"/>
      <c r="Y138" s="24">
        <f t="shared" ref="Y138:Y139" si="27">O138/$Y$3</f>
        <v>1</v>
      </c>
      <c r="AB138" s="22"/>
    </row>
    <row r="139" spans="1:28" hidden="1" x14ac:dyDescent="0.25">
      <c r="A139" s="16"/>
      <c r="B139" s="3" t="s">
        <v>221</v>
      </c>
      <c r="C139" s="3" t="s">
        <v>222</v>
      </c>
      <c r="D139" s="11" t="s">
        <v>6</v>
      </c>
      <c r="E139" s="8">
        <v>945.77247523620099</v>
      </c>
      <c r="F139" s="8">
        <v>1309.8001444057684</v>
      </c>
      <c r="G139" s="8">
        <v>2093.1230985082052</v>
      </c>
      <c r="H139" s="8">
        <v>960.3429413227251</v>
      </c>
      <c r="I139" s="8">
        <v>1289.4044826951765</v>
      </c>
      <c r="J139" s="8">
        <v>1905.6578397314772</v>
      </c>
      <c r="K139" s="8">
        <v>1210.3430370462456</v>
      </c>
      <c r="L139" s="8">
        <v>1474.0886072103433</v>
      </c>
      <c r="M139" s="8">
        <v>2278.7861442068624</v>
      </c>
      <c r="N139" s="22"/>
      <c r="O139" s="8">
        <v>87.864423077278431</v>
      </c>
      <c r="P139" s="8">
        <v>121.68342497597753</v>
      </c>
      <c r="Q139" s="8">
        <v>194.45591650805676</v>
      </c>
      <c r="R139" s="8">
        <v>89.218052655406893</v>
      </c>
      <c r="S139" s="8">
        <v>119.788621419728</v>
      </c>
      <c r="T139" s="8">
        <v>177.03996580031782</v>
      </c>
      <c r="U139" s="8">
        <v>112.4436325439796</v>
      </c>
      <c r="V139" s="8">
        <v>136.94619840250573</v>
      </c>
      <c r="W139" s="8">
        <v>211.7044375046197</v>
      </c>
      <c r="X139" s="22"/>
      <c r="Y139" s="24">
        <f t="shared" si="27"/>
        <v>0.60419531615667499</v>
      </c>
      <c r="AB139" s="22"/>
    </row>
    <row r="140" spans="1:28" x14ac:dyDescent="0.25">
      <c r="A140" s="16"/>
      <c r="B140" s="17"/>
      <c r="C140" s="3"/>
      <c r="D140" s="1"/>
      <c r="F140" s="4"/>
      <c r="G140" s="4"/>
      <c r="H140" s="4"/>
      <c r="I140" s="4"/>
      <c r="J140" s="4"/>
      <c r="K140" s="4"/>
      <c r="L140" s="4"/>
      <c r="M140" s="4"/>
    </row>
    <row r="141" spans="1:28" x14ac:dyDescent="0.25">
      <c r="A141" s="16"/>
      <c r="B141" s="17"/>
      <c r="C141" s="3"/>
      <c r="D141" s="1"/>
      <c r="F141" s="4"/>
      <c r="G141" s="4"/>
      <c r="H141" s="4"/>
      <c r="I141" s="4"/>
      <c r="J141" s="4"/>
      <c r="K141" s="4"/>
      <c r="L141" s="4"/>
      <c r="M141" s="4"/>
    </row>
    <row r="142" spans="1:28" x14ac:dyDescent="0.25">
      <c r="A142" s="16"/>
      <c r="B142" s="17"/>
      <c r="C142" s="3"/>
      <c r="D142" s="1"/>
      <c r="F142" s="4"/>
      <c r="G142" s="4"/>
      <c r="H142" s="4"/>
      <c r="I142" s="4"/>
      <c r="J142" s="4"/>
      <c r="K142" s="4"/>
      <c r="L142" s="4"/>
      <c r="M142" s="4"/>
    </row>
    <row r="143" spans="1:28" x14ac:dyDescent="0.25">
      <c r="A143" s="16"/>
      <c r="B143" s="17"/>
      <c r="C143" s="3"/>
      <c r="D143" s="1"/>
      <c r="F143" s="4"/>
      <c r="G143" s="4"/>
      <c r="H143" s="4"/>
      <c r="I143" s="4"/>
      <c r="J143" s="4"/>
      <c r="K143" s="4"/>
      <c r="L143" s="4"/>
      <c r="M143" s="4"/>
    </row>
    <row r="144" spans="1:28" x14ac:dyDescent="0.25">
      <c r="A144" s="16"/>
      <c r="B144" s="17"/>
      <c r="C144" s="3"/>
      <c r="D144" s="1"/>
      <c r="F144" s="4"/>
      <c r="G144" s="4"/>
      <c r="H144" s="4"/>
      <c r="I144" s="4"/>
      <c r="J144" s="4"/>
      <c r="K144" s="4"/>
      <c r="L144" s="4"/>
      <c r="M144" s="4"/>
    </row>
    <row r="145" spans="1:13" x14ac:dyDescent="0.25">
      <c r="A145" s="16"/>
      <c r="B145" s="17"/>
      <c r="C145" s="3"/>
      <c r="D145" s="1"/>
      <c r="F145" s="4"/>
      <c r="G145" s="4"/>
      <c r="H145" s="4"/>
      <c r="I145" s="4"/>
      <c r="J145" s="4"/>
      <c r="K145" s="4"/>
      <c r="L145" s="4"/>
      <c r="M145" s="4"/>
    </row>
    <row r="146" spans="1:13" x14ac:dyDescent="0.25">
      <c r="A146" s="16"/>
      <c r="B146" s="17"/>
      <c r="C146" s="3"/>
      <c r="D146" s="1"/>
      <c r="F146" s="4"/>
      <c r="G146" s="4"/>
      <c r="H146" s="4"/>
      <c r="I146" s="4"/>
      <c r="J146" s="4"/>
      <c r="K146" s="4"/>
      <c r="L146" s="4"/>
      <c r="M146" s="4"/>
    </row>
    <row r="147" spans="1:13" x14ac:dyDescent="0.25">
      <c r="A147" s="16"/>
      <c r="B147" s="17"/>
      <c r="C147" s="3"/>
      <c r="D147" s="1"/>
      <c r="F147" s="4"/>
      <c r="G147" s="4"/>
      <c r="H147" s="4"/>
      <c r="I147" s="4"/>
      <c r="J147" s="4"/>
      <c r="K147" s="4"/>
      <c r="L147" s="4"/>
      <c r="M147" s="4"/>
    </row>
    <row r="148" spans="1:13" x14ac:dyDescent="0.25">
      <c r="A148" s="16"/>
      <c r="B148" s="17"/>
      <c r="C148" s="3"/>
      <c r="D148" s="1"/>
      <c r="F148" s="4"/>
      <c r="G148" s="4"/>
      <c r="H148" s="4"/>
      <c r="I148" s="4"/>
      <c r="J148" s="4"/>
      <c r="K148" s="4"/>
      <c r="L148" s="4"/>
      <c r="M148" s="4"/>
    </row>
    <row r="149" spans="1:13" x14ac:dyDescent="0.25">
      <c r="A149" s="16"/>
      <c r="B149" s="17"/>
      <c r="C149" s="3"/>
      <c r="D149" s="1"/>
      <c r="F149" s="4"/>
      <c r="G149" s="4"/>
      <c r="H149" s="4"/>
      <c r="I149" s="4"/>
      <c r="J149" s="4"/>
      <c r="K149" s="4"/>
      <c r="L149" s="4"/>
      <c r="M149" s="4"/>
    </row>
    <row r="150" spans="1:13" x14ac:dyDescent="0.25">
      <c r="A150" s="16"/>
      <c r="B150" s="17"/>
      <c r="C150" s="3"/>
      <c r="D150" s="1"/>
      <c r="F150" s="4"/>
      <c r="G150" s="4"/>
      <c r="H150" s="4"/>
      <c r="I150" s="4"/>
      <c r="J150" s="4"/>
      <c r="K150" s="4"/>
      <c r="L150" s="4"/>
      <c r="M150" s="4"/>
    </row>
    <row r="151" spans="1:13" x14ac:dyDescent="0.25">
      <c r="A151" s="16"/>
      <c r="B151" s="17"/>
      <c r="C151" s="3"/>
      <c r="D151" s="1"/>
      <c r="F151" s="4"/>
      <c r="G151" s="4"/>
      <c r="H151" s="4"/>
      <c r="I151" s="4"/>
      <c r="J151" s="4"/>
      <c r="K151" s="4"/>
      <c r="L151" s="4"/>
      <c r="M151" s="4"/>
    </row>
    <row r="152" spans="1:13" x14ac:dyDescent="0.25">
      <c r="A152" s="16"/>
      <c r="B152" s="17"/>
      <c r="C152" s="3"/>
      <c r="D152" s="1"/>
      <c r="F152" s="4"/>
      <c r="G152" s="4"/>
      <c r="H152" s="4"/>
      <c r="I152" s="4"/>
      <c r="J152" s="4"/>
      <c r="K152" s="4"/>
      <c r="L152" s="4"/>
      <c r="M152" s="4"/>
    </row>
    <row r="153" spans="1:13" x14ac:dyDescent="0.25">
      <c r="A153" s="16"/>
      <c r="B153" s="17"/>
      <c r="C153" s="3"/>
      <c r="D153" s="1"/>
      <c r="F153" s="4"/>
      <c r="G153" s="4"/>
      <c r="H153" s="4"/>
      <c r="I153" s="4"/>
      <c r="J153" s="4"/>
      <c r="K153" s="4"/>
      <c r="L153" s="4"/>
      <c r="M153" s="4"/>
    </row>
    <row r="154" spans="1:13" x14ac:dyDescent="0.25">
      <c r="A154" s="16"/>
      <c r="B154" s="17"/>
      <c r="C154" s="3"/>
      <c r="D154" s="1"/>
      <c r="F154" s="4"/>
      <c r="G154" s="4"/>
      <c r="H154" s="4"/>
      <c r="I154" s="4"/>
      <c r="J154" s="4"/>
      <c r="K154" s="4"/>
      <c r="L154" s="4"/>
      <c r="M154" s="4"/>
    </row>
    <row r="155" spans="1:13" x14ac:dyDescent="0.25">
      <c r="A155" s="16"/>
      <c r="B155" s="17"/>
      <c r="C155" s="3"/>
      <c r="D155" s="1"/>
      <c r="F155" s="4"/>
      <c r="G155" s="4"/>
      <c r="H155" s="4"/>
      <c r="I155" s="4"/>
      <c r="J155" s="4"/>
      <c r="K155" s="4"/>
      <c r="L155" s="4"/>
      <c r="M155" s="4"/>
    </row>
    <row r="156" spans="1:13" x14ac:dyDescent="0.25">
      <c r="A156" s="16"/>
      <c r="B156" s="17"/>
      <c r="C156" s="3"/>
      <c r="D156" s="1"/>
      <c r="F156" s="4"/>
      <c r="G156" s="4"/>
      <c r="H156" s="4"/>
      <c r="I156" s="4"/>
      <c r="J156" s="4"/>
      <c r="K156" s="4"/>
      <c r="L156" s="4"/>
      <c r="M156" s="4"/>
    </row>
    <row r="157" spans="1:13" x14ac:dyDescent="0.25">
      <c r="A157" s="16"/>
      <c r="B157" s="17"/>
      <c r="C157" s="3"/>
      <c r="D157" s="1"/>
      <c r="F157" s="4"/>
      <c r="G157" s="4"/>
      <c r="H157" s="4"/>
      <c r="I157" s="4"/>
      <c r="J157" s="4"/>
      <c r="K157" s="4"/>
      <c r="L157" s="4"/>
      <c r="M157" s="4"/>
    </row>
    <row r="158" spans="1:13" x14ac:dyDescent="0.25">
      <c r="A158" s="16"/>
      <c r="B158" s="17"/>
      <c r="C158" s="3"/>
      <c r="D158" s="1"/>
      <c r="F158" s="4"/>
      <c r="G158" s="4"/>
      <c r="H158" s="4"/>
      <c r="I158" s="4"/>
      <c r="J158" s="4"/>
      <c r="K158" s="4"/>
      <c r="L158" s="4"/>
      <c r="M158" s="4"/>
    </row>
    <row r="159" spans="1:13" x14ac:dyDescent="0.25">
      <c r="A159" s="16"/>
      <c r="B159" s="17"/>
      <c r="C159" s="3"/>
      <c r="D159" s="1"/>
      <c r="F159" s="4"/>
      <c r="G159" s="4"/>
      <c r="H159" s="4"/>
      <c r="I159" s="4"/>
      <c r="J159" s="4"/>
      <c r="K159" s="4"/>
      <c r="L159" s="4"/>
      <c r="M159" s="4"/>
    </row>
  </sheetData>
  <autoFilter ref="B4:D139" xr:uid="{B593B8AD-AE04-4543-B232-6D3D3239B900}">
    <filterColumn colId="2">
      <filters>
        <filter val="AMERICAS"/>
      </filters>
    </filterColumn>
    <sortState xmlns:xlrd2="http://schemas.microsoft.com/office/spreadsheetml/2017/richdata2" ref="B68:D139">
      <sortCondition ref="B4:B139"/>
    </sortState>
  </autoFilter>
  <mergeCells count="9">
    <mergeCell ref="Y1:AA1"/>
    <mergeCell ref="E1:M1"/>
    <mergeCell ref="E2:G2"/>
    <mergeCell ref="H2:J2"/>
    <mergeCell ref="K2:M2"/>
    <mergeCell ref="O1:W1"/>
    <mergeCell ref="O2:Q2"/>
    <mergeCell ref="R2:T2"/>
    <mergeCell ref="U2:W2"/>
  </mergeCells>
  <pageMargins left="0.70866141732283472" right="0.70866141732283472" top="0.74803149606299213" bottom="0.74803149606299213" header="0.31496062992125984" footer="0.31496062992125984"/>
  <pageSetup paperSize="8" scale="70" orientation="landscape" horizontalDpi="1200" verticalDpi="1200" r:id="rId1"/>
  <colBreaks count="3" manualBreakCount="3">
    <brk id="14" max="136" man="1"/>
    <brk id="23" max="1048575" man="1"/>
    <brk id="2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8C51-4FB4-43C6-85C5-76E366D03CEC}">
  <sheetPr filterMode="1"/>
  <dimension ref="A1:AB173"/>
  <sheetViews>
    <sheetView view="pageBreakPreview" topLeftCell="D36" zoomScaleNormal="100" zoomScaleSheetLayoutView="100" workbookViewId="0">
      <selection activeCell="B45" sqref="A45:XFD45"/>
    </sheetView>
  </sheetViews>
  <sheetFormatPr defaultColWidth="8.83203125" defaultRowHeight="13.5" x14ac:dyDescent="0.25"/>
  <cols>
    <col min="1" max="1" width="4.58203125" customWidth="1"/>
    <col min="2" max="2" width="21" customWidth="1"/>
    <col min="3" max="3" width="14.58203125" customWidth="1"/>
    <col min="4" max="4" width="10.08203125" bestFit="1" customWidth="1"/>
    <col min="5" max="5" width="9.58203125" style="4" customWidth="1"/>
    <col min="6" max="6" width="10.5" customWidth="1"/>
    <col min="7" max="8" width="9.83203125" customWidth="1"/>
    <col min="9" max="9" width="11" customWidth="1"/>
    <col min="10" max="10" width="10.08203125" customWidth="1"/>
    <col min="11" max="11" width="10" customWidth="1"/>
    <col min="12" max="12" width="10.58203125" customWidth="1"/>
    <col min="13" max="13" width="11" customWidth="1"/>
    <col min="14" max="14" width="6" customWidth="1"/>
    <col min="17" max="17" width="11.33203125" customWidth="1"/>
    <col min="24" max="24" width="6" customWidth="1"/>
    <col min="25" max="27" width="8.5" style="24"/>
    <col min="28" max="28" width="6" customWidth="1"/>
  </cols>
  <sheetData>
    <row r="1" spans="1:28" ht="17.5" customHeight="1" x14ac:dyDescent="0.25">
      <c r="A1" s="20" t="s">
        <v>223</v>
      </c>
      <c r="B1" s="15"/>
      <c r="C1" s="2"/>
      <c r="D1" s="2"/>
      <c r="E1" s="132" t="s">
        <v>224</v>
      </c>
      <c r="F1" s="132"/>
      <c r="G1" s="132"/>
      <c r="H1" s="132"/>
      <c r="I1" s="132"/>
      <c r="J1" s="132"/>
      <c r="K1" s="132"/>
      <c r="L1" s="132"/>
      <c r="M1" s="132"/>
      <c r="N1" s="22"/>
      <c r="O1" s="132" t="s">
        <v>225</v>
      </c>
      <c r="P1" s="132"/>
      <c r="Q1" s="132"/>
      <c r="R1" s="132"/>
      <c r="S1" s="132"/>
      <c r="T1" s="132"/>
      <c r="U1" s="132"/>
      <c r="V1" s="132"/>
      <c r="W1" s="132"/>
      <c r="X1" s="22"/>
      <c r="Y1" s="131" t="s">
        <v>2</v>
      </c>
      <c r="Z1" s="131"/>
      <c r="AA1" s="131"/>
      <c r="AB1" s="22"/>
    </row>
    <row r="2" spans="1:28" x14ac:dyDescent="0.25">
      <c r="A2" s="16"/>
      <c r="B2" s="16"/>
      <c r="C2" s="1"/>
      <c r="D2" s="1"/>
      <c r="E2" s="133" t="s">
        <v>3</v>
      </c>
      <c r="F2" s="133"/>
      <c r="G2" s="133"/>
      <c r="H2" s="133" t="s">
        <v>4</v>
      </c>
      <c r="I2" s="133"/>
      <c r="J2" s="133"/>
      <c r="K2" s="133" t="s">
        <v>5</v>
      </c>
      <c r="L2" s="133"/>
      <c r="M2" s="133"/>
      <c r="N2" s="22"/>
      <c r="O2" s="133" t="s">
        <v>3</v>
      </c>
      <c r="P2" s="133"/>
      <c r="Q2" s="133"/>
      <c r="R2" s="133" t="s">
        <v>4</v>
      </c>
      <c r="S2" s="133"/>
      <c r="T2" s="133"/>
      <c r="U2" s="133" t="s">
        <v>5</v>
      </c>
      <c r="V2" s="133"/>
      <c r="W2" s="133"/>
      <c r="X2" s="22"/>
      <c r="Y2" s="24" t="s">
        <v>6</v>
      </c>
      <c r="Z2" s="24" t="s">
        <v>7</v>
      </c>
      <c r="AA2" s="24" t="s">
        <v>8</v>
      </c>
      <c r="AB2" s="22"/>
    </row>
    <row r="3" spans="1:28" x14ac:dyDescent="0.25">
      <c r="A3" s="16"/>
      <c r="B3" s="16"/>
      <c r="C3" s="1"/>
      <c r="D3" s="1"/>
      <c r="E3" s="5" t="s">
        <v>9</v>
      </c>
      <c r="F3" s="6" t="s">
        <v>10</v>
      </c>
      <c r="G3" s="6" t="s">
        <v>11</v>
      </c>
      <c r="H3" s="6" t="s">
        <v>9</v>
      </c>
      <c r="I3" s="6" t="s">
        <v>10</v>
      </c>
      <c r="J3" s="6" t="s">
        <v>12</v>
      </c>
      <c r="K3" s="6" t="s">
        <v>13</v>
      </c>
      <c r="L3" s="6" t="s">
        <v>10</v>
      </c>
      <c r="M3" s="6" t="s">
        <v>11</v>
      </c>
      <c r="N3" s="22"/>
      <c r="O3" s="5" t="s">
        <v>9</v>
      </c>
      <c r="P3" s="6" t="s">
        <v>10</v>
      </c>
      <c r="Q3" s="6" t="s">
        <v>11</v>
      </c>
      <c r="R3" s="6" t="s">
        <v>9</v>
      </c>
      <c r="S3" s="6" t="s">
        <v>10</v>
      </c>
      <c r="T3" s="6" t="s">
        <v>12</v>
      </c>
      <c r="U3" s="6" t="s">
        <v>13</v>
      </c>
      <c r="V3" s="6" t="s">
        <v>10</v>
      </c>
      <c r="W3" s="6" t="s">
        <v>11</v>
      </c>
      <c r="X3" s="22"/>
      <c r="Y3" s="24">
        <v>145.423873253751</v>
      </c>
      <c r="Z3" s="24">
        <v>213.86533880922499</v>
      </c>
      <c r="AA3" s="24">
        <v>153.65409583117699</v>
      </c>
      <c r="AB3" s="22"/>
    </row>
    <row r="4" spans="1:28" x14ac:dyDescent="0.25">
      <c r="A4" s="16"/>
      <c r="B4" s="12" t="s">
        <v>14</v>
      </c>
      <c r="C4" s="12" t="s">
        <v>15</v>
      </c>
      <c r="D4" s="13" t="s">
        <v>16</v>
      </c>
      <c r="E4" s="14"/>
      <c r="F4" s="14"/>
      <c r="G4" s="14"/>
      <c r="H4" s="14"/>
      <c r="I4" s="14"/>
      <c r="J4" s="14"/>
      <c r="K4" s="14"/>
      <c r="L4" s="14"/>
      <c r="M4" s="14"/>
      <c r="N4" s="22"/>
      <c r="O4" s="14"/>
      <c r="P4" s="14"/>
      <c r="Q4" s="14"/>
      <c r="R4" s="14"/>
      <c r="S4" s="14"/>
      <c r="T4" s="14"/>
      <c r="U4" s="14"/>
      <c r="V4" s="14"/>
      <c r="W4" s="14"/>
      <c r="X4" s="22"/>
      <c r="AB4" s="22"/>
    </row>
    <row r="5" spans="1:28" x14ac:dyDescent="0.25">
      <c r="A5" s="16"/>
      <c r="B5" s="3" t="s">
        <v>17</v>
      </c>
      <c r="C5" s="3" t="s">
        <v>18</v>
      </c>
      <c r="D5" s="11" t="s">
        <v>19</v>
      </c>
      <c r="E5" s="7">
        <f>238.73*$Z5</f>
        <v>187.98909455868639</v>
      </c>
      <c r="F5" s="7">
        <f>315.46*Z5</f>
        <v>248.41050462649525</v>
      </c>
      <c r="G5" s="7">
        <f>365.27*Z5</f>
        <v>287.63363033322742</v>
      </c>
      <c r="H5" s="7">
        <f>191.35*Z5</f>
        <v>150.67948411931741</v>
      </c>
      <c r="I5" s="7">
        <f>307.57*Z5</f>
        <v>242.19748591888398</v>
      </c>
      <c r="J5" s="7">
        <f>368.13*Z5</f>
        <v>289.88575118288117</v>
      </c>
      <c r="K5" s="7">
        <f>179*Z5</f>
        <v>140.95441681399433</v>
      </c>
      <c r="L5" s="7">
        <f>252.87*Z5</f>
        <v>199.12370603214941</v>
      </c>
      <c r="M5" s="7">
        <f>276.8*Z5</f>
        <v>217.96750041404263</v>
      </c>
      <c r="N5" s="22"/>
      <c r="O5" s="7" t="e">
        <f ca="1">22.18*$O5</f>
        <v>#NUM!</v>
      </c>
      <c r="P5" s="7" t="e">
        <f ca="1">29.31*$O5</f>
        <v>#NUM!</v>
      </c>
      <c r="Q5" s="7" t="e">
        <f ca="1">33.93*$O5</f>
        <v>#NUM!</v>
      </c>
      <c r="R5" s="7" t="e">
        <f ca="1">17.78*$O5</f>
        <v>#NUM!</v>
      </c>
      <c r="S5" s="7" t="e">
        <f ca="1">28.57*$O5</f>
        <v>#NUM!</v>
      </c>
      <c r="T5" s="7" t="e">
        <f ca="1">34.2*$O5</f>
        <v>#NUM!</v>
      </c>
      <c r="U5" s="7" t="e">
        <f ca="1">16.63*$O5</f>
        <v>#NUM!</v>
      </c>
      <c r="V5" s="7" t="e">
        <f ca="1">23.49*$O5</f>
        <v>#NUM!</v>
      </c>
      <c r="W5" s="7" t="e">
        <f ca="1">25.71*$O5</f>
        <v>#NUM!</v>
      </c>
      <c r="X5" s="22"/>
      <c r="Y5"/>
      <c r="Z5" s="10">
        <v>0.78745484253628117</v>
      </c>
      <c r="AA5"/>
      <c r="AB5" s="22"/>
    </row>
    <row r="6" spans="1:28" x14ac:dyDescent="0.25">
      <c r="A6" s="16"/>
      <c r="B6" s="3" t="s">
        <v>17</v>
      </c>
      <c r="C6" s="3" t="s">
        <v>20</v>
      </c>
      <c r="D6" s="11" t="s">
        <v>19</v>
      </c>
      <c r="E6" s="7">
        <f t="shared" ref="E6:E67" si="0">238.73*$Z6</f>
        <v>175.60213368615777</v>
      </c>
      <c r="F6" s="7">
        <f t="shared" ref="F6:F67" si="1">315.46*Z6</f>
        <v>232.04226151985642</v>
      </c>
      <c r="G6" s="7">
        <f t="shared" ref="G6:G67" si="2">365.27*Z6</f>
        <v>268.68090047980081</v>
      </c>
      <c r="H6" s="7">
        <f t="shared" ref="H6:H67" si="3">191.35*Z6</f>
        <v>140.75092481400029</v>
      </c>
      <c r="I6" s="7">
        <f t="shared" ref="I6:I67" si="4">307.57*Z6</f>
        <v>226.23863049407927</v>
      </c>
      <c r="J6" s="7">
        <f t="shared" ref="J6:J67" si="5">368.13*Z6</f>
        <v>270.78462478065285</v>
      </c>
      <c r="K6" s="7">
        <f t="shared" ref="K6:K67" si="6">179*Z6</f>
        <v>131.66666078759368</v>
      </c>
      <c r="L6" s="7">
        <f t="shared" ref="L6:L67" si="7">252.87*Z6</f>
        <v>186.0030643204403</v>
      </c>
      <c r="M6" s="7">
        <f t="shared" ref="M6:M67" si="8">276.8*Z6</f>
        <v>203.60520506148566</v>
      </c>
      <c r="N6" s="22"/>
      <c r="O6" s="7" t="e">
        <f t="shared" ref="O6:O67" ca="1" si="9">22.18*$O6</f>
        <v>#NUM!</v>
      </c>
      <c r="P6" s="7" t="e">
        <f t="shared" ref="P6:P67" ca="1" si="10">29.31*$O6</f>
        <v>#NUM!</v>
      </c>
      <c r="Q6" s="7" t="e">
        <f t="shared" ref="Q6:Q67" ca="1" si="11">33.93*$O6</f>
        <v>#NUM!</v>
      </c>
      <c r="R6" s="7" t="e">
        <f t="shared" ref="R6:R67" ca="1" si="12">17.78*$O6</f>
        <v>#NUM!</v>
      </c>
      <c r="S6" s="7" t="e">
        <f t="shared" ref="S6:S67" ca="1" si="13">28.57*$O6</f>
        <v>#NUM!</v>
      </c>
      <c r="T6" s="7" t="e">
        <f t="shared" ref="T6:T67" ca="1" si="14">34.2*$O6</f>
        <v>#NUM!</v>
      </c>
      <c r="U6" s="7" t="e">
        <f t="shared" ref="U6:U67" ca="1" si="15">16.63*$O6</f>
        <v>#NUM!</v>
      </c>
      <c r="V6" s="7" t="e">
        <f t="shared" ref="V6:V67" ca="1" si="16">23.49*$O6</f>
        <v>#NUM!</v>
      </c>
      <c r="W6" s="7" t="e">
        <f t="shared" ref="W6:W67" ca="1" si="17">25.71*$O6</f>
        <v>#NUM!</v>
      </c>
      <c r="X6" s="22"/>
      <c r="Y6"/>
      <c r="Z6" s="10">
        <v>0.73556793736085857</v>
      </c>
      <c r="AA6"/>
      <c r="AB6" s="22"/>
    </row>
    <row r="7" spans="1:28" x14ac:dyDescent="0.25">
      <c r="A7" s="16"/>
      <c r="B7" s="3" t="s">
        <v>17</v>
      </c>
      <c r="C7" s="3" t="s">
        <v>21</v>
      </c>
      <c r="D7" s="11" t="s">
        <v>19</v>
      </c>
      <c r="E7" s="7">
        <f t="shared" si="0"/>
        <v>175.60213368615777</v>
      </c>
      <c r="F7" s="7">
        <f t="shared" si="1"/>
        <v>232.04226151985642</v>
      </c>
      <c r="G7" s="7">
        <f t="shared" si="2"/>
        <v>268.68090047980081</v>
      </c>
      <c r="H7" s="7">
        <f t="shared" si="3"/>
        <v>140.75092481400029</v>
      </c>
      <c r="I7" s="7">
        <f t="shared" si="4"/>
        <v>226.23863049407927</v>
      </c>
      <c r="J7" s="7">
        <f t="shared" si="5"/>
        <v>270.78462478065285</v>
      </c>
      <c r="K7" s="7">
        <f t="shared" si="6"/>
        <v>131.66666078759368</v>
      </c>
      <c r="L7" s="7">
        <f t="shared" si="7"/>
        <v>186.0030643204403</v>
      </c>
      <c r="M7" s="7">
        <f t="shared" si="8"/>
        <v>203.60520506148566</v>
      </c>
      <c r="N7" s="22"/>
      <c r="O7" s="7" t="e">
        <f t="shared" ca="1" si="9"/>
        <v>#NUM!</v>
      </c>
      <c r="P7" s="7" t="e">
        <f t="shared" ca="1" si="10"/>
        <v>#NUM!</v>
      </c>
      <c r="Q7" s="7" t="e">
        <f t="shared" ca="1" si="11"/>
        <v>#NUM!</v>
      </c>
      <c r="R7" s="7" t="e">
        <f t="shared" ca="1" si="12"/>
        <v>#NUM!</v>
      </c>
      <c r="S7" s="7" t="e">
        <f t="shared" ca="1" si="13"/>
        <v>#NUM!</v>
      </c>
      <c r="T7" s="7" t="e">
        <f t="shared" ca="1" si="14"/>
        <v>#NUM!</v>
      </c>
      <c r="U7" s="7" t="e">
        <f t="shared" ca="1" si="15"/>
        <v>#NUM!</v>
      </c>
      <c r="V7" s="7" t="e">
        <f t="shared" ca="1" si="16"/>
        <v>#NUM!</v>
      </c>
      <c r="W7" s="7" t="e">
        <f t="shared" ca="1" si="17"/>
        <v>#NUM!</v>
      </c>
      <c r="X7" s="22"/>
      <c r="Y7"/>
      <c r="Z7" s="10">
        <v>0.73556793736085857</v>
      </c>
      <c r="AA7"/>
      <c r="AB7" s="22"/>
    </row>
    <row r="8" spans="1:28" x14ac:dyDescent="0.25">
      <c r="A8" s="16"/>
      <c r="B8" s="3" t="s">
        <v>17</v>
      </c>
      <c r="C8" s="3" t="s">
        <v>22</v>
      </c>
      <c r="D8" s="11" t="s">
        <v>19</v>
      </c>
      <c r="E8" s="7">
        <f t="shared" si="0"/>
        <v>230.06523975308525</v>
      </c>
      <c r="F8" s="7">
        <f t="shared" si="1"/>
        <v>304.01030675871601</v>
      </c>
      <c r="G8" s="7">
        <f t="shared" si="2"/>
        <v>352.01244135470802</v>
      </c>
      <c r="H8" s="7">
        <f t="shared" si="3"/>
        <v>184.40490774830505</v>
      </c>
      <c r="I8" s="7">
        <f t="shared" si="4"/>
        <v>296.40667612305293</v>
      </c>
      <c r="J8" s="7">
        <f t="shared" si="5"/>
        <v>354.76863699703966</v>
      </c>
      <c r="K8" s="7">
        <f t="shared" si="6"/>
        <v>172.50315383823676</v>
      </c>
      <c r="L8" s="7">
        <f t="shared" si="7"/>
        <v>243.69202520153593</v>
      </c>
      <c r="M8" s="7">
        <f t="shared" si="8"/>
        <v>266.75348034873707</v>
      </c>
      <c r="N8" s="22"/>
      <c r="O8" s="7" t="e">
        <f t="shared" ca="1" si="9"/>
        <v>#NUM!</v>
      </c>
      <c r="P8" s="7" t="e">
        <f t="shared" ca="1" si="10"/>
        <v>#NUM!</v>
      </c>
      <c r="Q8" s="7" t="e">
        <f t="shared" ca="1" si="11"/>
        <v>#NUM!</v>
      </c>
      <c r="R8" s="7" t="e">
        <f t="shared" ca="1" si="12"/>
        <v>#NUM!</v>
      </c>
      <c r="S8" s="7" t="e">
        <f t="shared" ca="1" si="13"/>
        <v>#NUM!</v>
      </c>
      <c r="T8" s="7" t="e">
        <f t="shared" ca="1" si="14"/>
        <v>#NUM!</v>
      </c>
      <c r="U8" s="7" t="e">
        <f t="shared" ca="1" si="15"/>
        <v>#NUM!</v>
      </c>
      <c r="V8" s="7" t="e">
        <f t="shared" ca="1" si="16"/>
        <v>#NUM!</v>
      </c>
      <c r="W8" s="7" t="e">
        <f t="shared" ca="1" si="17"/>
        <v>#NUM!</v>
      </c>
      <c r="X8" s="22"/>
      <c r="Y8"/>
      <c r="Z8" s="10">
        <v>0.9637047700460154</v>
      </c>
      <c r="AA8"/>
      <c r="AB8" s="22"/>
    </row>
    <row r="9" spans="1:28" x14ac:dyDescent="0.25">
      <c r="A9" s="16"/>
      <c r="B9" s="3" t="s">
        <v>17</v>
      </c>
      <c r="C9" s="3" t="s">
        <v>23</v>
      </c>
      <c r="D9" s="11" t="s">
        <v>19</v>
      </c>
      <c r="E9" s="7">
        <f t="shared" si="0"/>
        <v>182.34079180467967</v>
      </c>
      <c r="F9" s="7">
        <f t="shared" si="1"/>
        <v>240.94678583631821</v>
      </c>
      <c r="G9" s="7">
        <f t="shared" si="2"/>
        <v>278.99141717628845</v>
      </c>
      <c r="H9" s="7">
        <f t="shared" si="3"/>
        <v>146.15218243130505</v>
      </c>
      <c r="I9" s="7">
        <f t="shared" si="4"/>
        <v>234.92044290774234</v>
      </c>
      <c r="J9" s="7">
        <f t="shared" si="5"/>
        <v>281.17587101351626</v>
      </c>
      <c r="K9" s="7">
        <f t="shared" si="6"/>
        <v>136.71931358873064</v>
      </c>
      <c r="L9" s="7">
        <f t="shared" si="7"/>
        <v>193.14085378314144</v>
      </c>
      <c r="M9" s="7">
        <f t="shared" si="8"/>
        <v>211.41846928134436</v>
      </c>
      <c r="N9" s="22"/>
      <c r="O9" s="7" t="e">
        <f t="shared" ca="1" si="9"/>
        <v>#NUM!</v>
      </c>
      <c r="P9" s="7" t="e">
        <f t="shared" ca="1" si="10"/>
        <v>#NUM!</v>
      </c>
      <c r="Q9" s="7" t="e">
        <f t="shared" ca="1" si="11"/>
        <v>#NUM!</v>
      </c>
      <c r="R9" s="7" t="e">
        <f t="shared" ca="1" si="12"/>
        <v>#NUM!</v>
      </c>
      <c r="S9" s="7" t="e">
        <f t="shared" ca="1" si="13"/>
        <v>#NUM!</v>
      </c>
      <c r="T9" s="7" t="e">
        <f t="shared" ca="1" si="14"/>
        <v>#NUM!</v>
      </c>
      <c r="U9" s="7" t="e">
        <f t="shared" ca="1" si="15"/>
        <v>#NUM!</v>
      </c>
      <c r="V9" s="7" t="e">
        <f t="shared" ca="1" si="16"/>
        <v>#NUM!</v>
      </c>
      <c r="W9" s="7" t="e">
        <f t="shared" ca="1" si="17"/>
        <v>#NUM!</v>
      </c>
      <c r="X9" s="22"/>
      <c r="Y9"/>
      <c r="Z9" s="10">
        <v>0.76379504798173536</v>
      </c>
      <c r="AA9"/>
      <c r="AB9" s="22"/>
    </row>
    <row r="10" spans="1:28" x14ac:dyDescent="0.25">
      <c r="A10" s="16"/>
      <c r="B10" s="3" t="s">
        <v>17</v>
      </c>
      <c r="C10" s="3" t="s">
        <v>24</v>
      </c>
      <c r="D10" s="11" t="s">
        <v>19</v>
      </c>
      <c r="E10" s="7">
        <f t="shared" si="0"/>
        <v>223.97009963464777</v>
      </c>
      <c r="F10" s="7">
        <f t="shared" si="1"/>
        <v>295.95613299855899</v>
      </c>
      <c r="G10" s="7">
        <f t="shared" si="2"/>
        <v>342.68654251056751</v>
      </c>
      <c r="H10" s="7">
        <f t="shared" si="3"/>
        <v>179.51945111670025</v>
      </c>
      <c r="I10" s="7">
        <f t="shared" si="4"/>
        <v>288.55394606722496</v>
      </c>
      <c r="J10" s="7">
        <f t="shared" si="5"/>
        <v>345.36971800152003</v>
      </c>
      <c r="K10" s="7">
        <f t="shared" si="6"/>
        <v>167.93301149667803</v>
      </c>
      <c r="L10" s="7">
        <f t="shared" si="7"/>
        <v>237.23586936963676</v>
      </c>
      <c r="M10" s="7">
        <f t="shared" si="8"/>
        <v>259.68635520827087</v>
      </c>
      <c r="N10" s="22"/>
      <c r="O10" s="7" t="e">
        <f t="shared" ca="1" si="9"/>
        <v>#NUM!</v>
      </c>
      <c r="P10" s="7" t="e">
        <f t="shared" ca="1" si="10"/>
        <v>#NUM!</v>
      </c>
      <c r="Q10" s="7" t="e">
        <f t="shared" ca="1" si="11"/>
        <v>#NUM!</v>
      </c>
      <c r="R10" s="7" t="e">
        <f t="shared" ca="1" si="12"/>
        <v>#NUM!</v>
      </c>
      <c r="S10" s="7" t="e">
        <f t="shared" ca="1" si="13"/>
        <v>#NUM!</v>
      </c>
      <c r="T10" s="7" t="e">
        <f t="shared" ca="1" si="14"/>
        <v>#NUM!</v>
      </c>
      <c r="U10" s="7" t="e">
        <f t="shared" ca="1" si="15"/>
        <v>#NUM!</v>
      </c>
      <c r="V10" s="7" t="e">
        <f t="shared" ca="1" si="16"/>
        <v>#NUM!</v>
      </c>
      <c r="W10" s="7" t="e">
        <f t="shared" ca="1" si="17"/>
        <v>#NUM!</v>
      </c>
      <c r="X10" s="22"/>
      <c r="Y10"/>
      <c r="Z10" s="10">
        <v>0.93817324858479356</v>
      </c>
      <c r="AA10"/>
      <c r="AB10" s="22"/>
    </row>
    <row r="11" spans="1:28" x14ac:dyDescent="0.25">
      <c r="A11" s="16"/>
      <c r="B11" s="3" t="s">
        <v>17</v>
      </c>
      <c r="C11" s="3" t="s">
        <v>25</v>
      </c>
      <c r="D11" s="11" t="s">
        <v>19</v>
      </c>
      <c r="E11" s="7">
        <f t="shared" si="0"/>
        <v>183.12070736147729</v>
      </c>
      <c r="F11" s="7">
        <f t="shared" si="1"/>
        <v>241.97737336845651</v>
      </c>
      <c r="G11" s="7">
        <f t="shared" si="2"/>
        <v>280.18473077504632</v>
      </c>
      <c r="H11" s="7">
        <f t="shared" si="3"/>
        <v>146.77731057520495</v>
      </c>
      <c r="I11" s="7">
        <f t="shared" si="4"/>
        <v>235.92525431730226</v>
      </c>
      <c r="J11" s="7">
        <f t="shared" si="5"/>
        <v>282.37852804834176</v>
      </c>
      <c r="K11" s="7">
        <f t="shared" si="6"/>
        <v>137.30409507688367</v>
      </c>
      <c r="L11" s="7">
        <f t="shared" si="7"/>
        <v>193.96696381056742</v>
      </c>
      <c r="M11" s="7">
        <f t="shared" si="8"/>
        <v>212.32275707978434</v>
      </c>
      <c r="N11" s="22"/>
      <c r="O11" s="7" t="e">
        <f t="shared" ca="1" si="9"/>
        <v>#NUM!</v>
      </c>
      <c r="P11" s="7" t="e">
        <f t="shared" ca="1" si="10"/>
        <v>#NUM!</v>
      </c>
      <c r="Q11" s="7" t="e">
        <f t="shared" ca="1" si="11"/>
        <v>#NUM!</v>
      </c>
      <c r="R11" s="7" t="e">
        <f t="shared" ca="1" si="12"/>
        <v>#NUM!</v>
      </c>
      <c r="S11" s="7" t="e">
        <f t="shared" ca="1" si="13"/>
        <v>#NUM!</v>
      </c>
      <c r="T11" s="7" t="e">
        <f t="shared" ca="1" si="14"/>
        <v>#NUM!</v>
      </c>
      <c r="U11" s="7" t="e">
        <f t="shared" ca="1" si="15"/>
        <v>#NUM!</v>
      </c>
      <c r="V11" s="7" t="e">
        <f t="shared" ca="1" si="16"/>
        <v>#NUM!</v>
      </c>
      <c r="W11" s="7" t="e">
        <f t="shared" ca="1" si="17"/>
        <v>#NUM!</v>
      </c>
      <c r="X11" s="22"/>
      <c r="Y11"/>
      <c r="Z11" s="10">
        <v>0.7670619836697411</v>
      </c>
      <c r="AA11"/>
      <c r="AB11" s="22"/>
    </row>
    <row r="12" spans="1:28" x14ac:dyDescent="0.25">
      <c r="A12" s="16"/>
      <c r="B12" s="3" t="s">
        <v>17</v>
      </c>
      <c r="C12" s="3" t="s">
        <v>26</v>
      </c>
      <c r="D12" s="11" t="s">
        <v>19</v>
      </c>
      <c r="E12" s="7">
        <f t="shared" si="0"/>
        <v>178.14253173393081</v>
      </c>
      <c r="F12" s="7">
        <f t="shared" si="1"/>
        <v>235.3991666769397</v>
      </c>
      <c r="G12" s="7">
        <f t="shared" si="2"/>
        <v>272.56784889395095</v>
      </c>
      <c r="H12" s="7">
        <f t="shared" si="3"/>
        <v>142.78713796878341</v>
      </c>
      <c r="I12" s="7">
        <f t="shared" si="4"/>
        <v>229.51157577767813</v>
      </c>
      <c r="J12" s="7">
        <f t="shared" si="5"/>
        <v>274.70200731877833</v>
      </c>
      <c r="K12" s="7">
        <f t="shared" si="6"/>
        <v>133.57145386157424</v>
      </c>
      <c r="L12" s="7">
        <f t="shared" si="7"/>
        <v>188.69393037975573</v>
      </c>
      <c r="M12" s="7">
        <f t="shared" si="8"/>
        <v>206.5507174797975</v>
      </c>
      <c r="N12" s="22"/>
      <c r="O12" s="7" t="e">
        <f t="shared" ca="1" si="9"/>
        <v>#NUM!</v>
      </c>
      <c r="P12" s="7" t="e">
        <f t="shared" ca="1" si="10"/>
        <v>#NUM!</v>
      </c>
      <c r="Q12" s="7" t="e">
        <f t="shared" ca="1" si="11"/>
        <v>#NUM!</v>
      </c>
      <c r="R12" s="7" t="e">
        <f t="shared" ca="1" si="12"/>
        <v>#NUM!</v>
      </c>
      <c r="S12" s="7" t="e">
        <f t="shared" ca="1" si="13"/>
        <v>#NUM!</v>
      </c>
      <c r="T12" s="7" t="e">
        <f t="shared" ca="1" si="14"/>
        <v>#NUM!</v>
      </c>
      <c r="U12" s="7" t="e">
        <f t="shared" ca="1" si="15"/>
        <v>#NUM!</v>
      </c>
      <c r="V12" s="7" t="e">
        <f t="shared" ca="1" si="16"/>
        <v>#NUM!</v>
      </c>
      <c r="W12" s="7" t="e">
        <f t="shared" ca="1" si="17"/>
        <v>#NUM!</v>
      </c>
      <c r="X12" s="22"/>
      <c r="Y12"/>
      <c r="Z12" s="10">
        <v>0.7462092394501354</v>
      </c>
      <c r="AA12"/>
      <c r="AB12" s="22"/>
    </row>
    <row r="13" spans="1:28" x14ac:dyDescent="0.25">
      <c r="A13" s="16"/>
      <c r="B13" s="3" t="s">
        <v>17</v>
      </c>
      <c r="C13" s="3" t="s">
        <v>27</v>
      </c>
      <c r="D13" s="11" t="s">
        <v>19</v>
      </c>
      <c r="E13" s="7">
        <f t="shared" si="0"/>
        <v>167.1975173569837</v>
      </c>
      <c r="F13" s="7">
        <f t="shared" si="1"/>
        <v>220.93632482484009</v>
      </c>
      <c r="G13" s="7">
        <f t="shared" si="2"/>
        <v>255.82137630371312</v>
      </c>
      <c r="H13" s="7">
        <f t="shared" si="3"/>
        <v>134.01434652644758</v>
      </c>
      <c r="I13" s="7">
        <f t="shared" si="4"/>
        <v>215.41046543579557</v>
      </c>
      <c r="J13" s="7">
        <f t="shared" si="5"/>
        <v>257.82441278694091</v>
      </c>
      <c r="K13" s="7">
        <f t="shared" si="6"/>
        <v>125.36487080341843</v>
      </c>
      <c r="L13" s="7">
        <f t="shared" si="7"/>
        <v>177.10064178804703</v>
      </c>
      <c r="M13" s="7">
        <f t="shared" si="8"/>
        <v>193.86031418092861</v>
      </c>
      <c r="N13" s="22"/>
      <c r="O13" s="7" t="e">
        <f t="shared" ca="1" si="9"/>
        <v>#NUM!</v>
      </c>
      <c r="P13" s="7" t="e">
        <f t="shared" ca="1" si="10"/>
        <v>#NUM!</v>
      </c>
      <c r="Q13" s="7" t="e">
        <f t="shared" ca="1" si="11"/>
        <v>#NUM!</v>
      </c>
      <c r="R13" s="7" t="e">
        <f t="shared" ca="1" si="12"/>
        <v>#NUM!</v>
      </c>
      <c r="S13" s="7" t="e">
        <f t="shared" ca="1" si="13"/>
        <v>#NUM!</v>
      </c>
      <c r="T13" s="7" t="e">
        <f t="shared" ca="1" si="14"/>
        <v>#NUM!</v>
      </c>
      <c r="U13" s="7" t="e">
        <f t="shared" ca="1" si="15"/>
        <v>#NUM!</v>
      </c>
      <c r="V13" s="7" t="e">
        <f t="shared" ca="1" si="16"/>
        <v>#NUM!</v>
      </c>
      <c r="W13" s="7" t="e">
        <f t="shared" ca="1" si="17"/>
        <v>#NUM!</v>
      </c>
      <c r="X13" s="22"/>
      <c r="Y13"/>
      <c r="Z13" s="10">
        <v>0.70036240672300798</v>
      </c>
      <c r="AA13"/>
      <c r="AB13" s="22"/>
    </row>
    <row r="14" spans="1:28" x14ac:dyDescent="0.25">
      <c r="A14" s="16"/>
      <c r="B14" s="3" t="s">
        <v>17</v>
      </c>
      <c r="C14" s="3" t="s">
        <v>28</v>
      </c>
      <c r="D14" s="11" t="s">
        <v>19</v>
      </c>
      <c r="E14" s="7">
        <f t="shared" si="0"/>
        <v>176.42505701698138</v>
      </c>
      <c r="F14" s="7">
        <f t="shared" si="1"/>
        <v>233.12967991696453</v>
      </c>
      <c r="G14" s="7">
        <f t="shared" si="2"/>
        <v>269.94001833281442</v>
      </c>
      <c r="H14" s="7">
        <f t="shared" si="3"/>
        <v>141.41052511288646</v>
      </c>
      <c r="I14" s="7">
        <f t="shared" si="4"/>
        <v>227.29885136645149</v>
      </c>
      <c r="J14" s="7">
        <f t="shared" si="5"/>
        <v>272.05360130549724</v>
      </c>
      <c r="K14" s="7">
        <f t="shared" si="6"/>
        <v>132.28368954902888</v>
      </c>
      <c r="L14" s="7">
        <f t="shared" si="7"/>
        <v>186.87472947632926</v>
      </c>
      <c r="M14" s="7">
        <f t="shared" si="8"/>
        <v>204.55935903447596</v>
      </c>
      <c r="N14" s="22"/>
      <c r="O14" s="7" t="e">
        <f t="shared" ca="1" si="9"/>
        <v>#NUM!</v>
      </c>
      <c r="P14" s="7" t="e">
        <f t="shared" ca="1" si="10"/>
        <v>#NUM!</v>
      </c>
      <c r="Q14" s="7" t="e">
        <f t="shared" ca="1" si="11"/>
        <v>#NUM!</v>
      </c>
      <c r="R14" s="7" t="e">
        <f t="shared" ca="1" si="12"/>
        <v>#NUM!</v>
      </c>
      <c r="S14" s="7" t="e">
        <f t="shared" ca="1" si="13"/>
        <v>#NUM!</v>
      </c>
      <c r="T14" s="7" t="e">
        <f t="shared" ca="1" si="14"/>
        <v>#NUM!</v>
      </c>
      <c r="U14" s="7" t="e">
        <f t="shared" ca="1" si="15"/>
        <v>#NUM!</v>
      </c>
      <c r="V14" s="7" t="e">
        <f t="shared" ca="1" si="16"/>
        <v>#NUM!</v>
      </c>
      <c r="W14" s="7" t="e">
        <f t="shared" ca="1" si="17"/>
        <v>#NUM!</v>
      </c>
      <c r="X14" s="22"/>
      <c r="Y14"/>
      <c r="Z14" s="10">
        <v>0.73901502541356923</v>
      </c>
      <c r="AA14"/>
      <c r="AB14" s="22"/>
    </row>
    <row r="15" spans="1:28" x14ac:dyDescent="0.25">
      <c r="A15" s="16"/>
      <c r="B15" s="3" t="s">
        <v>17</v>
      </c>
      <c r="C15" s="3" t="s">
        <v>29</v>
      </c>
      <c r="D15" s="11" t="s">
        <v>19</v>
      </c>
      <c r="E15" s="7">
        <f t="shared" si="0"/>
        <v>168.02848530740928</v>
      </c>
      <c r="F15" s="7">
        <f t="shared" si="1"/>
        <v>222.03437345568352</v>
      </c>
      <c r="G15" s="7">
        <f t="shared" si="2"/>
        <v>257.09280286615586</v>
      </c>
      <c r="H15" s="7">
        <f t="shared" si="3"/>
        <v>134.68039485432399</v>
      </c>
      <c r="I15" s="7">
        <f t="shared" si="4"/>
        <v>216.48105066811826</v>
      </c>
      <c r="J15" s="7">
        <f t="shared" si="5"/>
        <v>259.10579439624922</v>
      </c>
      <c r="K15" s="7">
        <f t="shared" si="6"/>
        <v>125.9879314289208</v>
      </c>
      <c r="L15" s="7">
        <f t="shared" si="7"/>
        <v>177.98082804710168</v>
      </c>
      <c r="M15" s="7">
        <f t="shared" si="8"/>
        <v>194.82379563980604</v>
      </c>
      <c r="N15" s="22"/>
      <c r="O15" s="7" t="e">
        <f t="shared" ca="1" si="9"/>
        <v>#NUM!</v>
      </c>
      <c r="P15" s="7" t="e">
        <f t="shared" ca="1" si="10"/>
        <v>#NUM!</v>
      </c>
      <c r="Q15" s="7" t="e">
        <f t="shared" ca="1" si="11"/>
        <v>#NUM!</v>
      </c>
      <c r="R15" s="7" t="e">
        <f t="shared" ca="1" si="12"/>
        <v>#NUM!</v>
      </c>
      <c r="S15" s="7" t="e">
        <f t="shared" ca="1" si="13"/>
        <v>#NUM!</v>
      </c>
      <c r="T15" s="7" t="e">
        <f t="shared" ca="1" si="14"/>
        <v>#NUM!</v>
      </c>
      <c r="U15" s="7" t="e">
        <f t="shared" ca="1" si="15"/>
        <v>#NUM!</v>
      </c>
      <c r="V15" s="7" t="e">
        <f t="shared" ca="1" si="16"/>
        <v>#NUM!</v>
      </c>
      <c r="W15" s="7" t="e">
        <f t="shared" ca="1" si="17"/>
        <v>#NUM!</v>
      </c>
      <c r="X15" s="22"/>
      <c r="Y15"/>
      <c r="Z15" s="10">
        <v>0.70384319234033965</v>
      </c>
      <c r="AA15"/>
      <c r="AB15" s="22"/>
    </row>
    <row r="16" spans="1:28" x14ac:dyDescent="0.25">
      <c r="A16" s="16"/>
      <c r="B16" s="3" t="s">
        <v>17</v>
      </c>
      <c r="C16" s="3" t="s">
        <v>30</v>
      </c>
      <c r="D16" s="11" t="s">
        <v>19</v>
      </c>
      <c r="E16" s="7">
        <f t="shared" si="0"/>
        <v>179.47835113245534</v>
      </c>
      <c r="F16" s="7">
        <f t="shared" si="1"/>
        <v>237.16433061720085</v>
      </c>
      <c r="G16" s="7">
        <f t="shared" si="2"/>
        <v>274.61172587505536</v>
      </c>
      <c r="H16" s="7">
        <f t="shared" si="3"/>
        <v>143.85784144931651</v>
      </c>
      <c r="I16" s="7">
        <f t="shared" si="4"/>
        <v>231.23259103509943</v>
      </c>
      <c r="J16" s="7">
        <f t="shared" si="5"/>
        <v>276.76188749797171</v>
      </c>
      <c r="K16" s="7">
        <f t="shared" si="6"/>
        <v>134.57305262308677</v>
      </c>
      <c r="L16" s="7">
        <f t="shared" si="7"/>
        <v>190.10887048491594</v>
      </c>
      <c r="M16" s="7">
        <f t="shared" si="8"/>
        <v>208.09955846966716</v>
      </c>
      <c r="N16" s="22"/>
      <c r="O16" s="7" t="e">
        <f t="shared" ca="1" si="9"/>
        <v>#NUM!</v>
      </c>
      <c r="P16" s="7" t="e">
        <f t="shared" ca="1" si="10"/>
        <v>#NUM!</v>
      </c>
      <c r="Q16" s="7" t="e">
        <f t="shared" ca="1" si="11"/>
        <v>#NUM!</v>
      </c>
      <c r="R16" s="7" t="e">
        <f t="shared" ca="1" si="12"/>
        <v>#NUM!</v>
      </c>
      <c r="S16" s="7" t="e">
        <f t="shared" ca="1" si="13"/>
        <v>#NUM!</v>
      </c>
      <c r="T16" s="7" t="e">
        <f t="shared" ca="1" si="14"/>
        <v>#NUM!</v>
      </c>
      <c r="U16" s="7" t="e">
        <f t="shared" ca="1" si="15"/>
        <v>#NUM!</v>
      </c>
      <c r="V16" s="7" t="e">
        <f t="shared" ca="1" si="16"/>
        <v>#NUM!</v>
      </c>
      <c r="W16" s="7" t="e">
        <f t="shared" ca="1" si="17"/>
        <v>#NUM!</v>
      </c>
      <c r="X16" s="22"/>
      <c r="Y16"/>
      <c r="Z16" s="10">
        <v>0.75180476325746803</v>
      </c>
      <c r="AA16"/>
      <c r="AB16" s="22"/>
    </row>
    <row r="17" spans="1:28" x14ac:dyDescent="0.25">
      <c r="A17" s="16"/>
      <c r="B17" s="3" t="s">
        <v>17</v>
      </c>
      <c r="C17" s="3" t="s">
        <v>32</v>
      </c>
      <c r="D17" s="11" t="s">
        <v>19</v>
      </c>
      <c r="E17" s="7">
        <f t="shared" si="0"/>
        <v>188.44743160370206</v>
      </c>
      <c r="F17" s="7">
        <f t="shared" si="1"/>
        <v>249.01615537931491</v>
      </c>
      <c r="G17" s="7">
        <f t="shared" si="2"/>
        <v>288.33491116275394</v>
      </c>
      <c r="H17" s="7">
        <f t="shared" si="3"/>
        <v>151.04685643768437</v>
      </c>
      <c r="I17" s="7">
        <f t="shared" si="4"/>
        <v>242.78798868324319</v>
      </c>
      <c r="J17" s="7">
        <f t="shared" si="5"/>
        <v>290.59252291823753</v>
      </c>
      <c r="K17" s="7">
        <f t="shared" si="6"/>
        <v>141.29807840264178</v>
      </c>
      <c r="L17" s="7">
        <f t="shared" si="7"/>
        <v>199.60919042277109</v>
      </c>
      <c r="M17" s="7">
        <f t="shared" si="8"/>
        <v>218.49892794330304</v>
      </c>
      <c r="N17" s="22"/>
      <c r="O17" s="7" t="e">
        <f t="shared" ca="1" si="9"/>
        <v>#NUM!</v>
      </c>
      <c r="P17" s="7" t="e">
        <f t="shared" ca="1" si="10"/>
        <v>#NUM!</v>
      </c>
      <c r="Q17" s="7" t="e">
        <f t="shared" ca="1" si="11"/>
        <v>#NUM!</v>
      </c>
      <c r="R17" s="7" t="e">
        <f t="shared" ca="1" si="12"/>
        <v>#NUM!</v>
      </c>
      <c r="S17" s="7" t="e">
        <f t="shared" ca="1" si="13"/>
        <v>#NUM!</v>
      </c>
      <c r="T17" s="7" t="e">
        <f t="shared" ca="1" si="14"/>
        <v>#NUM!</v>
      </c>
      <c r="U17" s="7" t="e">
        <f t="shared" ca="1" si="15"/>
        <v>#NUM!</v>
      </c>
      <c r="V17" s="7" t="e">
        <f t="shared" ca="1" si="16"/>
        <v>#NUM!</v>
      </c>
      <c r="W17" s="7" t="e">
        <f t="shared" ca="1" si="17"/>
        <v>#NUM!</v>
      </c>
      <c r="X17" s="22"/>
      <c r="Y17"/>
      <c r="Z17" s="10">
        <v>0.78937473967956295</v>
      </c>
      <c r="AA17"/>
      <c r="AB17" s="22"/>
    </row>
    <row r="18" spans="1:28" x14ac:dyDescent="0.25">
      <c r="A18" s="16"/>
      <c r="B18" s="3" t="s">
        <v>17</v>
      </c>
      <c r="C18" s="3" t="s">
        <v>33</v>
      </c>
      <c r="D18" s="11" t="s">
        <v>19</v>
      </c>
      <c r="E18" s="7">
        <f t="shared" si="0"/>
        <v>166.8835709202088</v>
      </c>
      <c r="F18" s="7">
        <f t="shared" si="1"/>
        <v>220.52147313906531</v>
      </c>
      <c r="G18" s="7">
        <f t="shared" si="2"/>
        <v>255.3410210280428</v>
      </c>
      <c r="H18" s="7">
        <f t="shared" si="3"/>
        <v>133.76270806175157</v>
      </c>
      <c r="I18" s="7">
        <f t="shared" si="4"/>
        <v>215.00598964490686</v>
      </c>
      <c r="J18" s="7">
        <f t="shared" si="5"/>
        <v>257.34029641375804</v>
      </c>
      <c r="K18" s="7">
        <f t="shared" si="6"/>
        <v>125.12947344161762</v>
      </c>
      <c r="L18" s="7">
        <f t="shared" si="7"/>
        <v>176.76810027475892</v>
      </c>
      <c r="M18" s="7">
        <f t="shared" si="8"/>
        <v>193.49630306502658</v>
      </c>
      <c r="N18" s="22"/>
      <c r="O18" s="7" t="e">
        <f t="shared" ca="1" si="9"/>
        <v>#NUM!</v>
      </c>
      <c r="P18" s="7" t="e">
        <f t="shared" ca="1" si="10"/>
        <v>#NUM!</v>
      </c>
      <c r="Q18" s="7" t="e">
        <f t="shared" ca="1" si="11"/>
        <v>#NUM!</v>
      </c>
      <c r="R18" s="7" t="e">
        <f t="shared" ca="1" si="12"/>
        <v>#NUM!</v>
      </c>
      <c r="S18" s="7" t="e">
        <f t="shared" ca="1" si="13"/>
        <v>#NUM!</v>
      </c>
      <c r="T18" s="7" t="e">
        <f t="shared" ca="1" si="14"/>
        <v>#NUM!</v>
      </c>
      <c r="U18" s="7" t="e">
        <f t="shared" ca="1" si="15"/>
        <v>#NUM!</v>
      </c>
      <c r="V18" s="7" t="e">
        <f t="shared" ca="1" si="16"/>
        <v>#NUM!</v>
      </c>
      <c r="W18" s="7" t="e">
        <f t="shared" ca="1" si="17"/>
        <v>#NUM!</v>
      </c>
      <c r="X18" s="22"/>
      <c r="Y18"/>
      <c r="Z18" s="10">
        <v>0.69904733766266824</v>
      </c>
      <c r="AA18"/>
      <c r="AB18" s="22"/>
    </row>
    <row r="19" spans="1:28" x14ac:dyDescent="0.25">
      <c r="A19" s="16"/>
      <c r="B19" s="3" t="s">
        <v>17</v>
      </c>
      <c r="C19" s="3" t="s">
        <v>34</v>
      </c>
      <c r="D19" s="11" t="s">
        <v>19</v>
      </c>
      <c r="E19" s="7">
        <f t="shared" si="0"/>
        <v>177.37922109708092</v>
      </c>
      <c r="F19" s="7">
        <f t="shared" si="1"/>
        <v>234.3905210375116</v>
      </c>
      <c r="G19" s="7">
        <f t="shared" si="2"/>
        <v>271.39994173388658</v>
      </c>
      <c r="H19" s="7">
        <f t="shared" si="3"/>
        <v>142.17531921805568</v>
      </c>
      <c r="I19" s="7">
        <f t="shared" si="4"/>
        <v>228.52815747006736</v>
      </c>
      <c r="J19" s="7">
        <f t="shared" si="5"/>
        <v>273.52495565060275</v>
      </c>
      <c r="K19" s="7">
        <f t="shared" si="6"/>
        <v>132.99912275950859</v>
      </c>
      <c r="L19" s="7">
        <f t="shared" si="7"/>
        <v>187.88540878322311</v>
      </c>
      <c r="M19" s="7">
        <f t="shared" si="8"/>
        <v>205.66568256889374</v>
      </c>
      <c r="N19" s="22"/>
      <c r="O19" s="7" t="e">
        <f t="shared" ca="1" si="9"/>
        <v>#NUM!</v>
      </c>
      <c r="P19" s="7" t="e">
        <f t="shared" ca="1" si="10"/>
        <v>#NUM!</v>
      </c>
      <c r="Q19" s="7" t="e">
        <f t="shared" ca="1" si="11"/>
        <v>#NUM!</v>
      </c>
      <c r="R19" s="7" t="e">
        <f t="shared" ca="1" si="12"/>
        <v>#NUM!</v>
      </c>
      <c r="S19" s="7" t="e">
        <f t="shared" ca="1" si="13"/>
        <v>#NUM!</v>
      </c>
      <c r="T19" s="7" t="e">
        <f t="shared" ca="1" si="14"/>
        <v>#NUM!</v>
      </c>
      <c r="U19" s="7" t="e">
        <f t="shared" ca="1" si="15"/>
        <v>#NUM!</v>
      </c>
      <c r="V19" s="7" t="e">
        <f t="shared" ca="1" si="16"/>
        <v>#NUM!</v>
      </c>
      <c r="W19" s="7" t="e">
        <f t="shared" ca="1" si="17"/>
        <v>#NUM!</v>
      </c>
      <c r="X19" s="22"/>
      <c r="Y19"/>
      <c r="Z19" s="10">
        <v>0.74301185899166811</v>
      </c>
      <c r="AA19"/>
      <c r="AB19" s="22"/>
    </row>
    <row r="20" spans="1:28" x14ac:dyDescent="0.25">
      <c r="A20" s="16"/>
      <c r="B20" s="3" t="s">
        <v>17</v>
      </c>
      <c r="C20" s="3" t="s">
        <v>35</v>
      </c>
      <c r="D20" s="11" t="s">
        <v>19</v>
      </c>
      <c r="E20" s="7">
        <f t="shared" si="0"/>
        <v>186.34830156832763</v>
      </c>
      <c r="F20" s="7">
        <f t="shared" si="1"/>
        <v>246.24234579962567</v>
      </c>
      <c r="G20" s="7">
        <f t="shared" si="2"/>
        <v>285.12312702158522</v>
      </c>
      <c r="H20" s="7">
        <f t="shared" si="3"/>
        <v>149.36433420642356</v>
      </c>
      <c r="I20" s="7">
        <f t="shared" si="4"/>
        <v>240.08355511821108</v>
      </c>
      <c r="J20" s="7">
        <f t="shared" si="5"/>
        <v>287.35559107086857</v>
      </c>
      <c r="K20" s="7">
        <f t="shared" si="6"/>
        <v>139.72414853906358</v>
      </c>
      <c r="L20" s="7">
        <f t="shared" si="7"/>
        <v>197.38572872107827</v>
      </c>
      <c r="M20" s="7">
        <f t="shared" si="8"/>
        <v>216.0650520425296</v>
      </c>
      <c r="N20" s="22"/>
      <c r="O20" s="7" t="e">
        <f t="shared" ca="1" si="9"/>
        <v>#NUM!</v>
      </c>
      <c r="P20" s="7" t="e">
        <f t="shared" ca="1" si="10"/>
        <v>#NUM!</v>
      </c>
      <c r="Q20" s="7" t="e">
        <f t="shared" ca="1" si="11"/>
        <v>#NUM!</v>
      </c>
      <c r="R20" s="7" t="e">
        <f t="shared" ca="1" si="12"/>
        <v>#NUM!</v>
      </c>
      <c r="S20" s="7" t="e">
        <f t="shared" ca="1" si="13"/>
        <v>#NUM!</v>
      </c>
      <c r="T20" s="7" t="e">
        <f t="shared" ca="1" si="14"/>
        <v>#NUM!</v>
      </c>
      <c r="U20" s="7" t="e">
        <f t="shared" ca="1" si="15"/>
        <v>#NUM!</v>
      </c>
      <c r="V20" s="7" t="e">
        <f t="shared" ca="1" si="16"/>
        <v>#NUM!</v>
      </c>
      <c r="W20" s="7" t="e">
        <f t="shared" ca="1" si="17"/>
        <v>#NUM!</v>
      </c>
      <c r="X20" s="22"/>
      <c r="Y20"/>
      <c r="Z20" s="10">
        <v>0.78058183541376303</v>
      </c>
      <c r="AA20"/>
      <c r="AB20" s="22"/>
    </row>
    <row r="21" spans="1:28" x14ac:dyDescent="0.25">
      <c r="A21" s="16"/>
      <c r="B21" s="3" t="s">
        <v>17</v>
      </c>
      <c r="C21" s="3" t="s">
        <v>36</v>
      </c>
      <c r="D21" s="11" t="s">
        <v>19</v>
      </c>
      <c r="E21" s="7">
        <f t="shared" si="0"/>
        <v>219.93443370239285</v>
      </c>
      <c r="F21" s="7">
        <f t="shared" si="1"/>
        <v>290.62336721717776</v>
      </c>
      <c r="G21" s="7">
        <f t="shared" si="2"/>
        <v>336.51175218226882</v>
      </c>
      <c r="H21" s="7">
        <f t="shared" si="3"/>
        <v>176.28473124011592</v>
      </c>
      <c r="I21" s="7">
        <f t="shared" si="4"/>
        <v>283.35455859692945</v>
      </c>
      <c r="J21" s="7">
        <f t="shared" si="5"/>
        <v>339.14658014854388</v>
      </c>
      <c r="K21" s="7">
        <f t="shared" si="6"/>
        <v>164.90706502211</v>
      </c>
      <c r="L21" s="7">
        <f t="shared" si="7"/>
        <v>232.96117057061986</v>
      </c>
      <c r="M21" s="7">
        <f t="shared" si="8"/>
        <v>255.00712624648074</v>
      </c>
      <c r="N21" s="22"/>
      <c r="O21" s="7" t="e">
        <f t="shared" ca="1" si="9"/>
        <v>#NUM!</v>
      </c>
      <c r="P21" s="7" t="e">
        <f t="shared" ca="1" si="10"/>
        <v>#NUM!</v>
      </c>
      <c r="Q21" s="7" t="e">
        <f t="shared" ca="1" si="11"/>
        <v>#NUM!</v>
      </c>
      <c r="R21" s="7" t="e">
        <f t="shared" ca="1" si="12"/>
        <v>#NUM!</v>
      </c>
      <c r="S21" s="7" t="e">
        <f t="shared" ca="1" si="13"/>
        <v>#NUM!</v>
      </c>
      <c r="T21" s="7" t="e">
        <f t="shared" ca="1" si="14"/>
        <v>#NUM!</v>
      </c>
      <c r="U21" s="7" t="e">
        <f t="shared" ca="1" si="15"/>
        <v>#NUM!</v>
      </c>
      <c r="V21" s="7" t="e">
        <f t="shared" ca="1" si="16"/>
        <v>#NUM!</v>
      </c>
      <c r="W21" s="7" t="e">
        <f t="shared" ca="1" si="17"/>
        <v>#NUM!</v>
      </c>
      <c r="X21" s="22"/>
      <c r="Y21"/>
      <c r="Z21" s="10">
        <v>0.92126851967659218</v>
      </c>
      <c r="AA21"/>
      <c r="AB21" s="22"/>
    </row>
    <row r="22" spans="1:28" x14ac:dyDescent="0.25">
      <c r="A22" s="16"/>
      <c r="B22" s="3" t="s">
        <v>17</v>
      </c>
      <c r="C22" s="3" t="s">
        <v>37</v>
      </c>
      <c r="D22" s="11" t="s">
        <v>19</v>
      </c>
      <c r="E22" s="7">
        <f t="shared" si="0"/>
        <v>172.22679694623253</v>
      </c>
      <c r="F22" s="7">
        <f t="shared" si="1"/>
        <v>227.58206075758602</v>
      </c>
      <c r="G22" s="7">
        <f t="shared" si="2"/>
        <v>263.51645005047692</v>
      </c>
      <c r="H22" s="7">
        <f t="shared" si="3"/>
        <v>138.04548065036482</v>
      </c>
      <c r="I22" s="7">
        <f t="shared" si="4"/>
        <v>221.88998423638728</v>
      </c>
      <c r="J22" s="7">
        <f t="shared" si="5"/>
        <v>265.57973761075937</v>
      </c>
      <c r="K22" s="7">
        <f t="shared" si="6"/>
        <v>129.13582982187251</v>
      </c>
      <c r="L22" s="7">
        <f t="shared" si="7"/>
        <v>182.42780607294358</v>
      </c>
      <c r="M22" s="7">
        <f t="shared" si="8"/>
        <v>199.6916072329291</v>
      </c>
      <c r="N22" s="22"/>
      <c r="O22" s="7" t="e">
        <f t="shared" ca="1" si="9"/>
        <v>#NUM!</v>
      </c>
      <c r="P22" s="7" t="e">
        <f t="shared" ca="1" si="10"/>
        <v>#NUM!</v>
      </c>
      <c r="Q22" s="7" t="e">
        <f t="shared" ca="1" si="11"/>
        <v>#NUM!</v>
      </c>
      <c r="R22" s="7" t="e">
        <f t="shared" ca="1" si="12"/>
        <v>#NUM!</v>
      </c>
      <c r="S22" s="7" t="e">
        <f t="shared" ca="1" si="13"/>
        <v>#NUM!</v>
      </c>
      <c r="T22" s="7" t="e">
        <f t="shared" ca="1" si="14"/>
        <v>#NUM!</v>
      </c>
      <c r="U22" s="7" t="e">
        <f t="shared" ca="1" si="15"/>
        <v>#NUM!</v>
      </c>
      <c r="V22" s="7" t="e">
        <f t="shared" ca="1" si="16"/>
        <v>#NUM!</v>
      </c>
      <c r="W22" s="7" t="e">
        <f t="shared" ca="1" si="17"/>
        <v>#NUM!</v>
      </c>
      <c r="X22" s="22"/>
      <c r="Y22"/>
      <c r="Z22" s="10">
        <v>0.72142921688196926</v>
      </c>
      <c r="AA22"/>
      <c r="AB22" s="22"/>
    </row>
    <row r="23" spans="1:28" x14ac:dyDescent="0.25">
      <c r="A23" s="16"/>
      <c r="B23" s="3" t="s">
        <v>17</v>
      </c>
      <c r="C23" s="3" t="s">
        <v>38</v>
      </c>
      <c r="D23" s="11" t="s">
        <v>19</v>
      </c>
      <c r="E23" s="7">
        <f t="shared" si="0"/>
        <v>202.37797964639879</v>
      </c>
      <c r="F23" s="7">
        <f t="shared" si="1"/>
        <v>267.42410865518769</v>
      </c>
      <c r="G23" s="7">
        <f t="shared" si="2"/>
        <v>309.6494140888874</v>
      </c>
      <c r="H23" s="7">
        <f t="shared" si="3"/>
        <v>162.21265197226325</v>
      </c>
      <c r="I23" s="7">
        <f t="shared" si="4"/>
        <v>260.73553889265224</v>
      </c>
      <c r="J23" s="7">
        <f t="shared" si="5"/>
        <v>312.07391466187232</v>
      </c>
      <c r="K23" s="7">
        <f t="shared" si="6"/>
        <v>151.74321767982818</v>
      </c>
      <c r="L23" s="7">
        <f t="shared" si="7"/>
        <v>214.36484611563213</v>
      </c>
      <c r="M23" s="7">
        <f t="shared" si="8"/>
        <v>234.65096454623711</v>
      </c>
      <c r="N23" s="22"/>
      <c r="O23" s="7" t="e">
        <f t="shared" ca="1" si="9"/>
        <v>#NUM!</v>
      </c>
      <c r="P23" s="7" t="e">
        <f t="shared" ca="1" si="10"/>
        <v>#NUM!</v>
      </c>
      <c r="Q23" s="7" t="e">
        <f t="shared" ca="1" si="11"/>
        <v>#NUM!</v>
      </c>
      <c r="R23" s="7" t="e">
        <f t="shared" ca="1" si="12"/>
        <v>#NUM!</v>
      </c>
      <c r="S23" s="7" t="e">
        <f t="shared" ca="1" si="13"/>
        <v>#NUM!</v>
      </c>
      <c r="T23" s="7" t="e">
        <f t="shared" ca="1" si="14"/>
        <v>#NUM!</v>
      </c>
      <c r="U23" s="7" t="e">
        <f t="shared" ca="1" si="15"/>
        <v>#NUM!</v>
      </c>
      <c r="V23" s="7" t="e">
        <f t="shared" ca="1" si="16"/>
        <v>#NUM!</v>
      </c>
      <c r="W23" s="7" t="e">
        <f t="shared" ca="1" si="17"/>
        <v>#NUM!</v>
      </c>
      <c r="X23" s="22"/>
      <c r="Y23"/>
      <c r="Z23" s="10">
        <v>0.84772747307166585</v>
      </c>
      <c r="AA23"/>
      <c r="AB23" s="22"/>
    </row>
    <row r="24" spans="1:28" x14ac:dyDescent="0.25">
      <c r="A24" s="16"/>
      <c r="B24" s="3" t="s">
        <v>17</v>
      </c>
      <c r="C24" s="3" t="s">
        <v>39</v>
      </c>
      <c r="D24" s="11" t="s">
        <v>19</v>
      </c>
      <c r="E24" s="7">
        <f t="shared" si="0"/>
        <v>171.65433975263224</v>
      </c>
      <c r="F24" s="7">
        <f t="shared" si="1"/>
        <v>226.82561059927687</v>
      </c>
      <c r="G24" s="7">
        <f t="shared" si="2"/>
        <v>262.64055913142033</v>
      </c>
      <c r="H24" s="7">
        <f t="shared" si="3"/>
        <v>137.58663725407857</v>
      </c>
      <c r="I24" s="7">
        <f t="shared" si="4"/>
        <v>221.15245372478154</v>
      </c>
      <c r="J24" s="7">
        <f t="shared" si="5"/>
        <v>264.69698861951372</v>
      </c>
      <c r="K24" s="7">
        <f t="shared" si="6"/>
        <v>128.7066008282209</v>
      </c>
      <c r="L24" s="7">
        <f t="shared" si="7"/>
        <v>181.82144218677215</v>
      </c>
      <c r="M24" s="7">
        <f t="shared" si="8"/>
        <v>199.02786094553935</v>
      </c>
      <c r="N24" s="22"/>
      <c r="O24" s="7" t="e">
        <f t="shared" ca="1" si="9"/>
        <v>#NUM!</v>
      </c>
      <c r="P24" s="7" t="e">
        <f t="shared" ca="1" si="10"/>
        <v>#NUM!</v>
      </c>
      <c r="Q24" s="7" t="e">
        <f t="shared" ca="1" si="11"/>
        <v>#NUM!</v>
      </c>
      <c r="R24" s="7" t="e">
        <f t="shared" ca="1" si="12"/>
        <v>#NUM!</v>
      </c>
      <c r="S24" s="7" t="e">
        <f t="shared" ca="1" si="13"/>
        <v>#NUM!</v>
      </c>
      <c r="T24" s="7" t="e">
        <f t="shared" ca="1" si="14"/>
        <v>#NUM!</v>
      </c>
      <c r="U24" s="7" t="e">
        <f t="shared" ca="1" si="15"/>
        <v>#NUM!</v>
      </c>
      <c r="V24" s="7" t="e">
        <f t="shared" ca="1" si="16"/>
        <v>#NUM!</v>
      </c>
      <c r="W24" s="7" t="e">
        <f t="shared" ca="1" si="17"/>
        <v>#NUM!</v>
      </c>
      <c r="X24" s="22"/>
      <c r="Y24"/>
      <c r="Z24" s="10">
        <v>0.71903128954313345</v>
      </c>
      <c r="AA24"/>
      <c r="AB24" s="22"/>
    </row>
    <row r="25" spans="1:28" x14ac:dyDescent="0.25">
      <c r="A25" s="16"/>
      <c r="B25" s="3" t="s">
        <v>17</v>
      </c>
      <c r="C25" s="3" t="s">
        <v>40</v>
      </c>
      <c r="D25" s="11" t="s">
        <v>19</v>
      </c>
      <c r="E25" s="7">
        <f t="shared" si="0"/>
        <v>238.73</v>
      </c>
      <c r="F25" s="7">
        <f t="shared" si="1"/>
        <v>315.45999999999998</v>
      </c>
      <c r="G25" s="7">
        <f t="shared" si="2"/>
        <v>365.27</v>
      </c>
      <c r="H25" s="7">
        <f t="shared" si="3"/>
        <v>191.35</v>
      </c>
      <c r="I25" s="7">
        <f t="shared" si="4"/>
        <v>307.57</v>
      </c>
      <c r="J25" s="7">
        <f t="shared" si="5"/>
        <v>368.13</v>
      </c>
      <c r="K25" s="7">
        <f t="shared" si="6"/>
        <v>179</v>
      </c>
      <c r="L25" s="7">
        <f t="shared" si="7"/>
        <v>252.87</v>
      </c>
      <c r="M25" s="7">
        <f t="shared" si="8"/>
        <v>276.8</v>
      </c>
      <c r="N25" s="22"/>
      <c r="O25" s="7" t="e">
        <f t="shared" ca="1" si="9"/>
        <v>#NUM!</v>
      </c>
      <c r="P25" s="7" t="e">
        <f t="shared" ca="1" si="10"/>
        <v>#NUM!</v>
      </c>
      <c r="Q25" s="7" t="e">
        <f t="shared" ca="1" si="11"/>
        <v>#NUM!</v>
      </c>
      <c r="R25" s="7" t="e">
        <f t="shared" ca="1" si="12"/>
        <v>#NUM!</v>
      </c>
      <c r="S25" s="7" t="e">
        <f t="shared" ca="1" si="13"/>
        <v>#NUM!</v>
      </c>
      <c r="T25" s="7" t="e">
        <f t="shared" ca="1" si="14"/>
        <v>#NUM!</v>
      </c>
      <c r="U25" s="7" t="e">
        <f t="shared" ca="1" si="15"/>
        <v>#NUM!</v>
      </c>
      <c r="V25" s="7" t="e">
        <f t="shared" ca="1" si="16"/>
        <v>#NUM!</v>
      </c>
      <c r="W25" s="7" t="e">
        <f t="shared" ca="1" si="17"/>
        <v>#NUM!</v>
      </c>
      <c r="X25" s="22"/>
      <c r="Y25"/>
      <c r="Z25" s="10">
        <v>1</v>
      </c>
      <c r="AA25"/>
      <c r="AB25" s="22"/>
    </row>
    <row r="26" spans="1:28" x14ac:dyDescent="0.25">
      <c r="A26" s="16"/>
      <c r="B26" s="3" t="s">
        <v>17</v>
      </c>
      <c r="C26" s="3" t="s">
        <v>41</v>
      </c>
      <c r="D26" s="11" t="s">
        <v>19</v>
      </c>
      <c r="E26" s="7">
        <f t="shared" si="0"/>
        <v>220.88859778249241</v>
      </c>
      <c r="F26" s="7">
        <f t="shared" si="1"/>
        <v>291.88420833772489</v>
      </c>
      <c r="G26" s="7">
        <f t="shared" si="2"/>
        <v>337.97167558334104</v>
      </c>
      <c r="H26" s="7">
        <f t="shared" si="3"/>
        <v>177.04952534528516</v>
      </c>
      <c r="I26" s="7">
        <f t="shared" si="4"/>
        <v>284.58386470054535</v>
      </c>
      <c r="J26" s="7">
        <f t="shared" si="5"/>
        <v>340.61793449364944</v>
      </c>
      <c r="K26" s="7">
        <f t="shared" si="6"/>
        <v>165.62249823258972</v>
      </c>
      <c r="L26" s="7">
        <f t="shared" si="7"/>
        <v>233.97184987751376</v>
      </c>
      <c r="M26" s="7">
        <f t="shared" si="8"/>
        <v>256.11344978089852</v>
      </c>
      <c r="N26" s="22"/>
      <c r="O26" s="7" t="e">
        <f t="shared" ca="1" si="9"/>
        <v>#NUM!</v>
      </c>
      <c r="P26" s="7" t="e">
        <f t="shared" ca="1" si="10"/>
        <v>#NUM!</v>
      </c>
      <c r="Q26" s="7" t="e">
        <f t="shared" ca="1" si="11"/>
        <v>#NUM!</v>
      </c>
      <c r="R26" s="7" t="e">
        <f t="shared" ca="1" si="12"/>
        <v>#NUM!</v>
      </c>
      <c r="S26" s="7" t="e">
        <f t="shared" ca="1" si="13"/>
        <v>#NUM!</v>
      </c>
      <c r="T26" s="7" t="e">
        <f t="shared" ca="1" si="14"/>
        <v>#NUM!</v>
      </c>
      <c r="U26" s="7" t="e">
        <f t="shared" ca="1" si="15"/>
        <v>#NUM!</v>
      </c>
      <c r="V26" s="7" t="e">
        <f t="shared" ca="1" si="16"/>
        <v>#NUM!</v>
      </c>
      <c r="W26" s="7" t="e">
        <f t="shared" ca="1" si="17"/>
        <v>#NUM!</v>
      </c>
      <c r="X26" s="22"/>
      <c r="Y26"/>
      <c r="Z26" s="10">
        <v>0.92526535325469117</v>
      </c>
      <c r="AA26"/>
      <c r="AB26" s="22"/>
    </row>
    <row r="27" spans="1:28" x14ac:dyDescent="0.25">
      <c r="A27" s="16"/>
      <c r="B27" s="3" t="s">
        <v>17</v>
      </c>
      <c r="C27" s="3" t="s">
        <v>42</v>
      </c>
      <c r="D27" s="11" t="s">
        <v>19</v>
      </c>
      <c r="E27" s="7">
        <f t="shared" si="0"/>
        <v>229.28511792399013</v>
      </c>
      <c r="F27" s="7">
        <f t="shared" si="1"/>
        <v>302.97944665648191</v>
      </c>
      <c r="G27" s="7">
        <f t="shared" si="2"/>
        <v>350.81881214801609</v>
      </c>
      <c r="H27" s="7">
        <f t="shared" si="3"/>
        <v>183.77961427032847</v>
      </c>
      <c r="I27" s="7">
        <f t="shared" si="4"/>
        <v>295.40159896067377</v>
      </c>
      <c r="J27" s="7">
        <f t="shared" si="5"/>
        <v>353.56566188312524</v>
      </c>
      <c r="K27" s="7">
        <f t="shared" si="6"/>
        <v>171.91821768690249</v>
      </c>
      <c r="L27" s="7">
        <f t="shared" si="7"/>
        <v>242.86569668428513</v>
      </c>
      <c r="M27" s="7">
        <f t="shared" si="8"/>
        <v>265.8489533839923</v>
      </c>
      <c r="N27" s="22"/>
      <c r="O27" s="7" t="e">
        <f t="shared" ca="1" si="9"/>
        <v>#NUM!</v>
      </c>
      <c r="P27" s="7" t="e">
        <f t="shared" ca="1" si="10"/>
        <v>#NUM!</v>
      </c>
      <c r="Q27" s="7" t="e">
        <f t="shared" ca="1" si="11"/>
        <v>#NUM!</v>
      </c>
      <c r="R27" s="7" t="e">
        <f t="shared" ca="1" si="12"/>
        <v>#NUM!</v>
      </c>
      <c r="S27" s="7" t="e">
        <f t="shared" ca="1" si="13"/>
        <v>#NUM!</v>
      </c>
      <c r="T27" s="7" t="e">
        <f t="shared" ca="1" si="14"/>
        <v>#NUM!</v>
      </c>
      <c r="U27" s="7" t="e">
        <f t="shared" ca="1" si="15"/>
        <v>#NUM!</v>
      </c>
      <c r="V27" s="7" t="e">
        <f t="shared" ca="1" si="16"/>
        <v>#NUM!</v>
      </c>
      <c r="W27" s="7" t="e">
        <f t="shared" ca="1" si="17"/>
        <v>#NUM!</v>
      </c>
      <c r="X27" s="22"/>
      <c r="Y27"/>
      <c r="Z27" s="10">
        <v>0.9604369703178911</v>
      </c>
      <c r="AA27"/>
      <c r="AB27" s="22"/>
    </row>
    <row r="28" spans="1:28" x14ac:dyDescent="0.25">
      <c r="A28" s="16"/>
      <c r="B28" s="3" t="s">
        <v>17</v>
      </c>
      <c r="C28" s="3" t="s">
        <v>43</v>
      </c>
      <c r="D28" s="11" t="s">
        <v>19</v>
      </c>
      <c r="E28" s="7">
        <f t="shared" si="0"/>
        <v>172.41759882140781</v>
      </c>
      <c r="F28" s="7">
        <f t="shared" si="1"/>
        <v>227.83418809618107</v>
      </c>
      <c r="G28" s="7">
        <f t="shared" si="2"/>
        <v>263.80838738950126</v>
      </c>
      <c r="H28" s="7">
        <f t="shared" si="3"/>
        <v>138.19841467128717</v>
      </c>
      <c r="I28" s="7">
        <f t="shared" si="4"/>
        <v>222.13580559418759</v>
      </c>
      <c r="J28" s="7">
        <f t="shared" si="5"/>
        <v>265.87396076791714</v>
      </c>
      <c r="K28" s="7">
        <f t="shared" si="6"/>
        <v>129.27889326449127</v>
      </c>
      <c r="L28" s="7">
        <f t="shared" si="7"/>
        <v>182.62990916084865</v>
      </c>
      <c r="M28" s="7">
        <f t="shared" si="8"/>
        <v>199.91283606486695</v>
      </c>
      <c r="N28" s="22"/>
      <c r="O28" s="7" t="e">
        <f t="shared" ca="1" si="9"/>
        <v>#NUM!</v>
      </c>
      <c r="P28" s="7" t="e">
        <f t="shared" ca="1" si="10"/>
        <v>#NUM!</v>
      </c>
      <c r="Q28" s="7" t="e">
        <f t="shared" ca="1" si="11"/>
        <v>#NUM!</v>
      </c>
      <c r="R28" s="7" t="e">
        <f t="shared" ca="1" si="12"/>
        <v>#NUM!</v>
      </c>
      <c r="S28" s="7" t="e">
        <f t="shared" ca="1" si="13"/>
        <v>#NUM!</v>
      </c>
      <c r="T28" s="7" t="e">
        <f t="shared" ca="1" si="14"/>
        <v>#NUM!</v>
      </c>
      <c r="U28" s="7" t="e">
        <f t="shared" ca="1" si="15"/>
        <v>#NUM!</v>
      </c>
      <c r="V28" s="7" t="e">
        <f t="shared" ca="1" si="16"/>
        <v>#NUM!</v>
      </c>
      <c r="W28" s="7" t="e">
        <f t="shared" ca="1" si="17"/>
        <v>#NUM!</v>
      </c>
      <c r="X28" s="22"/>
      <c r="Y28"/>
      <c r="Z28" s="10">
        <v>0.72222845399157132</v>
      </c>
      <c r="AA28"/>
      <c r="AB28" s="22"/>
    </row>
    <row r="29" spans="1:28" x14ac:dyDescent="0.25">
      <c r="A29" s="16"/>
      <c r="B29" s="3" t="s">
        <v>17</v>
      </c>
      <c r="C29" s="3" t="s">
        <v>44</v>
      </c>
      <c r="D29" s="11" t="s">
        <v>19</v>
      </c>
      <c r="E29" s="7">
        <f t="shared" si="0"/>
        <v>171.47285519713444</v>
      </c>
      <c r="F29" s="7">
        <f t="shared" si="1"/>
        <v>226.58579525190814</v>
      </c>
      <c r="G29" s="7">
        <f t="shared" si="2"/>
        <v>262.36287780277843</v>
      </c>
      <c r="H29" s="7">
        <f t="shared" si="3"/>
        <v>137.44117137339956</v>
      </c>
      <c r="I29" s="7">
        <f t="shared" si="4"/>
        <v>220.91863642182651</v>
      </c>
      <c r="J29" s="7">
        <f t="shared" si="5"/>
        <v>264.41713309479792</v>
      </c>
      <c r="K29" s="7">
        <f t="shared" si="6"/>
        <v>128.57052352149736</v>
      </c>
      <c r="L29" s="7">
        <f t="shared" si="7"/>
        <v>181.6292082842516</v>
      </c>
      <c r="M29" s="7">
        <f t="shared" si="8"/>
        <v>198.81743525558923</v>
      </c>
      <c r="N29" s="22"/>
      <c r="O29" s="7" t="e">
        <f t="shared" ca="1" si="9"/>
        <v>#NUM!</v>
      </c>
      <c r="P29" s="7" t="e">
        <f t="shared" ca="1" si="10"/>
        <v>#NUM!</v>
      </c>
      <c r="Q29" s="7" t="e">
        <f t="shared" ca="1" si="11"/>
        <v>#NUM!</v>
      </c>
      <c r="R29" s="7" t="e">
        <f t="shared" ca="1" si="12"/>
        <v>#NUM!</v>
      </c>
      <c r="S29" s="7" t="e">
        <f t="shared" ca="1" si="13"/>
        <v>#NUM!</v>
      </c>
      <c r="T29" s="7" t="e">
        <f t="shared" ca="1" si="14"/>
        <v>#NUM!</v>
      </c>
      <c r="U29" s="7" t="e">
        <f t="shared" ca="1" si="15"/>
        <v>#NUM!</v>
      </c>
      <c r="V29" s="7" t="e">
        <f t="shared" ca="1" si="16"/>
        <v>#NUM!</v>
      </c>
      <c r="W29" s="7" t="e">
        <f t="shared" ca="1" si="17"/>
        <v>#NUM!</v>
      </c>
      <c r="X29" s="22"/>
      <c r="Y29"/>
      <c r="Z29" s="10">
        <v>0.71827108112568361</v>
      </c>
      <c r="AA29"/>
      <c r="AB29" s="22"/>
    </row>
    <row r="30" spans="1:28" x14ac:dyDescent="0.25">
      <c r="A30" s="16"/>
      <c r="B30" s="3" t="s">
        <v>17</v>
      </c>
      <c r="C30" s="3" t="s">
        <v>45</v>
      </c>
      <c r="D30" s="11" t="s">
        <v>19</v>
      </c>
      <c r="E30" s="7">
        <f t="shared" si="0"/>
        <v>216.37359937942219</v>
      </c>
      <c r="F30" s="7">
        <f t="shared" si="1"/>
        <v>285.91804825632522</v>
      </c>
      <c r="G30" s="7">
        <f t="shared" si="2"/>
        <v>331.06348027194548</v>
      </c>
      <c r="H30" s="7">
        <f t="shared" si="3"/>
        <v>173.43060462133974</v>
      </c>
      <c r="I30" s="7">
        <f t="shared" si="4"/>
        <v>278.76692481518404</v>
      </c>
      <c r="J30" s="7">
        <f t="shared" si="5"/>
        <v>333.65564922526153</v>
      </c>
      <c r="K30" s="7">
        <f t="shared" si="6"/>
        <v>162.23714777747486</v>
      </c>
      <c r="L30" s="7">
        <f t="shared" si="7"/>
        <v>229.18942770106182</v>
      </c>
      <c r="M30" s="7">
        <f t="shared" si="8"/>
        <v>250.8784497475142</v>
      </c>
      <c r="N30" s="22"/>
      <c r="O30" s="7" t="e">
        <f t="shared" ca="1" si="9"/>
        <v>#NUM!</v>
      </c>
      <c r="P30" s="7" t="e">
        <f t="shared" ca="1" si="10"/>
        <v>#NUM!</v>
      </c>
      <c r="Q30" s="7" t="e">
        <f t="shared" ca="1" si="11"/>
        <v>#NUM!</v>
      </c>
      <c r="R30" s="7" t="e">
        <f t="shared" ca="1" si="12"/>
        <v>#NUM!</v>
      </c>
      <c r="S30" s="7" t="e">
        <f t="shared" ca="1" si="13"/>
        <v>#NUM!</v>
      </c>
      <c r="T30" s="7" t="e">
        <f t="shared" ca="1" si="14"/>
        <v>#NUM!</v>
      </c>
      <c r="U30" s="7" t="e">
        <f t="shared" ca="1" si="15"/>
        <v>#NUM!</v>
      </c>
      <c r="V30" s="7" t="e">
        <f t="shared" ca="1" si="16"/>
        <v>#NUM!</v>
      </c>
      <c r="W30" s="7" t="e">
        <f t="shared" ca="1" si="17"/>
        <v>#NUM!</v>
      </c>
      <c r="X30" s="22"/>
      <c r="Y30"/>
      <c r="Z30" s="10">
        <v>0.9063527808797478</v>
      </c>
      <c r="AA30"/>
      <c r="AB30" s="22"/>
    </row>
    <row r="31" spans="1:28" x14ac:dyDescent="0.25">
      <c r="A31" s="16"/>
      <c r="B31" s="3" t="s">
        <v>17</v>
      </c>
      <c r="C31" s="3" t="s">
        <v>46</v>
      </c>
      <c r="D31" s="11" t="s">
        <v>19</v>
      </c>
      <c r="E31" s="7">
        <f t="shared" si="0"/>
        <v>176.61591046023102</v>
      </c>
      <c r="F31" s="7">
        <f t="shared" si="1"/>
        <v>233.38187539808351</v>
      </c>
      <c r="G31" s="7">
        <f t="shared" si="2"/>
        <v>270.23203457382226</v>
      </c>
      <c r="H31" s="7">
        <f t="shared" si="3"/>
        <v>141.56350046732797</v>
      </c>
      <c r="I31" s="7">
        <f t="shared" si="4"/>
        <v>227.54473916245658</v>
      </c>
      <c r="J31" s="7">
        <f t="shared" si="5"/>
        <v>272.34790398242723</v>
      </c>
      <c r="K31" s="7">
        <f t="shared" si="6"/>
        <v>132.42679165744295</v>
      </c>
      <c r="L31" s="7">
        <f t="shared" si="7"/>
        <v>187.0768871866905</v>
      </c>
      <c r="M31" s="7">
        <f t="shared" si="8"/>
        <v>204.78064765798999</v>
      </c>
      <c r="N31" s="22"/>
      <c r="O31" s="7" t="e">
        <f t="shared" ca="1" si="9"/>
        <v>#NUM!</v>
      </c>
      <c r="P31" s="7" t="e">
        <f t="shared" ca="1" si="10"/>
        <v>#NUM!</v>
      </c>
      <c r="Q31" s="7" t="e">
        <f t="shared" ca="1" si="11"/>
        <v>#NUM!</v>
      </c>
      <c r="R31" s="7" t="e">
        <f t="shared" ca="1" si="12"/>
        <v>#NUM!</v>
      </c>
      <c r="S31" s="7" t="e">
        <f t="shared" ca="1" si="13"/>
        <v>#NUM!</v>
      </c>
      <c r="T31" s="7" t="e">
        <f t="shared" ca="1" si="14"/>
        <v>#NUM!</v>
      </c>
      <c r="U31" s="7" t="e">
        <f t="shared" ca="1" si="15"/>
        <v>#NUM!</v>
      </c>
      <c r="V31" s="7" t="e">
        <f t="shared" ca="1" si="16"/>
        <v>#NUM!</v>
      </c>
      <c r="W31" s="7" t="e">
        <f t="shared" ca="1" si="17"/>
        <v>#NUM!</v>
      </c>
      <c r="X31" s="22"/>
      <c r="Y31"/>
      <c r="Z31" s="10">
        <v>0.73981447853320081</v>
      </c>
      <c r="AA31"/>
      <c r="AB31" s="22"/>
    </row>
    <row r="32" spans="1:28" x14ac:dyDescent="0.25">
      <c r="A32" s="16"/>
      <c r="B32" s="3" t="s">
        <v>17</v>
      </c>
      <c r="C32" s="3" t="s">
        <v>47</v>
      </c>
      <c r="D32" s="11" t="s">
        <v>19</v>
      </c>
      <c r="E32" s="7">
        <f t="shared" si="0"/>
        <v>185.75088903649669</v>
      </c>
      <c r="F32" s="7">
        <f t="shared" si="1"/>
        <v>245.45291942970405</v>
      </c>
      <c r="G32" s="7">
        <f t="shared" si="2"/>
        <v>284.20905306564379</v>
      </c>
      <c r="H32" s="7">
        <f t="shared" si="3"/>
        <v>148.88548828020626</v>
      </c>
      <c r="I32" s="7">
        <f t="shared" si="4"/>
        <v>239.31387316615127</v>
      </c>
      <c r="J32" s="7">
        <f t="shared" si="5"/>
        <v>286.43436007625991</v>
      </c>
      <c r="K32" s="7">
        <f t="shared" si="6"/>
        <v>139.27620800709133</v>
      </c>
      <c r="L32" s="7">
        <f t="shared" si="7"/>
        <v>196.75293138968257</v>
      </c>
      <c r="M32" s="7">
        <f t="shared" si="8"/>
        <v>215.37237081766972</v>
      </c>
      <c r="N32" s="22"/>
      <c r="O32" s="7" t="e">
        <f t="shared" ca="1" si="9"/>
        <v>#NUM!</v>
      </c>
      <c r="P32" s="7" t="e">
        <f t="shared" ca="1" si="10"/>
        <v>#NUM!</v>
      </c>
      <c r="Q32" s="7" t="e">
        <f t="shared" ca="1" si="11"/>
        <v>#NUM!</v>
      </c>
      <c r="R32" s="7" t="e">
        <f t="shared" ca="1" si="12"/>
        <v>#NUM!</v>
      </c>
      <c r="S32" s="7" t="e">
        <f t="shared" ca="1" si="13"/>
        <v>#NUM!</v>
      </c>
      <c r="T32" s="7" t="e">
        <f t="shared" ca="1" si="14"/>
        <v>#NUM!</v>
      </c>
      <c r="U32" s="7" t="e">
        <f t="shared" ca="1" si="15"/>
        <v>#NUM!</v>
      </c>
      <c r="V32" s="7" t="e">
        <f t="shared" ca="1" si="16"/>
        <v>#NUM!</v>
      </c>
      <c r="W32" s="7" t="e">
        <f t="shared" ca="1" si="17"/>
        <v>#NUM!</v>
      </c>
      <c r="X32" s="22"/>
      <c r="Y32"/>
      <c r="Z32" s="10">
        <v>0.77807937434129226</v>
      </c>
      <c r="AA32"/>
      <c r="AB32" s="22"/>
    </row>
    <row r="33" spans="1:28" x14ac:dyDescent="0.25">
      <c r="A33" s="16"/>
      <c r="B33" s="3" t="s">
        <v>17</v>
      </c>
      <c r="C33" s="3" t="s">
        <v>48</v>
      </c>
      <c r="D33" s="11" t="s">
        <v>19</v>
      </c>
      <c r="E33" s="7">
        <f t="shared" si="0"/>
        <v>213.63699202819518</v>
      </c>
      <c r="F33" s="7">
        <f t="shared" si="1"/>
        <v>282.30187033558605</v>
      </c>
      <c r="G33" s="7">
        <f t="shared" si="2"/>
        <v>326.87632085677905</v>
      </c>
      <c r="H33" s="7">
        <f t="shared" si="3"/>
        <v>171.23712321281425</v>
      </c>
      <c r="I33" s="7">
        <f t="shared" si="4"/>
        <v>275.24119146362835</v>
      </c>
      <c r="J33" s="7">
        <f t="shared" si="5"/>
        <v>329.43570508666483</v>
      </c>
      <c r="K33" s="7">
        <f t="shared" si="6"/>
        <v>160.1852367655801</v>
      </c>
      <c r="L33" s="7">
        <f t="shared" si="7"/>
        <v>226.29073084308516</v>
      </c>
      <c r="M33" s="7">
        <f t="shared" si="8"/>
        <v>247.70543875258423</v>
      </c>
      <c r="N33" s="22"/>
      <c r="O33" s="7" t="e">
        <f t="shared" ca="1" si="9"/>
        <v>#NUM!</v>
      </c>
      <c r="P33" s="7" t="e">
        <f t="shared" ca="1" si="10"/>
        <v>#NUM!</v>
      </c>
      <c r="Q33" s="7" t="e">
        <f t="shared" ca="1" si="11"/>
        <v>#NUM!</v>
      </c>
      <c r="R33" s="7" t="e">
        <f t="shared" ca="1" si="12"/>
        <v>#NUM!</v>
      </c>
      <c r="S33" s="7" t="e">
        <f t="shared" ca="1" si="13"/>
        <v>#NUM!</v>
      </c>
      <c r="T33" s="7" t="e">
        <f t="shared" ca="1" si="14"/>
        <v>#NUM!</v>
      </c>
      <c r="U33" s="7" t="e">
        <f t="shared" ca="1" si="15"/>
        <v>#NUM!</v>
      </c>
      <c r="V33" s="7" t="e">
        <f t="shared" ca="1" si="16"/>
        <v>#NUM!</v>
      </c>
      <c r="W33" s="7" t="e">
        <f t="shared" ca="1" si="17"/>
        <v>#NUM!</v>
      </c>
      <c r="X33" s="22"/>
      <c r="Y33"/>
      <c r="Z33" s="10">
        <v>0.89488959086916264</v>
      </c>
      <c r="AA33"/>
      <c r="AB33" s="22"/>
    </row>
    <row r="34" spans="1:28" x14ac:dyDescent="0.25">
      <c r="A34" s="16"/>
      <c r="B34" s="3" t="s">
        <v>17</v>
      </c>
      <c r="C34" s="3" t="s">
        <v>49</v>
      </c>
      <c r="D34" s="11" t="s">
        <v>19</v>
      </c>
      <c r="E34" s="7">
        <f t="shared" si="0"/>
        <v>214.87068085542657</v>
      </c>
      <c r="F34" s="7">
        <f t="shared" si="1"/>
        <v>283.93207800717488</v>
      </c>
      <c r="G34" s="7">
        <f t="shared" si="2"/>
        <v>328.76393245952187</v>
      </c>
      <c r="H34" s="7">
        <f t="shared" si="3"/>
        <v>172.22596565863475</v>
      </c>
      <c r="I34" s="7">
        <f t="shared" si="4"/>
        <v>276.8306258564217</v>
      </c>
      <c r="J34" s="7">
        <f t="shared" si="5"/>
        <v>331.33809635700658</v>
      </c>
      <c r="K34" s="7">
        <f t="shared" si="6"/>
        <v>161.11025791949632</v>
      </c>
      <c r="L34" s="7">
        <f t="shared" si="7"/>
        <v>227.59749117375998</v>
      </c>
      <c r="M34" s="7">
        <f t="shared" si="8"/>
        <v>249.13586252579097</v>
      </c>
      <c r="N34" s="22"/>
      <c r="O34" s="7" t="e">
        <f t="shared" ca="1" si="9"/>
        <v>#NUM!</v>
      </c>
      <c r="P34" s="7" t="e">
        <f t="shared" ca="1" si="10"/>
        <v>#NUM!</v>
      </c>
      <c r="Q34" s="7" t="e">
        <f t="shared" ca="1" si="11"/>
        <v>#NUM!</v>
      </c>
      <c r="R34" s="7" t="e">
        <f t="shared" ca="1" si="12"/>
        <v>#NUM!</v>
      </c>
      <c r="S34" s="7" t="e">
        <f t="shared" ca="1" si="13"/>
        <v>#NUM!</v>
      </c>
      <c r="T34" s="7" t="e">
        <f t="shared" ca="1" si="14"/>
        <v>#NUM!</v>
      </c>
      <c r="U34" s="7" t="e">
        <f t="shared" ca="1" si="15"/>
        <v>#NUM!</v>
      </c>
      <c r="V34" s="7" t="e">
        <f t="shared" ca="1" si="16"/>
        <v>#NUM!</v>
      </c>
      <c r="W34" s="7" t="e">
        <f t="shared" ca="1" si="17"/>
        <v>#NUM!</v>
      </c>
      <c r="X34" s="22"/>
      <c r="Y34"/>
      <c r="Z34" s="10">
        <v>0.90005730681282858</v>
      </c>
      <c r="AA34"/>
      <c r="AB34" s="22"/>
    </row>
    <row r="35" spans="1:28" x14ac:dyDescent="0.25">
      <c r="A35" s="16"/>
      <c r="B35" s="3" t="s">
        <v>17</v>
      </c>
      <c r="C35" s="3" t="s">
        <v>50</v>
      </c>
      <c r="D35" s="11" t="s">
        <v>19</v>
      </c>
      <c r="E35" s="7">
        <f t="shared" si="0"/>
        <v>175.23025412759148</v>
      </c>
      <c r="F35" s="7">
        <f t="shared" si="1"/>
        <v>231.55085647840659</v>
      </c>
      <c r="G35" s="7">
        <f t="shared" si="2"/>
        <v>268.11190434878455</v>
      </c>
      <c r="H35" s="7">
        <f t="shared" si="3"/>
        <v>140.45285103386516</v>
      </c>
      <c r="I35" s="7">
        <f t="shared" si="4"/>
        <v>225.7595160307599</v>
      </c>
      <c r="J35" s="7">
        <f t="shared" si="5"/>
        <v>270.21117350978199</v>
      </c>
      <c r="K35" s="7">
        <f t="shared" si="6"/>
        <v>131.38782511137634</v>
      </c>
      <c r="L35" s="7">
        <f t="shared" si="7"/>
        <v>185.60915830119407</v>
      </c>
      <c r="M35" s="7">
        <f t="shared" si="8"/>
        <v>203.17402229513394</v>
      </c>
      <c r="N35" s="22"/>
      <c r="O35" s="7" t="e">
        <f t="shared" ca="1" si="9"/>
        <v>#NUM!</v>
      </c>
      <c r="P35" s="7" t="e">
        <f t="shared" ca="1" si="10"/>
        <v>#NUM!</v>
      </c>
      <c r="Q35" s="7" t="e">
        <f t="shared" ca="1" si="11"/>
        <v>#NUM!</v>
      </c>
      <c r="R35" s="7" t="e">
        <f t="shared" ca="1" si="12"/>
        <v>#NUM!</v>
      </c>
      <c r="S35" s="7" t="e">
        <f t="shared" ca="1" si="13"/>
        <v>#NUM!</v>
      </c>
      <c r="T35" s="7" t="e">
        <f t="shared" ca="1" si="14"/>
        <v>#NUM!</v>
      </c>
      <c r="U35" s="7" t="e">
        <f t="shared" ca="1" si="15"/>
        <v>#NUM!</v>
      </c>
      <c r="V35" s="7" t="e">
        <f t="shared" ca="1" si="16"/>
        <v>#NUM!</v>
      </c>
      <c r="W35" s="7" t="e">
        <f t="shared" ca="1" si="17"/>
        <v>#NUM!</v>
      </c>
      <c r="X35" s="22"/>
      <c r="Y35"/>
      <c r="Z35" s="10">
        <v>0.7340101961529405</v>
      </c>
      <c r="AA35"/>
      <c r="AB35" s="22"/>
    </row>
    <row r="36" spans="1:28" x14ac:dyDescent="0.25">
      <c r="A36" s="16"/>
      <c r="B36" s="3" t="s">
        <v>17</v>
      </c>
      <c r="C36" s="3" t="s">
        <v>51</v>
      </c>
      <c r="D36" s="11" t="s">
        <v>19</v>
      </c>
      <c r="E36" s="7">
        <f t="shared" si="0"/>
        <v>213.06453483459495</v>
      </c>
      <c r="F36" s="7">
        <f t="shared" si="1"/>
        <v>281.54542017727692</v>
      </c>
      <c r="G36" s="7">
        <f t="shared" si="2"/>
        <v>326.00042993772252</v>
      </c>
      <c r="H36" s="7">
        <f t="shared" si="3"/>
        <v>170.77827981652806</v>
      </c>
      <c r="I36" s="7">
        <f t="shared" si="4"/>
        <v>274.50366095202264</v>
      </c>
      <c r="J36" s="7">
        <f t="shared" si="5"/>
        <v>328.55295609541923</v>
      </c>
      <c r="K36" s="7">
        <f t="shared" si="6"/>
        <v>159.75600777192852</v>
      </c>
      <c r="L36" s="7">
        <f t="shared" si="7"/>
        <v>225.68436695691378</v>
      </c>
      <c r="M36" s="7">
        <f t="shared" si="8"/>
        <v>247.0416924651945</v>
      </c>
      <c r="N36" s="22"/>
      <c r="O36" s="7" t="e">
        <f t="shared" ca="1" si="9"/>
        <v>#NUM!</v>
      </c>
      <c r="P36" s="7" t="e">
        <f t="shared" ca="1" si="10"/>
        <v>#NUM!</v>
      </c>
      <c r="Q36" s="7" t="e">
        <f t="shared" ca="1" si="11"/>
        <v>#NUM!</v>
      </c>
      <c r="R36" s="7" t="e">
        <f t="shared" ca="1" si="12"/>
        <v>#NUM!</v>
      </c>
      <c r="S36" s="7" t="e">
        <f t="shared" ca="1" si="13"/>
        <v>#NUM!</v>
      </c>
      <c r="T36" s="7" t="e">
        <f t="shared" ca="1" si="14"/>
        <v>#NUM!</v>
      </c>
      <c r="U36" s="7" t="e">
        <f t="shared" ca="1" si="15"/>
        <v>#NUM!</v>
      </c>
      <c r="V36" s="7" t="e">
        <f t="shared" ca="1" si="16"/>
        <v>#NUM!</v>
      </c>
      <c r="W36" s="7" t="e">
        <f t="shared" ca="1" si="17"/>
        <v>#NUM!</v>
      </c>
      <c r="X36" s="22"/>
      <c r="Y36"/>
      <c r="Z36" s="10">
        <v>0.89249166353032694</v>
      </c>
      <c r="AA36"/>
      <c r="AB36" s="22"/>
    </row>
    <row r="37" spans="1:28" x14ac:dyDescent="0.25">
      <c r="A37" s="16"/>
      <c r="B37" s="3" t="s">
        <v>17</v>
      </c>
      <c r="C37" s="3" t="s">
        <v>52</v>
      </c>
      <c r="D37" s="11" t="s">
        <v>19</v>
      </c>
      <c r="E37" s="7">
        <f t="shared" si="0"/>
        <v>237.97859282175727</v>
      </c>
      <c r="F37" s="7">
        <f t="shared" si="1"/>
        <v>314.46708369937397</v>
      </c>
      <c r="G37" s="7">
        <f t="shared" si="2"/>
        <v>364.12030578479153</v>
      </c>
      <c r="H37" s="7">
        <f t="shared" si="3"/>
        <v>190.74772226550184</v>
      </c>
      <c r="I37" s="7">
        <f t="shared" si="4"/>
        <v>306.60191762320568</v>
      </c>
      <c r="J37" s="7">
        <f t="shared" si="5"/>
        <v>366.97130388084241</v>
      </c>
      <c r="K37" s="7">
        <f t="shared" si="6"/>
        <v>178.43659412346398</v>
      </c>
      <c r="L37" s="7">
        <f t="shared" si="7"/>
        <v>252.07408690502982</v>
      </c>
      <c r="M37" s="7">
        <f t="shared" si="8"/>
        <v>275.92876677863035</v>
      </c>
      <c r="N37" s="22"/>
      <c r="O37" s="7" t="e">
        <f t="shared" ca="1" si="9"/>
        <v>#NUM!</v>
      </c>
      <c r="P37" s="7" t="e">
        <f t="shared" ca="1" si="10"/>
        <v>#NUM!</v>
      </c>
      <c r="Q37" s="7" t="e">
        <f t="shared" ca="1" si="11"/>
        <v>#NUM!</v>
      </c>
      <c r="R37" s="7" t="e">
        <f t="shared" ca="1" si="12"/>
        <v>#NUM!</v>
      </c>
      <c r="S37" s="7" t="e">
        <f t="shared" ca="1" si="13"/>
        <v>#NUM!</v>
      </c>
      <c r="T37" s="7" t="e">
        <f t="shared" ca="1" si="14"/>
        <v>#NUM!</v>
      </c>
      <c r="U37" s="7" t="e">
        <f t="shared" ca="1" si="15"/>
        <v>#NUM!</v>
      </c>
      <c r="V37" s="7" t="e">
        <f t="shared" ca="1" si="16"/>
        <v>#NUM!</v>
      </c>
      <c r="W37" s="7" t="e">
        <f t="shared" ca="1" si="17"/>
        <v>#NUM!</v>
      </c>
      <c r="X37" s="22"/>
      <c r="Y37"/>
      <c r="Z37" s="10">
        <v>0.99685248113667024</v>
      </c>
      <c r="AA37"/>
      <c r="AB37" s="22"/>
    </row>
    <row r="38" spans="1:28" x14ac:dyDescent="0.25">
      <c r="A38" s="16"/>
      <c r="B38" s="3" t="s">
        <v>17</v>
      </c>
      <c r="C38" s="3" t="s">
        <v>53</v>
      </c>
      <c r="D38" s="11" t="s">
        <v>19</v>
      </c>
      <c r="E38" s="7">
        <f t="shared" si="0"/>
        <v>236.53672367828736</v>
      </c>
      <c r="F38" s="7">
        <f t="shared" si="1"/>
        <v>312.56178465862075</v>
      </c>
      <c r="G38" s="7">
        <f t="shared" si="2"/>
        <v>361.91416687457809</v>
      </c>
      <c r="H38" s="7">
        <f t="shared" si="3"/>
        <v>189.59201640279935</v>
      </c>
      <c r="I38" s="7">
        <f t="shared" si="4"/>
        <v>304.74427219759076</v>
      </c>
      <c r="J38" s="7">
        <f t="shared" si="5"/>
        <v>364.74789129010986</v>
      </c>
      <c r="K38" s="7">
        <f t="shared" si="6"/>
        <v>177.35547915391211</v>
      </c>
      <c r="L38" s="7">
        <f t="shared" si="7"/>
        <v>250.54681571871373</v>
      </c>
      <c r="M38" s="7">
        <f t="shared" si="8"/>
        <v>274.25696441230656</v>
      </c>
      <c r="N38" s="22"/>
      <c r="O38" s="7" t="e">
        <f t="shared" ca="1" si="9"/>
        <v>#NUM!</v>
      </c>
      <c r="P38" s="7" t="e">
        <f t="shared" ca="1" si="10"/>
        <v>#NUM!</v>
      </c>
      <c r="Q38" s="7" t="e">
        <f t="shared" ca="1" si="11"/>
        <v>#NUM!</v>
      </c>
      <c r="R38" s="7" t="e">
        <f t="shared" ca="1" si="12"/>
        <v>#NUM!</v>
      </c>
      <c r="S38" s="7" t="e">
        <f t="shared" ca="1" si="13"/>
        <v>#NUM!</v>
      </c>
      <c r="T38" s="7" t="e">
        <f t="shared" ca="1" si="14"/>
        <v>#NUM!</v>
      </c>
      <c r="U38" s="7" t="e">
        <f t="shared" ca="1" si="15"/>
        <v>#NUM!</v>
      </c>
      <c r="V38" s="7" t="e">
        <f t="shared" ca="1" si="16"/>
        <v>#NUM!</v>
      </c>
      <c r="W38" s="7" t="e">
        <f t="shared" ca="1" si="17"/>
        <v>#NUM!</v>
      </c>
      <c r="X38" s="22"/>
      <c r="Y38"/>
      <c r="Z38" s="10">
        <v>0.99081273270341963</v>
      </c>
      <c r="AA38"/>
      <c r="AB38" s="22"/>
    </row>
    <row r="39" spans="1:28" x14ac:dyDescent="0.25">
      <c r="A39" s="16"/>
      <c r="B39" s="3" t="s">
        <v>17</v>
      </c>
      <c r="C39" s="3" t="s">
        <v>54</v>
      </c>
      <c r="D39" s="11" t="s">
        <v>19</v>
      </c>
      <c r="E39" s="7">
        <f t="shared" si="0"/>
        <v>200.02897495961403</v>
      </c>
      <c r="F39" s="7">
        <f t="shared" si="1"/>
        <v>264.3201124314491</v>
      </c>
      <c r="G39" s="7">
        <f t="shared" si="2"/>
        <v>306.05530801951249</v>
      </c>
      <c r="H39" s="7">
        <f t="shared" si="3"/>
        <v>160.32984693386734</v>
      </c>
      <c r="I39" s="7">
        <f t="shared" si="4"/>
        <v>257.70917701306286</v>
      </c>
      <c r="J39" s="7">
        <f t="shared" si="5"/>
        <v>308.45166737269182</v>
      </c>
      <c r="K39" s="7">
        <f t="shared" si="6"/>
        <v>149.98193154513851</v>
      </c>
      <c r="L39" s="7">
        <f t="shared" si="7"/>
        <v>211.87670966379429</v>
      </c>
      <c r="M39" s="7">
        <f t="shared" si="8"/>
        <v>231.92736676924213</v>
      </c>
      <c r="N39" s="22"/>
      <c r="O39" s="7" t="e">
        <f t="shared" ca="1" si="9"/>
        <v>#NUM!</v>
      </c>
      <c r="P39" s="7" t="e">
        <f t="shared" ca="1" si="10"/>
        <v>#NUM!</v>
      </c>
      <c r="Q39" s="7" t="e">
        <f t="shared" ca="1" si="11"/>
        <v>#NUM!</v>
      </c>
      <c r="R39" s="7" t="e">
        <f t="shared" ca="1" si="12"/>
        <v>#NUM!</v>
      </c>
      <c r="S39" s="7" t="e">
        <f t="shared" ca="1" si="13"/>
        <v>#NUM!</v>
      </c>
      <c r="T39" s="7" t="e">
        <f t="shared" ca="1" si="14"/>
        <v>#NUM!</v>
      </c>
      <c r="U39" s="7" t="e">
        <f t="shared" ca="1" si="15"/>
        <v>#NUM!</v>
      </c>
      <c r="V39" s="7" t="e">
        <f t="shared" ca="1" si="16"/>
        <v>#NUM!</v>
      </c>
      <c r="W39" s="7" t="e">
        <f t="shared" ca="1" si="17"/>
        <v>#NUM!</v>
      </c>
      <c r="X39" s="22"/>
      <c r="Y39"/>
      <c r="Z39" s="10">
        <v>0.83788788572703077</v>
      </c>
      <c r="AA39"/>
      <c r="AB39" s="22"/>
    </row>
    <row r="40" spans="1:28" x14ac:dyDescent="0.25">
      <c r="A40" s="16"/>
      <c r="B40" s="3" t="s">
        <v>17</v>
      </c>
      <c r="C40" s="3" t="s">
        <v>55</v>
      </c>
      <c r="D40" s="11" t="s">
        <v>19</v>
      </c>
      <c r="E40" s="7">
        <f t="shared" si="0"/>
        <v>184.24797051250107</v>
      </c>
      <c r="F40" s="7">
        <f t="shared" si="1"/>
        <v>243.46694918055371</v>
      </c>
      <c r="G40" s="7">
        <f t="shared" si="2"/>
        <v>281.90950525322023</v>
      </c>
      <c r="H40" s="7">
        <f t="shared" si="3"/>
        <v>147.68084931750127</v>
      </c>
      <c r="I40" s="7">
        <f t="shared" si="4"/>
        <v>237.3775742073889</v>
      </c>
      <c r="J40" s="7">
        <f t="shared" si="5"/>
        <v>284.11680720800496</v>
      </c>
      <c r="K40" s="7">
        <f t="shared" si="6"/>
        <v>138.14931814911279</v>
      </c>
      <c r="L40" s="7">
        <f t="shared" si="7"/>
        <v>195.1609948623807</v>
      </c>
      <c r="M40" s="7">
        <f t="shared" si="8"/>
        <v>213.62978359594646</v>
      </c>
      <c r="N40" s="22"/>
      <c r="O40" s="7" t="e">
        <f t="shared" ca="1" si="9"/>
        <v>#NUM!</v>
      </c>
      <c r="P40" s="7" t="e">
        <f t="shared" ca="1" si="10"/>
        <v>#NUM!</v>
      </c>
      <c r="Q40" s="7" t="e">
        <f t="shared" ca="1" si="11"/>
        <v>#NUM!</v>
      </c>
      <c r="R40" s="7" t="e">
        <f t="shared" ca="1" si="12"/>
        <v>#NUM!</v>
      </c>
      <c r="S40" s="7" t="e">
        <f t="shared" ca="1" si="13"/>
        <v>#NUM!</v>
      </c>
      <c r="T40" s="7" t="e">
        <f t="shared" ca="1" si="14"/>
        <v>#NUM!</v>
      </c>
      <c r="U40" s="7" t="e">
        <f t="shared" ca="1" si="15"/>
        <v>#NUM!</v>
      </c>
      <c r="V40" s="7" t="e">
        <f t="shared" ca="1" si="16"/>
        <v>#NUM!</v>
      </c>
      <c r="W40" s="7" t="e">
        <f t="shared" ca="1" si="17"/>
        <v>#NUM!</v>
      </c>
      <c r="X40" s="22"/>
      <c r="Y40"/>
      <c r="Z40" s="10">
        <v>0.77178390027437305</v>
      </c>
      <c r="AA40"/>
      <c r="AB40" s="22"/>
    </row>
    <row r="41" spans="1:28" x14ac:dyDescent="0.25">
      <c r="A41" s="16"/>
      <c r="B41" s="3" t="s">
        <v>17</v>
      </c>
      <c r="C41" s="3" t="s">
        <v>56</v>
      </c>
      <c r="D41" s="11" t="s">
        <v>19</v>
      </c>
      <c r="E41" s="7">
        <f t="shared" si="0"/>
        <v>207.73161210983071</v>
      </c>
      <c r="F41" s="7">
        <f t="shared" si="1"/>
        <v>274.49844743504036</v>
      </c>
      <c r="G41" s="7">
        <f t="shared" si="2"/>
        <v>317.84076553159576</v>
      </c>
      <c r="H41" s="7">
        <f t="shared" si="3"/>
        <v>166.50376566504463</v>
      </c>
      <c r="I41" s="7">
        <f t="shared" si="4"/>
        <v>267.63294071386349</v>
      </c>
      <c r="J41" s="7">
        <f t="shared" si="5"/>
        <v>320.32940294890454</v>
      </c>
      <c r="K41" s="7">
        <f t="shared" si="6"/>
        <v>155.75737681757508</v>
      </c>
      <c r="L41" s="7">
        <f t="shared" si="7"/>
        <v>220.03557472547601</v>
      </c>
      <c r="M41" s="7">
        <f t="shared" si="8"/>
        <v>240.85833465421666</v>
      </c>
      <c r="N41" s="22"/>
      <c r="O41" s="7" t="e">
        <f t="shared" ca="1" si="9"/>
        <v>#NUM!</v>
      </c>
      <c r="P41" s="7" t="e">
        <f t="shared" ca="1" si="10"/>
        <v>#NUM!</v>
      </c>
      <c r="Q41" s="7" t="e">
        <f t="shared" ca="1" si="11"/>
        <v>#NUM!</v>
      </c>
      <c r="R41" s="7" t="e">
        <f t="shared" ca="1" si="12"/>
        <v>#NUM!</v>
      </c>
      <c r="S41" s="7" t="e">
        <f t="shared" ca="1" si="13"/>
        <v>#NUM!</v>
      </c>
      <c r="T41" s="7" t="e">
        <f t="shared" ca="1" si="14"/>
        <v>#NUM!</v>
      </c>
      <c r="U41" s="7" t="e">
        <f t="shared" ca="1" si="15"/>
        <v>#NUM!</v>
      </c>
      <c r="V41" s="7" t="e">
        <f t="shared" ca="1" si="16"/>
        <v>#NUM!</v>
      </c>
      <c r="W41" s="7" t="e">
        <f t="shared" ca="1" si="17"/>
        <v>#NUM!</v>
      </c>
      <c r="X41" s="22"/>
      <c r="Y41"/>
      <c r="Z41" s="10">
        <v>0.87015294311494451</v>
      </c>
      <c r="AA41"/>
      <c r="AB41" s="22"/>
    </row>
    <row r="42" spans="1:28" x14ac:dyDescent="0.25">
      <c r="A42" s="16"/>
      <c r="B42" s="3" t="s">
        <v>17</v>
      </c>
      <c r="C42" s="3" t="s">
        <v>57</v>
      </c>
      <c r="D42" s="11" t="s">
        <v>19</v>
      </c>
      <c r="E42" s="7">
        <f t="shared" si="0"/>
        <v>169.03058655376401</v>
      </c>
      <c r="F42" s="7">
        <f t="shared" si="1"/>
        <v>223.35855918506425</v>
      </c>
      <c r="G42" s="7">
        <f t="shared" si="2"/>
        <v>258.62607276208843</v>
      </c>
      <c r="H42" s="7">
        <f t="shared" si="3"/>
        <v>135.48361218557676</v>
      </c>
      <c r="I42" s="7">
        <f t="shared" si="4"/>
        <v>217.77211706254428</v>
      </c>
      <c r="J42" s="7">
        <f t="shared" si="5"/>
        <v>260.6510695263986</v>
      </c>
      <c r="K42" s="7">
        <f t="shared" si="6"/>
        <v>126.73930797605561</v>
      </c>
      <c r="L42" s="7">
        <f t="shared" si="7"/>
        <v>179.04228384304574</v>
      </c>
      <c r="M42" s="7">
        <f t="shared" si="8"/>
        <v>195.98570082554301</v>
      </c>
      <c r="N42" s="22"/>
      <c r="O42" s="7" t="e">
        <f t="shared" ca="1" si="9"/>
        <v>#NUM!</v>
      </c>
      <c r="P42" s="7" t="e">
        <f t="shared" ca="1" si="10"/>
        <v>#NUM!</v>
      </c>
      <c r="Q42" s="7" t="e">
        <f t="shared" ca="1" si="11"/>
        <v>#NUM!</v>
      </c>
      <c r="R42" s="7" t="e">
        <f t="shared" ca="1" si="12"/>
        <v>#NUM!</v>
      </c>
      <c r="S42" s="7" t="e">
        <f t="shared" ca="1" si="13"/>
        <v>#NUM!</v>
      </c>
      <c r="T42" s="7" t="e">
        <f t="shared" ca="1" si="14"/>
        <v>#NUM!</v>
      </c>
      <c r="U42" s="7" t="e">
        <f t="shared" ca="1" si="15"/>
        <v>#NUM!</v>
      </c>
      <c r="V42" s="7" t="e">
        <f t="shared" ca="1" si="16"/>
        <v>#NUM!</v>
      </c>
      <c r="W42" s="7" t="e">
        <f t="shared" ca="1" si="17"/>
        <v>#NUM!</v>
      </c>
      <c r="X42" s="22"/>
      <c r="Y42"/>
      <c r="Z42" s="10">
        <v>0.70804082668187496</v>
      </c>
      <c r="AA42"/>
      <c r="AB42" s="22"/>
    </row>
    <row r="43" spans="1:28" x14ac:dyDescent="0.25">
      <c r="A43" s="16"/>
      <c r="B43" s="3" t="s">
        <v>17</v>
      </c>
      <c r="C43" s="3" t="s">
        <v>58</v>
      </c>
      <c r="D43" s="11" t="s">
        <v>19</v>
      </c>
      <c r="E43" s="7">
        <f t="shared" si="0"/>
        <v>186.69023864019076</v>
      </c>
      <c r="F43" s="7">
        <f t="shared" si="1"/>
        <v>246.69418456597234</v>
      </c>
      <c r="G43" s="7">
        <f t="shared" si="2"/>
        <v>285.64630950489038</v>
      </c>
      <c r="H43" s="7">
        <f t="shared" si="3"/>
        <v>149.63840809198888</v>
      </c>
      <c r="I43" s="7">
        <f t="shared" si="4"/>
        <v>240.52409290228908</v>
      </c>
      <c r="J43" s="7">
        <f t="shared" si="5"/>
        <v>287.88286998120651</v>
      </c>
      <c r="K43" s="7">
        <f t="shared" si="6"/>
        <v>139.98053330789656</v>
      </c>
      <c r="L43" s="7">
        <f t="shared" si="7"/>
        <v>197.74791875736204</v>
      </c>
      <c r="M43" s="7">
        <f t="shared" si="8"/>
        <v>216.46151742807695</v>
      </c>
      <c r="N43" s="22"/>
      <c r="O43" s="7" t="e">
        <f t="shared" ca="1" si="9"/>
        <v>#NUM!</v>
      </c>
      <c r="P43" s="7" t="e">
        <f t="shared" ca="1" si="10"/>
        <v>#NUM!</v>
      </c>
      <c r="Q43" s="7" t="e">
        <f t="shared" ca="1" si="11"/>
        <v>#NUM!</v>
      </c>
      <c r="R43" s="7" t="e">
        <f t="shared" ca="1" si="12"/>
        <v>#NUM!</v>
      </c>
      <c r="S43" s="7" t="e">
        <f t="shared" ca="1" si="13"/>
        <v>#NUM!</v>
      </c>
      <c r="T43" s="7" t="e">
        <f t="shared" ca="1" si="14"/>
        <v>#NUM!</v>
      </c>
      <c r="U43" s="7" t="e">
        <f t="shared" ca="1" si="15"/>
        <v>#NUM!</v>
      </c>
      <c r="V43" s="7" t="e">
        <f t="shared" ca="1" si="16"/>
        <v>#NUM!</v>
      </c>
      <c r="W43" s="7" t="e">
        <f t="shared" ca="1" si="17"/>
        <v>#NUM!</v>
      </c>
      <c r="X43" s="22"/>
      <c r="Y43"/>
      <c r="Z43" s="10">
        <v>0.78201415255808138</v>
      </c>
      <c r="AA43"/>
      <c r="AB43" s="22"/>
    </row>
    <row r="44" spans="1:28" x14ac:dyDescent="0.25">
      <c r="A44" s="16"/>
      <c r="B44" s="3" t="s">
        <v>17</v>
      </c>
      <c r="C44" s="3" t="s">
        <v>59</v>
      </c>
      <c r="D44" s="11" t="s">
        <v>19</v>
      </c>
      <c r="E44" s="7">
        <f t="shared" si="0"/>
        <v>163.01875826923924</v>
      </c>
      <c r="F44" s="7">
        <f t="shared" si="1"/>
        <v>215.41447444231645</v>
      </c>
      <c r="G44" s="7">
        <f t="shared" si="2"/>
        <v>249.42764559546356</v>
      </c>
      <c r="H44" s="7">
        <f t="shared" si="3"/>
        <v>130.66493274753458</v>
      </c>
      <c r="I44" s="7">
        <f t="shared" si="4"/>
        <v>210.02672257726263</v>
      </c>
      <c r="J44" s="7">
        <f t="shared" si="5"/>
        <v>251.38062028926001</v>
      </c>
      <c r="K44" s="7">
        <f t="shared" si="6"/>
        <v>122.23163293341358</v>
      </c>
      <c r="L44" s="7">
        <f t="shared" si="7"/>
        <v>172.67437441269436</v>
      </c>
      <c r="M44" s="7">
        <f t="shared" si="8"/>
        <v>189.01517316183731</v>
      </c>
      <c r="N44" s="22"/>
      <c r="O44" s="7" t="e">
        <f t="shared" ca="1" si="9"/>
        <v>#NUM!</v>
      </c>
      <c r="P44" s="7" t="e">
        <f t="shared" ca="1" si="10"/>
        <v>#NUM!</v>
      </c>
      <c r="Q44" s="7" t="e">
        <f t="shared" ca="1" si="11"/>
        <v>#NUM!</v>
      </c>
      <c r="R44" s="7" t="e">
        <f t="shared" ca="1" si="12"/>
        <v>#NUM!</v>
      </c>
      <c r="S44" s="7" t="e">
        <f t="shared" ca="1" si="13"/>
        <v>#NUM!</v>
      </c>
      <c r="T44" s="7" t="e">
        <f t="shared" ca="1" si="14"/>
        <v>#NUM!</v>
      </c>
      <c r="U44" s="7" t="e">
        <f t="shared" ca="1" si="15"/>
        <v>#NUM!</v>
      </c>
      <c r="V44" s="7" t="e">
        <f t="shared" ca="1" si="16"/>
        <v>#NUM!</v>
      </c>
      <c r="W44" s="7" t="e">
        <f t="shared" ca="1" si="17"/>
        <v>#NUM!</v>
      </c>
      <c r="X44" s="22"/>
      <c r="Y44"/>
      <c r="Z44" s="10">
        <v>0.68285828454420994</v>
      </c>
      <c r="AA44"/>
      <c r="AB44" s="22"/>
    </row>
    <row r="45" spans="1:28" x14ac:dyDescent="0.25">
      <c r="A45" s="16"/>
      <c r="B45" s="3" t="s">
        <v>60</v>
      </c>
      <c r="C45" s="3" t="s">
        <v>61</v>
      </c>
      <c r="D45" s="11" t="s">
        <v>19</v>
      </c>
      <c r="E45" s="7">
        <f t="shared" si="0"/>
        <v>58.859105552531197</v>
      </c>
      <c r="F45" s="7">
        <f t="shared" si="1"/>
        <v>77.776959065058819</v>
      </c>
      <c r="G45" s="7">
        <f t="shared" si="2"/>
        <v>90.057661312667321</v>
      </c>
      <c r="H45" s="7">
        <f t="shared" si="3"/>
        <v>47.177522085522739</v>
      </c>
      <c r="I45" s="7">
        <f t="shared" si="4"/>
        <v>75.831672160147534</v>
      </c>
      <c r="J45" s="7">
        <f t="shared" si="5"/>
        <v>90.762796996830346</v>
      </c>
      <c r="K45" s="7">
        <f t="shared" si="6"/>
        <v>44.132617994818766</v>
      </c>
      <c r="L45" s="7">
        <f t="shared" si="7"/>
        <v>62.345335823183362</v>
      </c>
      <c r="M45" s="7">
        <f t="shared" si="8"/>
        <v>68.245299781932033</v>
      </c>
      <c r="N45" s="22"/>
      <c r="O45" s="7" t="e">
        <f t="shared" ca="1" si="9"/>
        <v>#NUM!</v>
      </c>
      <c r="P45" s="7" t="e">
        <f t="shared" ca="1" si="10"/>
        <v>#NUM!</v>
      </c>
      <c r="Q45" s="7" t="e">
        <f t="shared" ca="1" si="11"/>
        <v>#NUM!</v>
      </c>
      <c r="R45" s="7" t="e">
        <f t="shared" ca="1" si="12"/>
        <v>#NUM!</v>
      </c>
      <c r="S45" s="7" t="e">
        <f t="shared" ca="1" si="13"/>
        <v>#NUM!</v>
      </c>
      <c r="T45" s="7" t="e">
        <f t="shared" ca="1" si="14"/>
        <v>#NUM!</v>
      </c>
      <c r="U45" s="7" t="e">
        <f t="shared" ca="1" si="15"/>
        <v>#NUM!</v>
      </c>
      <c r="V45" s="7" t="e">
        <f t="shared" ca="1" si="16"/>
        <v>#NUM!</v>
      </c>
      <c r="W45" s="7" t="e">
        <f t="shared" ca="1" si="17"/>
        <v>#NUM!</v>
      </c>
      <c r="X45" s="22"/>
      <c r="Y45"/>
      <c r="Z45" s="10">
        <v>0.2465509385185406</v>
      </c>
      <c r="AA45"/>
      <c r="AB45" s="22"/>
    </row>
    <row r="46" spans="1:28" x14ac:dyDescent="0.25">
      <c r="A46" s="16"/>
      <c r="B46" s="3" t="s">
        <v>62</v>
      </c>
      <c r="C46" s="3" t="s">
        <v>63</v>
      </c>
      <c r="D46" s="11" t="s">
        <v>19</v>
      </c>
      <c r="E46" s="7">
        <f t="shared" si="0"/>
        <v>173.99193954095281</v>
      </c>
      <c r="F46" s="7">
        <f t="shared" si="1"/>
        <v>229.91453628613485</v>
      </c>
      <c r="G46" s="7">
        <f t="shared" si="2"/>
        <v>266.21721508031601</v>
      </c>
      <c r="H46" s="7">
        <f t="shared" si="3"/>
        <v>139.46030088870825</v>
      </c>
      <c r="I46" s="7">
        <f t="shared" si="4"/>
        <v>224.16412199811862</v>
      </c>
      <c r="J46" s="7">
        <f t="shared" si="5"/>
        <v>268.30164915683395</v>
      </c>
      <c r="K46" s="7">
        <f t="shared" si="6"/>
        <v>130.45933555828992</v>
      </c>
      <c r="L46" s="7">
        <f t="shared" si="7"/>
        <v>184.29749822695405</v>
      </c>
      <c r="M46" s="7">
        <f t="shared" si="8"/>
        <v>201.73823509795898</v>
      </c>
      <c r="N46" s="22"/>
      <c r="O46" s="7" t="e">
        <f t="shared" ca="1" si="9"/>
        <v>#NUM!</v>
      </c>
      <c r="P46" s="7" t="e">
        <f t="shared" ca="1" si="10"/>
        <v>#NUM!</v>
      </c>
      <c r="Q46" s="7" t="e">
        <f t="shared" ca="1" si="11"/>
        <v>#NUM!</v>
      </c>
      <c r="R46" s="7" t="e">
        <f t="shared" ca="1" si="12"/>
        <v>#NUM!</v>
      </c>
      <c r="S46" s="7" t="e">
        <f t="shared" ca="1" si="13"/>
        <v>#NUM!</v>
      </c>
      <c r="T46" s="7" t="e">
        <f t="shared" ca="1" si="14"/>
        <v>#NUM!</v>
      </c>
      <c r="U46" s="7" t="e">
        <f t="shared" ca="1" si="15"/>
        <v>#NUM!</v>
      </c>
      <c r="V46" s="7" t="e">
        <f t="shared" ca="1" si="16"/>
        <v>#NUM!</v>
      </c>
      <c r="W46" s="7" t="e">
        <f t="shared" ca="1" si="17"/>
        <v>#NUM!</v>
      </c>
      <c r="X46" s="22"/>
      <c r="Y46"/>
      <c r="Z46" s="10">
        <v>0.72882310367759739</v>
      </c>
      <c r="AA46"/>
      <c r="AB46" s="22"/>
    </row>
    <row r="47" spans="1:28" x14ac:dyDescent="0.25">
      <c r="A47" s="16"/>
      <c r="B47" s="3" t="s">
        <v>64</v>
      </c>
      <c r="C47" s="3" t="s">
        <v>65</v>
      </c>
      <c r="D47" s="11" t="s">
        <v>19</v>
      </c>
      <c r="E47" s="7">
        <f t="shared" si="0"/>
        <v>84.210893173602869</v>
      </c>
      <c r="F47" s="7">
        <f t="shared" si="1"/>
        <v>111.27704251893252</v>
      </c>
      <c r="G47" s="7">
        <f t="shared" si="2"/>
        <v>128.84728751946517</v>
      </c>
      <c r="H47" s="7">
        <f t="shared" si="3"/>
        <v>67.497819330494323</v>
      </c>
      <c r="I47" s="7">
        <f t="shared" si="4"/>
        <v>108.49388184729625</v>
      </c>
      <c r="J47" s="7">
        <f t="shared" si="5"/>
        <v>129.85613916976678</v>
      </c>
      <c r="K47" s="7">
        <f t="shared" si="6"/>
        <v>63.141414476919174</v>
      </c>
      <c r="L47" s="7">
        <f t="shared" si="7"/>
        <v>89.198712171947221</v>
      </c>
      <c r="M47" s="7">
        <f t="shared" si="8"/>
        <v>97.639907973247077</v>
      </c>
      <c r="N47" s="22"/>
      <c r="O47" s="7" t="e">
        <f t="shared" ca="1" si="9"/>
        <v>#NUM!</v>
      </c>
      <c r="P47" s="7" t="e">
        <f t="shared" ca="1" si="10"/>
        <v>#NUM!</v>
      </c>
      <c r="Q47" s="7" t="e">
        <f t="shared" ca="1" si="11"/>
        <v>#NUM!</v>
      </c>
      <c r="R47" s="7" t="e">
        <f t="shared" ca="1" si="12"/>
        <v>#NUM!</v>
      </c>
      <c r="S47" s="7" t="e">
        <f t="shared" ca="1" si="13"/>
        <v>#NUM!</v>
      </c>
      <c r="T47" s="7" t="e">
        <f t="shared" ca="1" si="14"/>
        <v>#NUM!</v>
      </c>
      <c r="U47" s="7" t="e">
        <f t="shared" ca="1" si="15"/>
        <v>#NUM!</v>
      </c>
      <c r="V47" s="7" t="e">
        <f t="shared" ca="1" si="16"/>
        <v>#NUM!</v>
      </c>
      <c r="W47" s="7" t="e">
        <f t="shared" ca="1" si="17"/>
        <v>#NUM!</v>
      </c>
      <c r="X47" s="22"/>
      <c r="Y47"/>
      <c r="Z47" s="10">
        <v>0.35274533227329147</v>
      </c>
      <c r="AA47"/>
      <c r="AB47" s="22"/>
    </row>
    <row r="48" spans="1:28" x14ac:dyDescent="0.25">
      <c r="A48" s="16"/>
      <c r="B48" s="3" t="s">
        <v>66</v>
      </c>
      <c r="C48" s="3" t="s">
        <v>67</v>
      </c>
      <c r="D48" s="11" t="s">
        <v>19</v>
      </c>
      <c r="E48" s="7">
        <f t="shared" si="0"/>
        <v>84.210893173602869</v>
      </c>
      <c r="F48" s="7">
        <f t="shared" si="1"/>
        <v>111.27704251893252</v>
      </c>
      <c r="G48" s="7">
        <f t="shared" si="2"/>
        <v>128.84728751946517</v>
      </c>
      <c r="H48" s="7">
        <f t="shared" si="3"/>
        <v>67.497819330494323</v>
      </c>
      <c r="I48" s="7">
        <f t="shared" si="4"/>
        <v>108.49388184729625</v>
      </c>
      <c r="J48" s="7">
        <f t="shared" si="5"/>
        <v>129.85613916976678</v>
      </c>
      <c r="K48" s="7">
        <f t="shared" si="6"/>
        <v>63.141414476919174</v>
      </c>
      <c r="L48" s="7">
        <f t="shared" si="7"/>
        <v>89.198712171947221</v>
      </c>
      <c r="M48" s="7">
        <f t="shared" si="8"/>
        <v>97.639907973247077</v>
      </c>
      <c r="N48" s="22"/>
      <c r="O48" s="7" t="e">
        <f t="shared" ca="1" si="9"/>
        <v>#NUM!</v>
      </c>
      <c r="P48" s="7" t="e">
        <f t="shared" ca="1" si="10"/>
        <v>#NUM!</v>
      </c>
      <c r="Q48" s="7" t="e">
        <f t="shared" ca="1" si="11"/>
        <v>#NUM!</v>
      </c>
      <c r="R48" s="7" t="e">
        <f t="shared" ca="1" si="12"/>
        <v>#NUM!</v>
      </c>
      <c r="S48" s="7" t="e">
        <f t="shared" ca="1" si="13"/>
        <v>#NUM!</v>
      </c>
      <c r="T48" s="7" t="e">
        <f t="shared" ca="1" si="14"/>
        <v>#NUM!</v>
      </c>
      <c r="U48" s="7" t="e">
        <f t="shared" ca="1" si="15"/>
        <v>#NUM!</v>
      </c>
      <c r="V48" s="7" t="e">
        <f t="shared" ca="1" si="16"/>
        <v>#NUM!</v>
      </c>
      <c r="W48" s="7" t="e">
        <f t="shared" ca="1" si="17"/>
        <v>#NUM!</v>
      </c>
      <c r="X48" s="22"/>
      <c r="Y48"/>
      <c r="Z48" s="10">
        <v>0.35274533227329147</v>
      </c>
      <c r="AA48"/>
      <c r="AB48" s="22"/>
    </row>
    <row r="49" spans="1:28" x14ac:dyDescent="0.25">
      <c r="A49" s="16"/>
      <c r="B49" s="3" t="s">
        <v>68</v>
      </c>
      <c r="C49" s="3" t="s">
        <v>69</v>
      </c>
      <c r="D49" s="11" t="s">
        <v>19</v>
      </c>
      <c r="E49" s="7">
        <f t="shared" si="0"/>
        <v>208.43982081530837</v>
      </c>
      <c r="F49" s="7">
        <f t="shared" si="1"/>
        <v>275.43428087964304</v>
      </c>
      <c r="G49" s="7">
        <f t="shared" si="2"/>
        <v>318.92436371301341</v>
      </c>
      <c r="H49" s="7">
        <f t="shared" si="3"/>
        <v>167.07141839320261</v>
      </c>
      <c r="I49" s="7">
        <f t="shared" si="4"/>
        <v>268.54536793936416</v>
      </c>
      <c r="J49" s="7">
        <f t="shared" si="5"/>
        <v>321.42148551392569</v>
      </c>
      <c r="K49" s="7">
        <f t="shared" si="6"/>
        <v>156.28839243471788</v>
      </c>
      <c r="L49" s="7">
        <f t="shared" si="7"/>
        <v>220.7857306981403</v>
      </c>
      <c r="M49" s="7">
        <f t="shared" si="8"/>
        <v>241.67948059178724</v>
      </c>
      <c r="N49" s="22"/>
      <c r="O49" s="7" t="e">
        <f t="shared" ca="1" si="9"/>
        <v>#NUM!</v>
      </c>
      <c r="P49" s="7" t="e">
        <f t="shared" ca="1" si="10"/>
        <v>#NUM!</v>
      </c>
      <c r="Q49" s="7" t="e">
        <f t="shared" ca="1" si="11"/>
        <v>#NUM!</v>
      </c>
      <c r="R49" s="7" t="e">
        <f t="shared" ca="1" si="12"/>
        <v>#NUM!</v>
      </c>
      <c r="S49" s="7" t="e">
        <f t="shared" ca="1" si="13"/>
        <v>#NUM!</v>
      </c>
      <c r="T49" s="7" t="e">
        <f t="shared" ca="1" si="14"/>
        <v>#NUM!</v>
      </c>
      <c r="U49" s="7" t="e">
        <f t="shared" ca="1" si="15"/>
        <v>#NUM!</v>
      </c>
      <c r="V49" s="7" t="e">
        <f t="shared" ca="1" si="16"/>
        <v>#NUM!</v>
      </c>
      <c r="W49" s="7" t="e">
        <f t="shared" ca="1" si="17"/>
        <v>#NUM!</v>
      </c>
      <c r="X49" s="22"/>
      <c r="Y49"/>
      <c r="Z49" s="10">
        <v>0.87311951080847983</v>
      </c>
      <c r="AA49"/>
      <c r="AB49" s="22"/>
    </row>
    <row r="50" spans="1:28" x14ac:dyDescent="0.25">
      <c r="A50" s="16"/>
      <c r="B50" s="3" t="s">
        <v>70</v>
      </c>
      <c r="C50" s="3" t="s">
        <v>71</v>
      </c>
      <c r="D50" s="11" t="s">
        <v>19</v>
      </c>
      <c r="E50" s="7">
        <f t="shared" si="0"/>
        <v>173.21814591491963</v>
      </c>
      <c r="F50" s="7">
        <f t="shared" si="1"/>
        <v>228.89203832916075</v>
      </c>
      <c r="G50" s="7">
        <f t="shared" si="2"/>
        <v>265.03326837156072</v>
      </c>
      <c r="H50" s="7">
        <f t="shared" si="3"/>
        <v>138.84007967502984</v>
      </c>
      <c r="I50" s="7">
        <f t="shared" si="4"/>
        <v>223.16719783459067</v>
      </c>
      <c r="J50" s="7">
        <f t="shared" si="5"/>
        <v>267.10843235311592</v>
      </c>
      <c r="K50" s="7">
        <f t="shared" si="6"/>
        <v>129.87914430013242</v>
      </c>
      <c r="L50" s="7">
        <f t="shared" si="7"/>
        <v>183.47787273281835</v>
      </c>
      <c r="M50" s="7">
        <f t="shared" si="8"/>
        <v>200.84104548757909</v>
      </c>
      <c r="N50" s="22"/>
      <c r="O50" s="7" t="e">
        <f t="shared" ca="1" si="9"/>
        <v>#NUM!</v>
      </c>
      <c r="P50" s="7" t="e">
        <f t="shared" ca="1" si="10"/>
        <v>#NUM!</v>
      </c>
      <c r="Q50" s="7" t="e">
        <f t="shared" ca="1" si="11"/>
        <v>#NUM!</v>
      </c>
      <c r="R50" s="7" t="e">
        <f t="shared" ca="1" si="12"/>
        <v>#NUM!</v>
      </c>
      <c r="S50" s="7" t="e">
        <f t="shared" ca="1" si="13"/>
        <v>#NUM!</v>
      </c>
      <c r="T50" s="7" t="e">
        <f t="shared" ca="1" si="14"/>
        <v>#NUM!</v>
      </c>
      <c r="U50" s="7" t="e">
        <f t="shared" ca="1" si="15"/>
        <v>#NUM!</v>
      </c>
      <c r="V50" s="7" t="e">
        <f t="shared" ca="1" si="16"/>
        <v>#NUM!</v>
      </c>
      <c r="W50" s="7" t="e">
        <f t="shared" ca="1" si="17"/>
        <v>#NUM!</v>
      </c>
      <c r="X50" s="22"/>
      <c r="Y50"/>
      <c r="Z50" s="10">
        <v>0.7255818117325834</v>
      </c>
      <c r="AA50"/>
      <c r="AB50" s="22"/>
    </row>
    <row r="51" spans="1:28" x14ac:dyDescent="0.25">
      <c r="A51" s="16"/>
      <c r="B51" s="3" t="s">
        <v>72</v>
      </c>
      <c r="C51" s="3" t="s">
        <v>73</v>
      </c>
      <c r="D51" s="11" t="s">
        <v>19</v>
      </c>
      <c r="E51" s="7">
        <f t="shared" si="0"/>
        <v>41.037405990453294</v>
      </c>
      <c r="F51" s="7">
        <f t="shared" si="1"/>
        <v>54.22720267142126</v>
      </c>
      <c r="G51" s="7">
        <f t="shared" si="2"/>
        <v>62.789483039973511</v>
      </c>
      <c r="H51" s="7">
        <f t="shared" si="3"/>
        <v>32.892839761543328</v>
      </c>
      <c r="I51" s="7">
        <f t="shared" si="4"/>
        <v>52.870920958755583</v>
      </c>
      <c r="J51" s="7">
        <f t="shared" si="5"/>
        <v>63.281113673461959</v>
      </c>
      <c r="K51" s="7">
        <f t="shared" si="6"/>
        <v>30.769889298752318</v>
      </c>
      <c r="L51" s="7">
        <f t="shared" si="7"/>
        <v>43.468055346231836</v>
      </c>
      <c r="M51" s="7">
        <f t="shared" si="8"/>
        <v>47.581594178182357</v>
      </c>
      <c r="N51" s="22"/>
      <c r="O51" s="7" t="e">
        <f t="shared" ca="1" si="9"/>
        <v>#NUM!</v>
      </c>
      <c r="P51" s="7" t="e">
        <f t="shared" ca="1" si="10"/>
        <v>#NUM!</v>
      </c>
      <c r="Q51" s="7" t="e">
        <f t="shared" ca="1" si="11"/>
        <v>#NUM!</v>
      </c>
      <c r="R51" s="7" t="e">
        <f t="shared" ca="1" si="12"/>
        <v>#NUM!</v>
      </c>
      <c r="S51" s="7" t="e">
        <f t="shared" ca="1" si="13"/>
        <v>#NUM!</v>
      </c>
      <c r="T51" s="7" t="e">
        <f t="shared" ca="1" si="14"/>
        <v>#NUM!</v>
      </c>
      <c r="U51" s="7" t="e">
        <f t="shared" ca="1" si="15"/>
        <v>#NUM!</v>
      </c>
      <c r="V51" s="7" t="e">
        <f t="shared" ca="1" si="16"/>
        <v>#NUM!</v>
      </c>
      <c r="W51" s="7" t="e">
        <f t="shared" ca="1" si="17"/>
        <v>#NUM!</v>
      </c>
      <c r="X51" s="22"/>
      <c r="Y51"/>
      <c r="Z51" s="10">
        <v>0.17189882289805763</v>
      </c>
      <c r="AA51"/>
      <c r="AB51" s="22"/>
    </row>
    <row r="52" spans="1:28" x14ac:dyDescent="0.25">
      <c r="A52" s="16"/>
      <c r="B52" s="3" t="s">
        <v>74</v>
      </c>
      <c r="C52" s="3" t="s">
        <v>75</v>
      </c>
      <c r="D52" s="11" t="s">
        <v>19</v>
      </c>
      <c r="E52" s="7">
        <f t="shared" si="0"/>
        <v>104.73339146359079</v>
      </c>
      <c r="F52" s="7">
        <f t="shared" si="1"/>
        <v>138.39565899176623</v>
      </c>
      <c r="G52" s="7">
        <f t="shared" si="2"/>
        <v>160.24783604869856</v>
      </c>
      <c r="H52" s="7">
        <f t="shared" si="3"/>
        <v>83.947281265689682</v>
      </c>
      <c r="I52" s="7">
        <f t="shared" si="4"/>
        <v>134.93423202972656</v>
      </c>
      <c r="J52" s="7">
        <f t="shared" si="5"/>
        <v>161.50254848360777</v>
      </c>
      <c r="K52" s="7">
        <f t="shared" si="6"/>
        <v>78.529204842218206</v>
      </c>
      <c r="L52" s="7">
        <f t="shared" si="7"/>
        <v>110.93675993548446</v>
      </c>
      <c r="M52" s="7">
        <f t="shared" si="8"/>
        <v>121.43510558841341</v>
      </c>
      <c r="N52" s="22"/>
      <c r="O52" s="7" t="e">
        <f t="shared" ca="1" si="9"/>
        <v>#NUM!</v>
      </c>
      <c r="P52" s="7" t="e">
        <f t="shared" ca="1" si="10"/>
        <v>#NUM!</v>
      </c>
      <c r="Q52" s="7" t="e">
        <f t="shared" ca="1" si="11"/>
        <v>#NUM!</v>
      </c>
      <c r="R52" s="7" t="e">
        <f t="shared" ca="1" si="12"/>
        <v>#NUM!</v>
      </c>
      <c r="S52" s="7" t="e">
        <f t="shared" ca="1" si="13"/>
        <v>#NUM!</v>
      </c>
      <c r="T52" s="7" t="e">
        <f t="shared" ca="1" si="14"/>
        <v>#NUM!</v>
      </c>
      <c r="U52" s="7" t="e">
        <f t="shared" ca="1" si="15"/>
        <v>#NUM!</v>
      </c>
      <c r="V52" s="7" t="e">
        <f t="shared" ca="1" si="16"/>
        <v>#NUM!</v>
      </c>
      <c r="W52" s="7" t="e">
        <f t="shared" ca="1" si="17"/>
        <v>#NUM!</v>
      </c>
      <c r="X52" s="22"/>
      <c r="Y52"/>
      <c r="Z52" s="10">
        <v>0.43871064157663803</v>
      </c>
      <c r="AA52"/>
      <c r="AB52" s="22"/>
    </row>
    <row r="53" spans="1:28" x14ac:dyDescent="0.25">
      <c r="A53" s="16"/>
      <c r="B53" s="3" t="s">
        <v>76</v>
      </c>
      <c r="C53" s="3" t="s">
        <v>77</v>
      </c>
      <c r="D53" s="11" t="s">
        <v>19</v>
      </c>
      <c r="E53" s="7">
        <f t="shared" si="0"/>
        <v>97.910567745991443</v>
      </c>
      <c r="F53" s="7">
        <f t="shared" si="1"/>
        <v>129.37991748481741</v>
      </c>
      <c r="G53" s="7">
        <f t="shared" si="2"/>
        <v>149.80854136714402</v>
      </c>
      <c r="H53" s="7">
        <f t="shared" si="3"/>
        <v>78.4785621337723</v>
      </c>
      <c r="I53" s="7">
        <f t="shared" si="4"/>
        <v>126.14398408928324</v>
      </c>
      <c r="J53" s="7">
        <f t="shared" si="5"/>
        <v>150.98151595665325</v>
      </c>
      <c r="K53" s="7">
        <f t="shared" si="6"/>
        <v>73.413444588164325</v>
      </c>
      <c r="L53" s="7">
        <f t="shared" si="7"/>
        <v>103.70981973748107</v>
      </c>
      <c r="M53" s="7">
        <f t="shared" si="8"/>
        <v>113.52425397767533</v>
      </c>
      <c r="N53" s="22"/>
      <c r="O53" s="7" t="e">
        <f t="shared" ca="1" si="9"/>
        <v>#NUM!</v>
      </c>
      <c r="P53" s="7" t="e">
        <f t="shared" ca="1" si="10"/>
        <v>#NUM!</v>
      </c>
      <c r="Q53" s="7" t="e">
        <f t="shared" ca="1" si="11"/>
        <v>#NUM!</v>
      </c>
      <c r="R53" s="7" t="e">
        <f t="shared" ca="1" si="12"/>
        <v>#NUM!</v>
      </c>
      <c r="S53" s="7" t="e">
        <f t="shared" ca="1" si="13"/>
        <v>#NUM!</v>
      </c>
      <c r="T53" s="7" t="e">
        <f t="shared" ca="1" si="14"/>
        <v>#NUM!</v>
      </c>
      <c r="U53" s="7" t="e">
        <f t="shared" ca="1" si="15"/>
        <v>#NUM!</v>
      </c>
      <c r="V53" s="7" t="e">
        <f t="shared" ca="1" si="16"/>
        <v>#NUM!</v>
      </c>
      <c r="W53" s="7" t="e">
        <f t="shared" ca="1" si="17"/>
        <v>#NUM!</v>
      </c>
      <c r="X53" s="22"/>
      <c r="Y53"/>
      <c r="Z53" s="10">
        <v>0.41013097535287329</v>
      </c>
      <c r="AA53"/>
      <c r="AB53" s="22"/>
    </row>
    <row r="54" spans="1:28" x14ac:dyDescent="0.25">
      <c r="A54" s="16"/>
      <c r="B54" s="3" t="s">
        <v>78</v>
      </c>
      <c r="C54" s="3" t="s">
        <v>79</v>
      </c>
      <c r="D54" s="11" t="s">
        <v>19</v>
      </c>
      <c r="E54" s="7">
        <f t="shared" si="0"/>
        <v>27.53877041409557</v>
      </c>
      <c r="F54" s="7">
        <f t="shared" si="1"/>
        <v>36.389982469026044</v>
      </c>
      <c r="G54" s="7">
        <f t="shared" si="2"/>
        <v>42.135829887976747</v>
      </c>
      <c r="H54" s="7">
        <f t="shared" si="3"/>
        <v>22.073236370532346</v>
      </c>
      <c r="I54" s="7">
        <f t="shared" si="4"/>
        <v>35.479829163755596</v>
      </c>
      <c r="J54" s="7">
        <f t="shared" si="5"/>
        <v>42.465746041724969</v>
      </c>
      <c r="K54" s="7">
        <f t="shared" si="6"/>
        <v>20.648598433892293</v>
      </c>
      <c r="L54" s="7">
        <f t="shared" si="7"/>
        <v>29.169894335074549</v>
      </c>
      <c r="M54" s="7">
        <f t="shared" si="8"/>
        <v>31.930346628499368</v>
      </c>
      <c r="N54" s="22"/>
      <c r="O54" s="7" t="e">
        <f t="shared" ca="1" si="9"/>
        <v>#NUM!</v>
      </c>
      <c r="P54" s="7" t="e">
        <f t="shared" ca="1" si="10"/>
        <v>#NUM!</v>
      </c>
      <c r="Q54" s="7" t="e">
        <f t="shared" ca="1" si="11"/>
        <v>#NUM!</v>
      </c>
      <c r="R54" s="7" t="e">
        <f t="shared" ca="1" si="12"/>
        <v>#NUM!</v>
      </c>
      <c r="S54" s="7" t="e">
        <f t="shared" ca="1" si="13"/>
        <v>#NUM!</v>
      </c>
      <c r="T54" s="7" t="e">
        <f t="shared" ca="1" si="14"/>
        <v>#NUM!</v>
      </c>
      <c r="U54" s="7" t="e">
        <f t="shared" ca="1" si="15"/>
        <v>#NUM!</v>
      </c>
      <c r="V54" s="7" t="e">
        <f t="shared" ca="1" si="16"/>
        <v>#NUM!</v>
      </c>
      <c r="W54" s="7" t="e">
        <f t="shared" ca="1" si="17"/>
        <v>#NUM!</v>
      </c>
      <c r="X54" s="22"/>
      <c r="Y54"/>
      <c r="Z54" s="10">
        <v>0.11535529851336476</v>
      </c>
      <c r="AA54"/>
      <c r="AB54" s="22"/>
    </row>
    <row r="55" spans="1:28" x14ac:dyDescent="0.25">
      <c r="A55" s="16"/>
      <c r="B55" s="3" t="s">
        <v>80</v>
      </c>
      <c r="C55" s="3" t="s">
        <v>81</v>
      </c>
      <c r="D55" s="11" t="s">
        <v>19</v>
      </c>
      <c r="E55" s="7">
        <f t="shared" si="0"/>
        <v>190.52379701578127</v>
      </c>
      <c r="F55" s="7">
        <f t="shared" si="1"/>
        <v>251.75988357809391</v>
      </c>
      <c r="G55" s="7">
        <f t="shared" si="2"/>
        <v>291.51186418110177</v>
      </c>
      <c r="H55" s="7">
        <f t="shared" si="3"/>
        <v>152.71113206957543</v>
      </c>
      <c r="I55" s="7">
        <f t="shared" si="4"/>
        <v>245.46309323563793</v>
      </c>
      <c r="J55" s="7">
        <f t="shared" si="5"/>
        <v>293.79435092120622</v>
      </c>
      <c r="K55" s="7">
        <f t="shared" si="6"/>
        <v>142.85493932821532</v>
      </c>
      <c r="L55" s="7">
        <f t="shared" si="7"/>
        <v>201.80853915042354</v>
      </c>
      <c r="M55" s="7">
        <f t="shared" si="8"/>
        <v>220.90640897234641</v>
      </c>
      <c r="N55" s="22"/>
      <c r="O55" s="7" t="e">
        <f t="shared" ca="1" si="9"/>
        <v>#NUM!</v>
      </c>
      <c r="P55" s="7" t="e">
        <f t="shared" ca="1" si="10"/>
        <v>#NUM!</v>
      </c>
      <c r="Q55" s="7" t="e">
        <f t="shared" ca="1" si="11"/>
        <v>#NUM!</v>
      </c>
      <c r="R55" s="7" t="e">
        <f t="shared" ca="1" si="12"/>
        <v>#NUM!</v>
      </c>
      <c r="S55" s="7" t="e">
        <f t="shared" ca="1" si="13"/>
        <v>#NUM!</v>
      </c>
      <c r="T55" s="7" t="e">
        <f t="shared" ca="1" si="14"/>
        <v>#NUM!</v>
      </c>
      <c r="U55" s="7" t="e">
        <f t="shared" ca="1" si="15"/>
        <v>#NUM!</v>
      </c>
      <c r="V55" s="7" t="e">
        <f t="shared" ca="1" si="16"/>
        <v>#NUM!</v>
      </c>
      <c r="W55" s="7" t="e">
        <f t="shared" ca="1" si="17"/>
        <v>#NUM!</v>
      </c>
      <c r="X55" s="22"/>
      <c r="Y55"/>
      <c r="Z55" s="10">
        <v>0.79807228674980635</v>
      </c>
      <c r="AA55"/>
      <c r="AB55" s="22"/>
    </row>
    <row r="56" spans="1:28" x14ac:dyDescent="0.25">
      <c r="A56" s="16"/>
      <c r="B56" s="3" t="s">
        <v>82</v>
      </c>
      <c r="C56" s="3" t="s">
        <v>83</v>
      </c>
      <c r="D56" s="11" t="s">
        <v>19</v>
      </c>
      <c r="E56" s="7">
        <f t="shared" si="0"/>
        <v>185.12630493712987</v>
      </c>
      <c r="F56" s="7">
        <f t="shared" si="1"/>
        <v>244.62758830254677</v>
      </c>
      <c r="G56" s="7">
        <f t="shared" si="2"/>
        <v>283.25340512036792</v>
      </c>
      <c r="H56" s="7">
        <f t="shared" si="3"/>
        <v>148.38486344288444</v>
      </c>
      <c r="I56" s="7">
        <f t="shared" si="4"/>
        <v>238.50918447414668</v>
      </c>
      <c r="J56" s="7">
        <f t="shared" si="5"/>
        <v>285.47122957527591</v>
      </c>
      <c r="K56" s="7">
        <f t="shared" si="6"/>
        <v>138.80789420578162</v>
      </c>
      <c r="L56" s="7">
        <f t="shared" si="7"/>
        <v>196.09135311629052</v>
      </c>
      <c r="M56" s="7">
        <f t="shared" si="8"/>
        <v>214.64818500648244</v>
      </c>
      <c r="N56" s="22"/>
      <c r="O56" s="7" t="e">
        <f t="shared" ca="1" si="9"/>
        <v>#NUM!</v>
      </c>
      <c r="P56" s="7" t="e">
        <f t="shared" ca="1" si="10"/>
        <v>#NUM!</v>
      </c>
      <c r="Q56" s="7" t="e">
        <f t="shared" ca="1" si="11"/>
        <v>#NUM!</v>
      </c>
      <c r="R56" s="7" t="e">
        <f t="shared" ca="1" si="12"/>
        <v>#NUM!</v>
      </c>
      <c r="S56" s="7" t="e">
        <f t="shared" ca="1" si="13"/>
        <v>#NUM!</v>
      </c>
      <c r="T56" s="7" t="e">
        <f t="shared" ca="1" si="14"/>
        <v>#NUM!</v>
      </c>
      <c r="U56" s="7" t="e">
        <f t="shared" ca="1" si="15"/>
        <v>#NUM!</v>
      </c>
      <c r="V56" s="7" t="e">
        <f t="shared" ca="1" si="16"/>
        <v>#NUM!</v>
      </c>
      <c r="W56" s="7" t="e">
        <f t="shared" ca="1" si="17"/>
        <v>#NUM!</v>
      </c>
      <c r="X56" s="22"/>
      <c r="Y56"/>
      <c r="Z56" s="10">
        <v>0.77546309612168507</v>
      </c>
      <c r="AA56"/>
      <c r="AB56" s="22"/>
    </row>
    <row r="57" spans="1:28" x14ac:dyDescent="0.25">
      <c r="A57" s="16"/>
      <c r="B57" s="3" t="s">
        <v>82</v>
      </c>
      <c r="C57" s="3" t="s">
        <v>84</v>
      </c>
      <c r="D57" s="11" t="s">
        <v>19</v>
      </c>
      <c r="E57" s="7">
        <f t="shared" si="0"/>
        <v>185.12630493712987</v>
      </c>
      <c r="F57" s="7">
        <f t="shared" si="1"/>
        <v>244.62758830254677</v>
      </c>
      <c r="G57" s="7">
        <f t="shared" si="2"/>
        <v>283.25340512036792</v>
      </c>
      <c r="H57" s="7">
        <f t="shared" si="3"/>
        <v>148.38486344288444</v>
      </c>
      <c r="I57" s="7">
        <f t="shared" si="4"/>
        <v>238.50918447414668</v>
      </c>
      <c r="J57" s="7">
        <f t="shared" si="5"/>
        <v>285.47122957527591</v>
      </c>
      <c r="K57" s="7">
        <f t="shared" si="6"/>
        <v>138.80789420578162</v>
      </c>
      <c r="L57" s="7">
        <f t="shared" si="7"/>
        <v>196.09135311629052</v>
      </c>
      <c r="M57" s="7">
        <f t="shared" si="8"/>
        <v>214.64818500648244</v>
      </c>
      <c r="N57" s="22"/>
      <c r="O57" s="7" t="e">
        <f t="shared" ca="1" si="9"/>
        <v>#NUM!</v>
      </c>
      <c r="P57" s="7" t="e">
        <f t="shared" ca="1" si="10"/>
        <v>#NUM!</v>
      </c>
      <c r="Q57" s="7" t="e">
        <f t="shared" ca="1" si="11"/>
        <v>#NUM!</v>
      </c>
      <c r="R57" s="7" t="e">
        <f t="shared" ca="1" si="12"/>
        <v>#NUM!</v>
      </c>
      <c r="S57" s="7" t="e">
        <f t="shared" ca="1" si="13"/>
        <v>#NUM!</v>
      </c>
      <c r="T57" s="7" t="e">
        <f t="shared" ca="1" si="14"/>
        <v>#NUM!</v>
      </c>
      <c r="U57" s="7" t="e">
        <f t="shared" ca="1" si="15"/>
        <v>#NUM!</v>
      </c>
      <c r="V57" s="7" t="e">
        <f t="shared" ca="1" si="16"/>
        <v>#NUM!</v>
      </c>
      <c r="W57" s="7" t="e">
        <f t="shared" ca="1" si="17"/>
        <v>#NUM!</v>
      </c>
      <c r="X57" s="22"/>
      <c r="Y57"/>
      <c r="Z57" s="10">
        <v>0.77546309612168507</v>
      </c>
      <c r="AA57"/>
      <c r="AB57" s="22"/>
    </row>
    <row r="58" spans="1:28" x14ac:dyDescent="0.25">
      <c r="A58" s="16"/>
      <c r="B58" s="3" t="s">
        <v>85</v>
      </c>
      <c r="C58" s="3" t="s">
        <v>86</v>
      </c>
      <c r="D58" s="11" t="s">
        <v>19</v>
      </c>
      <c r="E58" s="7">
        <f t="shared" si="0"/>
        <v>110.86040890288187</v>
      </c>
      <c r="F58" s="7">
        <f t="shared" si="1"/>
        <v>146.49195573452482</v>
      </c>
      <c r="G58" s="7">
        <f t="shared" si="2"/>
        <v>169.62250894297179</v>
      </c>
      <c r="H58" s="7">
        <f t="shared" si="3"/>
        <v>88.858288625503477</v>
      </c>
      <c r="I58" s="7">
        <f t="shared" si="4"/>
        <v>142.82803152624041</v>
      </c>
      <c r="J58" s="7">
        <f t="shared" si="5"/>
        <v>170.95062342151343</v>
      </c>
      <c r="K58" s="7">
        <f t="shared" si="6"/>
        <v>83.123248831801007</v>
      </c>
      <c r="L58" s="7">
        <f t="shared" si="7"/>
        <v>117.42668118490235</v>
      </c>
      <c r="M58" s="7">
        <f t="shared" si="8"/>
        <v>128.53919148962302</v>
      </c>
      <c r="N58" s="22"/>
      <c r="O58" s="7" t="e">
        <f t="shared" ca="1" si="9"/>
        <v>#NUM!</v>
      </c>
      <c r="P58" s="7" t="e">
        <f t="shared" ca="1" si="10"/>
        <v>#NUM!</v>
      </c>
      <c r="Q58" s="7" t="e">
        <f t="shared" ca="1" si="11"/>
        <v>#NUM!</v>
      </c>
      <c r="R58" s="7" t="e">
        <f t="shared" ca="1" si="12"/>
        <v>#NUM!</v>
      </c>
      <c r="S58" s="7" t="e">
        <f t="shared" ca="1" si="13"/>
        <v>#NUM!</v>
      </c>
      <c r="T58" s="7" t="e">
        <f t="shared" ca="1" si="14"/>
        <v>#NUM!</v>
      </c>
      <c r="U58" s="7" t="e">
        <f t="shared" ca="1" si="15"/>
        <v>#NUM!</v>
      </c>
      <c r="V58" s="7" t="e">
        <f t="shared" ca="1" si="16"/>
        <v>#NUM!</v>
      </c>
      <c r="W58" s="7" t="e">
        <f t="shared" ca="1" si="17"/>
        <v>#NUM!</v>
      </c>
      <c r="X58" s="22"/>
      <c r="Y58"/>
      <c r="Z58" s="10">
        <v>0.464375691797771</v>
      </c>
      <c r="AA58"/>
      <c r="AB58" s="22"/>
    </row>
    <row r="59" spans="1:28" x14ac:dyDescent="0.25">
      <c r="A59" s="16"/>
      <c r="B59" s="3" t="s">
        <v>85</v>
      </c>
      <c r="C59" s="3" t="s">
        <v>87</v>
      </c>
      <c r="D59" s="11" t="s">
        <v>19</v>
      </c>
      <c r="E59" s="7">
        <f t="shared" si="0"/>
        <v>110.86040890288187</v>
      </c>
      <c r="F59" s="7">
        <f t="shared" si="1"/>
        <v>146.49195573452482</v>
      </c>
      <c r="G59" s="7">
        <f t="shared" si="2"/>
        <v>169.62250894297179</v>
      </c>
      <c r="H59" s="7">
        <f t="shared" si="3"/>
        <v>88.858288625503477</v>
      </c>
      <c r="I59" s="7">
        <f t="shared" si="4"/>
        <v>142.82803152624041</v>
      </c>
      <c r="J59" s="7">
        <f t="shared" si="5"/>
        <v>170.95062342151343</v>
      </c>
      <c r="K59" s="7">
        <f t="shared" si="6"/>
        <v>83.123248831801007</v>
      </c>
      <c r="L59" s="7">
        <f t="shared" si="7"/>
        <v>117.42668118490235</v>
      </c>
      <c r="M59" s="7">
        <f t="shared" si="8"/>
        <v>128.53919148962302</v>
      </c>
      <c r="N59" s="22"/>
      <c r="O59" s="7" t="e">
        <f t="shared" ca="1" si="9"/>
        <v>#NUM!</v>
      </c>
      <c r="P59" s="7" t="e">
        <f t="shared" ca="1" si="10"/>
        <v>#NUM!</v>
      </c>
      <c r="Q59" s="7" t="e">
        <f t="shared" ca="1" si="11"/>
        <v>#NUM!</v>
      </c>
      <c r="R59" s="7" t="e">
        <f t="shared" ca="1" si="12"/>
        <v>#NUM!</v>
      </c>
      <c r="S59" s="7" t="e">
        <f t="shared" ca="1" si="13"/>
        <v>#NUM!</v>
      </c>
      <c r="T59" s="7" t="e">
        <f t="shared" ca="1" si="14"/>
        <v>#NUM!</v>
      </c>
      <c r="U59" s="7" t="e">
        <f t="shared" ca="1" si="15"/>
        <v>#NUM!</v>
      </c>
      <c r="V59" s="7" t="e">
        <f t="shared" ca="1" si="16"/>
        <v>#NUM!</v>
      </c>
      <c r="W59" s="7" t="e">
        <f t="shared" ca="1" si="17"/>
        <v>#NUM!</v>
      </c>
      <c r="X59" s="22"/>
      <c r="Y59"/>
      <c r="Z59" s="10">
        <v>0.464375691797771</v>
      </c>
      <c r="AA59"/>
      <c r="AB59" s="22"/>
    </row>
    <row r="60" spans="1:28" s="34" customFormat="1" x14ac:dyDescent="0.25">
      <c r="A60" s="35"/>
      <c r="B60" s="3" t="s">
        <v>85</v>
      </c>
      <c r="C60" s="3" t="s">
        <v>88</v>
      </c>
      <c r="D60" s="11" t="s">
        <v>19</v>
      </c>
      <c r="E60" s="7">
        <f t="shared" si="0"/>
        <v>132.00672703498213</v>
      </c>
      <c r="F60" s="7">
        <f t="shared" ref="F60" si="18">315.46*Z60</f>
        <v>174.43489343800721</v>
      </c>
      <c r="G60" s="7">
        <f t="shared" ref="G60" si="19">365.27*Z60</f>
        <v>201.97753606194411</v>
      </c>
      <c r="H60" s="7">
        <f t="shared" ref="H60" si="20">191.35*Z60</f>
        <v>105.80776282052457</v>
      </c>
      <c r="I60" s="7">
        <f t="shared" ref="I60" si="21">307.57*Z60</f>
        <v>170.07208576278413</v>
      </c>
      <c r="J60" s="7">
        <f t="shared" ref="J60" si="22">368.13*Z60</f>
        <v>203.55898472495275</v>
      </c>
      <c r="K60" s="7">
        <f t="shared" ref="K60" si="23">179*Z60</f>
        <v>98.97877995753278</v>
      </c>
      <c r="L60" s="7">
        <f t="shared" ref="L60" si="24">252.87*Z60</f>
        <v>139.82549769754925</v>
      </c>
      <c r="M60" s="7">
        <f t="shared" ref="M60" si="25">276.8*Z60</f>
        <v>153.05768878349204</v>
      </c>
      <c r="N60" s="33"/>
      <c r="O60" s="7" t="e">
        <f t="shared" ca="1" si="9"/>
        <v>#NUM!</v>
      </c>
      <c r="P60" s="7" t="e">
        <f t="shared" ca="1" si="10"/>
        <v>#NUM!</v>
      </c>
      <c r="Q60" s="7" t="e">
        <f t="shared" ca="1" si="11"/>
        <v>#NUM!</v>
      </c>
      <c r="R60" s="7" t="e">
        <f t="shared" ca="1" si="12"/>
        <v>#NUM!</v>
      </c>
      <c r="S60" s="7" t="e">
        <f t="shared" ca="1" si="13"/>
        <v>#NUM!</v>
      </c>
      <c r="T60" s="7" t="e">
        <f t="shared" ca="1" si="14"/>
        <v>#NUM!</v>
      </c>
      <c r="U60" s="7" t="e">
        <f t="shared" ca="1" si="15"/>
        <v>#NUM!</v>
      </c>
      <c r="V60" s="7" t="e">
        <f t="shared" ca="1" si="16"/>
        <v>#NUM!</v>
      </c>
      <c r="W60" s="7" t="e">
        <f t="shared" ca="1" si="17"/>
        <v>#NUM!</v>
      </c>
      <c r="X60" s="33"/>
      <c r="Z60" s="31">
        <v>0.55295407797504348</v>
      </c>
      <c r="AB60" s="33"/>
    </row>
    <row r="61" spans="1:28" x14ac:dyDescent="0.25">
      <c r="A61" s="16"/>
      <c r="B61" s="3" t="s">
        <v>89</v>
      </c>
      <c r="C61" s="3" t="s">
        <v>90</v>
      </c>
      <c r="D61" s="11" t="s">
        <v>19</v>
      </c>
      <c r="E61" s="7">
        <f t="shared" si="0"/>
        <v>132.00672703498213</v>
      </c>
      <c r="F61" s="7">
        <f t="shared" si="1"/>
        <v>174.43489343800721</v>
      </c>
      <c r="G61" s="7">
        <f t="shared" si="2"/>
        <v>201.97753606194411</v>
      </c>
      <c r="H61" s="7">
        <f t="shared" si="3"/>
        <v>105.80776282052457</v>
      </c>
      <c r="I61" s="7">
        <f t="shared" si="4"/>
        <v>170.07208576278413</v>
      </c>
      <c r="J61" s="7">
        <f t="shared" si="5"/>
        <v>203.55898472495275</v>
      </c>
      <c r="K61" s="7">
        <f t="shared" si="6"/>
        <v>98.97877995753278</v>
      </c>
      <c r="L61" s="7">
        <f t="shared" si="7"/>
        <v>139.82549769754925</v>
      </c>
      <c r="M61" s="7">
        <f t="shared" si="8"/>
        <v>153.05768878349204</v>
      </c>
      <c r="N61" s="22"/>
      <c r="O61" s="7" t="e">
        <f t="shared" ca="1" si="9"/>
        <v>#NUM!</v>
      </c>
      <c r="P61" s="7" t="e">
        <f t="shared" ca="1" si="10"/>
        <v>#NUM!</v>
      </c>
      <c r="Q61" s="7" t="e">
        <f t="shared" ca="1" si="11"/>
        <v>#NUM!</v>
      </c>
      <c r="R61" s="7" t="e">
        <f t="shared" ca="1" si="12"/>
        <v>#NUM!</v>
      </c>
      <c r="S61" s="7" t="e">
        <f t="shared" ca="1" si="13"/>
        <v>#NUM!</v>
      </c>
      <c r="T61" s="7" t="e">
        <f t="shared" ca="1" si="14"/>
        <v>#NUM!</v>
      </c>
      <c r="U61" s="7" t="e">
        <f t="shared" ca="1" si="15"/>
        <v>#NUM!</v>
      </c>
      <c r="V61" s="7" t="e">
        <f t="shared" ca="1" si="16"/>
        <v>#NUM!</v>
      </c>
      <c r="W61" s="7" t="e">
        <f t="shared" ca="1" si="17"/>
        <v>#NUM!</v>
      </c>
      <c r="X61" s="22"/>
      <c r="Y61"/>
      <c r="Z61" s="10">
        <v>0.55295407797504348</v>
      </c>
      <c r="AA61"/>
      <c r="AB61" s="22"/>
    </row>
    <row r="62" spans="1:28" x14ac:dyDescent="0.25">
      <c r="A62" s="16"/>
      <c r="B62" s="3" t="s">
        <v>91</v>
      </c>
      <c r="C62" s="3" t="s">
        <v>92</v>
      </c>
      <c r="D62" s="11" t="s">
        <v>19</v>
      </c>
      <c r="E62" s="7">
        <f t="shared" si="0"/>
        <v>132.00672703498213</v>
      </c>
      <c r="F62" s="7">
        <f t="shared" si="1"/>
        <v>174.43489343800721</v>
      </c>
      <c r="G62" s="7">
        <f t="shared" si="2"/>
        <v>201.97753606194411</v>
      </c>
      <c r="H62" s="7">
        <f t="shared" si="3"/>
        <v>105.80776282052457</v>
      </c>
      <c r="I62" s="7">
        <f t="shared" si="4"/>
        <v>170.07208576278413</v>
      </c>
      <c r="J62" s="7">
        <f t="shared" si="5"/>
        <v>203.55898472495275</v>
      </c>
      <c r="K62" s="7">
        <f t="shared" si="6"/>
        <v>98.97877995753278</v>
      </c>
      <c r="L62" s="7">
        <f t="shared" si="7"/>
        <v>139.82549769754925</v>
      </c>
      <c r="M62" s="7">
        <f t="shared" si="8"/>
        <v>153.05768878349204</v>
      </c>
      <c r="N62" s="22"/>
      <c r="O62" s="7" t="e">
        <f t="shared" ca="1" si="9"/>
        <v>#NUM!</v>
      </c>
      <c r="P62" s="7" t="e">
        <f t="shared" ca="1" si="10"/>
        <v>#NUM!</v>
      </c>
      <c r="Q62" s="7" t="e">
        <f t="shared" ca="1" si="11"/>
        <v>#NUM!</v>
      </c>
      <c r="R62" s="7" t="e">
        <f t="shared" ca="1" si="12"/>
        <v>#NUM!</v>
      </c>
      <c r="S62" s="7" t="e">
        <f t="shared" ca="1" si="13"/>
        <v>#NUM!</v>
      </c>
      <c r="T62" s="7" t="e">
        <f t="shared" ca="1" si="14"/>
        <v>#NUM!</v>
      </c>
      <c r="U62" s="7" t="e">
        <f t="shared" ca="1" si="15"/>
        <v>#NUM!</v>
      </c>
      <c r="V62" s="7" t="e">
        <f t="shared" ca="1" si="16"/>
        <v>#NUM!</v>
      </c>
      <c r="W62" s="7" t="e">
        <f t="shared" ca="1" si="17"/>
        <v>#NUM!</v>
      </c>
      <c r="X62" s="22"/>
      <c r="Y62"/>
      <c r="Z62" s="10">
        <v>0.55295407797504348</v>
      </c>
      <c r="AA62"/>
      <c r="AB62" s="22"/>
    </row>
    <row r="63" spans="1:28" x14ac:dyDescent="0.25">
      <c r="A63" s="16"/>
      <c r="B63" s="3" t="s">
        <v>93</v>
      </c>
      <c r="C63" s="3" t="s">
        <v>53</v>
      </c>
      <c r="D63" s="11" t="s">
        <v>19</v>
      </c>
      <c r="E63" s="7">
        <f t="shared" si="0"/>
        <v>159.59130036758683</v>
      </c>
      <c r="F63" s="7">
        <f t="shared" si="1"/>
        <v>210.88540030142397</v>
      </c>
      <c r="G63" s="7">
        <f t="shared" si="2"/>
        <v>244.18344692861578</v>
      </c>
      <c r="H63" s="7">
        <f t="shared" si="3"/>
        <v>127.91771174690128</v>
      </c>
      <c r="I63" s="7">
        <f t="shared" si="4"/>
        <v>205.61092553955802</v>
      </c>
      <c r="J63" s="7">
        <f t="shared" si="5"/>
        <v>246.09536046713754</v>
      </c>
      <c r="K63" s="7">
        <f t="shared" si="6"/>
        <v>119.66172146692098</v>
      </c>
      <c r="L63" s="7">
        <f t="shared" si="7"/>
        <v>169.04390786223635</v>
      </c>
      <c r="M63" s="7">
        <f t="shared" si="8"/>
        <v>185.04114246951804</v>
      </c>
      <c r="N63" s="22"/>
      <c r="O63" s="7" t="e">
        <f t="shared" ca="1" si="9"/>
        <v>#NUM!</v>
      </c>
      <c r="P63" s="7" t="e">
        <f t="shared" ca="1" si="10"/>
        <v>#NUM!</v>
      </c>
      <c r="Q63" s="7" t="e">
        <f t="shared" ca="1" si="11"/>
        <v>#NUM!</v>
      </c>
      <c r="R63" s="7" t="e">
        <f t="shared" ca="1" si="12"/>
        <v>#NUM!</v>
      </c>
      <c r="S63" s="7" t="e">
        <f t="shared" ca="1" si="13"/>
        <v>#NUM!</v>
      </c>
      <c r="T63" s="7" t="e">
        <f t="shared" ca="1" si="14"/>
        <v>#NUM!</v>
      </c>
      <c r="U63" s="7" t="e">
        <f t="shared" ca="1" si="15"/>
        <v>#NUM!</v>
      </c>
      <c r="V63" s="7" t="e">
        <f t="shared" ca="1" si="16"/>
        <v>#NUM!</v>
      </c>
      <c r="W63" s="7" t="e">
        <f t="shared" ca="1" si="17"/>
        <v>#NUM!</v>
      </c>
      <c r="X63" s="22"/>
      <c r="Y63"/>
      <c r="Z63" s="10">
        <v>0.66850123724536858</v>
      </c>
      <c r="AA63"/>
      <c r="AB63" s="22"/>
    </row>
    <row r="64" spans="1:28" x14ac:dyDescent="0.25">
      <c r="A64" s="16"/>
      <c r="B64" s="3" t="s">
        <v>94</v>
      </c>
      <c r="C64" s="3" t="s">
        <v>95</v>
      </c>
      <c r="D64" s="11" t="s">
        <v>19</v>
      </c>
      <c r="E64" s="7">
        <f t="shared" si="0"/>
        <v>115.63473119129402</v>
      </c>
      <c r="F64" s="7">
        <f t="shared" si="1"/>
        <v>152.80078876389902</v>
      </c>
      <c r="G64" s="7">
        <f t="shared" si="2"/>
        <v>176.92748402900335</v>
      </c>
      <c r="H64" s="7">
        <f t="shared" si="3"/>
        <v>92.68506603047004</v>
      </c>
      <c r="I64" s="7">
        <f t="shared" si="4"/>
        <v>148.97907373395176</v>
      </c>
      <c r="J64" s="7">
        <f t="shared" si="5"/>
        <v>178.31279518054316</v>
      </c>
      <c r="K64" s="7">
        <f t="shared" si="6"/>
        <v>86.703040603366276</v>
      </c>
      <c r="L64" s="7">
        <f t="shared" si="7"/>
        <v>122.48378702443145</v>
      </c>
      <c r="M64" s="7">
        <f t="shared" si="8"/>
        <v>134.07486949168594</v>
      </c>
      <c r="N64" s="22"/>
      <c r="O64" s="7" t="e">
        <f t="shared" ca="1" si="9"/>
        <v>#NUM!</v>
      </c>
      <c r="P64" s="7" t="e">
        <f t="shared" ca="1" si="10"/>
        <v>#NUM!</v>
      </c>
      <c r="Q64" s="7" t="e">
        <f t="shared" ca="1" si="11"/>
        <v>#NUM!</v>
      </c>
      <c r="R64" s="7" t="e">
        <f t="shared" ca="1" si="12"/>
        <v>#NUM!</v>
      </c>
      <c r="S64" s="7" t="e">
        <f t="shared" ca="1" si="13"/>
        <v>#NUM!</v>
      </c>
      <c r="T64" s="7" t="e">
        <f t="shared" ca="1" si="14"/>
        <v>#NUM!</v>
      </c>
      <c r="U64" s="7" t="e">
        <f t="shared" ca="1" si="15"/>
        <v>#NUM!</v>
      </c>
      <c r="V64" s="7" t="e">
        <f t="shared" ca="1" si="16"/>
        <v>#NUM!</v>
      </c>
      <c r="W64" s="7" t="e">
        <f t="shared" ca="1" si="17"/>
        <v>#NUM!</v>
      </c>
      <c r="X64" s="22"/>
      <c r="Y64"/>
      <c r="Z64" s="10">
        <v>0.48437452851042612</v>
      </c>
      <c r="AA64"/>
      <c r="AB64" s="22"/>
    </row>
    <row r="65" spans="1:28" x14ac:dyDescent="0.25">
      <c r="A65" s="16"/>
      <c r="B65" s="3" t="s">
        <v>94</v>
      </c>
      <c r="C65" s="3" t="s">
        <v>96</v>
      </c>
      <c r="D65" s="11" t="s">
        <v>19</v>
      </c>
      <c r="E65" s="7">
        <f t="shared" si="0"/>
        <v>115.63473119129402</v>
      </c>
      <c r="F65" s="7">
        <f t="shared" si="1"/>
        <v>152.80078876389902</v>
      </c>
      <c r="G65" s="7">
        <f t="shared" si="2"/>
        <v>176.92748402900335</v>
      </c>
      <c r="H65" s="7">
        <f t="shared" si="3"/>
        <v>92.68506603047004</v>
      </c>
      <c r="I65" s="7">
        <f t="shared" si="4"/>
        <v>148.97907373395176</v>
      </c>
      <c r="J65" s="7">
        <f t="shared" si="5"/>
        <v>178.31279518054316</v>
      </c>
      <c r="K65" s="7">
        <f t="shared" si="6"/>
        <v>86.703040603366276</v>
      </c>
      <c r="L65" s="7">
        <f t="shared" si="7"/>
        <v>122.48378702443145</v>
      </c>
      <c r="M65" s="7">
        <f t="shared" si="8"/>
        <v>134.07486949168594</v>
      </c>
      <c r="N65" s="22"/>
      <c r="O65" s="7" t="e">
        <f t="shared" ca="1" si="9"/>
        <v>#NUM!</v>
      </c>
      <c r="P65" s="7" t="e">
        <f t="shared" ca="1" si="10"/>
        <v>#NUM!</v>
      </c>
      <c r="Q65" s="7" t="e">
        <f t="shared" ca="1" si="11"/>
        <v>#NUM!</v>
      </c>
      <c r="R65" s="7" t="e">
        <f t="shared" ca="1" si="12"/>
        <v>#NUM!</v>
      </c>
      <c r="S65" s="7" t="e">
        <f t="shared" ca="1" si="13"/>
        <v>#NUM!</v>
      </c>
      <c r="T65" s="7" t="e">
        <f t="shared" ca="1" si="14"/>
        <v>#NUM!</v>
      </c>
      <c r="U65" s="7" t="e">
        <f t="shared" ca="1" si="15"/>
        <v>#NUM!</v>
      </c>
      <c r="V65" s="7" t="e">
        <f t="shared" ca="1" si="16"/>
        <v>#NUM!</v>
      </c>
      <c r="W65" s="7" t="e">
        <f t="shared" ca="1" si="17"/>
        <v>#NUM!</v>
      </c>
      <c r="X65" s="22"/>
      <c r="Y65"/>
      <c r="Z65" s="10">
        <v>0.48437452851042612</v>
      </c>
      <c r="AA65"/>
      <c r="AB65" s="22"/>
    </row>
    <row r="66" spans="1:28" x14ac:dyDescent="0.25">
      <c r="A66" s="16"/>
      <c r="B66" s="3" t="s">
        <v>94</v>
      </c>
      <c r="C66" s="3" t="s">
        <v>97</v>
      </c>
      <c r="D66" s="11" t="s">
        <v>19</v>
      </c>
      <c r="E66" s="7">
        <f t="shared" si="0"/>
        <v>115.63473119129402</v>
      </c>
      <c r="F66" s="7">
        <f t="shared" si="1"/>
        <v>152.80078876389902</v>
      </c>
      <c r="G66" s="7">
        <f t="shared" si="2"/>
        <v>176.92748402900335</v>
      </c>
      <c r="H66" s="7">
        <f t="shared" si="3"/>
        <v>92.68506603047004</v>
      </c>
      <c r="I66" s="7">
        <f t="shared" si="4"/>
        <v>148.97907373395176</v>
      </c>
      <c r="J66" s="7">
        <f t="shared" si="5"/>
        <v>178.31279518054316</v>
      </c>
      <c r="K66" s="7">
        <f t="shared" si="6"/>
        <v>86.703040603366276</v>
      </c>
      <c r="L66" s="7">
        <f t="shared" si="7"/>
        <v>122.48378702443145</v>
      </c>
      <c r="M66" s="7">
        <f t="shared" si="8"/>
        <v>134.07486949168594</v>
      </c>
      <c r="N66" s="22"/>
      <c r="O66" s="7" t="e">
        <f t="shared" ca="1" si="9"/>
        <v>#NUM!</v>
      </c>
      <c r="P66" s="7" t="e">
        <f t="shared" ca="1" si="10"/>
        <v>#NUM!</v>
      </c>
      <c r="Q66" s="7" t="e">
        <f t="shared" ca="1" si="11"/>
        <v>#NUM!</v>
      </c>
      <c r="R66" s="7" t="e">
        <f t="shared" ca="1" si="12"/>
        <v>#NUM!</v>
      </c>
      <c r="S66" s="7" t="e">
        <f t="shared" ca="1" si="13"/>
        <v>#NUM!</v>
      </c>
      <c r="T66" s="7" t="e">
        <f t="shared" ca="1" si="14"/>
        <v>#NUM!</v>
      </c>
      <c r="U66" s="7" t="e">
        <f t="shared" ca="1" si="15"/>
        <v>#NUM!</v>
      </c>
      <c r="V66" s="7" t="e">
        <f t="shared" ca="1" si="16"/>
        <v>#NUM!</v>
      </c>
      <c r="W66" s="7" t="e">
        <f t="shared" ca="1" si="17"/>
        <v>#NUM!</v>
      </c>
      <c r="X66" s="22"/>
      <c r="Y66"/>
      <c r="Z66" s="10">
        <v>0.48437452851042612</v>
      </c>
      <c r="AA66"/>
      <c r="AB66" s="22"/>
    </row>
    <row r="67" spans="1:28" x14ac:dyDescent="0.25">
      <c r="A67" s="16"/>
      <c r="B67" s="3" t="s">
        <v>94</v>
      </c>
      <c r="C67" s="3" t="s">
        <v>98</v>
      </c>
      <c r="D67" s="11" t="s">
        <v>19</v>
      </c>
      <c r="E67" s="7">
        <f t="shared" si="0"/>
        <v>115.63473119129402</v>
      </c>
      <c r="F67" s="7">
        <f t="shared" si="1"/>
        <v>152.80078876389902</v>
      </c>
      <c r="G67" s="7">
        <f t="shared" si="2"/>
        <v>176.92748402900335</v>
      </c>
      <c r="H67" s="7">
        <f t="shared" si="3"/>
        <v>92.68506603047004</v>
      </c>
      <c r="I67" s="7">
        <f t="shared" si="4"/>
        <v>148.97907373395176</v>
      </c>
      <c r="J67" s="7">
        <f t="shared" si="5"/>
        <v>178.31279518054316</v>
      </c>
      <c r="K67" s="7">
        <f t="shared" si="6"/>
        <v>86.703040603366276</v>
      </c>
      <c r="L67" s="7">
        <f t="shared" si="7"/>
        <v>122.48378702443145</v>
      </c>
      <c r="M67" s="7">
        <f t="shared" si="8"/>
        <v>134.07486949168594</v>
      </c>
      <c r="N67" s="22"/>
      <c r="O67" s="7" t="e">
        <f t="shared" ca="1" si="9"/>
        <v>#NUM!</v>
      </c>
      <c r="P67" s="7" t="e">
        <f t="shared" ca="1" si="10"/>
        <v>#NUM!</v>
      </c>
      <c r="Q67" s="7" t="e">
        <f t="shared" ca="1" si="11"/>
        <v>#NUM!</v>
      </c>
      <c r="R67" s="7" t="e">
        <f t="shared" ca="1" si="12"/>
        <v>#NUM!</v>
      </c>
      <c r="S67" s="7" t="e">
        <f t="shared" ca="1" si="13"/>
        <v>#NUM!</v>
      </c>
      <c r="T67" s="7" t="e">
        <f t="shared" ca="1" si="14"/>
        <v>#NUM!</v>
      </c>
      <c r="U67" s="7" t="e">
        <f t="shared" ca="1" si="15"/>
        <v>#NUM!</v>
      </c>
      <c r="V67" s="7" t="e">
        <f t="shared" ca="1" si="16"/>
        <v>#NUM!</v>
      </c>
      <c r="W67" s="7" t="e">
        <f t="shared" ca="1" si="17"/>
        <v>#NUM!</v>
      </c>
      <c r="X67" s="22"/>
      <c r="Y67"/>
      <c r="Z67" s="10">
        <v>0.48437452851042612</v>
      </c>
      <c r="AA67"/>
      <c r="AB67" s="22"/>
    </row>
    <row r="68" spans="1:28" x14ac:dyDescent="0.25">
      <c r="A68" s="16"/>
      <c r="B68" s="3" t="s">
        <v>99</v>
      </c>
      <c r="C68" s="3" t="s">
        <v>100</v>
      </c>
      <c r="D68" s="11" t="s">
        <v>19</v>
      </c>
      <c r="E68" s="8">
        <f>(221.26*$Y68)*1.08</f>
        <v>267.83037307317068</v>
      </c>
      <c r="F68" s="7">
        <f>(310.41*$Y68)*1.08</f>
        <v>375.74449112195117</v>
      </c>
      <c r="G68" s="7">
        <f>(364.87*$Y68)*1.08</f>
        <v>441.66712565853652</v>
      </c>
      <c r="H68" s="7">
        <f>(176.83*$Y68)*1.08</f>
        <v>214.04883336585365</v>
      </c>
      <c r="I68" s="7">
        <f>(308.58*$Y68)*1.08</f>
        <v>373.52931629268289</v>
      </c>
      <c r="J68" s="7">
        <f>(453.13*$Y68)*1.08</f>
        <v>548.50391824390238</v>
      </c>
      <c r="K68" s="7">
        <f>(207.98*$Y68)*1.08</f>
        <v>251.7552245853658</v>
      </c>
      <c r="L68" s="7">
        <f>(233.85*$Y68)*1.08</f>
        <v>283.07029170731704</v>
      </c>
      <c r="M68" s="7">
        <f>(280.64*$Y68)*1.08</f>
        <v>339.70855960975609</v>
      </c>
      <c r="N68" s="22"/>
      <c r="O68" s="7">
        <f>(20.56*$Y68)*1.08</f>
        <v>24.887428682926824</v>
      </c>
      <c r="P68" s="7">
        <f>(28.84*$Y68)*1.08</f>
        <v>34.910186926829262</v>
      </c>
      <c r="Q68" s="7">
        <f>(33.93*$Y68)*1.08</f>
        <v>41.071520195121941</v>
      </c>
      <c r="R68" s="7">
        <f>(16.43*$Y68)*1.08</f>
        <v>19.888154341463412</v>
      </c>
      <c r="S68" s="7">
        <f>(28.67*$Y68)*1.08</f>
        <v>34.704405658536587</v>
      </c>
      <c r="T68" s="7">
        <f>(42.1*$Y68)*1.08</f>
        <v>50.96112585365853</v>
      </c>
      <c r="U68" s="7">
        <f>(19.32*$Y68)*1.08</f>
        <v>23.386435902439022</v>
      </c>
      <c r="V68" s="7">
        <f>(21.73*$Y68)*1.08</f>
        <v>26.303687999999998</v>
      </c>
      <c r="W68" s="7">
        <f>(26.07*$Y68)*1.08</f>
        <v>31.557162731707315</v>
      </c>
      <c r="X68" s="22"/>
      <c r="Y68" s="10">
        <v>1.1208130081300811</v>
      </c>
      <c r="AB68" s="22"/>
    </row>
    <row r="69" spans="1:28" hidden="1" x14ac:dyDescent="0.25">
      <c r="A69" s="16"/>
      <c r="B69" s="3" t="s">
        <v>101</v>
      </c>
      <c r="C69" s="3" t="s">
        <v>102</v>
      </c>
      <c r="D69" s="11" t="s">
        <v>6</v>
      </c>
      <c r="E69" s="8">
        <f t="shared" ref="E69:E78" si="26">(221.26*$Y69)*1.08</f>
        <v>133.38383539264544</v>
      </c>
      <c r="F69" s="7">
        <f t="shared" ref="F69:F78" si="27">(310.41*$Y69)*1.08</f>
        <v>187.12680260431648</v>
      </c>
      <c r="G69" s="7">
        <f t="shared" ref="G69:G78" si="28">(364.87*$Y69)*1.08</f>
        <v>219.95733535078432</v>
      </c>
      <c r="H69" s="7">
        <f t="shared" ref="H69:H78" si="29">(176.83*$Y69)*1.08</f>
        <v>106.59976323095675</v>
      </c>
      <c r="I69" s="7">
        <f t="shared" ref="I69:I78" si="30">(308.58*$Y69)*1.08</f>
        <v>186.02360989542856</v>
      </c>
      <c r="J69" s="7">
        <f t="shared" ref="J69:J78" si="31">(453.13*$Y69)*1.08</f>
        <v>273.16377714665742</v>
      </c>
      <c r="K69" s="7">
        <f t="shared" ref="K69:K78" si="32">(207.98*$Y69)*1.08</f>
        <v>125.37815278388499</v>
      </c>
      <c r="L69" s="7">
        <f t="shared" ref="L69:L78" si="33">(233.85*$Y69)*1.08</f>
        <v>140.97356009477596</v>
      </c>
      <c r="M69" s="7">
        <f t="shared" ref="M69:M78" si="34">(280.64*$Y69)*1.08</f>
        <v>169.18032886464798</v>
      </c>
      <c r="N69" s="22"/>
      <c r="O69" s="7">
        <f>(20.56*$Y69)*1.08</f>
        <v>12.394339942478487</v>
      </c>
      <c r="P69" s="7">
        <f>(28.84*$Y69)*1.08</f>
        <v>17.385834822036944</v>
      </c>
      <c r="Q69" s="7">
        <f>(33.93*$Y69)*1.08</f>
        <v>20.454277930364547</v>
      </c>
      <c r="R69" s="7">
        <f>(16.43*$Y69)*1.08</f>
        <v>9.9046208781576617</v>
      </c>
      <c r="S69" s="7">
        <f>(28.67*$Y69)*1.08</f>
        <v>17.28335243924408</v>
      </c>
      <c r="T69" s="7">
        <f>(42.1*$Y69)*1.08</f>
        <v>25.379460679880559</v>
      </c>
      <c r="U69" s="7">
        <f>(19.32*$Y69)*1.08</f>
        <v>11.6468213856364</v>
      </c>
      <c r="V69" s="7">
        <f>(21.73*$Y69)*1.08</f>
        <v>13.099659871111747</v>
      </c>
      <c r="W69" s="7">
        <f>(26.07*$Y69)*1.08</f>
        <v>15.715974820059055</v>
      </c>
      <c r="X69" s="22"/>
      <c r="Y69" s="10">
        <v>0.55818291281517896</v>
      </c>
      <c r="AB69" s="22"/>
    </row>
    <row r="70" spans="1:28" hidden="1" x14ac:dyDescent="0.25">
      <c r="A70" s="16"/>
      <c r="B70" s="3" t="s">
        <v>103</v>
      </c>
      <c r="C70" s="3" t="s">
        <v>104</v>
      </c>
      <c r="D70" s="11" t="s">
        <v>6</v>
      </c>
      <c r="E70" s="8">
        <f t="shared" si="26"/>
        <v>139.41778771737316</v>
      </c>
      <c r="F70" s="7">
        <f t="shared" si="27"/>
        <v>195.59195283987074</v>
      </c>
      <c r="G70" s="7">
        <f t="shared" si="28"/>
        <v>229.90765707510593</v>
      </c>
      <c r="H70" s="7">
        <f t="shared" si="29"/>
        <v>111.42207087617778</v>
      </c>
      <c r="I70" s="7">
        <f t="shared" si="30"/>
        <v>194.43885444195519</v>
      </c>
      <c r="J70" s="7">
        <f t="shared" si="31"/>
        <v>285.52102570899984</v>
      </c>
      <c r="K70" s="7">
        <f t="shared" si="32"/>
        <v>131.04994797730845</v>
      </c>
      <c r="L70" s="7">
        <f t="shared" si="33"/>
        <v>147.3508526516664</v>
      </c>
      <c r="M70" s="7">
        <f t="shared" si="34"/>
        <v>176.83362535028294</v>
      </c>
      <c r="N70" s="22"/>
      <c r="O70" s="7">
        <f t="shared" ref="O70:O80" si="35">(20.56*$Y70)*1.08</f>
        <v>12.955028995160408</v>
      </c>
      <c r="P70" s="7">
        <f t="shared" ref="P70:P80" si="36">(28.84*$Y70)*1.08</f>
        <v>18.172326664417618</v>
      </c>
      <c r="Q70" s="7">
        <f t="shared" ref="Q70:Q80" si="37">(33.93*$Y70)*1.08</f>
        <v>21.379578492499643</v>
      </c>
      <c r="R70" s="7">
        <f t="shared" ref="R70:R80" si="38">(16.43*$Y70)*1.08</f>
        <v>10.352681244673422</v>
      </c>
      <c r="S70" s="7">
        <f t="shared" ref="S70:S80" si="39">(28.67*$Y70)*1.08</f>
        <v>18.065208234010161</v>
      </c>
      <c r="T70" s="7">
        <f t="shared" ref="T70:T80" si="40">(42.1*$Y70)*1.08</f>
        <v>26.527564236199087</v>
      </c>
      <c r="U70" s="7">
        <f t="shared" ref="U70:U80" si="41">(19.32*$Y70)*1.08</f>
        <v>12.173694561600151</v>
      </c>
      <c r="V70" s="7">
        <f t="shared" ref="V70:V80" si="42">(21.73*$Y70)*1.08</f>
        <v>13.692255839729363</v>
      </c>
      <c r="W70" s="7">
        <f t="shared" ref="W70:W80" si="43">(26.07*$Y70)*1.08</f>
        <v>16.426926357190265</v>
      </c>
      <c r="X70" s="22"/>
      <c r="Y70" s="10">
        <v>0.58343371681620226</v>
      </c>
      <c r="AB70" s="22"/>
    </row>
    <row r="71" spans="1:28" hidden="1" x14ac:dyDescent="0.25">
      <c r="A71" s="16"/>
      <c r="B71" s="3" t="s">
        <v>105</v>
      </c>
      <c r="C71" s="3" t="s">
        <v>106</v>
      </c>
      <c r="D71" s="11" t="s">
        <v>6</v>
      </c>
      <c r="E71" s="8">
        <f t="shared" si="26"/>
        <v>131.4288119264275</v>
      </c>
      <c r="F71" s="7">
        <f t="shared" si="27"/>
        <v>184.38406178289054</v>
      </c>
      <c r="G71" s="7">
        <f t="shared" si="28"/>
        <v>216.73339332728736</v>
      </c>
      <c r="H71" s="7">
        <f t="shared" si="29"/>
        <v>105.03731724193337</v>
      </c>
      <c r="I71" s="7">
        <f t="shared" si="30"/>
        <v>183.29703870675675</v>
      </c>
      <c r="J71" s="7">
        <f t="shared" si="31"/>
        <v>269.15998168770716</v>
      </c>
      <c r="K71" s="7">
        <f t="shared" si="32"/>
        <v>123.54046960344567</v>
      </c>
      <c r="L71" s="7">
        <f t="shared" si="33"/>
        <v>138.90729308955559</v>
      </c>
      <c r="M71" s="7">
        <f t="shared" si="34"/>
        <v>166.70063174108566</v>
      </c>
      <c r="N71" s="22"/>
      <c r="O71" s="7">
        <f t="shared" si="35"/>
        <v>12.212674560279082</v>
      </c>
      <c r="P71" s="7">
        <f t="shared" si="36"/>
        <v>17.131008478523768</v>
      </c>
      <c r="Q71" s="7">
        <f t="shared" si="37"/>
        <v>20.154477034546169</v>
      </c>
      <c r="R71" s="7">
        <f t="shared" si="38"/>
        <v>9.7594476179662113</v>
      </c>
      <c r="S71" s="7">
        <f t="shared" si="39"/>
        <v>17.030028192762707</v>
      </c>
      <c r="T71" s="7">
        <f t="shared" si="40"/>
        <v>25.007470767886641</v>
      </c>
      <c r="U71" s="7">
        <f t="shared" si="41"/>
        <v>11.476112475904271</v>
      </c>
      <c r="V71" s="7">
        <f t="shared" si="42"/>
        <v>12.907656526987569</v>
      </c>
      <c r="W71" s="7">
        <f t="shared" si="43"/>
        <v>15.485623822299399</v>
      </c>
      <c r="X71" s="22"/>
      <c r="Y71" s="10">
        <v>0.55000155643280191</v>
      </c>
      <c r="AB71" s="22"/>
    </row>
    <row r="72" spans="1:28" hidden="1" x14ac:dyDescent="0.25">
      <c r="A72" s="16"/>
      <c r="B72" s="3" t="s">
        <v>107</v>
      </c>
      <c r="C72" s="3" t="s">
        <v>108</v>
      </c>
      <c r="D72" s="11" t="s">
        <v>6</v>
      </c>
      <c r="E72" s="8">
        <f t="shared" si="26"/>
        <v>147.66552651317227</v>
      </c>
      <c r="F72" s="7">
        <f t="shared" si="27"/>
        <v>207.1628675989958</v>
      </c>
      <c r="G72" s="7">
        <f t="shared" si="28"/>
        <v>243.50863535596659</v>
      </c>
      <c r="H72" s="7">
        <f t="shared" si="29"/>
        <v>118.01362674375963</v>
      </c>
      <c r="I72" s="7">
        <f t="shared" si="30"/>
        <v>205.94155369897268</v>
      </c>
      <c r="J72" s="7">
        <f t="shared" si="31"/>
        <v>302.41200410789907</v>
      </c>
      <c r="K72" s="7">
        <f t="shared" si="32"/>
        <v>138.80265842994473</v>
      </c>
      <c r="L72" s="7">
        <f t="shared" si="33"/>
        <v>156.06789919147312</v>
      </c>
      <c r="M72" s="7">
        <f t="shared" si="34"/>
        <v>187.29482672266414</v>
      </c>
      <c r="N72" s="22"/>
      <c r="O72" s="7">
        <f t="shared" si="35"/>
        <v>13.721428297526991</v>
      </c>
      <c r="P72" s="7">
        <f t="shared" si="36"/>
        <v>19.247373156647782</v>
      </c>
      <c r="Q72" s="7">
        <f t="shared" si="37"/>
        <v>22.644360998788464</v>
      </c>
      <c r="R72" s="7">
        <f t="shared" si="38"/>
        <v>10.965129714414809</v>
      </c>
      <c r="S72" s="7">
        <f t="shared" si="39"/>
        <v>19.133917767028155</v>
      </c>
      <c r="T72" s="7">
        <f t="shared" si="40"/>
        <v>28.096893546978905</v>
      </c>
      <c r="U72" s="7">
        <f t="shared" si="41"/>
        <v>12.893871337948514</v>
      </c>
      <c r="V72" s="7">
        <f t="shared" si="42"/>
        <v>14.502268331967972</v>
      </c>
      <c r="W72" s="7">
        <f t="shared" si="43"/>
        <v>17.398717690492639</v>
      </c>
      <c r="X72" s="22"/>
      <c r="Y72" s="10">
        <v>0.61794874520495524</v>
      </c>
      <c r="AB72" s="22"/>
    </row>
    <row r="73" spans="1:28" hidden="1" x14ac:dyDescent="0.25">
      <c r="A73" s="16"/>
      <c r="B73" s="3" t="s">
        <v>109</v>
      </c>
      <c r="C73" s="3" t="s">
        <v>110</v>
      </c>
      <c r="D73" s="11" t="s">
        <v>6</v>
      </c>
      <c r="E73" s="8">
        <f t="shared" si="26"/>
        <v>161.56340042492951</v>
      </c>
      <c r="F73" s="7">
        <f t="shared" si="27"/>
        <v>226.66046789253537</v>
      </c>
      <c r="G73" s="7">
        <f t="shared" si="28"/>
        <v>266.42699951660506</v>
      </c>
      <c r="H73" s="7">
        <f t="shared" si="29"/>
        <v>129.12074526412496</v>
      </c>
      <c r="I73" s="7">
        <f t="shared" si="30"/>
        <v>225.32420728159067</v>
      </c>
      <c r="J73" s="7">
        <f t="shared" si="31"/>
        <v>330.87419160511757</v>
      </c>
      <c r="K73" s="7">
        <f t="shared" si="32"/>
        <v>151.86638353239104</v>
      </c>
      <c r="L73" s="7">
        <f t="shared" si="33"/>
        <v>170.7565813494069</v>
      </c>
      <c r="M73" s="7">
        <f t="shared" si="34"/>
        <v>204.92250156039151</v>
      </c>
      <c r="N73" s="22"/>
      <c r="O73" s="7">
        <f t="shared" si="35"/>
        <v>15.012851454110779</v>
      </c>
      <c r="P73" s="7">
        <f t="shared" si="36"/>
        <v>21.058883070844107</v>
      </c>
      <c r="Q73" s="7">
        <f t="shared" si="37"/>
        <v>24.775586081613753</v>
      </c>
      <c r="R73" s="7">
        <f t="shared" si="38"/>
        <v>11.997137616295724</v>
      </c>
      <c r="S73" s="7">
        <f t="shared" si="39"/>
        <v>20.934749571466735</v>
      </c>
      <c r="T73" s="7">
        <f t="shared" si="40"/>
        <v>30.741296022279371</v>
      </c>
      <c r="U73" s="7">
        <f t="shared" si="41"/>
        <v>14.107407105711102</v>
      </c>
      <c r="V73" s="7">
        <f t="shared" si="42"/>
        <v>15.867182008649186</v>
      </c>
      <c r="W73" s="7">
        <f t="shared" si="43"/>
        <v>19.036237228048055</v>
      </c>
      <c r="X73" s="22"/>
      <c r="Y73" s="10">
        <v>0.67610838440836118</v>
      </c>
      <c r="AB73" s="22"/>
    </row>
    <row r="74" spans="1:28" hidden="1" x14ac:dyDescent="0.25">
      <c r="A74" s="16"/>
      <c r="B74" s="3" t="s">
        <v>111</v>
      </c>
      <c r="C74" s="3" t="s">
        <v>112</v>
      </c>
      <c r="D74" s="11" t="s">
        <v>6</v>
      </c>
      <c r="E74" s="8">
        <f t="shared" si="26"/>
        <v>77.055388703434417</v>
      </c>
      <c r="F74" s="7">
        <f t="shared" si="27"/>
        <v>108.10251833785175</v>
      </c>
      <c r="G74" s="7">
        <f t="shared" si="28"/>
        <v>127.06860560527033</v>
      </c>
      <c r="H74" s="7">
        <f t="shared" si="29"/>
        <v>61.582321180639553</v>
      </c>
      <c r="I74" s="7">
        <f t="shared" si="30"/>
        <v>107.46520765662926</v>
      </c>
      <c r="J74" s="7">
        <f t="shared" si="31"/>
        <v>157.80578632914776</v>
      </c>
      <c r="K74" s="7">
        <f t="shared" si="32"/>
        <v>72.430533049535782</v>
      </c>
      <c r="L74" s="7">
        <f t="shared" si="33"/>
        <v>81.439946887363902</v>
      </c>
      <c r="M74" s="7">
        <f t="shared" si="34"/>
        <v>97.734901408893748</v>
      </c>
      <c r="N74" s="22"/>
      <c r="O74" s="7">
        <f t="shared" si="35"/>
        <v>7.1601680906743717</v>
      </c>
      <c r="P74" s="7">
        <f t="shared" si="36"/>
        <v>10.043737730303933</v>
      </c>
      <c r="Q74" s="7">
        <f t="shared" si="37"/>
        <v>11.816366892829837</v>
      </c>
      <c r="R74" s="7">
        <f t="shared" si="38"/>
        <v>5.7218658428881293</v>
      </c>
      <c r="S74" s="7">
        <f t="shared" si="39"/>
        <v>9.9845340058187873</v>
      </c>
      <c r="T74" s="7">
        <f t="shared" si="40"/>
        <v>14.661628240145479</v>
      </c>
      <c r="U74" s="7">
        <f t="shared" si="41"/>
        <v>6.7283291591356456</v>
      </c>
      <c r="V74" s="7">
        <f t="shared" si="42"/>
        <v>7.5676290180133314</v>
      </c>
      <c r="W74" s="7">
        <f t="shared" si="43"/>
        <v>9.0790652783988754</v>
      </c>
      <c r="X74" s="22"/>
      <c r="Y74" s="10">
        <v>0.32246037301278874</v>
      </c>
      <c r="AB74" s="22"/>
    </row>
    <row r="75" spans="1:28" hidden="1" x14ac:dyDescent="0.25">
      <c r="A75" s="16"/>
      <c r="B75" s="3" t="s">
        <v>113</v>
      </c>
      <c r="C75" s="3" t="s">
        <v>114</v>
      </c>
      <c r="D75" s="11" t="s">
        <v>6</v>
      </c>
      <c r="E75" s="8">
        <f t="shared" si="26"/>
        <v>205.58982714146342</v>
      </c>
      <c r="F75" s="7">
        <f t="shared" si="27"/>
        <v>288.42600670243905</v>
      </c>
      <c r="G75" s="7">
        <f t="shared" si="28"/>
        <v>339.02901667317076</v>
      </c>
      <c r="H75" s="7">
        <f t="shared" si="29"/>
        <v>164.30646810731707</v>
      </c>
      <c r="I75" s="7">
        <f t="shared" si="30"/>
        <v>286.72561176585367</v>
      </c>
      <c r="J75" s="7">
        <f t="shared" si="31"/>
        <v>421.03822820487807</v>
      </c>
      <c r="K75" s="7">
        <f t="shared" si="32"/>
        <v>193.25034913170728</v>
      </c>
      <c r="L75" s="7">
        <f t="shared" si="33"/>
        <v>217.28817263414632</v>
      </c>
      <c r="M75" s="7">
        <f t="shared" si="34"/>
        <v>260.76439071219511</v>
      </c>
      <c r="N75" s="22"/>
      <c r="O75" s="7">
        <f t="shared" si="35"/>
        <v>19.103890653658535</v>
      </c>
      <c r="P75" s="7">
        <f t="shared" si="36"/>
        <v>26.797480858536584</v>
      </c>
      <c r="Q75" s="7">
        <f t="shared" si="37"/>
        <v>31.526994643902437</v>
      </c>
      <c r="R75" s="7">
        <f t="shared" si="38"/>
        <v>15.266387326829268</v>
      </c>
      <c r="S75" s="7">
        <f t="shared" si="39"/>
        <v>26.639520673170733</v>
      </c>
      <c r="T75" s="7">
        <f t="shared" si="40"/>
        <v>39.118375317073173</v>
      </c>
      <c r="U75" s="7">
        <f t="shared" si="41"/>
        <v>17.951710478048781</v>
      </c>
      <c r="V75" s="7">
        <f t="shared" si="42"/>
        <v>20.191028399999997</v>
      </c>
      <c r="W75" s="7">
        <f t="shared" si="43"/>
        <v>24.223659014634148</v>
      </c>
      <c r="X75" s="22"/>
      <c r="Y75" s="10">
        <v>0.86034959349593487</v>
      </c>
      <c r="AB75" s="22"/>
    </row>
    <row r="76" spans="1:28" hidden="1" x14ac:dyDescent="0.25">
      <c r="A76" s="16"/>
      <c r="B76" s="3" t="s">
        <v>115</v>
      </c>
      <c r="C76" s="3" t="s">
        <v>116</v>
      </c>
      <c r="D76" s="11" t="s">
        <v>6</v>
      </c>
      <c r="E76" s="8">
        <f t="shared" si="26"/>
        <v>126.50350058400454</v>
      </c>
      <c r="F76" s="7">
        <f t="shared" si="27"/>
        <v>177.47424575739333</v>
      </c>
      <c r="G76" s="7">
        <f t="shared" si="28"/>
        <v>208.61128201249994</v>
      </c>
      <c r="H76" s="7">
        <f t="shared" si="29"/>
        <v>101.10103049927471</v>
      </c>
      <c r="I76" s="7">
        <f t="shared" si="30"/>
        <v>176.42795900846116</v>
      </c>
      <c r="J76" s="7">
        <f t="shared" si="31"/>
        <v>259.07317734624417</v>
      </c>
      <c r="K76" s="7">
        <f t="shared" si="32"/>
        <v>118.91077488683567</v>
      </c>
      <c r="L76" s="7">
        <f t="shared" si="33"/>
        <v>133.7017247201006</v>
      </c>
      <c r="M76" s="7">
        <f t="shared" si="34"/>
        <v>160.4535044919779</v>
      </c>
      <c r="N76" s="22"/>
      <c r="O76" s="7">
        <f t="shared" si="35"/>
        <v>11.755003037183101</v>
      </c>
      <c r="P76" s="7">
        <f t="shared" si="36"/>
        <v>16.489021770056453</v>
      </c>
      <c r="Q76" s="7">
        <f t="shared" si="37"/>
        <v>19.399185459709273</v>
      </c>
      <c r="R76" s="7">
        <f t="shared" si="38"/>
        <v>9.3937110846750187</v>
      </c>
      <c r="S76" s="7">
        <f t="shared" si="39"/>
        <v>16.391825733270405</v>
      </c>
      <c r="T76" s="7">
        <f t="shared" si="40"/>
        <v>24.070312639368126</v>
      </c>
      <c r="U76" s="7">
        <f t="shared" si="41"/>
        <v>11.046043710037818</v>
      </c>
      <c r="V76" s="7">
        <f t="shared" si="42"/>
        <v>12.423940466828251</v>
      </c>
      <c r="W76" s="7">
        <f t="shared" si="43"/>
        <v>14.905298111836744</v>
      </c>
      <c r="X76" s="22"/>
      <c r="Y76" s="10">
        <v>0.529390178573241</v>
      </c>
      <c r="AB76" s="22"/>
    </row>
    <row r="77" spans="1:28" hidden="1" x14ac:dyDescent="0.25">
      <c r="A77" s="16"/>
      <c r="B77" s="3" t="s">
        <v>117</v>
      </c>
      <c r="C77" s="3" t="s">
        <v>118</v>
      </c>
      <c r="D77" s="11" t="s">
        <v>6</v>
      </c>
      <c r="E77" s="8">
        <f t="shared" si="26"/>
        <v>188.8557714439024</v>
      </c>
      <c r="F77" s="7">
        <f t="shared" si="27"/>
        <v>264.94947127317073</v>
      </c>
      <c r="G77" s="7">
        <f t="shared" si="28"/>
        <v>311.43363159512188</v>
      </c>
      <c r="H77" s="7">
        <f t="shared" si="29"/>
        <v>150.93268581951219</v>
      </c>
      <c r="I77" s="7">
        <f t="shared" si="30"/>
        <v>263.38748057560969</v>
      </c>
      <c r="J77" s="7">
        <f t="shared" si="31"/>
        <v>386.76767474634141</v>
      </c>
      <c r="K77" s="7">
        <f t="shared" si="32"/>
        <v>177.52066955121947</v>
      </c>
      <c r="L77" s="7">
        <f t="shared" si="33"/>
        <v>199.6019260243902</v>
      </c>
      <c r="M77" s="7">
        <f t="shared" si="34"/>
        <v>239.5393821658536</v>
      </c>
      <c r="N77" s="22"/>
      <c r="O77" s="7">
        <f t="shared" si="35"/>
        <v>17.548922809756093</v>
      </c>
      <c r="P77" s="7">
        <f t="shared" si="36"/>
        <v>24.616290556097557</v>
      </c>
      <c r="Q77" s="7">
        <f t="shared" si="37"/>
        <v>28.960843917073166</v>
      </c>
      <c r="R77" s="7">
        <f t="shared" si="38"/>
        <v>14.023774404878045</v>
      </c>
      <c r="S77" s="7">
        <f t="shared" si="39"/>
        <v>24.47118759512195</v>
      </c>
      <c r="T77" s="7">
        <f t="shared" si="40"/>
        <v>35.934321512195119</v>
      </c>
      <c r="U77" s="7">
        <f t="shared" si="41"/>
        <v>16.490524741463414</v>
      </c>
      <c r="V77" s="7">
        <f t="shared" si="42"/>
        <v>18.547572599999999</v>
      </c>
      <c r="W77" s="7">
        <f t="shared" si="43"/>
        <v>22.251965839024386</v>
      </c>
      <c r="X77" s="22"/>
      <c r="Y77" s="10">
        <v>0.79032113821138195</v>
      </c>
      <c r="AB77" s="22"/>
    </row>
    <row r="78" spans="1:28" hidden="1" x14ac:dyDescent="0.25">
      <c r="A78" s="16"/>
      <c r="B78" s="3" t="s">
        <v>119</v>
      </c>
      <c r="C78" s="3" t="s">
        <v>120</v>
      </c>
      <c r="D78" s="11" t="s">
        <v>6</v>
      </c>
      <c r="E78" s="8">
        <f t="shared" si="26"/>
        <v>200.80866837073174</v>
      </c>
      <c r="F78" s="7">
        <f t="shared" si="27"/>
        <v>281.71842515121961</v>
      </c>
      <c r="G78" s="7">
        <f t="shared" si="28"/>
        <v>331.14462093658545</v>
      </c>
      <c r="H78" s="7">
        <f t="shared" si="29"/>
        <v>160.48538745365857</v>
      </c>
      <c r="I78" s="7">
        <f t="shared" si="30"/>
        <v>280.05757428292685</v>
      </c>
      <c r="J78" s="7">
        <f t="shared" si="31"/>
        <v>411.2466415024391</v>
      </c>
      <c r="K78" s="7">
        <f t="shared" si="32"/>
        <v>188.75615496585368</v>
      </c>
      <c r="L78" s="7">
        <f t="shared" si="33"/>
        <v>212.23495931707322</v>
      </c>
      <c r="M78" s="7">
        <f t="shared" si="34"/>
        <v>254.70010255609756</v>
      </c>
      <c r="N78" s="22"/>
      <c r="O78" s="7">
        <f t="shared" si="35"/>
        <v>18.659614126829268</v>
      </c>
      <c r="P78" s="7">
        <f t="shared" si="36"/>
        <v>26.174283629268295</v>
      </c>
      <c r="Q78" s="7">
        <f t="shared" si="37"/>
        <v>30.793808721951223</v>
      </c>
      <c r="R78" s="7">
        <f t="shared" si="38"/>
        <v>14.911355063414636</v>
      </c>
      <c r="S78" s="7">
        <f t="shared" si="39"/>
        <v>26.019996936585372</v>
      </c>
      <c r="T78" s="7">
        <f t="shared" si="40"/>
        <v>38.208645658536597</v>
      </c>
      <c r="U78" s="7">
        <f t="shared" si="41"/>
        <v>17.534228839024394</v>
      </c>
      <c r="V78" s="7">
        <f t="shared" si="42"/>
        <v>19.721469600000006</v>
      </c>
      <c r="W78" s="7">
        <f t="shared" si="43"/>
        <v>23.660318107317078</v>
      </c>
      <c r="X78" s="22"/>
      <c r="Y78" s="10">
        <v>0.84034146341463423</v>
      </c>
      <c r="AB78" s="22"/>
    </row>
    <row r="79" spans="1:28" hidden="1" x14ac:dyDescent="0.25">
      <c r="A79" s="21" t="s">
        <v>121</v>
      </c>
      <c r="B79" s="18" t="s">
        <v>122</v>
      </c>
      <c r="C79" s="18" t="s">
        <v>123</v>
      </c>
      <c r="D79" s="19" t="s">
        <v>6</v>
      </c>
      <c r="E79" s="8"/>
      <c r="F79" s="7"/>
      <c r="G79" s="7"/>
      <c r="H79" s="7"/>
      <c r="I79" s="7"/>
      <c r="J79" s="7"/>
      <c r="K79" s="7"/>
      <c r="L79" s="7"/>
      <c r="M79" s="7"/>
      <c r="N79" s="22"/>
      <c r="X79" s="22"/>
      <c r="Y79"/>
      <c r="AB79" s="22"/>
    </row>
    <row r="80" spans="1:28" hidden="1" x14ac:dyDescent="0.25">
      <c r="A80" s="16"/>
      <c r="B80" s="3" t="s">
        <v>122</v>
      </c>
      <c r="C80" s="3" t="s">
        <v>124</v>
      </c>
      <c r="D80" s="11" t="s">
        <v>6</v>
      </c>
      <c r="E80" s="8">
        <f>(221.26*$Y80)*1.08</f>
        <v>186.02713923851277</v>
      </c>
      <c r="F80" s="7">
        <f>(310.41*$Y80)*1.08</f>
        <v>260.9811275920942</v>
      </c>
      <c r="G80" s="7">
        <f>(364.87*$Y80)*1.08</f>
        <v>306.76906035413617</v>
      </c>
      <c r="H80" s="7">
        <f>(176.83*$Y80)*1.08</f>
        <v>148.67205564289171</v>
      </c>
      <c r="I80" s="7">
        <f>(308.58*$Y80)*1.08</f>
        <v>259.44253198147101</v>
      </c>
      <c r="J80" s="7">
        <f>(453.13*$Y80)*1.08</f>
        <v>380.9747699681248</v>
      </c>
      <c r="K80" s="7">
        <f>(207.98*$Y80)*1.08</f>
        <v>174.86181152863549</v>
      </c>
      <c r="L80" s="7">
        <f>(233.85*$Y80)*1.08</f>
        <v>196.61234073454858</v>
      </c>
      <c r="M80" s="7">
        <f>(280.64*$Y80)*1.08</f>
        <v>235.95162413403338</v>
      </c>
      <c r="N80" s="22"/>
      <c r="O80" s="7">
        <f t="shared" si="35"/>
        <v>17.286079647219665</v>
      </c>
      <c r="P80" s="7">
        <f t="shared" si="36"/>
        <v>24.247594213317857</v>
      </c>
      <c r="Q80" s="7">
        <f t="shared" si="37"/>
        <v>28.527075993684981</v>
      </c>
      <c r="R80" s="7">
        <f t="shared" si="38"/>
        <v>13.813729990458127</v>
      </c>
      <c r="S80" s="7">
        <f t="shared" si="39"/>
        <v>24.104664566429371</v>
      </c>
      <c r="T80" s="7">
        <f t="shared" si="40"/>
        <v>35.396106670620036</v>
      </c>
      <c r="U80" s="7">
        <f t="shared" si="41"/>
        <v>16.243533987562447</v>
      </c>
      <c r="V80" s="7">
        <f t="shared" si="42"/>
        <v>18.269771922863974</v>
      </c>
      <c r="W80" s="7">
        <f t="shared" si="43"/>
        <v>21.918681731664236</v>
      </c>
      <c r="X80" s="22"/>
      <c r="Y80" s="10">
        <v>0.77848391551464835</v>
      </c>
      <c r="AB80" s="22"/>
    </row>
    <row r="81" spans="1:28" hidden="1" x14ac:dyDescent="0.25">
      <c r="A81" s="21" t="s">
        <v>121</v>
      </c>
      <c r="B81" s="18" t="s">
        <v>122</v>
      </c>
      <c r="C81" s="18" t="s">
        <v>125</v>
      </c>
      <c r="D81" s="19" t="s">
        <v>6</v>
      </c>
      <c r="E81" s="8"/>
      <c r="F81" s="8"/>
      <c r="G81" s="8"/>
      <c r="H81" s="8"/>
      <c r="I81" s="8"/>
      <c r="J81" s="8"/>
      <c r="K81" s="8"/>
      <c r="L81" s="8"/>
      <c r="M81" s="8"/>
      <c r="N81" s="22"/>
      <c r="X81" s="22"/>
      <c r="Y81"/>
      <c r="AB81" s="22"/>
    </row>
    <row r="82" spans="1:28" hidden="1" x14ac:dyDescent="0.25">
      <c r="A82" s="21" t="s">
        <v>121</v>
      </c>
      <c r="B82" s="18" t="s">
        <v>122</v>
      </c>
      <c r="C82" s="18" t="s">
        <v>126</v>
      </c>
      <c r="D82" s="19" t="s">
        <v>6</v>
      </c>
      <c r="E82" s="8"/>
      <c r="F82" s="8"/>
      <c r="G82" s="8"/>
      <c r="H82" s="8"/>
      <c r="I82" s="8"/>
      <c r="J82" s="8"/>
      <c r="K82" s="8"/>
      <c r="L82" s="8"/>
      <c r="M82" s="8"/>
      <c r="N82" s="22"/>
      <c r="X82" s="22"/>
      <c r="Y82"/>
      <c r="AB82" s="22"/>
    </row>
    <row r="83" spans="1:28" hidden="1" x14ac:dyDescent="0.25">
      <c r="A83" s="21" t="s">
        <v>121</v>
      </c>
      <c r="B83" s="18" t="s">
        <v>122</v>
      </c>
      <c r="C83" s="18" t="s">
        <v>127</v>
      </c>
      <c r="D83" s="19" t="s">
        <v>6</v>
      </c>
      <c r="E83" s="8"/>
      <c r="F83" s="8"/>
      <c r="G83" s="8"/>
      <c r="H83" s="8"/>
      <c r="I83" s="8"/>
      <c r="J83" s="8"/>
      <c r="K83" s="8"/>
      <c r="L83" s="8"/>
      <c r="M83" s="8"/>
      <c r="N83" s="22"/>
      <c r="X83" s="22"/>
      <c r="Y83"/>
      <c r="AB83" s="22"/>
    </row>
    <row r="84" spans="1:28" hidden="1" x14ac:dyDescent="0.25">
      <c r="A84" s="21" t="s">
        <v>121</v>
      </c>
      <c r="B84" s="18" t="s">
        <v>122</v>
      </c>
      <c r="C84" s="18" t="s">
        <v>128</v>
      </c>
      <c r="D84" s="19" t="s">
        <v>6</v>
      </c>
      <c r="E84" s="8"/>
      <c r="F84" s="8"/>
      <c r="G84" s="8"/>
      <c r="H84" s="8"/>
      <c r="I84" s="8"/>
      <c r="J84" s="8"/>
      <c r="K84" s="8"/>
      <c r="L84" s="8"/>
      <c r="M84" s="8"/>
      <c r="N84" s="22"/>
      <c r="X84" s="22"/>
      <c r="Y84"/>
      <c r="AB84" s="22"/>
    </row>
    <row r="85" spans="1:28" hidden="1" x14ac:dyDescent="0.25">
      <c r="A85" s="21"/>
      <c r="B85" s="3" t="s">
        <v>129</v>
      </c>
      <c r="C85" s="3" t="s">
        <v>130</v>
      </c>
      <c r="D85" s="11" t="s">
        <v>6</v>
      </c>
      <c r="E85" s="8">
        <f t="shared" ref="E85:E107" si="44">(221.26*$Y85)*1.08</f>
        <v>145.71066839650936</v>
      </c>
      <c r="F85" s="7">
        <f>(310.41*$Y85)*1.08</f>
        <v>204.42035874970841</v>
      </c>
      <c r="G85" s="7">
        <f>(364.87*$Y85)*1.08</f>
        <v>240.28496600304791</v>
      </c>
      <c r="H85" s="7">
        <f>(176.83*$Y85)*1.08</f>
        <v>116.45131290135927</v>
      </c>
      <c r="I85" s="7">
        <f>(308.58*$Y85)*1.08</f>
        <v>203.21521311486424</v>
      </c>
      <c r="J85" s="7">
        <f>(453.13*$Y85)*1.08</f>
        <v>298.40854727700577</v>
      </c>
      <c r="K85" s="7">
        <f>(207.98*$Y85)*1.08</f>
        <v>136.96513067479896</v>
      </c>
      <c r="L85" s="7">
        <f>(233.85*$Y85)*1.08</f>
        <v>154.00180694442611</v>
      </c>
      <c r="M85" s="7">
        <f>(280.64*$Y85)*1.08</f>
        <v>184.81533932385605</v>
      </c>
      <c r="N85" s="22"/>
      <c r="O85" s="7">
        <f t="shared" ref="O85:O111" si="45">(20.56*$Y85)*1.08</f>
        <v>13.539778279997437</v>
      </c>
      <c r="P85" s="7">
        <f t="shared" ref="P85:P111" si="46">(28.84*$Y85)*1.08</f>
        <v>18.992568365521695</v>
      </c>
      <c r="Q85" s="7">
        <f t="shared" ref="Q85:Q111" si="47">(33.93*$Y85)*1.08</f>
        <v>22.344585459159195</v>
      </c>
      <c r="R85" s="7">
        <f t="shared" ref="R85:R111" si="48">(16.43*$Y85)*1.08</f>
        <v>10.819968732507681</v>
      </c>
      <c r="S85" s="7">
        <f t="shared" ref="S85:S111" si="49">(28.67*$Y85)*1.08</f>
        <v>18.88061494589137</v>
      </c>
      <c r="T85" s="7">
        <f t="shared" ref="T85:T111" si="50">(42.1*$Y85)*1.08</f>
        <v>27.724935096687361</v>
      </c>
      <c r="U85" s="7">
        <f t="shared" ref="U85:U111" si="51">(19.32*$Y85)*1.08</f>
        <v>12.723176866223273</v>
      </c>
      <c r="V85" s="7">
        <f t="shared" ref="V85:V111" si="52">(21.73*$Y85)*1.08</f>
        <v>14.310281226864996</v>
      </c>
      <c r="W85" s="7">
        <f t="shared" ref="W85:W111" si="53">(26.07*$Y85)*1.08</f>
        <v>17.16838617507457</v>
      </c>
      <c r="X85" s="22"/>
      <c r="Y85" s="10">
        <v>0.60976808077521238</v>
      </c>
      <c r="AB85" s="22"/>
    </row>
    <row r="86" spans="1:28" hidden="1" x14ac:dyDescent="0.25">
      <c r="A86" s="21"/>
      <c r="B86" s="3" t="s">
        <v>131</v>
      </c>
      <c r="C86" s="3" t="s">
        <v>132</v>
      </c>
      <c r="D86" s="11" t="s">
        <v>6</v>
      </c>
      <c r="E86" s="8">
        <f t="shared" si="44"/>
        <v>148.30746100573583</v>
      </c>
      <c r="F86" s="7">
        <f t="shared" ref="F86:F108" si="54">(310.41*$Y86)*1.08</f>
        <v>208.06345010752264</v>
      </c>
      <c r="G86" s="7">
        <f t="shared" ref="G86:G108" si="55">(364.87*$Y86)*1.08</f>
        <v>244.56722090374598</v>
      </c>
      <c r="H86" s="7">
        <f t="shared" ref="H86:H108" si="56">(176.83*$Y86)*1.08</f>
        <v>118.52665791215887</v>
      </c>
      <c r="I86" s="7">
        <f t="shared" ref="I86:I108" si="57">(308.58*$Y86)*1.08</f>
        <v>206.83682688759814</v>
      </c>
      <c r="J86" s="7">
        <f t="shared" ref="J86:J108" si="58">(453.13*$Y86)*1.08</f>
        <v>303.72665554338369</v>
      </c>
      <c r="K86" s="7">
        <f t="shared" ref="K86:K108" si="59">(207.98*$Y86)*1.08</f>
        <v>139.40606408737656</v>
      </c>
      <c r="L86" s="7">
        <f t="shared" ref="L86:L108" si="60">(233.85*$Y86)*1.08</f>
        <v>156.74636064445144</v>
      </c>
      <c r="M86" s="7">
        <f t="shared" ref="M86:M108" si="61">(280.64*$Y86)*1.08</f>
        <v>188.10903849159229</v>
      </c>
      <c r="N86" s="22"/>
      <c r="O86" s="7">
        <f t="shared" si="45"/>
        <v>13.781078361556219</v>
      </c>
      <c r="P86" s="7">
        <f t="shared" si="46"/>
        <v>19.331045717280222</v>
      </c>
      <c r="Q86" s="7">
        <f t="shared" si="47"/>
        <v>22.742801012042921</v>
      </c>
      <c r="R86" s="7">
        <f t="shared" si="48"/>
        <v>11.012797542819488</v>
      </c>
      <c r="S86" s="7">
        <f t="shared" si="49"/>
        <v>19.217097112150622</v>
      </c>
      <c r="T86" s="7">
        <f t="shared" si="50"/>
        <v>28.219036917388951</v>
      </c>
      <c r="U86" s="7">
        <f t="shared" si="51"/>
        <v>12.949923830022673</v>
      </c>
      <c r="V86" s="7">
        <f t="shared" si="52"/>
        <v>14.565312879212872</v>
      </c>
      <c r="W86" s="7">
        <f t="shared" si="53"/>
        <v>17.474353739580284</v>
      </c>
      <c r="X86" s="22"/>
      <c r="Y86" s="10">
        <v>0.62063510419171608</v>
      </c>
      <c r="AB86" s="22"/>
    </row>
    <row r="87" spans="1:28" hidden="1" x14ac:dyDescent="0.25">
      <c r="A87" s="21"/>
      <c r="B87" s="3" t="s">
        <v>133</v>
      </c>
      <c r="C87" s="3" t="s">
        <v>134</v>
      </c>
      <c r="D87" s="11" t="s">
        <v>6</v>
      </c>
      <c r="E87" s="8">
        <f t="shared" si="44"/>
        <v>175.95322405719745</v>
      </c>
      <c r="F87" s="7">
        <f t="shared" si="54"/>
        <v>246.84823411188046</v>
      </c>
      <c r="G87" s="7">
        <f t="shared" si="55"/>
        <v>290.15661602526279</v>
      </c>
      <c r="H87" s="7">
        <f t="shared" si="56"/>
        <v>140.62102779550858</v>
      </c>
      <c r="I87" s="7">
        <f t="shared" si="57"/>
        <v>245.39295796605799</v>
      </c>
      <c r="J87" s="7">
        <f t="shared" si="58"/>
        <v>360.34386882869876</v>
      </c>
      <c r="K87" s="7">
        <f t="shared" si="59"/>
        <v>165.3925315891527</v>
      </c>
      <c r="L87" s="7">
        <f t="shared" si="60"/>
        <v>185.96520584730916</v>
      </c>
      <c r="M87" s="7">
        <f t="shared" si="61"/>
        <v>223.17415167410238</v>
      </c>
      <c r="N87" s="22"/>
      <c r="O87" s="7">
        <f t="shared" si="45"/>
        <v>16.349987736671697</v>
      </c>
      <c r="P87" s="7">
        <f t="shared" si="46"/>
        <v>22.934515871868275</v>
      </c>
      <c r="Q87" s="7">
        <f t="shared" si="47"/>
        <v>26.982251162707719</v>
      </c>
      <c r="R87" s="7">
        <f t="shared" si="48"/>
        <v>13.065675997739104</v>
      </c>
      <c r="S87" s="7">
        <f t="shared" si="49"/>
        <v>22.799326284551441</v>
      </c>
      <c r="T87" s="7">
        <f t="shared" si="50"/>
        <v>33.479303682581637</v>
      </c>
      <c r="U87" s="7">
        <f t="shared" si="51"/>
        <v>15.363898982125351</v>
      </c>
      <c r="V87" s="7">
        <f t="shared" si="52"/>
        <v>17.280410190558168</v>
      </c>
      <c r="W87" s="7">
        <f t="shared" si="53"/>
        <v>20.731720831470387</v>
      </c>
      <c r="X87" s="22"/>
      <c r="Y87" s="10">
        <v>0.73632672830521761</v>
      </c>
      <c r="AB87" s="22"/>
    </row>
    <row r="88" spans="1:28" hidden="1" x14ac:dyDescent="0.25">
      <c r="A88" s="21"/>
      <c r="B88" s="3" t="s">
        <v>135</v>
      </c>
      <c r="C88" s="3" t="s">
        <v>136</v>
      </c>
      <c r="D88" s="11" t="s">
        <v>6</v>
      </c>
      <c r="E88" s="8">
        <f t="shared" si="44"/>
        <v>178.75835915826457</v>
      </c>
      <c r="F88" s="7">
        <f t="shared" si="54"/>
        <v>250.78361324377167</v>
      </c>
      <c r="G88" s="7">
        <f t="shared" si="55"/>
        <v>294.78243923924794</v>
      </c>
      <c r="H88" s="7">
        <f t="shared" si="56"/>
        <v>142.86287919170175</v>
      </c>
      <c r="I88" s="7">
        <f t="shared" si="57"/>
        <v>249.3051363511583</v>
      </c>
      <c r="J88" s="7">
        <f t="shared" si="58"/>
        <v>366.08865265020535</v>
      </c>
      <c r="K88" s="7">
        <f t="shared" si="59"/>
        <v>168.02930280093949</v>
      </c>
      <c r="L88" s="7">
        <f t="shared" si="60"/>
        <v>188.92995701509614</v>
      </c>
      <c r="M88" s="7">
        <f t="shared" si="61"/>
        <v>226.73210663552098</v>
      </c>
      <c r="N88" s="22"/>
      <c r="O88" s="7">
        <f t="shared" si="45"/>
        <v>16.610647492967185</v>
      </c>
      <c r="P88" s="7">
        <f t="shared" si="46"/>
        <v>23.300149498889773</v>
      </c>
      <c r="Q88" s="7">
        <f t="shared" si="47"/>
        <v>27.412415828617544</v>
      </c>
      <c r="R88" s="7">
        <f t="shared" si="48"/>
        <v>13.2739755987087</v>
      </c>
      <c r="S88" s="7">
        <f t="shared" si="49"/>
        <v>23.162804650942086</v>
      </c>
      <c r="T88" s="7">
        <f t="shared" si="50"/>
        <v>34.013047638809269</v>
      </c>
      <c r="U88" s="7">
        <f t="shared" si="51"/>
        <v>15.608838013819362</v>
      </c>
      <c r="V88" s="7">
        <f t="shared" si="52"/>
        <v>17.555903211195378</v>
      </c>
      <c r="W88" s="7">
        <f t="shared" si="53"/>
        <v>21.062236388212771</v>
      </c>
      <c r="X88" s="22"/>
      <c r="Y88" s="10">
        <v>0.74806562063009741</v>
      </c>
      <c r="AB88" s="22"/>
    </row>
    <row r="89" spans="1:28" hidden="1" x14ac:dyDescent="0.25">
      <c r="A89" s="21"/>
      <c r="B89" s="3" t="s">
        <v>137</v>
      </c>
      <c r="C89" s="3" t="s">
        <v>138</v>
      </c>
      <c r="D89" s="11" t="s">
        <v>6</v>
      </c>
      <c r="E89" s="8">
        <f t="shared" si="44"/>
        <v>116.90696327729988</v>
      </c>
      <c r="F89" s="7">
        <f t="shared" si="54"/>
        <v>164.01107507415105</v>
      </c>
      <c r="G89" s="7">
        <f t="shared" si="55"/>
        <v>192.78606025033179</v>
      </c>
      <c r="H89" s="7">
        <f t="shared" si="56"/>
        <v>93.431520908998195</v>
      </c>
      <c r="I89" s="7">
        <f t="shared" si="57"/>
        <v>163.0441594870704</v>
      </c>
      <c r="J89" s="7">
        <f t="shared" si="58"/>
        <v>239.4199234829743</v>
      </c>
      <c r="K89" s="7">
        <f t="shared" si="59"/>
        <v>109.8902206562995</v>
      </c>
      <c r="L89" s="7">
        <f t="shared" si="60"/>
        <v>123.55913116874527</v>
      </c>
      <c r="M89" s="7">
        <f t="shared" si="61"/>
        <v>148.28152478595968</v>
      </c>
      <c r="N89" s="22"/>
      <c r="O89" s="7">
        <f t="shared" si="45"/>
        <v>10.863270202392142</v>
      </c>
      <c r="P89" s="7">
        <f t="shared" si="46"/>
        <v>15.238166957052014</v>
      </c>
      <c r="Q89" s="7">
        <f t="shared" si="47"/>
        <v>17.927566048986645</v>
      </c>
      <c r="R89" s="7">
        <f t="shared" si="48"/>
        <v>8.6811055167948901</v>
      </c>
      <c r="S89" s="7">
        <f t="shared" si="49"/>
        <v>15.148344197596437</v>
      </c>
      <c r="T89" s="7">
        <f t="shared" si="50"/>
        <v>22.244342194587023</v>
      </c>
      <c r="U89" s="7">
        <f t="shared" si="51"/>
        <v>10.208092427539698</v>
      </c>
      <c r="V89" s="7">
        <f t="shared" si="52"/>
        <v>11.481462135115821</v>
      </c>
      <c r="W89" s="7">
        <f t="shared" si="53"/>
        <v>13.774584347099376</v>
      </c>
      <c r="X89" s="22"/>
      <c r="Y89" s="10">
        <v>0.48923071598898177</v>
      </c>
      <c r="AB89" s="22"/>
    </row>
    <row r="90" spans="1:28" hidden="1" x14ac:dyDescent="0.25">
      <c r="A90" s="16"/>
      <c r="B90" s="3" t="s">
        <v>139</v>
      </c>
      <c r="C90" s="3" t="s">
        <v>140</v>
      </c>
      <c r="D90" s="11" t="s">
        <v>6</v>
      </c>
      <c r="E90" s="8">
        <f t="shared" si="44"/>
        <v>113.91317482801449</v>
      </c>
      <c r="F90" s="7">
        <f t="shared" si="54"/>
        <v>159.81103045450593</v>
      </c>
      <c r="G90" s="7">
        <f t="shared" si="55"/>
        <v>187.84913721186683</v>
      </c>
      <c r="H90" s="7">
        <f t="shared" si="56"/>
        <v>91.038898602719911</v>
      </c>
      <c r="I90" s="7">
        <f t="shared" si="57"/>
        <v>158.86887593070918</v>
      </c>
      <c r="J90" s="7">
        <f t="shared" si="58"/>
        <v>233.28878653989972</v>
      </c>
      <c r="K90" s="7">
        <f t="shared" si="59"/>
        <v>107.07611904876822</v>
      </c>
      <c r="L90" s="7">
        <f t="shared" si="60"/>
        <v>120.39499201632103</v>
      </c>
      <c r="M90" s="7">
        <f t="shared" si="61"/>
        <v>144.48428719033711</v>
      </c>
      <c r="N90" s="22"/>
      <c r="O90" s="7">
        <f t="shared" si="45"/>
        <v>10.585080332929486</v>
      </c>
      <c r="P90" s="7">
        <f t="shared" si="46"/>
        <v>14.847943424206537</v>
      </c>
      <c r="Q90" s="7">
        <f t="shared" si="47"/>
        <v>17.468471580559214</v>
      </c>
      <c r="R90" s="7">
        <f t="shared" si="48"/>
        <v>8.4587971726669</v>
      </c>
      <c r="S90" s="7">
        <f t="shared" si="49"/>
        <v>14.760420872815583</v>
      </c>
      <c r="T90" s="7">
        <f t="shared" si="50"/>
        <v>21.674702432700943</v>
      </c>
      <c r="U90" s="7">
        <f t="shared" si="51"/>
        <v>9.9466805463131163</v>
      </c>
      <c r="V90" s="7">
        <f t="shared" si="52"/>
        <v>11.187441421914288</v>
      </c>
      <c r="W90" s="7">
        <f t="shared" si="53"/>
        <v>13.42184067507158</v>
      </c>
      <c r="X90" s="22"/>
      <c r="Y90" s="10">
        <v>0.47670234962393204</v>
      </c>
      <c r="AB90" s="22"/>
    </row>
    <row r="91" spans="1:28" hidden="1" x14ac:dyDescent="0.25">
      <c r="A91" s="16"/>
      <c r="B91" s="3" t="s">
        <v>141</v>
      </c>
      <c r="C91" s="3" t="s">
        <v>141</v>
      </c>
      <c r="D91" s="11" t="s">
        <v>6</v>
      </c>
      <c r="E91" s="8">
        <f t="shared" si="44"/>
        <v>154.08950984984662</v>
      </c>
      <c r="F91" s="7">
        <f t="shared" si="54"/>
        <v>216.17520000221862</v>
      </c>
      <c r="G91" s="7">
        <f t="shared" si="55"/>
        <v>254.1021398305773</v>
      </c>
      <c r="H91" s="7">
        <f t="shared" si="56"/>
        <v>123.1476454250582</v>
      </c>
      <c r="I91" s="7">
        <f t="shared" si="57"/>
        <v>214.90075453975263</v>
      </c>
      <c r="J91" s="7">
        <f t="shared" si="58"/>
        <v>315.56801770885386</v>
      </c>
      <c r="K91" s="7">
        <f t="shared" si="59"/>
        <v>144.84107501839961</v>
      </c>
      <c r="L91" s="7">
        <f t="shared" si="60"/>
        <v>162.85741606429826</v>
      </c>
      <c r="M91" s="7">
        <f t="shared" si="61"/>
        <v>195.44282764286791</v>
      </c>
      <c r="N91" s="22"/>
      <c r="O91" s="7">
        <f t="shared" si="45"/>
        <v>14.318359949890835</v>
      </c>
      <c r="P91" s="7">
        <f t="shared" si="46"/>
        <v>20.084703353835202</v>
      </c>
      <c r="Q91" s="7">
        <f t="shared" si="47"/>
        <v>23.62947242703288</v>
      </c>
      <c r="R91" s="7">
        <f t="shared" si="48"/>
        <v>11.442152430773659</v>
      </c>
      <c r="S91" s="7">
        <f t="shared" si="49"/>
        <v>19.966312245300113</v>
      </c>
      <c r="T91" s="7">
        <f t="shared" si="50"/>
        <v>29.31920981957219</v>
      </c>
      <c r="U91" s="7">
        <f t="shared" si="51"/>
        <v>13.454801275870183</v>
      </c>
      <c r="V91" s="7">
        <f t="shared" si="52"/>
        <v>15.133169343926452</v>
      </c>
      <c r="W91" s="7">
        <f t="shared" si="53"/>
        <v>18.155624702998743</v>
      </c>
      <c r="X91" s="22"/>
      <c r="Y91" s="10">
        <v>0.6448317458338213</v>
      </c>
      <c r="AB91" s="22"/>
    </row>
    <row r="92" spans="1:28" hidden="1" x14ac:dyDescent="0.25">
      <c r="A92" s="16"/>
      <c r="B92" s="3" t="s">
        <v>142</v>
      </c>
      <c r="C92" s="3" t="s">
        <v>143</v>
      </c>
      <c r="D92" s="11" t="s">
        <v>6</v>
      </c>
      <c r="E92" s="8">
        <f t="shared" si="44"/>
        <v>188.46286549112196</v>
      </c>
      <c r="F92" s="7">
        <f t="shared" si="54"/>
        <v>264.39825579453662</v>
      </c>
      <c r="G92" s="7">
        <f t="shared" si="55"/>
        <v>310.78570790809761</v>
      </c>
      <c r="H92" s="7">
        <f t="shared" si="56"/>
        <v>150.61867714360977</v>
      </c>
      <c r="I92" s="7">
        <f t="shared" si="57"/>
        <v>262.83951474848783</v>
      </c>
      <c r="J92" s="7">
        <f t="shared" si="58"/>
        <v>385.96302196507321</v>
      </c>
      <c r="K92" s="7">
        <f t="shared" si="59"/>
        <v>177.1513457689756</v>
      </c>
      <c r="L92" s="7">
        <f t="shared" si="60"/>
        <v>199.18666317951221</v>
      </c>
      <c r="M92" s="7">
        <f t="shared" si="61"/>
        <v>239.04103123668295</v>
      </c>
      <c r="N92" s="22"/>
      <c r="O92" s="7">
        <f t="shared" si="45"/>
        <v>17.512413063804878</v>
      </c>
      <c r="P92" s="7">
        <f t="shared" si="46"/>
        <v>24.565077468878052</v>
      </c>
      <c r="Q92" s="7">
        <f t="shared" si="47"/>
        <v>28.900592181658538</v>
      </c>
      <c r="R92" s="7">
        <f t="shared" si="48"/>
        <v>13.99459857190244</v>
      </c>
      <c r="S92" s="7">
        <f t="shared" si="49"/>
        <v>24.420276388097562</v>
      </c>
      <c r="T92" s="7">
        <f t="shared" si="50"/>
        <v>35.859561769756105</v>
      </c>
      <c r="U92" s="7">
        <f t="shared" si="51"/>
        <v>16.456216945170734</v>
      </c>
      <c r="V92" s="7">
        <f t="shared" si="52"/>
        <v>18.508985208000002</v>
      </c>
      <c r="W92" s="7">
        <f t="shared" si="53"/>
        <v>22.205671623219516</v>
      </c>
      <c r="X92" s="22"/>
      <c r="Y92" s="10">
        <v>0.78867691056910572</v>
      </c>
      <c r="AB92" s="22"/>
    </row>
    <row r="93" spans="1:28" hidden="1" x14ac:dyDescent="0.25">
      <c r="A93" s="16"/>
      <c r="B93" s="3" t="s">
        <v>144</v>
      </c>
      <c r="C93" s="3" t="s">
        <v>145</v>
      </c>
      <c r="D93" s="11" t="s">
        <v>6</v>
      </c>
      <c r="E93" s="8">
        <f t="shared" si="44"/>
        <v>114.80851861929318</v>
      </c>
      <c r="F93" s="7">
        <f t="shared" si="54"/>
        <v>161.06712584567842</v>
      </c>
      <c r="G93" s="7">
        <f t="shared" si="55"/>
        <v>189.32560873461767</v>
      </c>
      <c r="H93" s="7">
        <f t="shared" si="56"/>
        <v>91.754453346513685</v>
      </c>
      <c r="I93" s="7">
        <f t="shared" si="57"/>
        <v>160.11756610115472</v>
      </c>
      <c r="J93" s="7">
        <f t="shared" si="58"/>
        <v>235.12240821639844</v>
      </c>
      <c r="K93" s="7">
        <f t="shared" si="59"/>
        <v>107.91772440766788</v>
      </c>
      <c r="L93" s="7">
        <f t="shared" si="60"/>
        <v>121.34128210757349</v>
      </c>
      <c r="M93" s="7">
        <f t="shared" si="61"/>
        <v>145.61991623121412</v>
      </c>
      <c r="N93" s="22"/>
      <c r="O93" s="7">
        <f t="shared" si="45"/>
        <v>10.668277785468083</v>
      </c>
      <c r="P93" s="7">
        <f t="shared" si="46"/>
        <v>14.964646465607952</v>
      </c>
      <c r="Q93" s="7">
        <f t="shared" si="47"/>
        <v>17.605771656660121</v>
      </c>
      <c r="R93" s="7">
        <f t="shared" si="48"/>
        <v>8.5252822964611195</v>
      </c>
      <c r="S93" s="7">
        <f t="shared" si="49"/>
        <v>14.876435997537449</v>
      </c>
      <c r="T93" s="7">
        <f t="shared" si="50"/>
        <v>21.845062975107307</v>
      </c>
      <c r="U93" s="7">
        <f t="shared" si="51"/>
        <v>10.024860253659696</v>
      </c>
      <c r="V93" s="7">
        <f t="shared" si="52"/>
        <v>11.275373359835674</v>
      </c>
      <c r="W93" s="7">
        <f t="shared" si="53"/>
        <v>13.527334721165026</v>
      </c>
      <c r="X93" s="22"/>
      <c r="Y93" s="10">
        <v>0.48044917249730157</v>
      </c>
      <c r="AB93" s="22"/>
    </row>
    <row r="94" spans="1:28" hidden="1" x14ac:dyDescent="0.25">
      <c r="A94" s="16"/>
      <c r="B94" s="3" t="s">
        <v>146</v>
      </c>
      <c r="C94" s="3" t="s">
        <v>147</v>
      </c>
      <c r="D94" s="11" t="s">
        <v>6</v>
      </c>
      <c r="E94" s="8">
        <f t="shared" si="44"/>
        <v>147.0601644393175</v>
      </c>
      <c r="F94" s="7">
        <f t="shared" si="54"/>
        <v>206.31359325503277</v>
      </c>
      <c r="G94" s="7">
        <f t="shared" si="55"/>
        <v>242.51035975311299</v>
      </c>
      <c r="H94" s="7">
        <f t="shared" si="56"/>
        <v>117.5298240884232</v>
      </c>
      <c r="I94" s="7">
        <f t="shared" si="57"/>
        <v>205.09728619128896</v>
      </c>
      <c r="J94" s="7">
        <f t="shared" si="58"/>
        <v>301.17225125367418</v>
      </c>
      <c r="K94" s="7">
        <f t="shared" si="59"/>
        <v>138.23363011881614</v>
      </c>
      <c r="L94" s="7">
        <f t="shared" si="60"/>
        <v>155.4280911784073</v>
      </c>
      <c r="M94" s="7">
        <f t="shared" si="61"/>
        <v>186.527002387463</v>
      </c>
      <c r="N94" s="22"/>
      <c r="O94" s="7">
        <f t="shared" si="45"/>
        <v>13.665176628728048</v>
      </c>
      <c r="P94" s="7">
        <f t="shared" si="46"/>
        <v>19.168467605667168</v>
      </c>
      <c r="Q94" s="7">
        <f t="shared" si="47"/>
        <v>22.551529329413558</v>
      </c>
      <c r="R94" s="7">
        <f t="shared" si="48"/>
        <v>10.920177626945614</v>
      </c>
      <c r="S94" s="7">
        <f t="shared" si="49"/>
        <v>19.055477331986051</v>
      </c>
      <c r="T94" s="7">
        <f t="shared" si="50"/>
        <v>27.981708952794303</v>
      </c>
      <c r="U94" s="7">
        <f t="shared" si="51"/>
        <v>12.841012279524605</v>
      </c>
      <c r="V94" s="7">
        <f t="shared" si="52"/>
        <v>14.442815571121621</v>
      </c>
      <c r="W94" s="7">
        <f t="shared" si="53"/>
        <v>17.327390793333667</v>
      </c>
      <c r="X94" s="22"/>
      <c r="Y94" s="10">
        <v>0.61541543399301268</v>
      </c>
      <c r="AB94" s="22"/>
    </row>
    <row r="95" spans="1:28" hidden="1" x14ac:dyDescent="0.25">
      <c r="A95" s="16"/>
      <c r="B95" s="3" t="s">
        <v>148</v>
      </c>
      <c r="C95" s="3" t="s">
        <v>149</v>
      </c>
      <c r="D95" s="11" t="s">
        <v>6</v>
      </c>
      <c r="E95" s="8">
        <f t="shared" si="44"/>
        <v>190.65574852682929</v>
      </c>
      <c r="F95" s="7">
        <f t="shared" si="54"/>
        <v>267.47469447804883</v>
      </c>
      <c r="G95" s="7">
        <f t="shared" si="55"/>
        <v>314.40189354146349</v>
      </c>
      <c r="H95" s="7">
        <f t="shared" si="56"/>
        <v>152.37121943414638</v>
      </c>
      <c r="I95" s="7">
        <f t="shared" si="57"/>
        <v>265.89781650731709</v>
      </c>
      <c r="J95" s="7">
        <f t="shared" si="58"/>
        <v>390.45394255609762</v>
      </c>
      <c r="K95" s="7">
        <f t="shared" si="59"/>
        <v>179.21261221463416</v>
      </c>
      <c r="L95" s="7">
        <f t="shared" si="60"/>
        <v>201.50432429268295</v>
      </c>
      <c r="M95" s="7">
        <f t="shared" si="61"/>
        <v>241.82242279024393</v>
      </c>
      <c r="N95" s="22"/>
      <c r="O95" s="7">
        <f t="shared" si="45"/>
        <v>17.716180917073171</v>
      </c>
      <c r="P95" s="7">
        <f t="shared" si="46"/>
        <v>24.850907473170732</v>
      </c>
      <c r="Q95" s="7">
        <f t="shared" si="47"/>
        <v>29.236868604878051</v>
      </c>
      <c r="R95" s="7">
        <f t="shared" si="48"/>
        <v>14.157434458536587</v>
      </c>
      <c r="S95" s="7">
        <f t="shared" si="49"/>
        <v>24.704421541463418</v>
      </c>
      <c r="T95" s="7">
        <f t="shared" si="50"/>
        <v>36.276810146341468</v>
      </c>
      <c r="U95" s="7">
        <f t="shared" si="51"/>
        <v>16.647695297560979</v>
      </c>
      <c r="V95" s="7">
        <f t="shared" si="52"/>
        <v>18.724348800000001</v>
      </c>
      <c r="W95" s="7">
        <f t="shared" si="53"/>
        <v>22.464048468292685</v>
      </c>
      <c r="X95" s="22"/>
      <c r="Y95" s="10">
        <v>0.79785365853658541</v>
      </c>
      <c r="AB95" s="22"/>
    </row>
    <row r="96" spans="1:28" hidden="1" x14ac:dyDescent="0.25">
      <c r="A96" s="16"/>
      <c r="B96" s="3" t="s">
        <v>150</v>
      </c>
      <c r="C96" s="3" t="s">
        <v>151</v>
      </c>
      <c r="D96" s="11" t="s">
        <v>6</v>
      </c>
      <c r="E96" s="8">
        <f t="shared" si="44"/>
        <v>153.05091241775582</v>
      </c>
      <c r="F96" s="7">
        <f t="shared" si="54"/>
        <v>214.71813126455572</v>
      </c>
      <c r="G96" s="7">
        <f t="shared" si="55"/>
        <v>252.38943511645383</v>
      </c>
      <c r="H96" s="7">
        <f t="shared" si="56"/>
        <v>122.31760301379268</v>
      </c>
      <c r="I96" s="7">
        <f t="shared" si="57"/>
        <v>213.45227584683673</v>
      </c>
      <c r="J96" s="7">
        <f t="shared" si="58"/>
        <v>313.44101936119364</v>
      </c>
      <c r="K96" s="7">
        <f t="shared" si="59"/>
        <v>143.86481408589378</v>
      </c>
      <c r="L96" s="7">
        <f t="shared" si="60"/>
        <v>161.75972100195338</v>
      </c>
      <c r="M96" s="7">
        <f t="shared" si="61"/>
        <v>194.12549968778359</v>
      </c>
      <c r="N96" s="22"/>
      <c r="O96" s="7">
        <f t="shared" si="45"/>
        <v>14.221851031858717</v>
      </c>
      <c r="P96" s="7">
        <f t="shared" si="46"/>
        <v>19.949328003832949</v>
      </c>
      <c r="Q96" s="7">
        <f t="shared" si="47"/>
        <v>23.470204548198751</v>
      </c>
      <c r="R96" s="7">
        <f t="shared" si="48"/>
        <v>11.365029788591377</v>
      </c>
      <c r="S96" s="7">
        <f t="shared" si="49"/>
        <v>19.831734877596762</v>
      </c>
      <c r="T96" s="7">
        <f t="shared" si="50"/>
        <v>29.121591850255452</v>
      </c>
      <c r="U96" s="7">
        <f t="shared" si="51"/>
        <v>13.36411293460654</v>
      </c>
      <c r="V96" s="7">
        <f t="shared" si="52"/>
        <v>15.031168430072469</v>
      </c>
      <c r="W96" s="7">
        <f t="shared" si="53"/>
        <v>18.033251770455099</v>
      </c>
      <c r="X96" s="22"/>
      <c r="Y96" s="10">
        <v>0.64048543701626304</v>
      </c>
      <c r="AB96" s="22"/>
    </row>
    <row r="97" spans="1:28" hidden="1" x14ac:dyDescent="0.25">
      <c r="A97" s="16"/>
      <c r="B97" s="3" t="s">
        <v>152</v>
      </c>
      <c r="C97" s="3" t="s">
        <v>153</v>
      </c>
      <c r="D97" s="11" t="s">
        <v>6</v>
      </c>
      <c r="E97" s="8">
        <f t="shared" si="44"/>
        <v>120.78432456073168</v>
      </c>
      <c r="F97" s="7">
        <f t="shared" si="54"/>
        <v>169.45070137800198</v>
      </c>
      <c r="G97" s="7">
        <f t="shared" si="55"/>
        <v>199.18004385100861</v>
      </c>
      <c r="H97" s="7">
        <f t="shared" si="56"/>
        <v>96.530290662904193</v>
      </c>
      <c r="I97" s="7">
        <f t="shared" si="57"/>
        <v>168.45171686229133</v>
      </c>
      <c r="J97" s="7">
        <f t="shared" si="58"/>
        <v>247.36057573987318</v>
      </c>
      <c r="K97" s="7">
        <f t="shared" si="59"/>
        <v>113.53486315710464</v>
      </c>
      <c r="L97" s="7">
        <f t="shared" si="60"/>
        <v>127.65711967154976</v>
      </c>
      <c r="M97" s="7">
        <f t="shared" si="61"/>
        <v>153.19946146941939</v>
      </c>
      <c r="N97" s="22"/>
      <c r="O97" s="7">
        <f t="shared" si="45"/>
        <v>11.223563739350281</v>
      </c>
      <c r="P97" s="7">
        <f t="shared" si="46"/>
        <v>15.743559253057496</v>
      </c>
      <c r="Q97" s="7">
        <f t="shared" si="47"/>
        <v>18.522155528995867</v>
      </c>
      <c r="R97" s="7">
        <f t="shared" si="48"/>
        <v>8.9690249142765133</v>
      </c>
      <c r="S97" s="7">
        <f t="shared" si="49"/>
        <v>15.650757412800223</v>
      </c>
      <c r="T97" s="7">
        <f t="shared" si="50"/>
        <v>22.982102793124845</v>
      </c>
      <c r="U97" s="7">
        <f t="shared" si="51"/>
        <v>10.546656198650167</v>
      </c>
      <c r="V97" s="7">
        <f t="shared" si="52"/>
        <v>11.862258757591517</v>
      </c>
      <c r="W97" s="7">
        <f t="shared" si="53"/>
        <v>14.231435150041918</v>
      </c>
      <c r="X97" s="22"/>
      <c r="Y97" s="10">
        <v>0.50545664628144726</v>
      </c>
      <c r="AB97" s="22"/>
    </row>
    <row r="98" spans="1:28" hidden="1" x14ac:dyDescent="0.25">
      <c r="A98" s="16"/>
      <c r="B98" s="3" t="s">
        <v>154</v>
      </c>
      <c r="C98" s="3" t="s">
        <v>155</v>
      </c>
      <c r="D98" s="11" t="s">
        <v>6</v>
      </c>
      <c r="E98" s="8">
        <f t="shared" si="44"/>
        <v>126.03528665546318</v>
      </c>
      <c r="F98" s="7">
        <f t="shared" si="54"/>
        <v>176.81737924036128</v>
      </c>
      <c r="G98" s="7">
        <f t="shared" si="55"/>
        <v>207.83917130063659</v>
      </c>
      <c r="H98" s="7">
        <f t="shared" si="56"/>
        <v>100.72683602678097</v>
      </c>
      <c r="I98" s="7">
        <f t="shared" si="57"/>
        <v>175.77496500109748</v>
      </c>
      <c r="J98" s="7">
        <f t="shared" si="58"/>
        <v>258.11429739758671</v>
      </c>
      <c r="K98" s="7">
        <f t="shared" si="59"/>
        <v>118.47066310495902</v>
      </c>
      <c r="L98" s="7">
        <f t="shared" si="60"/>
        <v>133.20686877149083</v>
      </c>
      <c r="M98" s="7">
        <f t="shared" si="61"/>
        <v>159.85963503113618</v>
      </c>
      <c r="N98" s="22"/>
      <c r="O98" s="7">
        <f t="shared" si="45"/>
        <v>11.711495496864877</v>
      </c>
      <c r="P98" s="7">
        <f t="shared" si="46"/>
        <v>16.427992710582835</v>
      </c>
      <c r="Q98" s="7">
        <f t="shared" si="47"/>
        <v>19.327385321431194</v>
      </c>
      <c r="R98" s="7">
        <f t="shared" si="48"/>
        <v>9.3589431426794736</v>
      </c>
      <c r="S98" s="7">
        <f t="shared" si="49"/>
        <v>16.331156415132106</v>
      </c>
      <c r="T98" s="7">
        <f t="shared" si="50"/>
        <v>23.981223755739855</v>
      </c>
      <c r="U98" s="7">
        <f t="shared" si="51"/>
        <v>11.0051601653419</v>
      </c>
      <c r="V98" s="7">
        <f t="shared" si="52"/>
        <v>12.377957059672852</v>
      </c>
      <c r="W98" s="7">
        <f t="shared" si="53"/>
        <v>14.850130720003277</v>
      </c>
      <c r="X98" s="22"/>
      <c r="Y98" s="10">
        <v>0.52743080310855661</v>
      </c>
      <c r="AB98" s="22"/>
    </row>
    <row r="99" spans="1:28" hidden="1" x14ac:dyDescent="0.25">
      <c r="A99" s="16"/>
      <c r="B99" s="3" t="s">
        <v>156</v>
      </c>
      <c r="C99" s="3" t="s">
        <v>157</v>
      </c>
      <c r="D99" s="11" t="s">
        <v>6</v>
      </c>
      <c r="E99" s="8">
        <f t="shared" si="44"/>
        <v>146.67072632341532</v>
      </c>
      <c r="F99" s="7">
        <f t="shared" si="54"/>
        <v>205.76724287287067</v>
      </c>
      <c r="G99" s="7">
        <f t="shared" si="55"/>
        <v>241.86815472125352</v>
      </c>
      <c r="H99" s="7">
        <f t="shared" si="56"/>
        <v>117.21858689220616</v>
      </c>
      <c r="I99" s="7">
        <f t="shared" si="57"/>
        <v>204.55415677880998</v>
      </c>
      <c r="J99" s="7">
        <f t="shared" si="58"/>
        <v>300.37470043807821</v>
      </c>
      <c r="K99" s="7">
        <f t="shared" si="59"/>
        <v>137.86756603427605</v>
      </c>
      <c r="L99" s="7">
        <f t="shared" si="60"/>
        <v>155.01649349512192</v>
      </c>
      <c r="M99" s="7">
        <f t="shared" si="61"/>
        <v>186.03304996566609</v>
      </c>
      <c r="N99" s="22"/>
      <c r="O99" s="7">
        <f t="shared" si="45"/>
        <v>13.628989122342126</v>
      </c>
      <c r="P99" s="7">
        <f t="shared" si="46"/>
        <v>19.117706531534385</v>
      </c>
      <c r="Q99" s="7">
        <f t="shared" si="47"/>
        <v>22.491809383320447</v>
      </c>
      <c r="R99" s="7">
        <f t="shared" si="48"/>
        <v>10.891259303505892</v>
      </c>
      <c r="S99" s="7">
        <f t="shared" si="49"/>
        <v>19.005015473616186</v>
      </c>
      <c r="T99" s="7">
        <f t="shared" si="50"/>
        <v>27.907609049153873</v>
      </c>
      <c r="U99" s="7">
        <f t="shared" si="51"/>
        <v>12.807007288115267</v>
      </c>
      <c r="V99" s="7">
        <f t="shared" si="52"/>
        <v>14.404568756249731</v>
      </c>
      <c r="W99" s="7">
        <f t="shared" si="53"/>
        <v>17.281505176043737</v>
      </c>
      <c r="X99" s="22"/>
      <c r="Y99" s="10">
        <v>0.61378571850870656</v>
      </c>
      <c r="AB99" s="22"/>
    </row>
    <row r="100" spans="1:28" hidden="1" x14ac:dyDescent="0.25">
      <c r="A100" s="16"/>
      <c r="B100" s="3" t="s">
        <v>158</v>
      </c>
      <c r="C100" s="3" t="s">
        <v>159</v>
      </c>
      <c r="D100" s="11" t="s">
        <v>6</v>
      </c>
      <c r="E100" s="8">
        <f t="shared" si="44"/>
        <v>141.33287575540098</v>
      </c>
      <c r="F100" s="7">
        <f t="shared" si="54"/>
        <v>198.27866746467515</v>
      </c>
      <c r="G100" s="7">
        <f t="shared" si="55"/>
        <v>233.06574336469833</v>
      </c>
      <c r="H100" s="7">
        <f t="shared" si="56"/>
        <v>112.95260065003868</v>
      </c>
      <c r="I100" s="7">
        <f t="shared" si="57"/>
        <v>197.10972973244884</v>
      </c>
      <c r="J100" s="7">
        <f t="shared" si="58"/>
        <v>289.4430353025619</v>
      </c>
      <c r="K100" s="7">
        <f t="shared" si="59"/>
        <v>132.85009264940928</v>
      </c>
      <c r="L100" s="7">
        <f t="shared" si="60"/>
        <v>149.37491184760245</v>
      </c>
      <c r="M100" s="7">
        <f t="shared" si="61"/>
        <v>179.26266949288498</v>
      </c>
      <c r="N100" s="22"/>
      <c r="O100" s="7">
        <f t="shared" si="45"/>
        <v>13.132983483372701</v>
      </c>
      <c r="P100" s="7">
        <f t="shared" si="46"/>
        <v>18.421947648855483</v>
      </c>
      <c r="Q100" s="7">
        <f t="shared" si="47"/>
        <v>21.673255330293568</v>
      </c>
      <c r="R100" s="7">
        <f t="shared" si="48"/>
        <v>10.49488903851233</v>
      </c>
      <c r="S100" s="7">
        <f t="shared" si="49"/>
        <v>18.313357804878184</v>
      </c>
      <c r="T100" s="7">
        <f t="shared" si="50"/>
        <v>26.891955479085158</v>
      </c>
      <c r="U100" s="7">
        <f t="shared" si="51"/>
        <v>12.340916386126489</v>
      </c>
      <c r="V100" s="7">
        <f t="shared" si="52"/>
        <v>13.880337115451791</v>
      </c>
      <c r="W100" s="7">
        <f t="shared" si="53"/>
        <v>16.652571955813539</v>
      </c>
      <c r="X100" s="22"/>
      <c r="Y100" s="10">
        <v>0.59144795194609734</v>
      </c>
      <c r="AB100" s="22"/>
    </row>
    <row r="101" spans="1:28" hidden="1" x14ac:dyDescent="0.25">
      <c r="A101" s="16"/>
      <c r="B101" s="3" t="s">
        <v>160</v>
      </c>
      <c r="C101" s="3" t="s">
        <v>161</v>
      </c>
      <c r="D101" s="11" t="s">
        <v>6</v>
      </c>
      <c r="E101" s="8">
        <f t="shared" si="44"/>
        <v>220.21054685908413</v>
      </c>
      <c r="F101" s="7">
        <f t="shared" si="54"/>
        <v>308.93770157519805</v>
      </c>
      <c r="G101" s="7">
        <f t="shared" si="55"/>
        <v>363.13939362050996</v>
      </c>
      <c r="H101" s="7">
        <f t="shared" si="56"/>
        <v>175.99128175491211</v>
      </c>
      <c r="I101" s="7">
        <f t="shared" si="57"/>
        <v>307.11638140547859</v>
      </c>
      <c r="J101" s="7">
        <f t="shared" si="58"/>
        <v>450.98076967484769</v>
      </c>
      <c r="K101" s="7">
        <f t="shared" si="59"/>
        <v>206.9935349170764</v>
      </c>
      <c r="L101" s="7">
        <f t="shared" si="60"/>
        <v>232.74083152398461</v>
      </c>
      <c r="M101" s="7">
        <f t="shared" si="61"/>
        <v>279.30890296724834</v>
      </c>
      <c r="N101" s="22"/>
      <c r="O101" s="7">
        <f t="shared" si="45"/>
        <v>20.462482343951777</v>
      </c>
      <c r="P101" s="7">
        <f t="shared" si="46"/>
        <v>28.703209669239751</v>
      </c>
      <c r="Q101" s="7">
        <f t="shared" si="47"/>
        <v>33.769067409060497</v>
      </c>
      <c r="R101" s="7">
        <f t="shared" si="48"/>
        <v>16.352071250541229</v>
      </c>
      <c r="S101" s="7">
        <f t="shared" si="49"/>
        <v>28.534015992271282</v>
      </c>
      <c r="T101" s="7">
        <f t="shared" si="50"/>
        <v>41.900316472780638</v>
      </c>
      <c r="U101" s="7">
        <f t="shared" si="51"/>
        <v>19.228363759005269</v>
      </c>
      <c r="V101" s="7">
        <f t="shared" si="52"/>
        <v>21.626932944264212</v>
      </c>
      <c r="W101" s="7">
        <f t="shared" si="53"/>
        <v>25.946347991576985</v>
      </c>
      <c r="X101" s="22"/>
      <c r="Y101" s="10">
        <v>0.92153418828144262</v>
      </c>
      <c r="AB101" s="22"/>
    </row>
    <row r="102" spans="1:28" hidden="1" x14ac:dyDescent="0.25">
      <c r="A102" s="16"/>
      <c r="B102" s="3" t="s">
        <v>162</v>
      </c>
      <c r="C102" s="3" t="s">
        <v>163</v>
      </c>
      <c r="D102" s="11" t="s">
        <v>6</v>
      </c>
      <c r="E102" s="8">
        <f t="shared" si="44"/>
        <v>173.69516082249194</v>
      </c>
      <c r="F102" s="7">
        <f t="shared" si="54"/>
        <v>243.68035284692098</v>
      </c>
      <c r="G102" s="7">
        <f t="shared" si="55"/>
        <v>286.43294463211896</v>
      </c>
      <c r="H102" s="7">
        <f t="shared" si="56"/>
        <v>138.81639378216241</v>
      </c>
      <c r="I102" s="7">
        <f t="shared" si="57"/>
        <v>242.24375271899382</v>
      </c>
      <c r="J102" s="7">
        <f t="shared" si="58"/>
        <v>355.71946227739215</v>
      </c>
      <c r="K102" s="7">
        <f t="shared" si="59"/>
        <v>163.26999705261628</v>
      </c>
      <c r="L102" s="7">
        <f t="shared" si="60"/>
        <v>183.57865569167379</v>
      </c>
      <c r="M102" s="7">
        <f t="shared" si="61"/>
        <v>220.31008737785476</v>
      </c>
      <c r="N102" s="22"/>
      <c r="O102" s="7">
        <f t="shared" si="45"/>
        <v>16.140163185891868</v>
      </c>
      <c r="P102" s="7">
        <f t="shared" si="46"/>
        <v>22.640189994217973</v>
      </c>
      <c r="Q102" s="7">
        <f t="shared" si="47"/>
        <v>26.635979421075444</v>
      </c>
      <c r="R102" s="7">
        <f t="shared" si="48"/>
        <v>12.898000055651917</v>
      </c>
      <c r="S102" s="7">
        <f t="shared" si="49"/>
        <v>22.506735337525289</v>
      </c>
      <c r="T102" s="7">
        <f t="shared" si="50"/>
        <v>33.049653216247457</v>
      </c>
      <c r="U102" s="7">
        <f t="shared" si="51"/>
        <v>15.166729219427573</v>
      </c>
      <c r="V102" s="7">
        <f t="shared" si="52"/>
        <v>17.05864523489447</v>
      </c>
      <c r="W102" s="7">
        <f t="shared" si="53"/>
        <v>20.465664117519506</v>
      </c>
      <c r="X102" s="22"/>
      <c r="Y102" s="10">
        <v>0.72687721510177383</v>
      </c>
      <c r="AB102" s="22"/>
    </row>
    <row r="103" spans="1:28" hidden="1" x14ac:dyDescent="0.25">
      <c r="A103" s="16"/>
      <c r="B103" s="3" t="s">
        <v>164</v>
      </c>
      <c r="C103" s="3" t="s">
        <v>165</v>
      </c>
      <c r="D103" s="11" t="s">
        <v>6</v>
      </c>
      <c r="E103" s="8">
        <f t="shared" si="44"/>
        <v>117.19338101419218</v>
      </c>
      <c r="F103" s="7">
        <f t="shared" si="54"/>
        <v>164.41289614306876</v>
      </c>
      <c r="G103" s="7">
        <f t="shared" si="55"/>
        <v>193.2583789688525</v>
      </c>
      <c r="H103" s="7">
        <f t="shared" si="56"/>
        <v>93.660424680193458</v>
      </c>
      <c r="I103" s="7">
        <f t="shared" si="57"/>
        <v>163.44361164855565</v>
      </c>
      <c r="J103" s="7">
        <f t="shared" si="58"/>
        <v>240.0064934419276</v>
      </c>
      <c r="K103" s="7">
        <f t="shared" si="59"/>
        <v>110.15944763324455</v>
      </c>
      <c r="L103" s="7">
        <f t="shared" si="60"/>
        <v>123.86184647097913</v>
      </c>
      <c r="M103" s="7">
        <f t="shared" si="61"/>
        <v>148.64480903833905</v>
      </c>
      <c r="N103" s="22"/>
      <c r="O103" s="7">
        <f t="shared" si="45"/>
        <v>10.88988481267193</v>
      </c>
      <c r="P103" s="7">
        <f t="shared" si="46"/>
        <v>15.275499902600121</v>
      </c>
      <c r="Q103" s="7">
        <f t="shared" si="47"/>
        <v>17.971487922857907</v>
      </c>
      <c r="R103" s="7">
        <f t="shared" si="48"/>
        <v>8.7023739042898747</v>
      </c>
      <c r="S103" s="7">
        <f t="shared" si="49"/>
        <v>15.185457080705461</v>
      </c>
      <c r="T103" s="7">
        <f t="shared" si="50"/>
        <v>22.298840010383671</v>
      </c>
      <c r="U103" s="7">
        <f t="shared" si="51"/>
        <v>10.233101876499109</v>
      </c>
      <c r="V103" s="7">
        <f t="shared" si="52"/>
        <v>11.509591292770478</v>
      </c>
      <c r="W103" s="7">
        <f t="shared" si="53"/>
        <v>13.808331569375353</v>
      </c>
      <c r="X103" s="22"/>
      <c r="Y103" s="10">
        <v>0.49042931315174781</v>
      </c>
      <c r="AB103" s="22"/>
    </row>
    <row r="104" spans="1:28" hidden="1" x14ac:dyDescent="0.25">
      <c r="A104" s="16"/>
      <c r="B104" s="3" t="s">
        <v>166</v>
      </c>
      <c r="C104" s="3" t="s">
        <v>167</v>
      </c>
      <c r="D104" s="11" t="s">
        <v>6</v>
      </c>
      <c r="E104" s="8">
        <f t="shared" si="44"/>
        <v>104.73192301708707</v>
      </c>
      <c r="F104" s="7">
        <f t="shared" si="54"/>
        <v>146.93047195034799</v>
      </c>
      <c r="G104" s="7">
        <f t="shared" si="55"/>
        <v>172.70874424317344</v>
      </c>
      <c r="H104" s="7">
        <f t="shared" si="56"/>
        <v>83.70128331877207</v>
      </c>
      <c r="I104" s="7">
        <f t="shared" si="57"/>
        <v>146.06425383988395</v>
      </c>
      <c r="J104" s="7">
        <f t="shared" si="58"/>
        <v>214.48601770194642</v>
      </c>
      <c r="K104" s="7">
        <f t="shared" si="59"/>
        <v>98.445924925850889</v>
      </c>
      <c r="L104" s="7">
        <f t="shared" si="60"/>
        <v>110.69131427978762</v>
      </c>
      <c r="M104" s="7">
        <f t="shared" si="61"/>
        <v>132.83904400034038</v>
      </c>
      <c r="N104" s="22"/>
      <c r="O104" s="7">
        <f t="shared" si="45"/>
        <v>9.7319368039017888</v>
      </c>
      <c r="P104" s="7">
        <f t="shared" si="46"/>
        <v>13.651218746329166</v>
      </c>
      <c r="Q104" s="7">
        <f t="shared" si="47"/>
        <v>16.060535785816523</v>
      </c>
      <c r="R104" s="7">
        <f t="shared" si="48"/>
        <v>7.7770292649857211</v>
      </c>
      <c r="S104" s="7">
        <f t="shared" si="49"/>
        <v>13.570750397269666</v>
      </c>
      <c r="T104" s="7">
        <f t="shared" si="50"/>
        <v>19.927749972970105</v>
      </c>
      <c r="U104" s="7">
        <f t="shared" si="51"/>
        <v>9.1449911989972072</v>
      </c>
      <c r="V104" s="7">
        <f t="shared" si="52"/>
        <v>10.285748382723051</v>
      </c>
      <c r="W104" s="7">
        <f t="shared" si="53"/>
        <v>12.340057999889089</v>
      </c>
      <c r="X104" s="22"/>
      <c r="Y104" s="10">
        <v>0.43828076829792612</v>
      </c>
      <c r="AB104" s="22"/>
    </row>
    <row r="105" spans="1:28" hidden="1" x14ac:dyDescent="0.25">
      <c r="A105" s="16"/>
      <c r="B105" s="3" t="s">
        <v>168</v>
      </c>
      <c r="C105" s="3" t="s">
        <v>169</v>
      </c>
      <c r="D105" s="11" t="s">
        <v>6</v>
      </c>
      <c r="E105" s="8">
        <f t="shared" si="44"/>
        <v>190.45991723707317</v>
      </c>
      <c r="F105" s="7">
        <f t="shared" si="54"/>
        <v>267.19995891512195</v>
      </c>
      <c r="G105" s="7">
        <f t="shared" si="55"/>
        <v>314.07895689365853</v>
      </c>
      <c r="H105" s="7">
        <f t="shared" si="56"/>
        <v>152.21471194536588</v>
      </c>
      <c r="I105" s="7">
        <f t="shared" si="57"/>
        <v>265.62470062829271</v>
      </c>
      <c r="J105" s="7">
        <f t="shared" si="58"/>
        <v>390.0528893502439</v>
      </c>
      <c r="K105" s="7">
        <f t="shared" si="59"/>
        <v>179.02853469658535</v>
      </c>
      <c r="L105" s="7">
        <f t="shared" si="60"/>
        <v>201.29734993170734</v>
      </c>
      <c r="M105" s="7">
        <f t="shared" si="61"/>
        <v>241.57403585560974</v>
      </c>
      <c r="N105" s="22"/>
      <c r="O105" s="7">
        <f t="shared" si="45"/>
        <v>17.697983812682928</v>
      </c>
      <c r="P105" s="7">
        <f t="shared" si="46"/>
        <v>24.82538196292683</v>
      </c>
      <c r="Q105" s="7">
        <f t="shared" si="47"/>
        <v>29.206838072195126</v>
      </c>
      <c r="R105" s="7">
        <f t="shared" si="48"/>
        <v>14.142892706341463</v>
      </c>
      <c r="S105" s="7">
        <f t="shared" si="49"/>
        <v>24.679046493658539</v>
      </c>
      <c r="T105" s="7">
        <f t="shared" si="50"/>
        <v>36.23954856585366</v>
      </c>
      <c r="U105" s="7">
        <f t="shared" si="51"/>
        <v>16.630595683902438</v>
      </c>
      <c r="V105" s="7">
        <f t="shared" si="52"/>
        <v>18.705116160000003</v>
      </c>
      <c r="W105" s="7">
        <f t="shared" si="53"/>
        <v>22.440974610731708</v>
      </c>
      <c r="X105" s="22"/>
      <c r="Y105" s="10">
        <v>0.79703414634146341</v>
      </c>
      <c r="AB105" s="22"/>
    </row>
    <row r="106" spans="1:28" ht="14.5" hidden="1" customHeight="1" x14ac:dyDescent="0.25">
      <c r="A106" s="16"/>
      <c r="B106" s="3" t="s">
        <v>170</v>
      </c>
      <c r="C106" s="3" t="s">
        <v>171</v>
      </c>
      <c r="D106" s="11" t="s">
        <v>6</v>
      </c>
      <c r="E106" s="8">
        <f t="shared" si="44"/>
        <v>198.22576507705401</v>
      </c>
      <c r="F106" s="7">
        <f t="shared" si="54"/>
        <v>278.09481938700327</v>
      </c>
      <c r="G106" s="7">
        <f t="shared" si="55"/>
        <v>326.88527028683319</v>
      </c>
      <c r="H106" s="7">
        <f t="shared" si="56"/>
        <v>158.42114272157403</v>
      </c>
      <c r="I106" s="7">
        <f t="shared" si="57"/>
        <v>276.45533122786463</v>
      </c>
      <c r="J106" s="7">
        <f t="shared" si="58"/>
        <v>405.95697789643634</v>
      </c>
      <c r="K106" s="7">
        <f t="shared" si="59"/>
        <v>186.32827723368749</v>
      </c>
      <c r="L106" s="7">
        <f t="shared" si="60"/>
        <v>209.5050852538601</v>
      </c>
      <c r="M106" s="7">
        <f t="shared" si="61"/>
        <v>251.42402020801066</v>
      </c>
      <c r="N106" s="22"/>
      <c r="O106" s="7">
        <f t="shared" si="45"/>
        <v>18.419604673163835</v>
      </c>
      <c r="P106" s="7">
        <f t="shared" si="46"/>
        <v>25.837616671889357</v>
      </c>
      <c r="Q106" s="7">
        <f t="shared" si="47"/>
        <v>30.397723081733904</v>
      </c>
      <c r="R106" s="7">
        <f t="shared" si="48"/>
        <v>14.719557625490364</v>
      </c>
      <c r="S106" s="7">
        <f t="shared" si="49"/>
        <v>25.685314493171564</v>
      </c>
      <c r="T106" s="7">
        <f t="shared" si="50"/>
        <v>37.717186611877317</v>
      </c>
      <c r="U106" s="7">
        <f t="shared" si="51"/>
        <v>17.308694663692869</v>
      </c>
      <c r="V106" s="7">
        <f t="shared" si="52"/>
        <v>19.467802020809838</v>
      </c>
      <c r="W106" s="7">
        <f t="shared" si="53"/>
        <v>23.355987053958234</v>
      </c>
      <c r="X106" s="22"/>
      <c r="Y106" s="10">
        <v>0.82953256382240947</v>
      </c>
      <c r="AB106" s="22"/>
    </row>
    <row r="107" spans="1:28" hidden="1" x14ac:dyDescent="0.25">
      <c r="A107" s="16"/>
      <c r="B107" s="3" t="s">
        <v>170</v>
      </c>
      <c r="C107" s="18" t="s">
        <v>172</v>
      </c>
      <c r="D107" s="11" t="s">
        <v>6</v>
      </c>
      <c r="E107" s="8">
        <f t="shared" si="44"/>
        <v>306.0038751804878</v>
      </c>
      <c r="F107" s="7">
        <f t="shared" si="54"/>
        <v>429.29884703414649</v>
      </c>
      <c r="G107" s="7">
        <f t="shared" si="55"/>
        <v>504.61734582439038</v>
      </c>
      <c r="H107" s="7">
        <f t="shared" si="56"/>
        <v>244.5569251024391</v>
      </c>
      <c r="I107" s="7">
        <f t="shared" si="57"/>
        <v>426.76794632195129</v>
      </c>
      <c r="J107" s="7">
        <f t="shared" si="58"/>
        <v>626.68144246829286</v>
      </c>
      <c r="K107" s="7">
        <f t="shared" si="59"/>
        <v>287.63755744390249</v>
      </c>
      <c r="L107" s="7">
        <f t="shared" si="60"/>
        <v>323.41591887804884</v>
      </c>
      <c r="M107" s="7">
        <f t="shared" si="61"/>
        <v>388.12676277073177</v>
      </c>
      <c r="N107" s="22"/>
      <c r="O107" s="7">
        <f t="shared" si="45"/>
        <v>28.434600351219515</v>
      </c>
      <c r="P107" s="7">
        <f t="shared" si="46"/>
        <v>39.885888819512203</v>
      </c>
      <c r="Q107" s="7">
        <f t="shared" si="47"/>
        <v>46.925388614634151</v>
      </c>
      <c r="R107" s="7">
        <f t="shared" si="48"/>
        <v>22.722786175609759</v>
      </c>
      <c r="S107" s="7">
        <f t="shared" si="49"/>
        <v>39.650777824390254</v>
      </c>
      <c r="T107" s="7">
        <f t="shared" si="50"/>
        <v>58.224546439024401</v>
      </c>
      <c r="U107" s="7">
        <f t="shared" si="51"/>
        <v>26.719673092682932</v>
      </c>
      <c r="V107" s="7">
        <f t="shared" si="52"/>
        <v>30.052717200000004</v>
      </c>
      <c r="W107" s="7">
        <f t="shared" si="53"/>
        <v>36.05496260487805</v>
      </c>
      <c r="X107" s="22"/>
      <c r="Y107" s="10">
        <v>1.2805609756097562</v>
      </c>
      <c r="AB107" s="22"/>
    </row>
    <row r="108" spans="1:28" hidden="1" x14ac:dyDescent="0.25">
      <c r="A108" s="16"/>
      <c r="B108" s="3" t="s">
        <v>173</v>
      </c>
      <c r="C108" s="3" t="s">
        <v>174</v>
      </c>
      <c r="D108" s="11" t="s">
        <v>6</v>
      </c>
      <c r="E108" s="8">
        <f>(221.26*$Y108)*1.08</f>
        <v>166.64018812682926</v>
      </c>
      <c r="F108" s="7">
        <f t="shared" si="54"/>
        <v>233.78279307804883</v>
      </c>
      <c r="G108" s="7">
        <f t="shared" si="55"/>
        <v>274.79890374146345</v>
      </c>
      <c r="H108" s="7">
        <f t="shared" si="56"/>
        <v>133.17809123414636</v>
      </c>
      <c r="I108" s="7">
        <f t="shared" si="57"/>
        <v>232.40454330731708</v>
      </c>
      <c r="J108" s="7">
        <f t="shared" si="58"/>
        <v>341.27121235609758</v>
      </c>
      <c r="K108" s="7">
        <f t="shared" si="59"/>
        <v>156.63846301463417</v>
      </c>
      <c r="L108" s="7">
        <f t="shared" si="60"/>
        <v>176.12224529268295</v>
      </c>
      <c r="M108" s="7">
        <f t="shared" si="61"/>
        <v>211.36175719024391</v>
      </c>
      <c r="N108" s="22"/>
      <c r="O108" s="7">
        <f t="shared" si="45"/>
        <v>15.484598517073172</v>
      </c>
      <c r="P108" s="7">
        <f t="shared" si="46"/>
        <v>21.720613873170731</v>
      </c>
      <c r="Q108" s="7">
        <f t="shared" si="47"/>
        <v>25.554106404878052</v>
      </c>
      <c r="R108" s="7">
        <f t="shared" si="48"/>
        <v>12.374122258536586</v>
      </c>
      <c r="S108" s="7">
        <f t="shared" si="49"/>
        <v>21.592579741463418</v>
      </c>
      <c r="T108" s="7">
        <f t="shared" si="50"/>
        <v>31.707276146341467</v>
      </c>
      <c r="U108" s="7">
        <f t="shared" si="51"/>
        <v>14.550702497560978</v>
      </c>
      <c r="V108" s="7">
        <f t="shared" si="52"/>
        <v>16.365774600000002</v>
      </c>
      <c r="W108" s="7">
        <f t="shared" si="53"/>
        <v>19.634410668292688</v>
      </c>
      <c r="X108" s="22"/>
      <c r="Y108" s="10">
        <v>0.69735365853658537</v>
      </c>
      <c r="AB108" s="22"/>
    </row>
    <row r="109" spans="1:28" hidden="1" x14ac:dyDescent="0.25">
      <c r="A109" s="16"/>
      <c r="B109" s="3" t="s">
        <v>175</v>
      </c>
      <c r="C109" s="3" t="s">
        <v>176</v>
      </c>
      <c r="D109" s="11" t="s">
        <v>6</v>
      </c>
      <c r="E109" s="8">
        <f t="shared" ref="E109:E110" si="62">(146.93*$AA109)</f>
        <v>133.24316664438598</v>
      </c>
      <c r="F109" s="8">
        <f>(202.05*$AA109)</f>
        <v>183.22862465458508</v>
      </c>
      <c r="G109" s="8">
        <f>(212.49*$AA109)</f>
        <v>192.6961170643543</v>
      </c>
      <c r="H109" s="8">
        <f>(109.98*$AA109)</f>
        <v>99.735135558085958</v>
      </c>
      <c r="I109" s="8">
        <f>(202.95*$AA109)</f>
        <v>184.04478779335827</v>
      </c>
      <c r="J109" s="8">
        <f>(217.97*$AA109)</f>
        <v>197.66564373155114</v>
      </c>
      <c r="K109" s="8">
        <f>(95.04*$AA109)</f>
        <v>86.186827454450707</v>
      </c>
      <c r="L109" s="8">
        <f>(131.26*$AA109)</f>
        <v>119.03285955041245</v>
      </c>
      <c r="M109" s="8">
        <f>(135.02*$AA109)</f>
        <v>122.44260777462053</v>
      </c>
      <c r="N109" s="22"/>
      <c r="O109" s="8">
        <f t="shared" ref="O109:O110" si="63">(13.65*$AA109)</f>
        <v>12.378474271393646</v>
      </c>
      <c r="P109" s="8">
        <f t="shared" ref="P109:P110" si="64">(18.77*$AA109)</f>
        <v>17.021535683081225</v>
      </c>
      <c r="Q109" s="8">
        <f t="shared" ref="Q109:Q110" si="65">(19.74*$AA109)</f>
        <v>17.901178177092348</v>
      </c>
      <c r="R109" s="8">
        <f t="shared" ref="R109:R110" si="66">(10.22*$AA109)</f>
        <v>9.2679858647357563</v>
      </c>
      <c r="S109" s="8">
        <f t="shared" ref="S109:S110" si="67">(18.85*$AA109)</f>
        <v>17.094083517638847</v>
      </c>
      <c r="T109" s="8">
        <f t="shared" ref="T109:T110" si="68">(20.25*$AA109)</f>
        <v>18.363670622397169</v>
      </c>
      <c r="U109" s="8">
        <f t="shared" ref="U109:U110" si="69">(8.83*$AA109)</f>
        <v>8.0074672392971351</v>
      </c>
      <c r="V109" s="8">
        <f t="shared" ref="V109:V110" si="70">(12.19*$AA109)</f>
        <v>11.05447629071711</v>
      </c>
      <c r="W109" s="8">
        <f t="shared" ref="W109:W110" si="71">(12.54*$AA109)</f>
        <v>11.371873066906689</v>
      </c>
      <c r="X109" s="22"/>
      <c r="Y109"/>
      <c r="AA109" s="10">
        <v>0.9068479319702305</v>
      </c>
      <c r="AB109" s="22"/>
    </row>
    <row r="110" spans="1:28" hidden="1" x14ac:dyDescent="0.25">
      <c r="A110" s="16"/>
      <c r="B110" s="3" t="s">
        <v>175</v>
      </c>
      <c r="C110" s="3" t="s">
        <v>177</v>
      </c>
      <c r="D110" s="11" t="s">
        <v>6</v>
      </c>
      <c r="E110" s="8">
        <f t="shared" si="62"/>
        <v>133.24316664438598</v>
      </c>
      <c r="F110" s="8">
        <f>(202.05*$AA110)</f>
        <v>183.22862465458508</v>
      </c>
      <c r="G110" s="8">
        <f>(212.49*$AA110)</f>
        <v>192.6961170643543</v>
      </c>
      <c r="H110" s="8">
        <f>(109.98*$AA110)</f>
        <v>99.735135558085958</v>
      </c>
      <c r="I110" s="8">
        <f>(202.95*$AA110)</f>
        <v>184.04478779335827</v>
      </c>
      <c r="J110" s="8">
        <f>(217.97*$AA110)</f>
        <v>197.66564373155114</v>
      </c>
      <c r="K110" s="8">
        <f>(95.04*$AA110)</f>
        <v>86.186827454450707</v>
      </c>
      <c r="L110" s="8">
        <f>(131.26*$AA110)</f>
        <v>119.03285955041245</v>
      </c>
      <c r="M110" s="8">
        <f>(135.02*$AA110)</f>
        <v>122.44260777462053</v>
      </c>
      <c r="N110" s="22"/>
      <c r="O110" s="8">
        <f t="shared" si="63"/>
        <v>12.378474271393646</v>
      </c>
      <c r="P110" s="8">
        <f t="shared" si="64"/>
        <v>17.021535683081225</v>
      </c>
      <c r="Q110" s="8">
        <f t="shared" si="65"/>
        <v>17.901178177092348</v>
      </c>
      <c r="R110" s="8">
        <f t="shared" si="66"/>
        <v>9.2679858647357563</v>
      </c>
      <c r="S110" s="8">
        <f t="shared" si="67"/>
        <v>17.094083517638847</v>
      </c>
      <c r="T110" s="8">
        <f t="shared" si="68"/>
        <v>18.363670622397169</v>
      </c>
      <c r="U110" s="8">
        <f t="shared" si="69"/>
        <v>8.0074672392971351</v>
      </c>
      <c r="V110" s="8">
        <f t="shared" si="70"/>
        <v>11.05447629071711</v>
      </c>
      <c r="W110" s="8">
        <f t="shared" si="71"/>
        <v>11.371873066906689</v>
      </c>
      <c r="X110" s="22"/>
      <c r="Y110"/>
      <c r="AA110" s="10">
        <v>0.9068479319702305</v>
      </c>
      <c r="AB110" s="22"/>
    </row>
    <row r="111" spans="1:28" hidden="1" x14ac:dyDescent="0.25">
      <c r="A111" s="16"/>
      <c r="B111" s="3" t="s">
        <v>178</v>
      </c>
      <c r="C111" s="3" t="s">
        <v>179</v>
      </c>
      <c r="D111" s="11" t="s">
        <v>6</v>
      </c>
      <c r="E111" s="8">
        <f>(221.26*$Y111)*1.08</f>
        <v>144.37899610505198</v>
      </c>
      <c r="F111" s="7">
        <f t="shared" ref="F111" si="72">(310.41*$Y111)*1.08</f>
        <v>202.55212953524901</v>
      </c>
      <c r="G111" s="7">
        <f t="shared" ref="G111" si="73">(364.87*$Y111)*1.08</f>
        <v>238.08896460657292</v>
      </c>
      <c r="H111" s="7">
        <f t="shared" ref="H111" si="74">(176.83*$Y111)*1.08</f>
        <v>115.38704637646364</v>
      </c>
      <c r="I111" s="7">
        <f t="shared" ref="I111" si="75">(308.58*$Y111)*1.08</f>
        <v>201.35799791239691</v>
      </c>
      <c r="J111" s="7">
        <f t="shared" ref="J111" si="76">(453.13*$Y111)*1.08</f>
        <v>295.68134549888009</v>
      </c>
      <c r="K111" s="7">
        <f t="shared" ref="K111" si="77">(207.98*$Y111)*1.08</f>
        <v>135.7133852026065</v>
      </c>
      <c r="L111" s="7">
        <f t="shared" ref="L111" si="78">(233.85*$Y111)*1.08</f>
        <v>152.59436065789751</v>
      </c>
      <c r="M111" s="7">
        <f t="shared" ref="M111" si="79">(280.64*$Y111)*1.08</f>
        <v>183.12628340830599</v>
      </c>
      <c r="N111" s="22"/>
      <c r="O111" s="7">
        <f t="shared" si="45"/>
        <v>13.416036156195737</v>
      </c>
      <c r="P111" s="7">
        <f t="shared" si="46"/>
        <v>18.818992351395188</v>
      </c>
      <c r="Q111" s="7">
        <f t="shared" si="47"/>
        <v>22.140374843371664</v>
      </c>
      <c r="R111" s="7">
        <f t="shared" si="48"/>
        <v>10.721083368010504</v>
      </c>
      <c r="S111" s="7">
        <f t="shared" si="49"/>
        <v>18.708062091348825</v>
      </c>
      <c r="T111" s="7">
        <f t="shared" si="50"/>
        <v>27.471552635011701</v>
      </c>
      <c r="U111" s="7">
        <f t="shared" si="51"/>
        <v>12.606897788798719</v>
      </c>
      <c r="V111" s="7">
        <f t="shared" si="52"/>
        <v>14.179497357691313</v>
      </c>
      <c r="W111" s="7">
        <f t="shared" si="53"/>
        <v>17.011481643580879</v>
      </c>
      <c r="X111" s="22"/>
      <c r="Y111" s="10">
        <v>0.60419531615667499</v>
      </c>
      <c r="AA111"/>
      <c r="AB111" s="22"/>
    </row>
    <row r="112" spans="1:28" hidden="1" x14ac:dyDescent="0.25">
      <c r="A112" s="16"/>
      <c r="B112" s="3" t="s">
        <v>180</v>
      </c>
      <c r="C112" s="3" t="s">
        <v>181</v>
      </c>
      <c r="D112" s="11" t="s">
        <v>8</v>
      </c>
      <c r="E112" s="97">
        <f>(146.93*$AA112)</f>
        <v>95.504500000000007</v>
      </c>
      <c r="F112" s="97">
        <f>(202.05*$AA112)</f>
        <v>131.33250000000001</v>
      </c>
      <c r="G112" s="97">
        <f>(212.49*$AA112)</f>
        <v>138.11850000000001</v>
      </c>
      <c r="H112" s="97">
        <f>(109.98*$AA112)</f>
        <v>71.487000000000009</v>
      </c>
      <c r="I112" s="97">
        <f>(202.95*$AA112)</f>
        <v>131.91749999999999</v>
      </c>
      <c r="J112" s="97">
        <f>(217.97*$AA112)</f>
        <v>141.68049999999999</v>
      </c>
      <c r="K112" s="97">
        <f>(95.04*$AA112)</f>
        <v>61.776000000000003</v>
      </c>
      <c r="L112" s="97">
        <f>(131.26*$AA112)</f>
        <v>85.319000000000003</v>
      </c>
      <c r="M112" s="97">
        <f>(135.02*$AA112)</f>
        <v>87.763000000000005</v>
      </c>
      <c r="N112" s="22"/>
      <c r="O112" s="8">
        <f>(13.65*$AA112)</f>
        <v>8.8725000000000005</v>
      </c>
      <c r="P112" s="8">
        <f>(18.77*$AA112)</f>
        <v>12.2005</v>
      </c>
      <c r="Q112" s="8">
        <f>(19.74*$AA112)</f>
        <v>12.831</v>
      </c>
      <c r="R112" s="8">
        <f>(10.22*$AA112)</f>
        <v>6.6430000000000007</v>
      </c>
      <c r="S112" s="8">
        <f>(18.85*$AA112)</f>
        <v>12.252500000000001</v>
      </c>
      <c r="T112" s="8">
        <f>(20.25*$AA112)</f>
        <v>13.1625</v>
      </c>
      <c r="U112" s="8">
        <f>(8.83*$AA112)</f>
        <v>5.7395000000000005</v>
      </c>
      <c r="V112" s="8">
        <f>(12.19*$AA112)</f>
        <v>7.9234999999999998</v>
      </c>
      <c r="W112" s="8">
        <f>(12.54*$AA112)</f>
        <v>8.1509999999999998</v>
      </c>
      <c r="X112" s="22"/>
      <c r="Y112"/>
      <c r="AA112" s="98">
        <v>0.65</v>
      </c>
      <c r="AB112" s="22"/>
    </row>
    <row r="113" spans="1:28" hidden="1" x14ac:dyDescent="0.25">
      <c r="A113" s="16"/>
      <c r="B113" s="3" t="s">
        <v>182</v>
      </c>
      <c r="C113" s="3" t="s">
        <v>183</v>
      </c>
      <c r="D113" s="11" t="s">
        <v>8</v>
      </c>
      <c r="E113" s="8">
        <f t="shared" ref="E113:E137" si="80">(146.93*$AA113)</f>
        <v>110.2048156699323</v>
      </c>
      <c r="F113" s="8">
        <f>(202.05*$AA113)</f>
        <v>151.54756010419806</v>
      </c>
      <c r="G113" s="8">
        <f>(212.49*$AA113)</f>
        <v>159.37807991359091</v>
      </c>
      <c r="H113" s="8">
        <f>(109.98*$AA113)</f>
        <v>82.490475923086876</v>
      </c>
      <c r="I113" s="8">
        <f>(202.95*$AA113)</f>
        <v>152.2226049153526</v>
      </c>
      <c r="J113" s="8">
        <f>(217.97*$AA113)</f>
        <v>163.488352763732</v>
      </c>
      <c r="K113" s="8">
        <f>(95.04*$AA113)</f>
        <v>71.284732057921218</v>
      </c>
      <c r="L113" s="8">
        <f>(131.26*$AA113)</f>
        <v>98.451535457941276</v>
      </c>
      <c r="M113" s="8">
        <f>(135.02*$AA113)</f>
        <v>101.271722668987</v>
      </c>
      <c r="N113" s="22"/>
      <c r="O113" s="8">
        <f t="shared" ref="O113:O137" si="81">(13.65*$AA113)</f>
        <v>10.238179635844116</v>
      </c>
      <c r="P113" s="8">
        <f t="shared" ref="P113:P137" si="82">(18.77*$AA113)</f>
        <v>14.078434561523371</v>
      </c>
      <c r="Q113" s="8">
        <f t="shared" ref="Q113:Q137" si="83">(19.74*$AA113)</f>
        <v>14.80598285798995</v>
      </c>
      <c r="R113" s="8">
        <f t="shared" ref="R113:R137" si="84">(10.22*$AA113)</f>
        <v>7.665508855555081</v>
      </c>
      <c r="S113" s="8">
        <f t="shared" ref="S113:S137" si="85">(18.85*$AA113)</f>
        <v>14.138438544737111</v>
      </c>
      <c r="T113" s="8">
        <f t="shared" ref="T113:T137" si="86">(20.25*$AA113)</f>
        <v>15.188508250977533</v>
      </c>
      <c r="U113" s="8">
        <f t="shared" ref="U113:U137" si="87">(8.83*$AA113)</f>
        <v>6.6229396472163762</v>
      </c>
      <c r="V113" s="8">
        <f t="shared" ref="V113:V137" si="88">(12.19*$AA113)</f>
        <v>9.1431069421933877</v>
      </c>
      <c r="W113" s="8">
        <f t="shared" ref="W113:W137" si="89">(12.54*$AA113)</f>
        <v>9.4056243687534931</v>
      </c>
      <c r="X113" s="22"/>
      <c r="Y113"/>
      <c r="AA113" s="10">
        <v>0.75004979017173001</v>
      </c>
      <c r="AB113" s="22"/>
    </row>
    <row r="114" spans="1:28" hidden="1" x14ac:dyDescent="0.25">
      <c r="A114" s="21">
        <v>0.02</v>
      </c>
      <c r="B114" s="18" t="s">
        <v>182</v>
      </c>
      <c r="C114" s="18" t="s">
        <v>184</v>
      </c>
      <c r="D114" s="19" t="s">
        <v>8</v>
      </c>
      <c r="E114" s="8">
        <f>E113*1.02</f>
        <v>112.40891198333095</v>
      </c>
      <c r="F114" s="8">
        <f t="shared" ref="F114:M114" si="90">F113*1.02</f>
        <v>154.57851130628202</v>
      </c>
      <c r="G114" s="8">
        <f t="shared" si="90"/>
        <v>162.56564151186274</v>
      </c>
      <c r="H114" s="8">
        <f t="shared" si="90"/>
        <v>84.140285441548613</v>
      </c>
      <c r="I114" s="8">
        <f t="shared" si="90"/>
        <v>155.26705701365967</v>
      </c>
      <c r="J114" s="8">
        <f t="shared" si="90"/>
        <v>166.75811981900665</v>
      </c>
      <c r="K114" s="8">
        <f t="shared" si="90"/>
        <v>72.710426699079648</v>
      </c>
      <c r="L114" s="8">
        <f t="shared" si="90"/>
        <v>100.42056616710011</v>
      </c>
      <c r="M114" s="8">
        <f t="shared" si="90"/>
        <v>103.29715712236674</v>
      </c>
      <c r="N114" s="22"/>
      <c r="O114" s="25">
        <f t="shared" si="81"/>
        <v>10.5105</v>
      </c>
      <c r="P114" s="25">
        <f t="shared" si="82"/>
        <v>14.4529</v>
      </c>
      <c r="Q114" s="25">
        <f t="shared" si="83"/>
        <v>15.1998</v>
      </c>
      <c r="R114" s="25">
        <f t="shared" si="84"/>
        <v>7.8694000000000006</v>
      </c>
      <c r="S114" s="25">
        <f t="shared" si="85"/>
        <v>14.514500000000002</v>
      </c>
      <c r="T114" s="25">
        <f t="shared" si="86"/>
        <v>15.592500000000001</v>
      </c>
      <c r="U114" s="25">
        <f t="shared" si="87"/>
        <v>6.7991000000000001</v>
      </c>
      <c r="V114" s="25">
        <f t="shared" si="88"/>
        <v>9.3863000000000003</v>
      </c>
      <c r="W114" s="25">
        <f t="shared" si="89"/>
        <v>9.6557999999999993</v>
      </c>
      <c r="X114" s="22"/>
      <c r="Y114"/>
      <c r="AA114" s="31">
        <v>0.77</v>
      </c>
      <c r="AB114" s="22"/>
    </row>
    <row r="115" spans="1:28" hidden="1" x14ac:dyDescent="0.25">
      <c r="A115" s="21">
        <v>0.04</v>
      </c>
      <c r="B115" s="18" t="s">
        <v>182</v>
      </c>
      <c r="C115" s="18" t="s">
        <v>185</v>
      </c>
      <c r="D115" s="19" t="s">
        <v>8</v>
      </c>
      <c r="E115" s="8">
        <f>E113*1.04</f>
        <v>114.6130082967296</v>
      </c>
      <c r="F115" s="8">
        <f t="shared" ref="F115:M115" si="91">F113*1.04</f>
        <v>157.60946250836599</v>
      </c>
      <c r="G115" s="8">
        <f t="shared" si="91"/>
        <v>165.75320311013456</v>
      </c>
      <c r="H115" s="8">
        <f t="shared" si="91"/>
        <v>85.79009496001035</v>
      </c>
      <c r="I115" s="8">
        <f t="shared" si="91"/>
        <v>158.31150911196673</v>
      </c>
      <c r="J115" s="8">
        <f t="shared" si="91"/>
        <v>170.02788687428128</v>
      </c>
      <c r="K115" s="8">
        <f t="shared" si="91"/>
        <v>74.136121340238063</v>
      </c>
      <c r="L115" s="8">
        <f t="shared" si="91"/>
        <v>102.38959687625893</v>
      </c>
      <c r="M115" s="8">
        <f t="shared" si="91"/>
        <v>105.32259157574649</v>
      </c>
      <c r="N115" s="22"/>
      <c r="O115" s="25">
        <f t="shared" si="81"/>
        <v>10.647</v>
      </c>
      <c r="P115" s="25">
        <f t="shared" si="82"/>
        <v>14.640600000000001</v>
      </c>
      <c r="Q115" s="25">
        <f t="shared" si="83"/>
        <v>15.3972</v>
      </c>
      <c r="R115" s="25">
        <f t="shared" si="84"/>
        <v>7.9716000000000005</v>
      </c>
      <c r="S115" s="25">
        <f t="shared" si="85"/>
        <v>14.703000000000001</v>
      </c>
      <c r="T115" s="25">
        <f t="shared" si="86"/>
        <v>15.795</v>
      </c>
      <c r="U115" s="25">
        <f t="shared" si="87"/>
        <v>6.8874000000000004</v>
      </c>
      <c r="V115" s="25">
        <f t="shared" si="88"/>
        <v>9.5082000000000004</v>
      </c>
      <c r="W115" s="25">
        <f t="shared" si="89"/>
        <v>9.7812000000000001</v>
      </c>
      <c r="X115" s="22"/>
      <c r="Y115"/>
      <c r="AA115" s="31">
        <v>0.78</v>
      </c>
      <c r="AB115" s="22"/>
    </row>
    <row r="116" spans="1:28" hidden="1" x14ac:dyDescent="0.25">
      <c r="A116" s="21">
        <v>0.03</v>
      </c>
      <c r="B116" s="18" t="s">
        <v>182</v>
      </c>
      <c r="C116" s="18" t="s">
        <v>186</v>
      </c>
      <c r="D116" s="19" t="s">
        <v>8</v>
      </c>
      <c r="E116" s="8">
        <f>E113*1.03</f>
        <v>113.51096014003028</v>
      </c>
      <c r="F116" s="8">
        <f t="shared" ref="F116:M116" si="92">F113*1.03</f>
        <v>156.09398690732399</v>
      </c>
      <c r="G116" s="8">
        <f t="shared" si="92"/>
        <v>164.15942231099865</v>
      </c>
      <c r="H116" s="8">
        <f t="shared" si="92"/>
        <v>84.965190200779489</v>
      </c>
      <c r="I116" s="8">
        <f t="shared" si="92"/>
        <v>156.78928306281318</v>
      </c>
      <c r="J116" s="8">
        <f t="shared" si="92"/>
        <v>168.39300334664395</v>
      </c>
      <c r="K116" s="8">
        <f t="shared" si="92"/>
        <v>73.423274019658862</v>
      </c>
      <c r="L116" s="8">
        <f t="shared" si="92"/>
        <v>101.40508152167952</v>
      </c>
      <c r="M116" s="8">
        <f t="shared" si="92"/>
        <v>104.30987434905661</v>
      </c>
      <c r="N116" s="22"/>
      <c r="O116" s="25">
        <f t="shared" si="81"/>
        <v>10.5105</v>
      </c>
      <c r="P116" s="25">
        <f t="shared" si="82"/>
        <v>14.4529</v>
      </c>
      <c r="Q116" s="25">
        <f t="shared" si="83"/>
        <v>15.1998</v>
      </c>
      <c r="R116" s="25">
        <f t="shared" si="84"/>
        <v>7.8694000000000006</v>
      </c>
      <c r="S116" s="25">
        <f t="shared" si="85"/>
        <v>14.514500000000002</v>
      </c>
      <c r="T116" s="25">
        <f t="shared" si="86"/>
        <v>15.592500000000001</v>
      </c>
      <c r="U116" s="25">
        <f t="shared" si="87"/>
        <v>6.7991000000000001</v>
      </c>
      <c r="V116" s="25">
        <f t="shared" si="88"/>
        <v>9.3863000000000003</v>
      </c>
      <c r="W116" s="25">
        <f t="shared" si="89"/>
        <v>9.6557999999999993</v>
      </c>
      <c r="X116" s="22"/>
      <c r="Y116"/>
      <c r="AA116" s="31">
        <v>0.77</v>
      </c>
      <c r="AB116" s="22"/>
    </row>
    <row r="117" spans="1:28" hidden="1" x14ac:dyDescent="0.25">
      <c r="A117" s="16"/>
      <c r="B117" s="3" t="s">
        <v>180</v>
      </c>
      <c r="C117" s="3" t="s">
        <v>187</v>
      </c>
      <c r="D117" s="11" t="s">
        <v>8</v>
      </c>
      <c r="E117" s="97">
        <f t="shared" si="80"/>
        <v>91.096600000000009</v>
      </c>
      <c r="F117" s="97">
        <f>(202.05*$AA117)</f>
        <v>125.271</v>
      </c>
      <c r="G117" s="97">
        <f>(212.49*$AA117)</f>
        <v>131.74379999999999</v>
      </c>
      <c r="H117" s="97">
        <f>(109.98*$AA117)</f>
        <v>68.187600000000003</v>
      </c>
      <c r="I117" s="97">
        <f>(202.95*$AA117)</f>
        <v>125.82899999999999</v>
      </c>
      <c r="J117" s="97">
        <f>(217.97*$AA117)</f>
        <v>135.1414</v>
      </c>
      <c r="K117" s="97">
        <f>(95.04*$AA117)</f>
        <v>58.924800000000005</v>
      </c>
      <c r="L117" s="97">
        <f>(131.26*$AA117)</f>
        <v>81.381199999999993</v>
      </c>
      <c r="M117" s="97">
        <f>(135.02*$AA117)</f>
        <v>83.712400000000002</v>
      </c>
      <c r="N117" s="22"/>
      <c r="O117" s="8">
        <f t="shared" si="81"/>
        <v>8.463000000000001</v>
      </c>
      <c r="P117" s="8">
        <f t="shared" si="82"/>
        <v>11.6374</v>
      </c>
      <c r="Q117" s="8">
        <f t="shared" si="83"/>
        <v>12.238799999999999</v>
      </c>
      <c r="R117" s="8">
        <f t="shared" si="84"/>
        <v>6.3364000000000003</v>
      </c>
      <c r="S117" s="8">
        <f t="shared" si="85"/>
        <v>11.687000000000001</v>
      </c>
      <c r="T117" s="8">
        <f t="shared" si="86"/>
        <v>12.555</v>
      </c>
      <c r="U117" s="8">
        <f t="shared" si="87"/>
        <v>5.4745999999999997</v>
      </c>
      <c r="V117" s="8">
        <f t="shared" si="88"/>
        <v>7.5577999999999994</v>
      </c>
      <c r="W117" s="8">
        <f t="shared" si="89"/>
        <v>7.774799999999999</v>
      </c>
      <c r="X117" s="22"/>
      <c r="Y117"/>
      <c r="AA117" s="98">
        <v>0.62</v>
      </c>
      <c r="AB117" s="22"/>
    </row>
    <row r="118" spans="1:28" hidden="1" x14ac:dyDescent="0.25">
      <c r="A118" s="16"/>
      <c r="B118" s="3" t="s">
        <v>180</v>
      </c>
      <c r="C118" s="3" t="s">
        <v>188</v>
      </c>
      <c r="D118" s="11" t="s">
        <v>8</v>
      </c>
      <c r="E118" s="97">
        <f t="shared" si="80"/>
        <v>88.158000000000001</v>
      </c>
      <c r="F118" s="97">
        <f t="shared" ref="F118:F120" si="93">(202.05*$AA118)</f>
        <v>121.23</v>
      </c>
      <c r="G118" s="97">
        <f t="shared" ref="G118:G120" si="94">(212.49*$AA118)</f>
        <v>127.494</v>
      </c>
      <c r="H118" s="97">
        <f t="shared" ref="H118:H120" si="95">(109.98*$AA118)</f>
        <v>65.988</v>
      </c>
      <c r="I118" s="97">
        <f t="shared" ref="I118:I120" si="96">(202.95*$AA118)</f>
        <v>121.76999999999998</v>
      </c>
      <c r="J118" s="97">
        <f t="shared" ref="J118:J120" si="97">(217.97*$AA118)</f>
        <v>130.78199999999998</v>
      </c>
      <c r="K118" s="97">
        <f t="shared" ref="K118:K120" si="98">(95.04*$AA118)</f>
        <v>57.024000000000001</v>
      </c>
      <c r="L118" s="97">
        <f t="shared" ref="L118:L120" si="99">(131.26*$AA118)</f>
        <v>78.755999999999986</v>
      </c>
      <c r="M118" s="97">
        <f t="shared" ref="M118:M120" si="100">(135.02*$AA118)</f>
        <v>81.012</v>
      </c>
      <c r="N118" s="22"/>
      <c r="O118" s="8">
        <f t="shared" si="81"/>
        <v>8.19</v>
      </c>
      <c r="P118" s="8">
        <f t="shared" si="82"/>
        <v>11.261999999999999</v>
      </c>
      <c r="Q118" s="8">
        <f t="shared" si="83"/>
        <v>11.843999999999999</v>
      </c>
      <c r="R118" s="8">
        <f t="shared" si="84"/>
        <v>6.1320000000000006</v>
      </c>
      <c r="S118" s="8">
        <f t="shared" si="85"/>
        <v>11.31</v>
      </c>
      <c r="T118" s="8">
        <f t="shared" si="86"/>
        <v>12.15</v>
      </c>
      <c r="U118" s="8">
        <f t="shared" si="87"/>
        <v>5.298</v>
      </c>
      <c r="V118" s="8">
        <f t="shared" si="88"/>
        <v>7.3139999999999992</v>
      </c>
      <c r="W118" s="8">
        <f t="shared" si="89"/>
        <v>7.5239999999999991</v>
      </c>
      <c r="X118" s="22"/>
      <c r="Y118"/>
      <c r="AA118" s="98">
        <v>0.6</v>
      </c>
      <c r="AB118" s="22"/>
    </row>
    <row r="119" spans="1:28" hidden="1" x14ac:dyDescent="0.25">
      <c r="A119" s="16"/>
      <c r="B119" s="3" t="s">
        <v>180</v>
      </c>
      <c r="C119" s="3" t="s">
        <v>189</v>
      </c>
      <c r="D119" s="11" t="s">
        <v>8</v>
      </c>
      <c r="E119" s="97">
        <f t="shared" si="80"/>
        <v>91.096600000000009</v>
      </c>
      <c r="F119" s="97">
        <f t="shared" si="93"/>
        <v>125.271</v>
      </c>
      <c r="G119" s="97">
        <f t="shared" si="94"/>
        <v>131.74379999999999</v>
      </c>
      <c r="H119" s="97">
        <f t="shared" si="95"/>
        <v>68.187600000000003</v>
      </c>
      <c r="I119" s="97">
        <f t="shared" si="96"/>
        <v>125.82899999999999</v>
      </c>
      <c r="J119" s="97">
        <f t="shared" si="97"/>
        <v>135.1414</v>
      </c>
      <c r="K119" s="97">
        <f t="shared" si="98"/>
        <v>58.924800000000005</v>
      </c>
      <c r="L119" s="97">
        <f t="shared" si="99"/>
        <v>81.381199999999993</v>
      </c>
      <c r="M119" s="97">
        <f t="shared" si="100"/>
        <v>83.712400000000002</v>
      </c>
      <c r="N119" s="22"/>
      <c r="O119" s="8">
        <f t="shared" si="81"/>
        <v>8.463000000000001</v>
      </c>
      <c r="P119" s="8">
        <f t="shared" si="82"/>
        <v>11.6374</v>
      </c>
      <c r="Q119" s="8">
        <f t="shared" si="83"/>
        <v>12.238799999999999</v>
      </c>
      <c r="R119" s="8">
        <f t="shared" si="84"/>
        <v>6.3364000000000003</v>
      </c>
      <c r="S119" s="8">
        <f t="shared" si="85"/>
        <v>11.687000000000001</v>
      </c>
      <c r="T119" s="8">
        <f t="shared" si="86"/>
        <v>12.555</v>
      </c>
      <c r="U119" s="8">
        <f t="shared" si="87"/>
        <v>5.4745999999999997</v>
      </c>
      <c r="V119" s="8">
        <f t="shared" si="88"/>
        <v>7.5577999999999994</v>
      </c>
      <c r="W119" s="8">
        <f t="shared" si="89"/>
        <v>7.774799999999999</v>
      </c>
      <c r="X119" s="22"/>
      <c r="Y119"/>
      <c r="AA119" s="98">
        <v>0.62</v>
      </c>
      <c r="AB119" s="22"/>
    </row>
    <row r="120" spans="1:28" hidden="1" x14ac:dyDescent="0.25">
      <c r="A120" s="16"/>
      <c r="B120" s="3" t="s">
        <v>190</v>
      </c>
      <c r="C120" s="3" t="s">
        <v>191</v>
      </c>
      <c r="D120" s="11" t="s">
        <v>8</v>
      </c>
      <c r="E120" s="8">
        <f t="shared" si="80"/>
        <v>39.671100000000003</v>
      </c>
      <c r="F120" s="8">
        <f t="shared" si="93"/>
        <v>54.553500000000007</v>
      </c>
      <c r="G120" s="8">
        <f t="shared" si="94"/>
        <v>57.372300000000003</v>
      </c>
      <c r="H120" s="8">
        <f t="shared" si="95"/>
        <v>29.694600000000005</v>
      </c>
      <c r="I120" s="8">
        <f t="shared" si="96"/>
        <v>54.796500000000002</v>
      </c>
      <c r="J120" s="8">
        <f t="shared" si="97"/>
        <v>58.851900000000001</v>
      </c>
      <c r="K120" s="8">
        <f t="shared" si="98"/>
        <v>25.660800000000002</v>
      </c>
      <c r="L120" s="8">
        <f t="shared" si="99"/>
        <v>35.440199999999997</v>
      </c>
      <c r="M120" s="8">
        <f t="shared" si="100"/>
        <v>36.455400000000004</v>
      </c>
      <c r="N120" s="22"/>
      <c r="O120" s="8">
        <f t="shared" si="81"/>
        <v>3.6855000000000002</v>
      </c>
      <c r="P120" s="8">
        <f t="shared" si="82"/>
        <v>5.0678999999999998</v>
      </c>
      <c r="Q120" s="8">
        <f t="shared" si="83"/>
        <v>5.3297999999999996</v>
      </c>
      <c r="R120" s="8">
        <f t="shared" si="84"/>
        <v>2.7594000000000003</v>
      </c>
      <c r="S120" s="8">
        <f t="shared" si="85"/>
        <v>5.089500000000001</v>
      </c>
      <c r="T120" s="8">
        <f t="shared" si="86"/>
        <v>5.4675000000000002</v>
      </c>
      <c r="U120" s="8">
        <f t="shared" si="87"/>
        <v>2.3841000000000001</v>
      </c>
      <c r="V120" s="8">
        <f t="shared" si="88"/>
        <v>3.2913000000000001</v>
      </c>
      <c r="W120" s="8">
        <f t="shared" si="89"/>
        <v>3.3858000000000001</v>
      </c>
      <c r="X120" s="22"/>
      <c r="Y120"/>
      <c r="AA120" s="31">
        <v>0.27</v>
      </c>
      <c r="AB120" s="22"/>
    </row>
    <row r="121" spans="1:28" hidden="1" x14ac:dyDescent="0.25">
      <c r="A121" s="21">
        <v>-0.01</v>
      </c>
      <c r="B121" s="18" t="s">
        <v>190</v>
      </c>
      <c r="C121" s="18" t="s">
        <v>192</v>
      </c>
      <c r="D121" s="19" t="s">
        <v>8</v>
      </c>
      <c r="E121" s="25">
        <f>E120/1.01</f>
        <v>39.278316831683171</v>
      </c>
      <c r="F121" s="25">
        <f t="shared" ref="F121:M121" si="101">F120/1.01</f>
        <v>54.013366336633666</v>
      </c>
      <c r="G121" s="25">
        <f t="shared" si="101"/>
        <v>56.804257425742577</v>
      </c>
      <c r="H121" s="25">
        <f t="shared" si="101"/>
        <v>29.400594059405947</v>
      </c>
      <c r="I121" s="25">
        <f t="shared" si="101"/>
        <v>54.253960396039602</v>
      </c>
      <c r="J121" s="25">
        <f t="shared" si="101"/>
        <v>58.269207920792077</v>
      </c>
      <c r="K121" s="25">
        <f t="shared" si="101"/>
        <v>25.406732673267328</v>
      </c>
      <c r="L121" s="25">
        <f t="shared" si="101"/>
        <v>35.08930693069307</v>
      </c>
      <c r="M121" s="25">
        <f t="shared" si="101"/>
        <v>36.094455445544561</v>
      </c>
      <c r="N121" s="22"/>
      <c r="O121" s="25">
        <f t="shared" si="81"/>
        <v>3.6855000000000002</v>
      </c>
      <c r="P121" s="25">
        <f t="shared" si="82"/>
        <v>5.0678999999999998</v>
      </c>
      <c r="Q121" s="25">
        <f t="shared" si="83"/>
        <v>5.3297999999999996</v>
      </c>
      <c r="R121" s="25">
        <f t="shared" si="84"/>
        <v>2.7594000000000003</v>
      </c>
      <c r="S121" s="25">
        <f t="shared" si="85"/>
        <v>5.089500000000001</v>
      </c>
      <c r="T121" s="25">
        <f t="shared" si="86"/>
        <v>5.4675000000000002</v>
      </c>
      <c r="U121" s="25">
        <f t="shared" si="87"/>
        <v>2.3841000000000001</v>
      </c>
      <c r="V121" s="25">
        <f t="shared" si="88"/>
        <v>3.2913000000000001</v>
      </c>
      <c r="W121" s="25">
        <f t="shared" si="89"/>
        <v>3.3858000000000001</v>
      </c>
      <c r="X121" s="22"/>
      <c r="Y121"/>
      <c r="AA121" s="31">
        <v>0.27</v>
      </c>
      <c r="AB121" s="22"/>
    </row>
    <row r="122" spans="1:28" hidden="1" x14ac:dyDescent="0.25">
      <c r="A122" s="21">
        <v>-0.01</v>
      </c>
      <c r="B122" s="18" t="s">
        <v>190</v>
      </c>
      <c r="C122" s="18" t="s">
        <v>193</v>
      </c>
      <c r="D122" s="19" t="s">
        <v>8</v>
      </c>
      <c r="E122" s="25">
        <f>E120/1.01</f>
        <v>39.278316831683171</v>
      </c>
      <c r="F122" s="25">
        <f t="shared" ref="F122:M122" si="102">F120/1.01</f>
        <v>54.013366336633666</v>
      </c>
      <c r="G122" s="25">
        <f t="shared" si="102"/>
        <v>56.804257425742577</v>
      </c>
      <c r="H122" s="25">
        <f t="shared" si="102"/>
        <v>29.400594059405947</v>
      </c>
      <c r="I122" s="25">
        <f t="shared" si="102"/>
        <v>54.253960396039602</v>
      </c>
      <c r="J122" s="25">
        <f t="shared" si="102"/>
        <v>58.269207920792077</v>
      </c>
      <c r="K122" s="25">
        <f t="shared" si="102"/>
        <v>25.406732673267328</v>
      </c>
      <c r="L122" s="25">
        <f t="shared" si="102"/>
        <v>35.08930693069307</v>
      </c>
      <c r="M122" s="25">
        <f t="shared" si="102"/>
        <v>36.094455445544561</v>
      </c>
      <c r="N122" s="22"/>
      <c r="O122" s="25">
        <f t="shared" si="81"/>
        <v>3.6855000000000002</v>
      </c>
      <c r="P122" s="25">
        <f t="shared" si="82"/>
        <v>5.0678999999999998</v>
      </c>
      <c r="Q122" s="25">
        <f t="shared" si="83"/>
        <v>5.3297999999999996</v>
      </c>
      <c r="R122" s="25">
        <f t="shared" si="84"/>
        <v>2.7594000000000003</v>
      </c>
      <c r="S122" s="25">
        <f t="shared" si="85"/>
        <v>5.089500000000001</v>
      </c>
      <c r="T122" s="25">
        <f t="shared" si="86"/>
        <v>5.4675000000000002</v>
      </c>
      <c r="U122" s="25">
        <f t="shared" si="87"/>
        <v>2.3841000000000001</v>
      </c>
      <c r="V122" s="25">
        <f t="shared" si="88"/>
        <v>3.2913000000000001</v>
      </c>
      <c r="W122" s="25">
        <f t="shared" si="89"/>
        <v>3.3858000000000001</v>
      </c>
      <c r="X122" s="22"/>
      <c r="Y122"/>
      <c r="AA122" s="31">
        <v>0.27</v>
      </c>
      <c r="AB122" s="22"/>
    </row>
    <row r="123" spans="1:28" hidden="1" x14ac:dyDescent="0.25">
      <c r="A123" s="21">
        <v>-0.02</v>
      </c>
      <c r="B123" s="18" t="s">
        <v>190</v>
      </c>
      <c r="C123" s="18" t="s">
        <v>194</v>
      </c>
      <c r="D123" s="19" t="s">
        <v>8</v>
      </c>
      <c r="E123" s="25">
        <f>E120/1.02</f>
        <v>38.893235294117652</v>
      </c>
      <c r="F123" s="25">
        <f t="shared" ref="F123:M123" si="103">F120/1.02</f>
        <v>53.483823529411772</v>
      </c>
      <c r="G123" s="25">
        <f t="shared" si="103"/>
        <v>56.247352941176473</v>
      </c>
      <c r="H123" s="25">
        <f t="shared" si="103"/>
        <v>29.112352941176475</v>
      </c>
      <c r="I123" s="25">
        <f t="shared" si="103"/>
        <v>53.722058823529416</v>
      </c>
      <c r="J123" s="25">
        <f t="shared" si="103"/>
        <v>57.697941176470586</v>
      </c>
      <c r="K123" s="25">
        <f t="shared" si="103"/>
        <v>25.157647058823532</v>
      </c>
      <c r="L123" s="25">
        <f t="shared" si="103"/>
        <v>34.745294117647056</v>
      </c>
      <c r="M123" s="25">
        <f t="shared" si="103"/>
        <v>35.740588235294119</v>
      </c>
      <c r="N123" s="22"/>
      <c r="O123" s="25">
        <f t="shared" si="81"/>
        <v>3.6855000000000002</v>
      </c>
      <c r="P123" s="25">
        <f t="shared" si="82"/>
        <v>5.0678999999999998</v>
      </c>
      <c r="Q123" s="25">
        <f t="shared" si="83"/>
        <v>5.3297999999999996</v>
      </c>
      <c r="R123" s="25">
        <f t="shared" si="84"/>
        <v>2.7594000000000003</v>
      </c>
      <c r="S123" s="25">
        <f t="shared" si="85"/>
        <v>5.089500000000001</v>
      </c>
      <c r="T123" s="25">
        <f t="shared" si="86"/>
        <v>5.4675000000000002</v>
      </c>
      <c r="U123" s="25">
        <f t="shared" si="87"/>
        <v>2.3841000000000001</v>
      </c>
      <c r="V123" s="25">
        <f t="shared" si="88"/>
        <v>3.2913000000000001</v>
      </c>
      <c r="W123" s="25">
        <f t="shared" si="89"/>
        <v>3.3858000000000001</v>
      </c>
      <c r="X123" s="22"/>
      <c r="Y123"/>
      <c r="AA123" s="31">
        <v>0.27</v>
      </c>
      <c r="AB123" s="22"/>
    </row>
    <row r="124" spans="1:28" hidden="1" x14ac:dyDescent="0.25">
      <c r="A124" s="21">
        <v>0.08</v>
      </c>
      <c r="B124" s="18" t="s">
        <v>190</v>
      </c>
      <c r="C124" s="18" t="s">
        <v>195</v>
      </c>
      <c r="D124" s="19" t="s">
        <v>8</v>
      </c>
      <c r="E124" s="25">
        <f>E120*1.08</f>
        <v>42.844788000000008</v>
      </c>
      <c r="F124" s="25">
        <f t="shared" ref="F124:M124" si="104">F120*1.08</f>
        <v>58.917780000000015</v>
      </c>
      <c r="G124" s="25">
        <f t="shared" si="104"/>
        <v>61.962084000000004</v>
      </c>
      <c r="H124" s="25">
        <f t="shared" si="104"/>
        <v>32.07016800000001</v>
      </c>
      <c r="I124" s="25">
        <f t="shared" si="104"/>
        <v>59.180220000000006</v>
      </c>
      <c r="J124" s="25">
        <f t="shared" si="104"/>
        <v>63.560052000000006</v>
      </c>
      <c r="K124" s="25">
        <f t="shared" si="104"/>
        <v>27.713664000000005</v>
      </c>
      <c r="L124" s="25">
        <f t="shared" si="104"/>
        <v>38.275416</v>
      </c>
      <c r="M124" s="25">
        <f t="shared" si="104"/>
        <v>39.371832000000005</v>
      </c>
      <c r="N124" s="22"/>
      <c r="O124" s="25">
        <f t="shared" si="81"/>
        <v>4.0949999999999998</v>
      </c>
      <c r="P124" s="25">
        <f t="shared" si="82"/>
        <v>5.6309999999999993</v>
      </c>
      <c r="Q124" s="25">
        <f t="shared" si="83"/>
        <v>5.9219999999999997</v>
      </c>
      <c r="R124" s="25">
        <f t="shared" si="84"/>
        <v>3.0660000000000003</v>
      </c>
      <c r="S124" s="25">
        <f t="shared" si="85"/>
        <v>5.6550000000000002</v>
      </c>
      <c r="T124" s="25">
        <f t="shared" si="86"/>
        <v>6.0750000000000002</v>
      </c>
      <c r="U124" s="25">
        <f t="shared" si="87"/>
        <v>2.649</v>
      </c>
      <c r="V124" s="25">
        <f t="shared" si="88"/>
        <v>3.6569999999999996</v>
      </c>
      <c r="W124" s="25">
        <f t="shared" si="89"/>
        <v>3.7619999999999996</v>
      </c>
      <c r="X124" s="22"/>
      <c r="Y124"/>
      <c r="AA124" s="31">
        <v>0.3</v>
      </c>
      <c r="AB124" s="22"/>
    </row>
    <row r="125" spans="1:28" hidden="1" x14ac:dyDescent="0.25">
      <c r="A125" s="21">
        <v>0.05</v>
      </c>
      <c r="B125" s="18" t="s">
        <v>190</v>
      </c>
      <c r="C125" s="18" t="s">
        <v>196</v>
      </c>
      <c r="D125" s="19" t="s">
        <v>8</v>
      </c>
      <c r="E125" s="25">
        <f>E120*1.05</f>
        <v>41.654655000000005</v>
      </c>
      <c r="F125" s="25">
        <f t="shared" ref="F125:M125" si="105">F120*1.05</f>
        <v>57.281175000000012</v>
      </c>
      <c r="G125" s="25">
        <f t="shared" si="105"/>
        <v>60.240915000000008</v>
      </c>
      <c r="H125" s="25">
        <f t="shared" si="105"/>
        <v>31.179330000000007</v>
      </c>
      <c r="I125" s="25">
        <f t="shared" si="105"/>
        <v>57.536325000000005</v>
      </c>
      <c r="J125" s="25">
        <f t="shared" si="105"/>
        <v>61.794495000000005</v>
      </c>
      <c r="K125" s="25">
        <f t="shared" si="105"/>
        <v>26.943840000000002</v>
      </c>
      <c r="L125" s="25">
        <f t="shared" si="105"/>
        <v>37.212209999999999</v>
      </c>
      <c r="M125" s="25">
        <f t="shared" si="105"/>
        <v>38.278170000000003</v>
      </c>
      <c r="N125" s="22"/>
      <c r="O125" s="25">
        <f t="shared" si="81"/>
        <v>3.9584999999999999</v>
      </c>
      <c r="P125" s="25">
        <f t="shared" si="82"/>
        <v>5.4432999999999998</v>
      </c>
      <c r="Q125" s="25">
        <f t="shared" si="83"/>
        <v>5.7245999999999988</v>
      </c>
      <c r="R125" s="25">
        <f t="shared" si="84"/>
        <v>2.9638</v>
      </c>
      <c r="S125" s="25">
        <f t="shared" si="85"/>
        <v>5.4664999999999999</v>
      </c>
      <c r="T125" s="25">
        <f t="shared" si="86"/>
        <v>5.8724999999999996</v>
      </c>
      <c r="U125" s="25">
        <f t="shared" si="87"/>
        <v>2.5606999999999998</v>
      </c>
      <c r="V125" s="25">
        <f t="shared" si="88"/>
        <v>3.5350999999999995</v>
      </c>
      <c r="W125" s="25">
        <f t="shared" si="89"/>
        <v>3.6365999999999996</v>
      </c>
      <c r="X125" s="22"/>
      <c r="Y125"/>
      <c r="AA125" s="31">
        <v>0.28999999999999998</v>
      </c>
      <c r="AB125" s="22"/>
    </row>
    <row r="126" spans="1:28" hidden="1" x14ac:dyDescent="0.25">
      <c r="A126" s="21">
        <v>-0.01</v>
      </c>
      <c r="B126" s="18" t="s">
        <v>190</v>
      </c>
      <c r="C126" s="18" t="s">
        <v>197</v>
      </c>
      <c r="D126" s="19" t="s">
        <v>8</v>
      </c>
      <c r="E126" s="25">
        <f>E120/1.01</f>
        <v>39.278316831683171</v>
      </c>
      <c r="F126" s="25">
        <f t="shared" ref="F126:M126" si="106">F120/1.01</f>
        <v>54.013366336633666</v>
      </c>
      <c r="G126" s="25">
        <f t="shared" si="106"/>
        <v>56.804257425742577</v>
      </c>
      <c r="H126" s="25">
        <f t="shared" si="106"/>
        <v>29.400594059405947</v>
      </c>
      <c r="I126" s="25">
        <f t="shared" si="106"/>
        <v>54.253960396039602</v>
      </c>
      <c r="J126" s="25">
        <f t="shared" si="106"/>
        <v>58.269207920792077</v>
      </c>
      <c r="K126" s="25">
        <f t="shared" si="106"/>
        <v>25.406732673267328</v>
      </c>
      <c r="L126" s="25">
        <f t="shared" si="106"/>
        <v>35.08930693069307</v>
      </c>
      <c r="M126" s="25">
        <f t="shared" si="106"/>
        <v>36.094455445544561</v>
      </c>
      <c r="N126" s="22"/>
      <c r="O126" s="25">
        <f t="shared" si="81"/>
        <v>3.6855000000000002</v>
      </c>
      <c r="P126" s="25">
        <f t="shared" si="82"/>
        <v>5.0678999999999998</v>
      </c>
      <c r="Q126" s="25">
        <f t="shared" si="83"/>
        <v>5.3297999999999996</v>
      </c>
      <c r="R126" s="25">
        <f t="shared" si="84"/>
        <v>2.7594000000000003</v>
      </c>
      <c r="S126" s="25">
        <f t="shared" si="85"/>
        <v>5.089500000000001</v>
      </c>
      <c r="T126" s="25">
        <f t="shared" si="86"/>
        <v>5.4675000000000002</v>
      </c>
      <c r="U126" s="25">
        <f t="shared" si="87"/>
        <v>2.3841000000000001</v>
      </c>
      <c r="V126" s="25">
        <f t="shared" si="88"/>
        <v>3.2913000000000001</v>
      </c>
      <c r="W126" s="25">
        <f t="shared" si="89"/>
        <v>3.3858000000000001</v>
      </c>
      <c r="X126" s="22"/>
      <c r="Y126"/>
      <c r="AA126" s="31">
        <v>0.27</v>
      </c>
      <c r="AB126" s="22"/>
    </row>
    <row r="127" spans="1:28" hidden="1" x14ac:dyDescent="0.25">
      <c r="A127" s="16"/>
      <c r="B127" s="3" t="s">
        <v>198</v>
      </c>
      <c r="C127" s="3" t="s">
        <v>199</v>
      </c>
      <c r="D127" s="11" t="s">
        <v>8</v>
      </c>
      <c r="E127" s="8">
        <f t="shared" si="80"/>
        <v>69.057100000000005</v>
      </c>
      <c r="F127" s="8">
        <f>(202.05*$AA127)</f>
        <v>94.963499999999996</v>
      </c>
      <c r="G127" s="8">
        <f t="shared" ref="G127:G137" si="107">(212.49*$AA127)</f>
        <v>99.8703</v>
      </c>
      <c r="H127" s="8">
        <f t="shared" ref="H127:H137" si="108">(109.98*$AA127)</f>
        <v>51.690599999999996</v>
      </c>
      <c r="I127" s="8">
        <f t="shared" ref="I127:I137" si="109">(202.95*$AA127)</f>
        <v>95.386499999999984</v>
      </c>
      <c r="J127" s="8">
        <f t="shared" ref="J127:J137" si="110">(217.97*$AA127)</f>
        <v>102.44589999999999</v>
      </c>
      <c r="K127" s="8">
        <f t="shared" ref="K127:K137" si="111">(95.04*$AA127)</f>
        <v>44.668799999999997</v>
      </c>
      <c r="L127" s="8">
        <f t="shared" ref="L127:L137" si="112">(131.26*$AA127)</f>
        <v>61.692199999999993</v>
      </c>
      <c r="M127" s="8">
        <f t="shared" ref="M127:M137" si="113">(135.02*$AA127)</f>
        <v>63.459400000000002</v>
      </c>
      <c r="N127" s="22"/>
      <c r="O127" s="8">
        <f t="shared" si="81"/>
        <v>6.4154999999999998</v>
      </c>
      <c r="P127" s="8">
        <f t="shared" si="82"/>
        <v>8.8218999999999994</v>
      </c>
      <c r="Q127" s="8">
        <f t="shared" si="83"/>
        <v>9.2777999999999992</v>
      </c>
      <c r="R127" s="8">
        <f t="shared" si="84"/>
        <v>4.8033999999999999</v>
      </c>
      <c r="S127" s="8">
        <f t="shared" si="85"/>
        <v>8.8595000000000006</v>
      </c>
      <c r="T127" s="8">
        <f t="shared" si="86"/>
        <v>9.5175000000000001</v>
      </c>
      <c r="U127" s="8">
        <f t="shared" si="87"/>
        <v>4.1501000000000001</v>
      </c>
      <c r="V127" s="8">
        <f t="shared" si="88"/>
        <v>5.7292999999999994</v>
      </c>
      <c r="W127" s="8">
        <f t="shared" si="89"/>
        <v>5.8937999999999997</v>
      </c>
      <c r="X127" s="22"/>
      <c r="Y127"/>
      <c r="AA127" s="10">
        <v>0.47</v>
      </c>
      <c r="AB127" s="22"/>
    </row>
    <row r="128" spans="1:28" hidden="1" x14ac:dyDescent="0.25">
      <c r="A128" s="16"/>
      <c r="B128" s="3" t="s">
        <v>200</v>
      </c>
      <c r="C128" s="3" t="s">
        <v>201</v>
      </c>
      <c r="D128" s="11" t="s">
        <v>8</v>
      </c>
      <c r="E128" s="8">
        <f t="shared" si="80"/>
        <v>157.84652289553566</v>
      </c>
      <c r="F128" s="8">
        <f t="shared" ref="F128:F137" si="114">(202.05*$AA128)</f>
        <v>217.0617978019668</v>
      </c>
      <c r="G128" s="8">
        <f t="shared" si="107"/>
        <v>228.2774630781486</v>
      </c>
      <c r="H128" s="8">
        <f t="shared" si="108"/>
        <v>118.15123247839796</v>
      </c>
      <c r="I128" s="8">
        <f t="shared" si="109"/>
        <v>218.02866549818935</v>
      </c>
      <c r="J128" s="8">
        <f t="shared" si="110"/>
        <v>234.16461305070379</v>
      </c>
      <c r="K128" s="8">
        <f t="shared" si="111"/>
        <v>102.10122872110331</v>
      </c>
      <c r="L128" s="8">
        <f t="shared" si="112"/>
        <v>141.01228200686046</v>
      </c>
      <c r="M128" s="8">
        <f t="shared" si="113"/>
        <v>145.05164038219033</v>
      </c>
      <c r="N128" s="22"/>
      <c r="O128" s="8">
        <f t="shared" si="81"/>
        <v>14.664160059375634</v>
      </c>
      <c r="P128" s="8">
        <f t="shared" si="82"/>
        <v>20.164562953441806</v>
      </c>
      <c r="Q128" s="8">
        <f t="shared" si="83"/>
        <v>21.206631470481682</v>
      </c>
      <c r="R128" s="8">
        <f t="shared" si="84"/>
        <v>10.979319839327397</v>
      </c>
      <c r="S128" s="8">
        <f t="shared" si="85"/>
        <v>20.250506748661589</v>
      </c>
      <c r="T128" s="8">
        <f t="shared" si="86"/>
        <v>21.754523165007807</v>
      </c>
      <c r="U128" s="8">
        <f t="shared" si="87"/>
        <v>9.4860463973836513</v>
      </c>
      <c r="V128" s="8">
        <f t="shared" si="88"/>
        <v>13.095685796614577</v>
      </c>
      <c r="W128" s="8">
        <f t="shared" si="89"/>
        <v>13.471689900701129</v>
      </c>
      <c r="X128" s="22"/>
      <c r="Y128"/>
      <c r="AA128" s="10">
        <v>1.0742974402472991</v>
      </c>
      <c r="AB128" s="22"/>
    </row>
    <row r="129" spans="1:28" hidden="1" x14ac:dyDescent="0.25">
      <c r="A129" s="16"/>
      <c r="B129" s="3" t="s">
        <v>202</v>
      </c>
      <c r="C129" s="3" t="s">
        <v>203</v>
      </c>
      <c r="D129" s="11" t="s">
        <v>8</v>
      </c>
      <c r="E129" s="97">
        <f t="shared" si="80"/>
        <v>68.851454625286422</v>
      </c>
      <c r="F129" s="97">
        <f t="shared" si="114"/>
        <v>94.680707867958347</v>
      </c>
      <c r="G129" s="97">
        <f t="shared" si="107"/>
        <v>99.572895891425233</v>
      </c>
      <c r="H129" s="97">
        <f t="shared" si="108"/>
        <v>51.536670385142585</v>
      </c>
      <c r="I129" s="97">
        <f t="shared" si="109"/>
        <v>95.102448214808931</v>
      </c>
      <c r="J129" s="97">
        <f t="shared" si="110"/>
        <v>102.14082600335996</v>
      </c>
      <c r="K129" s="97">
        <f t="shared" si="111"/>
        <v>44.535780627422724</v>
      </c>
      <c r="L129" s="97">
        <f t="shared" si="112"/>
        <v>61.508486586232181</v>
      </c>
      <c r="M129" s="97">
        <f t="shared" si="113"/>
        <v>63.270424035296891</v>
      </c>
      <c r="N129" s="22"/>
      <c r="O129" s="8">
        <f t="shared" si="81"/>
        <v>6.396395260567342</v>
      </c>
      <c r="P129" s="8">
        <f t="shared" si="82"/>
        <v>8.7956292337618311</v>
      </c>
      <c r="Q129" s="8">
        <f t="shared" si="83"/>
        <v>9.250171607589694</v>
      </c>
      <c r="R129" s="8">
        <f t="shared" si="84"/>
        <v>4.7890959386811893</v>
      </c>
      <c r="S129" s="8">
        <f t="shared" si="85"/>
        <v>8.8331172645929961</v>
      </c>
      <c r="T129" s="8">
        <f t="shared" si="86"/>
        <v>9.4891578041383635</v>
      </c>
      <c r="U129" s="8">
        <f t="shared" si="87"/>
        <v>4.1377414029897164</v>
      </c>
      <c r="V129" s="8">
        <f t="shared" si="88"/>
        <v>5.7122386978986004</v>
      </c>
      <c r="W129" s="8">
        <f t="shared" si="89"/>
        <v>5.8762488327849418</v>
      </c>
      <c r="X129" s="22"/>
      <c r="Y129"/>
      <c r="AA129" s="10">
        <v>0.46860038538954885</v>
      </c>
      <c r="AB129" s="22"/>
    </row>
    <row r="130" spans="1:28" hidden="1" x14ac:dyDescent="0.25">
      <c r="A130" s="16"/>
      <c r="B130" s="3" t="s">
        <v>204</v>
      </c>
      <c r="C130" s="3" t="s">
        <v>205</v>
      </c>
      <c r="D130" s="11" t="s">
        <v>8</v>
      </c>
      <c r="E130" s="8">
        <f t="shared" si="80"/>
        <v>93.153410843536633</v>
      </c>
      <c r="F130" s="8">
        <f t="shared" si="114"/>
        <v>128.09941237961326</v>
      </c>
      <c r="G130" s="8">
        <f t="shared" si="107"/>
        <v>134.71835751815897</v>
      </c>
      <c r="H130" s="8">
        <f t="shared" si="108"/>
        <v>69.727163442266104</v>
      </c>
      <c r="I130" s="8">
        <f t="shared" si="109"/>
        <v>128.67001109845339</v>
      </c>
      <c r="J130" s="8">
        <f t="shared" si="110"/>
        <v>138.19266971731898</v>
      </c>
      <c r="K130" s="8">
        <f t="shared" si="111"/>
        <v>60.255224709519645</v>
      </c>
      <c r="L130" s="8">
        <f t="shared" si="112"/>
        <v>83.218653149953155</v>
      </c>
      <c r="M130" s="8">
        <f t="shared" si="113"/>
        <v>85.602487797552001</v>
      </c>
      <c r="N130" s="22"/>
      <c r="O130" s="8">
        <f t="shared" si="81"/>
        <v>8.65408056907558</v>
      </c>
      <c r="P130" s="8">
        <f t="shared" si="82"/>
        <v>11.900153280699532</v>
      </c>
      <c r="Q130" s="8">
        <f t="shared" si="83"/>
        <v>12.515131899893914</v>
      </c>
      <c r="R130" s="8">
        <f t="shared" si="84"/>
        <v>6.4794654517181263</v>
      </c>
      <c r="S130" s="8">
        <f t="shared" si="85"/>
        <v>11.950873166818658</v>
      </c>
      <c r="T130" s="8">
        <f t="shared" si="86"/>
        <v>12.838471173903333</v>
      </c>
      <c r="U130" s="8">
        <f t="shared" si="87"/>
        <v>5.5982074303983422</v>
      </c>
      <c r="V130" s="8">
        <f t="shared" si="88"/>
        <v>7.7284426474015611</v>
      </c>
      <c r="W130" s="8">
        <f t="shared" si="89"/>
        <v>7.9503421491727293</v>
      </c>
      <c r="X130" s="22"/>
      <c r="Y130"/>
      <c r="AA130" s="10">
        <v>0.63399857648905344</v>
      </c>
      <c r="AB130" s="22"/>
    </row>
    <row r="131" spans="1:28" hidden="1" x14ac:dyDescent="0.25">
      <c r="A131" s="16"/>
      <c r="B131" s="3" t="s">
        <v>206</v>
      </c>
      <c r="C131" s="3" t="s">
        <v>207</v>
      </c>
      <c r="D131" s="11" t="s">
        <v>8</v>
      </c>
      <c r="E131" s="97">
        <f t="shared" si="80"/>
        <v>51.4255</v>
      </c>
      <c r="F131" s="97">
        <f t="shared" si="114"/>
        <v>70.717500000000001</v>
      </c>
      <c r="G131" s="97">
        <f t="shared" si="107"/>
        <v>74.371499999999997</v>
      </c>
      <c r="H131" s="97">
        <f t="shared" si="108"/>
        <v>38.493000000000002</v>
      </c>
      <c r="I131" s="97">
        <f t="shared" si="109"/>
        <v>71.032499999999985</v>
      </c>
      <c r="J131" s="97">
        <f t="shared" si="110"/>
        <v>76.28949999999999</v>
      </c>
      <c r="K131" s="97">
        <f t="shared" si="111"/>
        <v>33.264000000000003</v>
      </c>
      <c r="L131" s="97">
        <f t="shared" si="112"/>
        <v>45.940999999999995</v>
      </c>
      <c r="M131" s="97">
        <f t="shared" si="113"/>
        <v>47.256999999999998</v>
      </c>
      <c r="N131" s="22"/>
      <c r="O131" s="8">
        <f t="shared" si="81"/>
        <v>4.7774999999999999</v>
      </c>
      <c r="P131" s="8">
        <f t="shared" si="82"/>
        <v>6.5694999999999997</v>
      </c>
      <c r="Q131" s="8">
        <f t="shared" si="83"/>
        <v>6.9089999999999989</v>
      </c>
      <c r="R131" s="8">
        <f t="shared" si="84"/>
        <v>3.577</v>
      </c>
      <c r="S131" s="8">
        <f t="shared" si="85"/>
        <v>6.5975000000000001</v>
      </c>
      <c r="T131" s="8">
        <f t="shared" si="86"/>
        <v>7.0874999999999995</v>
      </c>
      <c r="U131" s="8">
        <f t="shared" si="87"/>
        <v>3.0905</v>
      </c>
      <c r="V131" s="8">
        <f t="shared" si="88"/>
        <v>4.2664999999999997</v>
      </c>
      <c r="W131" s="8">
        <f t="shared" si="89"/>
        <v>4.3889999999999993</v>
      </c>
      <c r="X131" s="22"/>
      <c r="Y131"/>
      <c r="AA131" s="98">
        <v>0.35</v>
      </c>
      <c r="AB131" s="22"/>
    </row>
    <row r="132" spans="1:28" hidden="1" x14ac:dyDescent="0.25">
      <c r="A132" s="16"/>
      <c r="B132" s="3" t="s">
        <v>208</v>
      </c>
      <c r="C132" s="3" t="s">
        <v>209</v>
      </c>
      <c r="D132" s="11" t="s">
        <v>8</v>
      </c>
      <c r="E132" s="97">
        <f t="shared" si="80"/>
        <v>73.465000000000003</v>
      </c>
      <c r="F132" s="97">
        <f t="shared" si="114"/>
        <v>101.02500000000001</v>
      </c>
      <c r="G132" s="97">
        <f t="shared" si="107"/>
        <v>106.245</v>
      </c>
      <c r="H132" s="97">
        <f t="shared" si="108"/>
        <v>54.99</v>
      </c>
      <c r="I132" s="97">
        <f t="shared" si="109"/>
        <v>101.47499999999999</v>
      </c>
      <c r="J132" s="97">
        <f t="shared" si="110"/>
        <v>108.985</v>
      </c>
      <c r="K132" s="97">
        <f t="shared" si="111"/>
        <v>47.52</v>
      </c>
      <c r="L132" s="97">
        <f t="shared" si="112"/>
        <v>65.63</v>
      </c>
      <c r="M132" s="97">
        <f t="shared" si="113"/>
        <v>67.510000000000005</v>
      </c>
      <c r="N132" s="22"/>
      <c r="O132" s="8">
        <f t="shared" si="81"/>
        <v>6.8250000000000002</v>
      </c>
      <c r="P132" s="8">
        <f t="shared" si="82"/>
        <v>9.3849999999999998</v>
      </c>
      <c r="Q132" s="8">
        <f t="shared" si="83"/>
        <v>9.8699999999999992</v>
      </c>
      <c r="R132" s="8">
        <f t="shared" si="84"/>
        <v>5.1100000000000003</v>
      </c>
      <c r="S132" s="8">
        <f t="shared" si="85"/>
        <v>9.4250000000000007</v>
      </c>
      <c r="T132" s="8">
        <f t="shared" si="86"/>
        <v>10.125</v>
      </c>
      <c r="U132" s="8">
        <f t="shared" si="87"/>
        <v>4.415</v>
      </c>
      <c r="V132" s="8">
        <f t="shared" si="88"/>
        <v>6.0949999999999998</v>
      </c>
      <c r="W132" s="8">
        <f t="shared" si="89"/>
        <v>6.27</v>
      </c>
      <c r="X132" s="22"/>
      <c r="Y132"/>
      <c r="AA132" s="98">
        <v>0.5</v>
      </c>
      <c r="AB132" s="22"/>
    </row>
    <row r="133" spans="1:28" hidden="1" x14ac:dyDescent="0.25">
      <c r="A133" s="16"/>
      <c r="B133" s="3" t="s">
        <v>210</v>
      </c>
      <c r="C133" s="3" t="s">
        <v>210</v>
      </c>
      <c r="D133" s="11" t="s">
        <v>8</v>
      </c>
      <c r="E133" s="97">
        <f t="shared" si="80"/>
        <v>132.23700000000002</v>
      </c>
      <c r="F133" s="97">
        <f t="shared" si="114"/>
        <v>181.84500000000003</v>
      </c>
      <c r="G133" s="97">
        <f t="shared" si="107"/>
        <v>191.24100000000001</v>
      </c>
      <c r="H133" s="97">
        <f t="shared" si="108"/>
        <v>98.981999999999999</v>
      </c>
      <c r="I133" s="97">
        <f t="shared" si="109"/>
        <v>182.655</v>
      </c>
      <c r="J133" s="97">
        <f t="shared" si="110"/>
        <v>196.173</v>
      </c>
      <c r="K133" s="97">
        <f t="shared" si="111"/>
        <v>85.536000000000001</v>
      </c>
      <c r="L133" s="97">
        <f t="shared" si="112"/>
        <v>118.134</v>
      </c>
      <c r="M133" s="97">
        <f t="shared" si="113"/>
        <v>121.51800000000001</v>
      </c>
      <c r="N133" s="22"/>
      <c r="O133" s="8">
        <f t="shared" si="81"/>
        <v>12.285</v>
      </c>
      <c r="P133" s="8">
        <f t="shared" si="82"/>
        <v>16.893000000000001</v>
      </c>
      <c r="Q133" s="8">
        <f t="shared" si="83"/>
        <v>17.765999999999998</v>
      </c>
      <c r="R133" s="8">
        <f t="shared" si="84"/>
        <v>9.1980000000000004</v>
      </c>
      <c r="S133" s="8">
        <f t="shared" si="85"/>
        <v>16.965000000000003</v>
      </c>
      <c r="T133" s="8">
        <f t="shared" si="86"/>
        <v>18.225000000000001</v>
      </c>
      <c r="U133" s="8">
        <f t="shared" si="87"/>
        <v>7.9470000000000001</v>
      </c>
      <c r="V133" s="8">
        <f t="shared" si="88"/>
        <v>10.971</v>
      </c>
      <c r="W133" s="8">
        <f t="shared" si="89"/>
        <v>11.286</v>
      </c>
      <c r="X133" s="22"/>
      <c r="Y133"/>
      <c r="AA133" s="98">
        <v>0.9</v>
      </c>
      <c r="AB133" s="22"/>
    </row>
    <row r="134" spans="1:28" hidden="1" x14ac:dyDescent="0.25">
      <c r="A134" s="16"/>
      <c r="B134" s="3" t="s">
        <v>211</v>
      </c>
      <c r="C134" s="3" t="s">
        <v>212</v>
      </c>
      <c r="D134" s="11" t="s">
        <v>8</v>
      </c>
      <c r="E134" s="97">
        <f t="shared" si="80"/>
        <v>88.158000000000001</v>
      </c>
      <c r="F134" s="97">
        <f t="shared" si="114"/>
        <v>121.23</v>
      </c>
      <c r="G134" s="97">
        <f t="shared" si="107"/>
        <v>127.494</v>
      </c>
      <c r="H134" s="97">
        <f t="shared" si="108"/>
        <v>65.988</v>
      </c>
      <c r="I134" s="97">
        <f t="shared" si="109"/>
        <v>121.76999999999998</v>
      </c>
      <c r="J134" s="97">
        <f t="shared" si="110"/>
        <v>130.78199999999998</v>
      </c>
      <c r="K134" s="97">
        <f t="shared" si="111"/>
        <v>57.024000000000001</v>
      </c>
      <c r="L134" s="97">
        <f t="shared" si="112"/>
        <v>78.755999999999986</v>
      </c>
      <c r="M134" s="97">
        <f t="shared" si="113"/>
        <v>81.012</v>
      </c>
      <c r="N134" s="22"/>
      <c r="O134" s="8">
        <f t="shared" si="81"/>
        <v>8.19</v>
      </c>
      <c r="P134" s="8">
        <f t="shared" si="82"/>
        <v>11.261999999999999</v>
      </c>
      <c r="Q134" s="8">
        <f t="shared" si="83"/>
        <v>11.843999999999999</v>
      </c>
      <c r="R134" s="8">
        <f t="shared" si="84"/>
        <v>6.1320000000000006</v>
      </c>
      <c r="S134" s="8">
        <f t="shared" si="85"/>
        <v>11.31</v>
      </c>
      <c r="T134" s="8">
        <f t="shared" si="86"/>
        <v>12.15</v>
      </c>
      <c r="U134" s="8">
        <f t="shared" si="87"/>
        <v>5.298</v>
      </c>
      <c r="V134" s="8">
        <f t="shared" si="88"/>
        <v>7.3139999999999992</v>
      </c>
      <c r="W134" s="8">
        <f t="shared" si="89"/>
        <v>7.5239999999999991</v>
      </c>
      <c r="X134" s="22"/>
      <c r="Y134"/>
      <c r="AA134" s="98">
        <v>0.6</v>
      </c>
      <c r="AB134" s="22"/>
    </row>
    <row r="135" spans="1:28" hidden="1" x14ac:dyDescent="0.25">
      <c r="A135" s="16"/>
      <c r="B135" s="3" t="s">
        <v>213</v>
      </c>
      <c r="C135" s="3" t="s">
        <v>214</v>
      </c>
      <c r="D135" s="11" t="s">
        <v>8</v>
      </c>
      <c r="E135" s="97">
        <f t="shared" si="80"/>
        <v>76.403600000000012</v>
      </c>
      <c r="F135" s="97">
        <f t="shared" si="114"/>
        <v>105.066</v>
      </c>
      <c r="G135" s="97">
        <f t="shared" si="107"/>
        <v>110.49480000000001</v>
      </c>
      <c r="H135" s="97">
        <f t="shared" si="108"/>
        <v>57.189600000000006</v>
      </c>
      <c r="I135" s="97">
        <f t="shared" si="109"/>
        <v>105.53399999999999</v>
      </c>
      <c r="J135" s="97">
        <f t="shared" si="110"/>
        <v>113.34440000000001</v>
      </c>
      <c r="K135" s="97">
        <f t="shared" si="111"/>
        <v>49.420800000000007</v>
      </c>
      <c r="L135" s="97">
        <f t="shared" si="112"/>
        <v>68.255200000000002</v>
      </c>
      <c r="M135" s="97">
        <f t="shared" si="113"/>
        <v>70.210400000000007</v>
      </c>
      <c r="N135" s="22"/>
      <c r="O135" s="8">
        <f t="shared" si="81"/>
        <v>7.0980000000000008</v>
      </c>
      <c r="P135" s="8">
        <f t="shared" si="82"/>
        <v>9.7604000000000006</v>
      </c>
      <c r="Q135" s="8">
        <f t="shared" si="83"/>
        <v>10.264799999999999</v>
      </c>
      <c r="R135" s="8">
        <f t="shared" si="84"/>
        <v>5.3144000000000009</v>
      </c>
      <c r="S135" s="8">
        <f t="shared" si="85"/>
        <v>9.8020000000000014</v>
      </c>
      <c r="T135" s="8">
        <f t="shared" si="86"/>
        <v>10.530000000000001</v>
      </c>
      <c r="U135" s="8">
        <f t="shared" si="87"/>
        <v>4.5916000000000006</v>
      </c>
      <c r="V135" s="8">
        <f t="shared" si="88"/>
        <v>6.3388</v>
      </c>
      <c r="W135" s="8">
        <f t="shared" si="89"/>
        <v>6.5207999999999995</v>
      </c>
      <c r="X135" s="22"/>
      <c r="Y135"/>
      <c r="AA135" s="98">
        <v>0.52</v>
      </c>
      <c r="AB135" s="22"/>
    </row>
    <row r="136" spans="1:28" hidden="1" x14ac:dyDescent="0.25">
      <c r="A136" s="16"/>
      <c r="B136" s="3" t="s">
        <v>215</v>
      </c>
      <c r="C136" s="3" t="s">
        <v>216</v>
      </c>
      <c r="D136" s="11" t="s">
        <v>8</v>
      </c>
      <c r="E136" s="8">
        <f t="shared" si="80"/>
        <v>46.229310428409178</v>
      </c>
      <c r="F136" s="8">
        <f t="shared" si="114"/>
        <v>63.571987831348771</v>
      </c>
      <c r="G136" s="8">
        <f t="shared" si="107"/>
        <v>66.856776512166789</v>
      </c>
      <c r="H136" s="8">
        <f t="shared" si="108"/>
        <v>34.60354972378984</v>
      </c>
      <c r="I136" s="8">
        <f t="shared" si="109"/>
        <v>63.855159269350317</v>
      </c>
      <c r="J136" s="8">
        <f t="shared" si="110"/>
        <v>68.580975934665133</v>
      </c>
      <c r="K136" s="8">
        <f t="shared" si="111"/>
        <v>29.902903852964055</v>
      </c>
      <c r="L136" s="8">
        <f t="shared" si="112"/>
        <v>41.298981057871011</v>
      </c>
      <c r="M136" s="8">
        <f t="shared" si="113"/>
        <v>42.482008398855285</v>
      </c>
      <c r="N136" s="22"/>
      <c r="O136" s="8">
        <f t="shared" si="81"/>
        <v>4.2947668096902287</v>
      </c>
      <c r="P136" s="8">
        <f t="shared" si="82"/>
        <v>5.9056976569879547</v>
      </c>
      <c r="Q136" s="8">
        <f t="shared" si="83"/>
        <v>6.2108935401674064</v>
      </c>
      <c r="R136" s="8">
        <f t="shared" si="84"/>
        <v>3.215568995973197</v>
      </c>
      <c r="S136" s="8">
        <f t="shared" si="85"/>
        <v>5.9308684514769823</v>
      </c>
      <c r="T136" s="8">
        <f t="shared" si="86"/>
        <v>6.371357355034954</v>
      </c>
      <c r="U136" s="8">
        <f t="shared" si="87"/>
        <v>2.7782264417263529</v>
      </c>
      <c r="V136" s="8">
        <f t="shared" si="88"/>
        <v>3.835399810265486</v>
      </c>
      <c r="W136" s="8">
        <f t="shared" si="89"/>
        <v>3.945522036154979</v>
      </c>
      <c r="X136" s="22"/>
      <c r="Y136"/>
      <c r="AA136" s="10">
        <v>0.31463493111283725</v>
      </c>
      <c r="AB136" s="22"/>
    </row>
    <row r="137" spans="1:28" hidden="1" x14ac:dyDescent="0.25">
      <c r="A137" s="16"/>
      <c r="B137" s="3" t="s">
        <v>217</v>
      </c>
      <c r="C137" s="3" t="s">
        <v>218</v>
      </c>
      <c r="D137" s="11" t="s">
        <v>8</v>
      </c>
      <c r="E137" s="8">
        <f t="shared" si="80"/>
        <v>54.380652427809096</v>
      </c>
      <c r="F137" s="8">
        <f t="shared" si="114"/>
        <v>74.781261982160402</v>
      </c>
      <c r="G137" s="8">
        <f t="shared" si="107"/>
        <v>78.64523810239676</v>
      </c>
      <c r="H137" s="8">
        <f t="shared" si="108"/>
        <v>40.704989818351898</v>
      </c>
      <c r="I137" s="8">
        <f t="shared" si="109"/>
        <v>75.11436337183595</v>
      </c>
      <c r="J137" s="8">
        <f t="shared" si="110"/>
        <v>80.673455452865639</v>
      </c>
      <c r="K137" s="8">
        <f t="shared" si="111"/>
        <v>35.175506749737814</v>
      </c>
      <c r="L137" s="8">
        <f t="shared" si="112"/>
        <v>48.580987120902613</v>
      </c>
      <c r="M137" s="8">
        <f t="shared" si="113"/>
        <v>49.972610704436022</v>
      </c>
      <c r="N137" s="22"/>
      <c r="O137" s="8">
        <f t="shared" si="81"/>
        <v>5.0520377434124697</v>
      </c>
      <c r="P137" s="8">
        <f t="shared" si="82"/>
        <v>6.947014538011139</v>
      </c>
      <c r="Q137" s="8">
        <f t="shared" si="83"/>
        <v>7.3060238135503397</v>
      </c>
      <c r="R137" s="8">
        <f t="shared" si="84"/>
        <v>3.7825513360934391</v>
      </c>
      <c r="S137" s="8">
        <f t="shared" si="85"/>
        <v>6.9766235504267442</v>
      </c>
      <c r="T137" s="8">
        <f t="shared" si="86"/>
        <v>7.4947812676998176</v>
      </c>
      <c r="U137" s="8">
        <f t="shared" si="87"/>
        <v>3.2680947453723155</v>
      </c>
      <c r="V137" s="8">
        <f t="shared" si="88"/>
        <v>4.5116732668276924</v>
      </c>
      <c r="W137" s="8">
        <f t="shared" si="89"/>
        <v>4.6412126961459608</v>
      </c>
      <c r="X137" s="22"/>
      <c r="Y137"/>
      <c r="AA137" s="10">
        <v>0.37011265519505271</v>
      </c>
      <c r="AB137" s="22"/>
    </row>
    <row r="138" spans="1:28" ht="14.5" hidden="1" customHeight="1" x14ac:dyDescent="0.25">
      <c r="A138" s="16"/>
      <c r="B138" s="3" t="s">
        <v>219</v>
      </c>
      <c r="C138" s="3" t="s">
        <v>220</v>
      </c>
      <c r="D138" s="11" t="s">
        <v>6</v>
      </c>
      <c r="E138" s="8">
        <f>(221.26*$Y138)*1.08</f>
        <v>238.96080000000001</v>
      </c>
      <c r="F138" s="7">
        <f t="shared" ref="F138:F139" si="115">(310.41*$Y138)*1.08</f>
        <v>335.24280000000005</v>
      </c>
      <c r="G138" s="7">
        <f t="shared" ref="G138:G139" si="116">(364.87*$Y138)*1.08</f>
        <v>394.05960000000005</v>
      </c>
      <c r="H138" s="7">
        <f t="shared" ref="H138:H139" si="117">(176.83*$Y138)*1.08</f>
        <v>190.97640000000001</v>
      </c>
      <c r="I138" s="7">
        <f t="shared" ref="I138:I139" si="118">(308.58*$Y138)*1.08</f>
        <v>333.26640000000003</v>
      </c>
      <c r="J138" s="7">
        <f t="shared" ref="J138:J139" si="119">(453.13*$Y138)*1.08</f>
        <v>489.38040000000001</v>
      </c>
      <c r="K138" s="7">
        <f t="shared" ref="K138:K139" si="120">(207.98*$Y138)*1.08</f>
        <v>224.61840000000001</v>
      </c>
      <c r="L138" s="7">
        <f t="shared" ref="L138:L139" si="121">(233.85*$Y138)*1.08</f>
        <v>252.55800000000002</v>
      </c>
      <c r="M138" s="7">
        <f t="shared" ref="M138:M139" si="122">(280.64*$Y138)*1.08</f>
        <v>303.09120000000001</v>
      </c>
      <c r="N138" s="22"/>
      <c r="O138" s="7">
        <f t="shared" ref="O138:O139" si="123">(20.56*$Y138)*1.08</f>
        <v>22.204799999999999</v>
      </c>
      <c r="P138" s="7">
        <f t="shared" ref="P138:P139" si="124">(28.84*$Y138)*1.08</f>
        <v>31.147200000000002</v>
      </c>
      <c r="Q138" s="7">
        <f t="shared" ref="Q138:Q139" si="125">(33.93*$Y138)*1.08</f>
        <v>36.644400000000005</v>
      </c>
      <c r="R138" s="7">
        <f t="shared" ref="R138:R139" si="126">(16.43*$Y138)*1.08</f>
        <v>17.744400000000002</v>
      </c>
      <c r="S138" s="7">
        <f t="shared" ref="S138:S139" si="127">(28.67*$Y138)*1.08</f>
        <v>30.963600000000003</v>
      </c>
      <c r="T138" s="7">
        <f t="shared" ref="T138:T139" si="128">(42.1*$Y138)*1.08</f>
        <v>45.468000000000004</v>
      </c>
      <c r="U138" s="7">
        <f t="shared" ref="U138:U139" si="129">(19.32*$Y138)*1.08</f>
        <v>20.865600000000001</v>
      </c>
      <c r="V138" s="7">
        <f t="shared" ref="V138:V139" si="130">(21.73*$Y138)*1.08</f>
        <v>23.468400000000003</v>
      </c>
      <c r="W138" s="7">
        <f t="shared" ref="W138:W139" si="131">(26.07*$Y138)*1.08</f>
        <v>28.155600000000003</v>
      </c>
      <c r="X138" s="22"/>
      <c r="Y138" s="10">
        <v>1</v>
      </c>
      <c r="AB138" s="22"/>
    </row>
    <row r="139" spans="1:28" ht="14.5" hidden="1" customHeight="1" x14ac:dyDescent="0.25">
      <c r="A139" s="16"/>
      <c r="B139" s="3" t="s">
        <v>221</v>
      </c>
      <c r="C139" s="3" t="s">
        <v>222</v>
      </c>
      <c r="D139" s="11" t="s">
        <v>6</v>
      </c>
      <c r="E139" s="8">
        <f>(221.26*$Y139)*1.08</f>
        <v>144.37899610505198</v>
      </c>
      <c r="F139" s="7">
        <f t="shared" si="115"/>
        <v>202.55212953524901</v>
      </c>
      <c r="G139" s="7">
        <f t="shared" si="116"/>
        <v>238.08896460657292</v>
      </c>
      <c r="H139" s="7">
        <f t="shared" si="117"/>
        <v>115.38704637646364</v>
      </c>
      <c r="I139" s="7">
        <f t="shared" si="118"/>
        <v>201.35799791239691</v>
      </c>
      <c r="J139" s="7">
        <f t="shared" si="119"/>
        <v>295.68134549888009</v>
      </c>
      <c r="K139" s="7">
        <f t="shared" si="120"/>
        <v>135.7133852026065</v>
      </c>
      <c r="L139" s="7">
        <f t="shared" si="121"/>
        <v>152.59436065789751</v>
      </c>
      <c r="M139" s="7">
        <f t="shared" si="122"/>
        <v>183.12628340830599</v>
      </c>
      <c r="N139" s="22"/>
      <c r="O139" s="7">
        <f t="shared" si="123"/>
        <v>13.416036156195737</v>
      </c>
      <c r="P139" s="7">
        <f t="shared" si="124"/>
        <v>18.818992351395188</v>
      </c>
      <c r="Q139" s="7">
        <f t="shared" si="125"/>
        <v>22.140374843371664</v>
      </c>
      <c r="R139" s="7">
        <f t="shared" si="126"/>
        <v>10.721083368010504</v>
      </c>
      <c r="S139" s="7">
        <f t="shared" si="127"/>
        <v>18.708062091348825</v>
      </c>
      <c r="T139" s="7">
        <f t="shared" si="128"/>
        <v>27.471552635011701</v>
      </c>
      <c r="U139" s="7">
        <f t="shared" si="129"/>
        <v>12.606897788798719</v>
      </c>
      <c r="V139" s="7">
        <f t="shared" si="130"/>
        <v>14.179497357691313</v>
      </c>
      <c r="W139" s="7">
        <f t="shared" si="131"/>
        <v>17.011481643580879</v>
      </c>
      <c r="X139" s="22"/>
      <c r="Y139" s="10">
        <v>0.60419531615667499</v>
      </c>
      <c r="AB139" s="22"/>
    </row>
    <row r="140" spans="1:28" x14ac:dyDescent="0.25">
      <c r="A140" s="16"/>
      <c r="B140" s="17"/>
      <c r="C140" s="3"/>
      <c r="D140" s="1"/>
      <c r="F140" s="4"/>
      <c r="G140" s="4"/>
      <c r="H140" s="4"/>
      <c r="I140" s="4"/>
      <c r="J140" s="4"/>
      <c r="K140" s="4"/>
      <c r="L140" s="4"/>
      <c r="M140" s="4"/>
    </row>
    <row r="141" spans="1:28" x14ac:dyDescent="0.25">
      <c r="A141" s="16"/>
      <c r="B141" s="17"/>
      <c r="C141" s="3"/>
      <c r="D141" s="1"/>
      <c r="F141" s="4"/>
      <c r="G141" s="4"/>
      <c r="H141" s="4"/>
      <c r="I141" s="4"/>
      <c r="J141" s="4"/>
      <c r="K141" s="4"/>
      <c r="L141" s="4"/>
      <c r="M141" s="4"/>
    </row>
    <row r="142" spans="1:28" x14ac:dyDescent="0.25">
      <c r="A142" s="16"/>
      <c r="B142" s="17"/>
      <c r="C142" s="3"/>
      <c r="D142" s="1"/>
      <c r="F142" s="4"/>
      <c r="G142" s="4"/>
      <c r="H142" s="4"/>
      <c r="I142" s="4"/>
      <c r="J142" s="4"/>
      <c r="K142" s="4"/>
      <c r="L142" s="4"/>
      <c r="M142" s="4"/>
    </row>
    <row r="143" spans="1:28" x14ac:dyDescent="0.25">
      <c r="A143" s="16"/>
      <c r="B143" s="17"/>
      <c r="C143" s="3"/>
      <c r="D143" s="1"/>
      <c r="F143" s="4"/>
      <c r="G143" s="4"/>
      <c r="H143" s="4"/>
      <c r="I143" s="4"/>
      <c r="J143" s="4"/>
      <c r="K143" s="4"/>
      <c r="L143" s="4"/>
      <c r="M143" s="4"/>
    </row>
    <row r="144" spans="1:28" x14ac:dyDescent="0.25">
      <c r="A144" s="16"/>
      <c r="B144" s="17"/>
      <c r="C144" s="3"/>
      <c r="D144" s="1"/>
      <c r="F144" s="4"/>
      <c r="G144" s="4"/>
      <c r="H144" s="4"/>
      <c r="I144" s="4"/>
      <c r="J144" s="4"/>
      <c r="K144" s="4"/>
      <c r="L144" s="4"/>
      <c r="M144" s="4"/>
    </row>
    <row r="145" spans="1:13" x14ac:dyDescent="0.25">
      <c r="A145" s="16"/>
      <c r="B145" s="17"/>
      <c r="C145" s="3"/>
      <c r="D145" s="1"/>
      <c r="F145" s="4"/>
      <c r="G145" s="4"/>
      <c r="H145" s="4"/>
      <c r="I145" s="4"/>
      <c r="J145" s="4"/>
      <c r="K145" s="4"/>
      <c r="L145" s="4"/>
      <c r="M145" s="4"/>
    </row>
    <row r="146" spans="1:13" x14ac:dyDescent="0.25">
      <c r="A146" s="16"/>
      <c r="B146" s="17"/>
      <c r="C146" s="3"/>
      <c r="D146" s="1"/>
      <c r="F146" s="4"/>
      <c r="G146" s="4"/>
      <c r="H146" s="4"/>
      <c r="I146" s="4"/>
      <c r="J146" s="4"/>
      <c r="K146" s="4"/>
      <c r="L146" s="4"/>
      <c r="M146" s="4"/>
    </row>
    <row r="147" spans="1:13" x14ac:dyDescent="0.25">
      <c r="A147" s="16"/>
      <c r="B147" s="17"/>
      <c r="C147" s="3"/>
      <c r="D147" s="1"/>
      <c r="F147" s="4"/>
      <c r="G147" s="4"/>
      <c r="H147" s="4"/>
      <c r="I147" s="4"/>
      <c r="J147" s="4"/>
      <c r="K147" s="4"/>
      <c r="L147" s="4"/>
      <c r="M147" s="4"/>
    </row>
    <row r="148" spans="1:13" x14ac:dyDescent="0.25">
      <c r="A148" s="16"/>
      <c r="B148" s="17"/>
      <c r="C148" s="3"/>
      <c r="D148" s="1"/>
      <c r="E148" s="99"/>
      <c r="F148" s="99"/>
      <c r="G148" s="99"/>
      <c r="H148" s="4"/>
      <c r="I148" s="4"/>
      <c r="J148" s="4"/>
      <c r="K148" s="4"/>
      <c r="L148" s="4"/>
      <c r="M148" s="4"/>
    </row>
    <row r="149" spans="1:13" x14ac:dyDescent="0.25">
      <c r="A149" s="16"/>
      <c r="B149" s="17"/>
      <c r="C149" s="3"/>
      <c r="D149" s="1"/>
      <c r="E149" s="7"/>
      <c r="F149" s="7"/>
      <c r="G149" s="7"/>
      <c r="H149" s="4"/>
      <c r="I149" s="4"/>
      <c r="J149" s="4"/>
      <c r="K149" s="4"/>
      <c r="L149" s="4"/>
      <c r="M149" s="4"/>
    </row>
    <row r="150" spans="1:13" x14ac:dyDescent="0.25">
      <c r="A150" s="16"/>
      <c r="B150" s="17"/>
      <c r="C150" s="3"/>
      <c r="D150" s="1"/>
      <c r="E150" s="32"/>
      <c r="F150" s="32"/>
      <c r="G150" s="32"/>
      <c r="H150" s="4"/>
      <c r="I150" s="4"/>
      <c r="J150" s="4"/>
      <c r="K150" s="4"/>
      <c r="L150" s="4"/>
      <c r="M150" s="4"/>
    </row>
    <row r="151" spans="1:13" x14ac:dyDescent="0.25">
      <c r="A151" s="16"/>
      <c r="B151" s="17"/>
      <c r="C151" s="3"/>
      <c r="D151" s="1"/>
      <c r="E151" s="32"/>
      <c r="F151" s="32"/>
      <c r="G151" s="32"/>
      <c r="H151" s="4"/>
      <c r="I151" s="4"/>
      <c r="J151" s="4"/>
      <c r="K151" s="4"/>
      <c r="L151" s="4"/>
      <c r="M151" s="4"/>
    </row>
    <row r="152" spans="1:13" x14ac:dyDescent="0.25">
      <c r="A152" s="16"/>
      <c r="B152" s="17"/>
      <c r="C152" s="3"/>
      <c r="D152" s="1"/>
      <c r="E152" s="32"/>
      <c r="F152" s="32"/>
      <c r="G152" s="32"/>
      <c r="H152" s="4"/>
      <c r="I152" s="4"/>
      <c r="J152" s="4"/>
      <c r="K152" s="4"/>
      <c r="L152" s="4"/>
      <c r="M152" s="4"/>
    </row>
    <row r="153" spans="1:13" x14ac:dyDescent="0.25">
      <c r="A153" s="16"/>
      <c r="B153" s="17"/>
      <c r="C153" s="3"/>
      <c r="D153" s="1"/>
      <c r="E153" s="99"/>
      <c r="F153" s="99"/>
      <c r="G153" s="99"/>
      <c r="H153" s="4"/>
      <c r="I153" s="4"/>
      <c r="J153" s="4"/>
      <c r="K153" s="4"/>
      <c r="L153" s="4"/>
      <c r="M153" s="4"/>
    </row>
    <row r="154" spans="1:13" x14ac:dyDescent="0.25">
      <c r="A154" s="16"/>
      <c r="B154" s="17"/>
      <c r="C154" s="3"/>
      <c r="D154" s="1"/>
      <c r="E154" s="99"/>
      <c r="F154" s="99"/>
      <c r="G154" s="99"/>
      <c r="H154" s="4"/>
      <c r="I154" s="4"/>
      <c r="J154" s="4"/>
      <c r="K154" s="4"/>
      <c r="L154" s="4"/>
      <c r="M154" s="4"/>
    </row>
    <row r="155" spans="1:13" x14ac:dyDescent="0.25">
      <c r="A155" s="16"/>
      <c r="B155" s="17"/>
      <c r="C155" s="3"/>
      <c r="D155" s="1"/>
      <c r="E155" s="99"/>
      <c r="F155" s="99"/>
      <c r="G155" s="99"/>
      <c r="H155" s="4"/>
      <c r="I155" s="4"/>
      <c r="J155" s="4"/>
      <c r="K155" s="4"/>
      <c r="L155" s="4"/>
      <c r="M155" s="4"/>
    </row>
    <row r="156" spans="1:13" x14ac:dyDescent="0.25">
      <c r="A156" s="16"/>
      <c r="B156" s="17"/>
      <c r="C156" s="3"/>
      <c r="D156" s="1"/>
      <c r="E156" s="7"/>
      <c r="F156" s="7"/>
      <c r="G156" s="7"/>
      <c r="H156" s="4"/>
      <c r="I156" s="4"/>
      <c r="J156" s="4"/>
      <c r="K156" s="4"/>
      <c r="L156" s="4"/>
      <c r="M156" s="4"/>
    </row>
    <row r="157" spans="1:13" x14ac:dyDescent="0.25">
      <c r="A157" s="16"/>
      <c r="B157" s="17"/>
      <c r="C157" s="3"/>
      <c r="D157" s="1"/>
      <c r="E157" s="32"/>
      <c r="F157" s="32"/>
      <c r="G157" s="32"/>
      <c r="H157" s="4"/>
      <c r="I157" s="4"/>
      <c r="J157" s="4"/>
      <c r="K157" s="4"/>
      <c r="L157" s="4"/>
      <c r="M157" s="4"/>
    </row>
    <row r="158" spans="1:13" x14ac:dyDescent="0.25">
      <c r="A158" s="16"/>
      <c r="B158" s="17"/>
      <c r="C158" s="3"/>
      <c r="D158" s="1"/>
      <c r="E158" s="32"/>
      <c r="F158" s="32"/>
      <c r="G158" s="32"/>
      <c r="H158" s="4"/>
      <c r="I158" s="4"/>
      <c r="J158" s="4"/>
      <c r="K158" s="4"/>
      <c r="L158" s="4"/>
      <c r="M158" s="4"/>
    </row>
    <row r="159" spans="1:13" x14ac:dyDescent="0.25">
      <c r="A159" s="16"/>
      <c r="B159" s="17"/>
      <c r="C159" s="3"/>
      <c r="D159" s="1"/>
      <c r="E159" s="32"/>
      <c r="F159" s="32"/>
      <c r="G159" s="32"/>
      <c r="H159" s="4"/>
      <c r="I159" s="4"/>
      <c r="J159" s="4"/>
      <c r="K159" s="4"/>
      <c r="L159" s="4"/>
      <c r="M159" s="4"/>
    </row>
    <row r="160" spans="1:13" x14ac:dyDescent="0.25">
      <c r="E160" s="32"/>
      <c r="F160" s="32"/>
      <c r="G160" s="32"/>
    </row>
    <row r="161" spans="5:7" x14ac:dyDescent="0.25">
      <c r="E161" s="32"/>
      <c r="F161" s="32"/>
      <c r="G161" s="32"/>
    </row>
    <row r="162" spans="5:7" x14ac:dyDescent="0.25">
      <c r="E162" s="32"/>
      <c r="F162" s="32"/>
      <c r="G162" s="32"/>
    </row>
    <row r="163" spans="5:7" x14ac:dyDescent="0.25">
      <c r="E163" s="7"/>
      <c r="F163" s="7"/>
      <c r="G163" s="7"/>
    </row>
    <row r="164" spans="5:7" x14ac:dyDescent="0.25">
      <c r="E164" s="7"/>
      <c r="F164" s="7"/>
      <c r="G164" s="7"/>
    </row>
    <row r="165" spans="5:7" x14ac:dyDescent="0.25">
      <c r="E165" s="7"/>
      <c r="F165" s="7"/>
      <c r="G165" s="7"/>
    </row>
    <row r="166" spans="5:7" x14ac:dyDescent="0.25">
      <c r="E166" s="7"/>
      <c r="F166" s="7"/>
      <c r="G166" s="7"/>
    </row>
    <row r="167" spans="5:7" x14ac:dyDescent="0.25">
      <c r="E167" s="99"/>
      <c r="F167" s="99"/>
      <c r="G167" s="99"/>
    </row>
    <row r="168" spans="5:7" x14ac:dyDescent="0.25">
      <c r="E168" s="99"/>
      <c r="F168" s="99"/>
      <c r="G168" s="99"/>
    </row>
    <row r="169" spans="5:7" x14ac:dyDescent="0.25">
      <c r="E169" s="7"/>
      <c r="F169" s="7"/>
      <c r="G169" s="7"/>
    </row>
    <row r="170" spans="5:7" x14ac:dyDescent="0.25">
      <c r="E170" s="99"/>
      <c r="F170" s="99"/>
      <c r="G170" s="99"/>
    </row>
    <row r="171" spans="5:7" x14ac:dyDescent="0.25">
      <c r="E171" s="7"/>
      <c r="F171" s="7"/>
      <c r="G171" s="7"/>
    </row>
    <row r="172" spans="5:7" x14ac:dyDescent="0.25">
      <c r="E172" s="7"/>
      <c r="F172" s="7"/>
      <c r="G172" s="7"/>
    </row>
    <row r="173" spans="5:7" x14ac:dyDescent="0.25">
      <c r="E173" s="7"/>
      <c r="F173" s="7"/>
      <c r="G173" s="7"/>
    </row>
  </sheetData>
  <autoFilter ref="B4:D139" xr:uid="{B593B8AD-AE04-4543-B232-6D3D3239B900}">
    <filterColumn colId="2">
      <filters>
        <filter val="AMERICAS"/>
      </filters>
    </filterColumn>
    <sortState xmlns:xlrd2="http://schemas.microsoft.com/office/spreadsheetml/2017/richdata2" ref="B68:D139">
      <sortCondition ref="B4:B139"/>
    </sortState>
  </autoFilter>
  <mergeCells count="9">
    <mergeCell ref="E1:M1"/>
    <mergeCell ref="O1:W1"/>
    <mergeCell ref="Y1:AA1"/>
    <mergeCell ref="E2:G2"/>
    <mergeCell ref="H2:J2"/>
    <mergeCell ref="K2:M2"/>
    <mergeCell ref="O2:Q2"/>
    <mergeCell ref="R2:T2"/>
    <mergeCell ref="U2:W2"/>
  </mergeCells>
  <pageMargins left="0.70866141732283472" right="0.70866141732283472" top="0.74803149606299213" bottom="0.74803149606299213" header="0.31496062992125984" footer="0.31496062992125984"/>
  <pageSetup paperSize="8" scale="70" orientation="landscape" horizontalDpi="1200" verticalDpi="1200" r:id="rId1"/>
  <colBreaks count="4" manualBreakCount="4">
    <brk id="13" max="1048575" man="1"/>
    <brk id="14" max="1048575" man="1"/>
    <brk id="23" max="1048575" man="1"/>
    <brk id="2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A1E3-8A34-4EB5-B0B9-2380943EF49A}">
  <sheetPr filterMode="1"/>
  <dimension ref="A1:AA159"/>
  <sheetViews>
    <sheetView view="pageBreakPreview" topLeftCell="C1" zoomScaleNormal="70" zoomScaleSheetLayoutView="100" workbookViewId="0">
      <selection activeCell="C131" sqref="A131:XFD131"/>
    </sheetView>
  </sheetViews>
  <sheetFormatPr defaultColWidth="8.83203125" defaultRowHeight="13.5" x14ac:dyDescent="0.25"/>
  <cols>
    <col min="1" max="1" width="4.58203125" customWidth="1"/>
    <col min="2" max="2" width="21" customWidth="1"/>
    <col min="3" max="3" width="14.58203125" customWidth="1"/>
    <col min="4" max="4" width="11.5" customWidth="1"/>
    <col min="5" max="5" width="9.58203125" style="4" customWidth="1"/>
    <col min="6" max="6" width="10.5" customWidth="1"/>
    <col min="7" max="8" width="9.83203125" customWidth="1"/>
    <col min="9" max="9" width="11" customWidth="1"/>
    <col min="10" max="10" width="10.08203125" customWidth="1"/>
    <col min="11" max="11" width="10" customWidth="1"/>
    <col min="12" max="12" width="10.58203125" customWidth="1"/>
    <col min="13" max="13" width="11" customWidth="1"/>
    <col min="14" max="14" width="6" customWidth="1"/>
    <col min="15" max="16" width="8.5" customWidth="1"/>
    <col min="17" max="17" width="9" customWidth="1"/>
    <col min="18" max="23" width="8.5" customWidth="1"/>
    <col min="24" max="24" width="6" customWidth="1"/>
    <col min="25" max="25" width="21.08203125" style="24" bestFit="1" customWidth="1"/>
    <col min="26" max="26" width="6" customWidth="1"/>
    <col min="27" max="27" width="24.5" style="24" customWidth="1"/>
  </cols>
  <sheetData>
    <row r="1" spans="1:27" ht="17.5" customHeight="1" x14ac:dyDescent="0.25">
      <c r="A1" s="20" t="s">
        <v>223</v>
      </c>
      <c r="B1" s="15"/>
      <c r="C1" s="2"/>
      <c r="D1" s="2"/>
      <c r="E1" s="132" t="s">
        <v>226</v>
      </c>
      <c r="F1" s="132"/>
      <c r="G1" s="132"/>
      <c r="H1" s="132"/>
      <c r="I1" s="132"/>
      <c r="J1" s="132"/>
      <c r="K1" s="132"/>
      <c r="L1" s="132"/>
      <c r="M1" s="132"/>
      <c r="N1" s="22"/>
      <c r="O1" s="132" t="s">
        <v>227</v>
      </c>
      <c r="P1" s="132"/>
      <c r="Q1" s="132"/>
      <c r="R1" s="132"/>
      <c r="S1" s="132"/>
      <c r="T1" s="132"/>
      <c r="U1" s="132"/>
      <c r="V1" s="132"/>
      <c r="W1" s="132"/>
      <c r="X1" s="22"/>
      <c r="Y1" s="27" t="s">
        <v>2</v>
      </c>
      <c r="Z1" s="22"/>
      <c r="AA1" s="27" t="s">
        <v>228</v>
      </c>
    </row>
    <row r="2" spans="1:27" x14ac:dyDescent="0.25">
      <c r="A2" s="16"/>
      <c r="B2" s="16"/>
      <c r="C2" s="1"/>
      <c r="D2" s="1"/>
      <c r="E2" s="133" t="s">
        <v>3</v>
      </c>
      <c r="F2" s="133"/>
      <c r="G2" s="133"/>
      <c r="H2" s="133" t="s">
        <v>4</v>
      </c>
      <c r="I2" s="133"/>
      <c r="J2" s="133"/>
      <c r="K2" s="133" t="s">
        <v>5</v>
      </c>
      <c r="L2" s="133"/>
      <c r="M2" s="133"/>
      <c r="N2" s="22"/>
      <c r="O2" s="133" t="s">
        <v>3</v>
      </c>
      <c r="P2" s="133"/>
      <c r="Q2" s="133"/>
      <c r="R2" s="133" t="s">
        <v>4</v>
      </c>
      <c r="S2" s="133"/>
      <c r="T2" s="133"/>
      <c r="U2" s="133" t="s">
        <v>5</v>
      </c>
      <c r="V2" s="133"/>
      <c r="W2" s="133"/>
      <c r="X2" s="22"/>
      <c r="Y2" s="29" t="s">
        <v>229</v>
      </c>
      <c r="Z2" s="22"/>
    </row>
    <row r="3" spans="1:27" x14ac:dyDescent="0.25">
      <c r="A3" s="16"/>
      <c r="B3" s="16"/>
      <c r="C3" s="1"/>
      <c r="D3" s="1"/>
      <c r="E3" s="5" t="s">
        <v>9</v>
      </c>
      <c r="F3" s="6" t="s">
        <v>10</v>
      </c>
      <c r="G3" s="6" t="s">
        <v>11</v>
      </c>
      <c r="H3" s="6" t="s">
        <v>9</v>
      </c>
      <c r="I3" s="6" t="s">
        <v>10</v>
      </c>
      <c r="J3" s="6" t="s">
        <v>12</v>
      </c>
      <c r="K3" s="6" t="s">
        <v>13</v>
      </c>
      <c r="L3" s="6" t="s">
        <v>10</v>
      </c>
      <c r="M3" s="6" t="s">
        <v>11</v>
      </c>
      <c r="N3" s="22"/>
      <c r="O3" s="5" t="s">
        <v>9</v>
      </c>
      <c r="P3" s="6" t="s">
        <v>10</v>
      </c>
      <c r="Q3" s="6" t="s">
        <v>11</v>
      </c>
      <c r="R3" s="6" t="s">
        <v>9</v>
      </c>
      <c r="S3" s="6" t="s">
        <v>10</v>
      </c>
      <c r="T3" s="6" t="s">
        <v>12</v>
      </c>
      <c r="U3" s="6" t="s">
        <v>13</v>
      </c>
      <c r="V3" s="6" t="s">
        <v>10</v>
      </c>
      <c r="W3" s="6" t="s">
        <v>11</v>
      </c>
      <c r="X3" s="22"/>
      <c r="Z3" s="22"/>
    </row>
    <row r="4" spans="1:27" x14ac:dyDescent="0.25">
      <c r="A4" s="16"/>
      <c r="B4" s="12" t="s">
        <v>14</v>
      </c>
      <c r="C4" s="12" t="s">
        <v>15</v>
      </c>
      <c r="D4" s="13" t="s">
        <v>16</v>
      </c>
      <c r="E4" s="14"/>
      <c r="F4" s="14"/>
      <c r="G4" s="14"/>
      <c r="H4" s="14"/>
      <c r="I4" s="14"/>
      <c r="J4" s="14"/>
      <c r="K4" s="14"/>
      <c r="L4" s="14"/>
      <c r="M4" s="14"/>
      <c r="N4" s="22"/>
      <c r="O4" s="14"/>
      <c r="P4" s="14"/>
      <c r="Q4" s="14"/>
      <c r="R4" s="14"/>
      <c r="S4" s="14"/>
      <c r="T4" s="14"/>
      <c r="U4" s="14"/>
      <c r="V4" s="14"/>
      <c r="W4" s="14"/>
      <c r="X4" s="22"/>
      <c r="Z4" s="22"/>
    </row>
    <row r="5" spans="1:27" x14ac:dyDescent="0.25">
      <c r="A5" s="16"/>
      <c r="B5" s="3" t="s">
        <v>17</v>
      </c>
      <c r="C5" s="3" t="s">
        <v>18</v>
      </c>
      <c r="D5" s="11" t="s">
        <v>19</v>
      </c>
      <c r="E5" s="7">
        <f t="shared" ref="E5:E36" si="0">(331.44*$Y5)*$AA5</f>
        <v>412.61379064966394</v>
      </c>
      <c r="F5" s="7">
        <f t="shared" ref="F5:F36" si="1">(339.03*$Y5)*$AA5</f>
        <v>422.06267633344061</v>
      </c>
      <c r="G5" s="7">
        <f t="shared" ref="G5:G36" si="2">(371.99*$Y5)*$AA5</f>
        <v>463.09499150304276</v>
      </c>
      <c r="H5" s="7">
        <f t="shared" ref="H5:H36" si="3">(331.44*$Y5)*$AA5</f>
        <v>412.61379064966394</v>
      </c>
      <c r="I5" s="7">
        <f t="shared" ref="I5:I36" si="4">(339.03*$Y5)*$AA5</f>
        <v>422.06267633344061</v>
      </c>
      <c r="J5" s="7">
        <f t="shared" ref="J5:J36" si="5">(371.99*$Y5)*$AA5</f>
        <v>463.09499150304276</v>
      </c>
      <c r="K5" s="7">
        <f t="shared" ref="K5:K36" si="6">(331.44*$Y5)*$AA5</f>
        <v>412.61379064966394</v>
      </c>
      <c r="L5" s="7">
        <f t="shared" ref="L5:L36" si="7">(339.03*$Y5)*$AA5</f>
        <v>422.06267633344061</v>
      </c>
      <c r="M5" s="7">
        <f t="shared" ref="M5:M36" si="8">(371.99*$Y5)*$AA5</f>
        <v>463.09499150304276</v>
      </c>
      <c r="N5" s="22"/>
      <c r="O5" s="7">
        <f>(30.8*$Y5)*$AA5</f>
        <v>38.343304224021395</v>
      </c>
      <c r="P5" s="7">
        <f>(31.5*$Y5)*$AA5</f>
        <v>39.214742956385514</v>
      </c>
      <c r="Q5" s="7">
        <f>(34.6*$Y5)*$AA5</f>
        <v>43.073971628283772</v>
      </c>
      <c r="R5" s="7">
        <f>(30.8*$Y5)*$AA5</f>
        <v>38.343304224021395</v>
      </c>
      <c r="S5" s="7">
        <f>(31.5*$Y5)*$AA5</f>
        <v>39.214742956385514</v>
      </c>
      <c r="T5" s="7">
        <f>(34.6*$Y5)*$AA5</f>
        <v>43.073971628283772</v>
      </c>
      <c r="U5" s="7">
        <f>(30.8*$Y5)*$AA5</f>
        <v>38.343304224021395</v>
      </c>
      <c r="V5" s="7">
        <f>(31.5*$Y5)*$AA5</f>
        <v>39.214742956385514</v>
      </c>
      <c r="W5" s="7">
        <f>(34.6*$Y5)*$AA5</f>
        <v>43.073971628283772</v>
      </c>
      <c r="X5" s="22"/>
      <c r="Y5" s="10">
        <v>1.1580581160985017</v>
      </c>
      <c r="Z5" s="22"/>
      <c r="AA5">
        <v>1.075</v>
      </c>
    </row>
    <row r="6" spans="1:27" x14ac:dyDescent="0.25">
      <c r="A6" s="16"/>
      <c r="B6" s="3" t="s">
        <v>17</v>
      </c>
      <c r="C6" s="3" t="s">
        <v>20</v>
      </c>
      <c r="D6" s="11" t="s">
        <v>19</v>
      </c>
      <c r="E6" s="7">
        <f t="shared" si="0"/>
        <v>385.42587907297639</v>
      </c>
      <c r="F6" s="7">
        <f t="shared" si="1"/>
        <v>394.25215961293503</v>
      </c>
      <c r="G6" s="7">
        <f t="shared" si="2"/>
        <v>432.58077708290034</v>
      </c>
      <c r="H6" s="7">
        <f t="shared" si="3"/>
        <v>385.42587907297639</v>
      </c>
      <c r="I6" s="7">
        <f t="shared" si="4"/>
        <v>394.25215961293503</v>
      </c>
      <c r="J6" s="7">
        <f t="shared" si="5"/>
        <v>432.58077708290034</v>
      </c>
      <c r="K6" s="7">
        <f t="shared" si="6"/>
        <v>385.42587907297639</v>
      </c>
      <c r="L6" s="7">
        <f t="shared" si="7"/>
        <v>394.25215961293503</v>
      </c>
      <c r="M6" s="7">
        <f t="shared" si="8"/>
        <v>432.58077708290034</v>
      </c>
      <c r="N6" s="22"/>
      <c r="O6" s="7">
        <f t="shared" ref="O6:O69" si="9">(30.8*$Y6)*$AA6</f>
        <v>35.8167905969336</v>
      </c>
      <c r="P6" s="7">
        <f t="shared" ref="P6:P69" si="10">(31.5*$Y6)*$AA6</f>
        <v>36.630808565045733</v>
      </c>
      <c r="Q6" s="7">
        <f t="shared" ref="Q6:Q69" si="11">(34.6*$Y6)*$AA6</f>
        <v>40.235745280970868</v>
      </c>
      <c r="R6" s="7">
        <f t="shared" ref="R6:R69" si="12">(30.8*$Y6)*$AA6</f>
        <v>35.8167905969336</v>
      </c>
      <c r="S6" s="7">
        <f t="shared" ref="S6:S69" si="13">(31.5*$Y6)*$AA6</f>
        <v>36.630808565045733</v>
      </c>
      <c r="T6" s="7">
        <f t="shared" ref="T6:T69" si="14">(34.6*$Y6)*$AA6</f>
        <v>40.235745280970868</v>
      </c>
      <c r="U6" s="7">
        <f t="shared" ref="U6:U69" si="15">(30.8*$Y6)*$AA6</f>
        <v>35.8167905969336</v>
      </c>
      <c r="V6" s="7">
        <f t="shared" ref="V6:V69" si="16">(31.5*$Y6)*$AA6</f>
        <v>36.630808565045733</v>
      </c>
      <c r="W6" s="7">
        <f t="shared" ref="W6:W69" si="17">(34.6*$Y6)*$AA6</f>
        <v>40.235745280970868</v>
      </c>
      <c r="X6" s="22"/>
      <c r="Y6" s="10">
        <v>1.0817514526407008</v>
      </c>
      <c r="Z6" s="22"/>
      <c r="AA6">
        <v>1.075</v>
      </c>
    </row>
    <row r="7" spans="1:27" x14ac:dyDescent="0.25">
      <c r="A7" s="16"/>
      <c r="B7" s="3" t="s">
        <v>17</v>
      </c>
      <c r="C7" s="3" t="s">
        <v>21</v>
      </c>
      <c r="D7" s="11" t="s">
        <v>19</v>
      </c>
      <c r="E7" s="7">
        <f t="shared" si="0"/>
        <v>385.42587907297639</v>
      </c>
      <c r="F7" s="7">
        <f t="shared" si="1"/>
        <v>394.25215961293503</v>
      </c>
      <c r="G7" s="7">
        <f t="shared" si="2"/>
        <v>432.58077708290034</v>
      </c>
      <c r="H7" s="7">
        <f t="shared" si="3"/>
        <v>385.42587907297639</v>
      </c>
      <c r="I7" s="7">
        <f t="shared" si="4"/>
        <v>394.25215961293503</v>
      </c>
      <c r="J7" s="7">
        <f t="shared" si="5"/>
        <v>432.58077708290034</v>
      </c>
      <c r="K7" s="7">
        <f t="shared" si="6"/>
        <v>385.42587907297639</v>
      </c>
      <c r="L7" s="7">
        <f t="shared" si="7"/>
        <v>394.25215961293503</v>
      </c>
      <c r="M7" s="7">
        <f t="shared" si="8"/>
        <v>432.58077708290034</v>
      </c>
      <c r="N7" s="22"/>
      <c r="O7" s="7">
        <f t="shared" si="9"/>
        <v>35.8167905969336</v>
      </c>
      <c r="P7" s="7">
        <f t="shared" si="10"/>
        <v>36.630808565045733</v>
      </c>
      <c r="Q7" s="7">
        <f t="shared" si="11"/>
        <v>40.235745280970868</v>
      </c>
      <c r="R7" s="7">
        <f t="shared" si="12"/>
        <v>35.8167905969336</v>
      </c>
      <c r="S7" s="7">
        <f t="shared" si="13"/>
        <v>36.630808565045733</v>
      </c>
      <c r="T7" s="7">
        <f t="shared" si="14"/>
        <v>40.235745280970868</v>
      </c>
      <c r="U7" s="7">
        <f t="shared" si="15"/>
        <v>35.8167905969336</v>
      </c>
      <c r="V7" s="7">
        <f t="shared" si="16"/>
        <v>36.630808565045733</v>
      </c>
      <c r="W7" s="7">
        <f t="shared" si="17"/>
        <v>40.235745280970868</v>
      </c>
      <c r="X7" s="22"/>
      <c r="Y7" s="10">
        <v>1.0817514526407008</v>
      </c>
      <c r="Z7" s="22"/>
      <c r="AA7">
        <v>1.075</v>
      </c>
    </row>
    <row r="8" spans="1:27" x14ac:dyDescent="0.25">
      <c r="A8" s="16"/>
      <c r="B8" s="3" t="s">
        <v>17</v>
      </c>
      <c r="C8" s="3" t="s">
        <v>22</v>
      </c>
      <c r="D8" s="11" t="s">
        <v>19</v>
      </c>
      <c r="E8" s="7">
        <f t="shared" si="0"/>
        <v>504.96594440274635</v>
      </c>
      <c r="F8" s="7">
        <f t="shared" si="1"/>
        <v>516.52970109480771</v>
      </c>
      <c r="G8" s="7">
        <f t="shared" si="2"/>
        <v>566.74596203951728</v>
      </c>
      <c r="H8" s="7">
        <f t="shared" si="3"/>
        <v>504.96594440274635</v>
      </c>
      <c r="I8" s="7">
        <f t="shared" si="4"/>
        <v>516.52970109480771</v>
      </c>
      <c r="J8" s="7">
        <f t="shared" si="5"/>
        <v>566.74596203951728</v>
      </c>
      <c r="K8" s="7">
        <f t="shared" si="6"/>
        <v>504.96594440274635</v>
      </c>
      <c r="L8" s="7">
        <f t="shared" si="7"/>
        <v>516.52970109480771</v>
      </c>
      <c r="M8" s="7">
        <f t="shared" si="8"/>
        <v>566.74596203951728</v>
      </c>
      <c r="N8" s="22"/>
      <c r="O8" s="7">
        <f t="shared" si="9"/>
        <v>46.925389475031949</v>
      </c>
      <c r="P8" s="7">
        <f t="shared" si="10"/>
        <v>47.991875599464485</v>
      </c>
      <c r="Q8" s="7">
        <f t="shared" si="11"/>
        <v>52.714885579094329</v>
      </c>
      <c r="R8" s="7">
        <f t="shared" si="12"/>
        <v>46.925389475031949</v>
      </c>
      <c r="S8" s="7">
        <f t="shared" si="13"/>
        <v>47.991875599464485</v>
      </c>
      <c r="T8" s="7">
        <f t="shared" si="14"/>
        <v>52.714885579094329</v>
      </c>
      <c r="U8" s="7">
        <f t="shared" si="15"/>
        <v>46.925389475031949</v>
      </c>
      <c r="V8" s="7">
        <f t="shared" si="16"/>
        <v>47.991875599464485</v>
      </c>
      <c r="W8" s="7">
        <f t="shared" si="17"/>
        <v>52.714885579094329</v>
      </c>
      <c r="X8" s="22"/>
      <c r="Y8" s="10">
        <v>1.4172573082160056</v>
      </c>
      <c r="Z8" s="22"/>
      <c r="AA8">
        <v>1.075</v>
      </c>
    </row>
    <row r="9" spans="1:27" x14ac:dyDescent="0.25">
      <c r="A9" s="16"/>
      <c r="B9" s="3" t="s">
        <v>17</v>
      </c>
      <c r="C9" s="3" t="s">
        <v>23</v>
      </c>
      <c r="D9" s="11" t="s">
        <v>19</v>
      </c>
      <c r="E9" s="7">
        <f t="shared" si="0"/>
        <v>400.21643528424357</v>
      </c>
      <c r="F9" s="7">
        <f t="shared" si="1"/>
        <v>409.38142063244351</v>
      </c>
      <c r="G9" s="7">
        <f t="shared" si="2"/>
        <v>449.18088269788126</v>
      </c>
      <c r="H9" s="7">
        <f t="shared" si="3"/>
        <v>400.21643528424357</v>
      </c>
      <c r="I9" s="7">
        <f t="shared" si="4"/>
        <v>409.38142063244351</v>
      </c>
      <c r="J9" s="7">
        <f t="shared" si="5"/>
        <v>449.18088269788126</v>
      </c>
      <c r="K9" s="7">
        <f t="shared" si="6"/>
        <v>400.21643528424357</v>
      </c>
      <c r="L9" s="7">
        <f t="shared" si="7"/>
        <v>409.38142063244351</v>
      </c>
      <c r="M9" s="7">
        <f t="shared" si="8"/>
        <v>449.18088269788126</v>
      </c>
      <c r="N9" s="22"/>
      <c r="O9" s="7">
        <f t="shared" si="9"/>
        <v>37.191244891246384</v>
      </c>
      <c r="P9" s="7">
        <f t="shared" si="10"/>
        <v>38.036500456956531</v>
      </c>
      <c r="Q9" s="7">
        <f t="shared" si="11"/>
        <v>41.779775105101457</v>
      </c>
      <c r="R9" s="7">
        <f t="shared" si="12"/>
        <v>37.191244891246384</v>
      </c>
      <c r="S9" s="7">
        <f t="shared" si="13"/>
        <v>38.036500456956531</v>
      </c>
      <c r="T9" s="7">
        <f t="shared" si="14"/>
        <v>41.779775105101457</v>
      </c>
      <c r="U9" s="7">
        <f t="shared" si="15"/>
        <v>37.191244891246384</v>
      </c>
      <c r="V9" s="7">
        <f t="shared" si="16"/>
        <v>38.036500456956531</v>
      </c>
      <c r="W9" s="7">
        <f t="shared" si="17"/>
        <v>41.779775105101457</v>
      </c>
      <c r="X9" s="22"/>
      <c r="Y9" s="10">
        <v>1.12326321024604</v>
      </c>
      <c r="Z9" s="22"/>
      <c r="AA9">
        <v>1.075</v>
      </c>
    </row>
    <row r="10" spans="1:27" x14ac:dyDescent="0.25">
      <c r="A10" s="16"/>
      <c r="B10" s="3" t="s">
        <v>17</v>
      </c>
      <c r="C10" s="3" t="s">
        <v>24</v>
      </c>
      <c r="D10" s="11" t="s">
        <v>19</v>
      </c>
      <c r="E10" s="7">
        <f t="shared" si="0"/>
        <v>491.58783396121635</v>
      </c>
      <c r="F10" s="7">
        <f t="shared" si="1"/>
        <v>502.8452309554404</v>
      </c>
      <c r="G10" s="7">
        <f t="shared" si="2"/>
        <v>551.73110775776274</v>
      </c>
      <c r="H10" s="7">
        <f t="shared" si="3"/>
        <v>491.58783396121635</v>
      </c>
      <c r="I10" s="7">
        <f t="shared" si="4"/>
        <v>502.8452309554404</v>
      </c>
      <c r="J10" s="7">
        <f t="shared" si="5"/>
        <v>551.73110775776274</v>
      </c>
      <c r="K10" s="7">
        <f t="shared" si="6"/>
        <v>491.58783396121635</v>
      </c>
      <c r="L10" s="7">
        <f t="shared" si="7"/>
        <v>502.8452309554404</v>
      </c>
      <c r="M10" s="7">
        <f t="shared" si="8"/>
        <v>551.73110775776274</v>
      </c>
      <c r="N10" s="22"/>
      <c r="O10" s="7">
        <f t="shared" si="9"/>
        <v>45.682190701199204</v>
      </c>
      <c r="P10" s="7">
        <f t="shared" si="10"/>
        <v>46.72042230804464</v>
      </c>
      <c r="Q10" s="7">
        <f t="shared" si="11"/>
        <v>51.318305138360145</v>
      </c>
      <c r="R10" s="7">
        <f t="shared" si="12"/>
        <v>45.682190701199204</v>
      </c>
      <c r="S10" s="7">
        <f t="shared" si="13"/>
        <v>46.72042230804464</v>
      </c>
      <c r="T10" s="7">
        <f t="shared" si="14"/>
        <v>51.318305138360145</v>
      </c>
      <c r="U10" s="7">
        <f t="shared" si="15"/>
        <v>45.682190701199204</v>
      </c>
      <c r="V10" s="7">
        <f t="shared" si="16"/>
        <v>46.72042230804464</v>
      </c>
      <c r="W10" s="7">
        <f t="shared" si="17"/>
        <v>51.318305138360145</v>
      </c>
      <c r="X10" s="22"/>
      <c r="Y10" s="10">
        <v>1.379709776538786</v>
      </c>
      <c r="Z10" s="22"/>
      <c r="AA10">
        <v>1.075</v>
      </c>
    </row>
    <row r="11" spans="1:27" x14ac:dyDescent="0.25">
      <c r="A11" s="16"/>
      <c r="B11" s="3" t="s">
        <v>17</v>
      </c>
      <c r="C11" s="3" t="s">
        <v>25</v>
      </c>
      <c r="D11" s="11" t="s">
        <v>19</v>
      </c>
      <c r="E11" s="7">
        <f t="shared" si="0"/>
        <v>401.92825753133906</v>
      </c>
      <c r="F11" s="7">
        <f t="shared" si="1"/>
        <v>411.13244373295282</v>
      </c>
      <c r="G11" s="7">
        <f t="shared" si="2"/>
        <v>451.10213769938099</v>
      </c>
      <c r="H11" s="7">
        <f t="shared" si="3"/>
        <v>401.92825753133906</v>
      </c>
      <c r="I11" s="7">
        <f t="shared" si="4"/>
        <v>411.13244373295282</v>
      </c>
      <c r="J11" s="7">
        <f t="shared" si="5"/>
        <v>451.10213769938099</v>
      </c>
      <c r="K11" s="7">
        <f t="shared" si="6"/>
        <v>401.92825753133906</v>
      </c>
      <c r="L11" s="7">
        <f t="shared" si="7"/>
        <v>411.13244373295282</v>
      </c>
      <c r="M11" s="7">
        <f t="shared" si="8"/>
        <v>451.10213769938099</v>
      </c>
      <c r="N11" s="22"/>
      <c r="O11" s="7">
        <f t="shared" si="9"/>
        <v>37.350320818142784</v>
      </c>
      <c r="P11" s="7">
        <f t="shared" si="10"/>
        <v>38.199191745827846</v>
      </c>
      <c r="Q11" s="7">
        <f t="shared" si="11"/>
        <v>41.958477282718839</v>
      </c>
      <c r="R11" s="7">
        <f t="shared" si="12"/>
        <v>37.350320818142784</v>
      </c>
      <c r="S11" s="7">
        <f t="shared" si="13"/>
        <v>38.199191745827846</v>
      </c>
      <c r="T11" s="7">
        <f t="shared" si="14"/>
        <v>41.958477282718839</v>
      </c>
      <c r="U11" s="7">
        <f t="shared" si="15"/>
        <v>37.350320818142784</v>
      </c>
      <c r="V11" s="7">
        <f t="shared" si="16"/>
        <v>38.199191745827846</v>
      </c>
      <c r="W11" s="7">
        <f t="shared" si="17"/>
        <v>41.958477282718839</v>
      </c>
      <c r="X11" s="22"/>
      <c r="Y11" s="10">
        <v>1.1280676779867951</v>
      </c>
      <c r="Z11" s="22"/>
      <c r="AA11">
        <v>1.075</v>
      </c>
    </row>
    <row r="12" spans="1:27" x14ac:dyDescent="0.25">
      <c r="A12" s="16"/>
      <c r="B12" s="3" t="s">
        <v>17</v>
      </c>
      <c r="C12" s="3" t="s">
        <v>26</v>
      </c>
      <c r="D12" s="11" t="s">
        <v>19</v>
      </c>
      <c r="E12" s="7">
        <f t="shared" si="0"/>
        <v>391.00175181554891</v>
      </c>
      <c r="F12" s="7">
        <f t="shared" si="1"/>
        <v>399.95572024506862</v>
      </c>
      <c r="G12" s="7">
        <f t="shared" si="2"/>
        <v>438.83882952530189</v>
      </c>
      <c r="H12" s="7">
        <f t="shared" si="3"/>
        <v>391.00175181554891</v>
      </c>
      <c r="I12" s="7">
        <f t="shared" si="4"/>
        <v>399.95572024506862</v>
      </c>
      <c r="J12" s="7">
        <f t="shared" si="5"/>
        <v>438.83882952530189</v>
      </c>
      <c r="K12" s="7">
        <f t="shared" si="6"/>
        <v>391.00175181554891</v>
      </c>
      <c r="L12" s="7">
        <f t="shared" si="7"/>
        <v>399.95572024506862</v>
      </c>
      <c r="M12" s="7">
        <f t="shared" si="8"/>
        <v>438.83882952530189</v>
      </c>
      <c r="N12" s="22"/>
      <c r="O12" s="7">
        <f t="shared" si="9"/>
        <v>36.334944351674224</v>
      </c>
      <c r="P12" s="7">
        <f t="shared" si="10"/>
        <v>37.160738541485003</v>
      </c>
      <c r="Q12" s="7">
        <f t="shared" si="11"/>
        <v>40.817827096361313</v>
      </c>
      <c r="R12" s="7">
        <f t="shared" si="12"/>
        <v>36.334944351674224</v>
      </c>
      <c r="S12" s="7">
        <f t="shared" si="13"/>
        <v>37.160738541485003</v>
      </c>
      <c r="T12" s="7">
        <f t="shared" si="14"/>
        <v>40.817827096361313</v>
      </c>
      <c r="U12" s="7">
        <f t="shared" si="15"/>
        <v>36.334944351674224</v>
      </c>
      <c r="V12" s="7">
        <f t="shared" si="16"/>
        <v>37.160738541485003</v>
      </c>
      <c r="W12" s="7">
        <f t="shared" si="17"/>
        <v>40.817827096361313</v>
      </c>
      <c r="X12" s="22"/>
      <c r="Y12" s="10">
        <v>1.0974009166920637</v>
      </c>
      <c r="Z12" s="22"/>
      <c r="AA12">
        <v>1.075</v>
      </c>
    </row>
    <row r="13" spans="1:27" x14ac:dyDescent="0.25">
      <c r="A13" s="16"/>
      <c r="B13" s="3" t="s">
        <v>17</v>
      </c>
      <c r="C13" s="3" t="s">
        <v>27</v>
      </c>
      <c r="D13" s="11" t="s">
        <v>19</v>
      </c>
      <c r="E13" s="7">
        <f t="shared" si="0"/>
        <v>366.97874196282896</v>
      </c>
      <c r="F13" s="7">
        <f t="shared" si="1"/>
        <v>375.38258172718406</v>
      </c>
      <c r="G13" s="7">
        <f t="shared" si="2"/>
        <v>411.87672647463415</v>
      </c>
      <c r="H13" s="7">
        <f t="shared" si="3"/>
        <v>366.97874196282896</v>
      </c>
      <c r="I13" s="7">
        <f t="shared" si="4"/>
        <v>375.38258172718406</v>
      </c>
      <c r="J13" s="7">
        <f t="shared" si="5"/>
        <v>411.87672647463415</v>
      </c>
      <c r="K13" s="7">
        <f t="shared" si="6"/>
        <v>366.97874196282896</v>
      </c>
      <c r="L13" s="7">
        <f t="shared" si="7"/>
        <v>375.38258172718406</v>
      </c>
      <c r="M13" s="7">
        <f t="shared" si="8"/>
        <v>411.87672647463415</v>
      </c>
      <c r="N13" s="22"/>
      <c r="O13" s="7">
        <f t="shared" si="9"/>
        <v>34.102538174194827</v>
      </c>
      <c r="P13" s="7">
        <f t="shared" si="10"/>
        <v>34.877595859971976</v>
      </c>
      <c r="Q13" s="7">
        <f t="shared" si="11"/>
        <v>38.309994182699377</v>
      </c>
      <c r="R13" s="7">
        <f t="shared" si="12"/>
        <v>34.102538174194827</v>
      </c>
      <c r="S13" s="7">
        <f t="shared" si="13"/>
        <v>34.877595859971976</v>
      </c>
      <c r="T13" s="7">
        <f t="shared" si="14"/>
        <v>38.309994182699377</v>
      </c>
      <c r="U13" s="7">
        <f t="shared" si="15"/>
        <v>34.102538174194827</v>
      </c>
      <c r="V13" s="7">
        <f t="shared" si="16"/>
        <v>34.877595859971976</v>
      </c>
      <c r="W13" s="7">
        <f t="shared" si="17"/>
        <v>38.309994182699377</v>
      </c>
      <c r="X13" s="22"/>
      <c r="Y13" s="10">
        <v>1.0299769910659868</v>
      </c>
      <c r="Z13" s="22"/>
      <c r="AA13">
        <v>1.075</v>
      </c>
    </row>
    <row r="14" spans="1:27" x14ac:dyDescent="0.25">
      <c r="A14" s="16"/>
      <c r="B14" s="3" t="s">
        <v>17</v>
      </c>
      <c r="C14" s="3" t="s">
        <v>28</v>
      </c>
      <c r="D14" s="11" t="s">
        <v>19</v>
      </c>
      <c r="E14" s="7">
        <f t="shared" si="0"/>
        <v>387.23209828873621</v>
      </c>
      <c r="F14" s="7">
        <f t="shared" si="1"/>
        <v>396.09974137952634</v>
      </c>
      <c r="G14" s="7">
        <f t="shared" si="2"/>
        <v>434.60797804256265</v>
      </c>
      <c r="H14" s="7">
        <f t="shared" si="3"/>
        <v>387.23209828873621</v>
      </c>
      <c r="I14" s="7">
        <f t="shared" si="4"/>
        <v>396.09974137952634</v>
      </c>
      <c r="J14" s="7">
        <f t="shared" si="5"/>
        <v>434.60797804256265</v>
      </c>
      <c r="K14" s="7">
        <f t="shared" si="6"/>
        <v>387.23209828873621</v>
      </c>
      <c r="L14" s="7">
        <f t="shared" si="7"/>
        <v>396.09974137952634</v>
      </c>
      <c r="M14" s="7">
        <f t="shared" si="8"/>
        <v>434.60797804256265</v>
      </c>
      <c r="N14" s="22"/>
      <c r="O14" s="7">
        <f t="shared" si="9"/>
        <v>35.984638629293606</v>
      </c>
      <c r="P14" s="7">
        <f t="shared" si="10"/>
        <v>36.802471325413919</v>
      </c>
      <c r="Q14" s="7">
        <f t="shared" si="11"/>
        <v>40.424301836803863</v>
      </c>
      <c r="R14" s="7">
        <f t="shared" si="12"/>
        <v>35.984638629293606</v>
      </c>
      <c r="S14" s="7">
        <f t="shared" si="13"/>
        <v>36.802471325413919</v>
      </c>
      <c r="T14" s="7">
        <f t="shared" si="14"/>
        <v>40.424301836803863</v>
      </c>
      <c r="U14" s="7">
        <f t="shared" si="15"/>
        <v>35.984638629293606</v>
      </c>
      <c r="V14" s="7">
        <f t="shared" si="16"/>
        <v>36.802471325413919</v>
      </c>
      <c r="W14" s="7">
        <f t="shared" si="17"/>
        <v>40.424301836803863</v>
      </c>
      <c r="X14" s="22"/>
      <c r="Y14" s="10">
        <v>1.0868208586316404</v>
      </c>
      <c r="Z14" s="22"/>
      <c r="AA14">
        <v>1.075</v>
      </c>
    </row>
    <row r="15" spans="1:27" x14ac:dyDescent="0.25">
      <c r="A15" s="16"/>
      <c r="B15" s="3" t="s">
        <v>17</v>
      </c>
      <c r="C15" s="3" t="s">
        <v>29</v>
      </c>
      <c r="D15" s="11" t="s">
        <v>19</v>
      </c>
      <c r="E15" s="7">
        <f t="shared" si="0"/>
        <v>368.80261816553303</v>
      </c>
      <c r="F15" s="7">
        <f t="shared" si="1"/>
        <v>377.24822482699932</v>
      </c>
      <c r="G15" s="7">
        <f t="shared" si="2"/>
        <v>413.92374466388077</v>
      </c>
      <c r="H15" s="7">
        <f t="shared" si="3"/>
        <v>368.80261816553303</v>
      </c>
      <c r="I15" s="7">
        <f t="shared" si="4"/>
        <v>377.24822482699932</v>
      </c>
      <c r="J15" s="7">
        <f t="shared" si="5"/>
        <v>413.92374466388077</v>
      </c>
      <c r="K15" s="7">
        <f t="shared" si="6"/>
        <v>368.80261816553303</v>
      </c>
      <c r="L15" s="7">
        <f t="shared" si="7"/>
        <v>377.24822482699932</v>
      </c>
      <c r="M15" s="7">
        <f t="shared" si="8"/>
        <v>413.92374466388077</v>
      </c>
      <c r="N15" s="22"/>
      <c r="O15" s="7">
        <f t="shared" si="9"/>
        <v>34.272027032037229</v>
      </c>
      <c r="P15" s="7">
        <f t="shared" si="10"/>
        <v>35.050936737310799</v>
      </c>
      <c r="Q15" s="7">
        <f t="shared" si="11"/>
        <v>38.500394003522338</v>
      </c>
      <c r="R15" s="7">
        <f t="shared" si="12"/>
        <v>34.272027032037229</v>
      </c>
      <c r="S15" s="7">
        <f t="shared" si="13"/>
        <v>35.050936737310799</v>
      </c>
      <c r="T15" s="7">
        <f t="shared" si="14"/>
        <v>38.500394003522338</v>
      </c>
      <c r="U15" s="7">
        <f t="shared" si="15"/>
        <v>34.272027032037229</v>
      </c>
      <c r="V15" s="7">
        <f t="shared" si="16"/>
        <v>35.050936737310799</v>
      </c>
      <c r="W15" s="7">
        <f t="shared" si="17"/>
        <v>38.500394003522338</v>
      </c>
      <c r="X15" s="22"/>
      <c r="Y15" s="10">
        <v>1.0350959538519247</v>
      </c>
      <c r="Z15" s="22"/>
      <c r="AA15">
        <v>1.075</v>
      </c>
    </row>
    <row r="16" spans="1:27" x14ac:dyDescent="0.25">
      <c r="A16" s="16"/>
      <c r="B16" s="3" t="s">
        <v>17</v>
      </c>
      <c r="C16" s="3" t="s">
        <v>30</v>
      </c>
      <c r="D16" s="11" t="s">
        <v>19</v>
      </c>
      <c r="E16" s="7">
        <f t="shared" si="0"/>
        <v>393.93371713482702</v>
      </c>
      <c r="F16" s="7">
        <f t="shared" si="1"/>
        <v>402.95482778246554</v>
      </c>
      <c r="G16" s="7">
        <f t="shared" si="2"/>
        <v>442.12950590449037</v>
      </c>
      <c r="H16" s="7">
        <f t="shared" si="3"/>
        <v>393.93371713482702</v>
      </c>
      <c r="I16" s="7">
        <f t="shared" si="4"/>
        <v>402.95482778246554</v>
      </c>
      <c r="J16" s="7">
        <f t="shared" si="5"/>
        <v>442.12950590449037</v>
      </c>
      <c r="K16" s="7">
        <f t="shared" si="6"/>
        <v>393.93371713482702</v>
      </c>
      <c r="L16" s="7">
        <f t="shared" si="7"/>
        <v>402.95482778246554</v>
      </c>
      <c r="M16" s="7">
        <f t="shared" si="8"/>
        <v>442.12950590449037</v>
      </c>
      <c r="N16" s="22"/>
      <c r="O16" s="7">
        <f t="shared" si="9"/>
        <v>36.60740552664938</v>
      </c>
      <c r="P16" s="7">
        <f t="shared" si="10"/>
        <v>37.439392015891407</v>
      </c>
      <c r="Q16" s="7">
        <f t="shared" si="11"/>
        <v>41.12390361110613</v>
      </c>
      <c r="R16" s="7">
        <f t="shared" si="12"/>
        <v>36.60740552664938</v>
      </c>
      <c r="S16" s="7">
        <f t="shared" si="13"/>
        <v>37.439392015891407</v>
      </c>
      <c r="T16" s="7">
        <f t="shared" si="14"/>
        <v>41.12390361110613</v>
      </c>
      <c r="U16" s="7">
        <f t="shared" si="15"/>
        <v>36.60740552664938</v>
      </c>
      <c r="V16" s="7">
        <f t="shared" si="16"/>
        <v>37.439392015891407</v>
      </c>
      <c r="W16" s="7">
        <f t="shared" si="17"/>
        <v>41.12390361110613</v>
      </c>
      <c r="X16" s="22"/>
      <c r="Y16" s="10">
        <v>1.1056298860359222</v>
      </c>
      <c r="Z16" s="22"/>
      <c r="AA16">
        <v>1.075</v>
      </c>
    </row>
    <row r="17" spans="1:27" x14ac:dyDescent="0.25">
      <c r="A17" s="16"/>
      <c r="B17" s="3" t="s">
        <v>17</v>
      </c>
      <c r="C17" s="3" t="s">
        <v>32</v>
      </c>
      <c r="D17" s="11" t="s">
        <v>19</v>
      </c>
      <c r="E17" s="7">
        <f t="shared" si="0"/>
        <v>413.61978616223905</v>
      </c>
      <c r="F17" s="7">
        <f t="shared" si="1"/>
        <v>423.0917092160991</v>
      </c>
      <c r="G17" s="7">
        <f t="shared" si="2"/>
        <v>464.22406545525973</v>
      </c>
      <c r="H17" s="7">
        <f t="shared" si="3"/>
        <v>413.61978616223905</v>
      </c>
      <c r="I17" s="7">
        <f t="shared" si="4"/>
        <v>423.0917092160991</v>
      </c>
      <c r="J17" s="7">
        <f t="shared" si="5"/>
        <v>464.22406545525973</v>
      </c>
      <c r="K17" s="7">
        <f t="shared" si="6"/>
        <v>413.61978616223905</v>
      </c>
      <c r="L17" s="7">
        <f t="shared" si="7"/>
        <v>423.0917092160991</v>
      </c>
      <c r="M17" s="7">
        <f t="shared" si="8"/>
        <v>464.22406545525973</v>
      </c>
      <c r="N17" s="22"/>
      <c r="O17" s="7">
        <f t="shared" si="9"/>
        <v>38.436789204070003</v>
      </c>
      <c r="P17" s="7">
        <f t="shared" si="10"/>
        <v>39.310352595071599</v>
      </c>
      <c r="Q17" s="7">
        <f t="shared" si="11"/>
        <v>43.178990469507212</v>
      </c>
      <c r="R17" s="7">
        <f t="shared" si="12"/>
        <v>38.436789204070003</v>
      </c>
      <c r="S17" s="7">
        <f t="shared" si="13"/>
        <v>39.310352595071599</v>
      </c>
      <c r="T17" s="7">
        <f t="shared" si="14"/>
        <v>43.178990469507212</v>
      </c>
      <c r="U17" s="7">
        <f t="shared" si="15"/>
        <v>38.436789204070003</v>
      </c>
      <c r="V17" s="7">
        <f t="shared" si="16"/>
        <v>39.310352595071599</v>
      </c>
      <c r="W17" s="7">
        <f t="shared" si="17"/>
        <v>43.178990469507212</v>
      </c>
      <c r="X17" s="22"/>
      <c r="Y17" s="10">
        <v>1.1608815827263668</v>
      </c>
      <c r="Z17" s="22"/>
      <c r="AA17">
        <v>1.075</v>
      </c>
    </row>
    <row r="18" spans="1:27" x14ac:dyDescent="0.25">
      <c r="A18" s="16"/>
      <c r="B18" s="3" t="s">
        <v>17</v>
      </c>
      <c r="C18" s="3" t="s">
        <v>33</v>
      </c>
      <c r="D18" s="11" t="s">
        <v>19</v>
      </c>
      <c r="E18" s="7">
        <f t="shared" si="0"/>
        <v>366.28966672874287</v>
      </c>
      <c r="F18" s="7">
        <f t="shared" si="1"/>
        <v>374.67772662034059</v>
      </c>
      <c r="G18" s="7">
        <f t="shared" si="2"/>
        <v>411.10334638675198</v>
      </c>
      <c r="H18" s="7">
        <f t="shared" si="3"/>
        <v>366.28966672874287</v>
      </c>
      <c r="I18" s="7">
        <f t="shared" si="4"/>
        <v>374.67772662034059</v>
      </c>
      <c r="J18" s="7">
        <f t="shared" si="5"/>
        <v>411.10334638675198</v>
      </c>
      <c r="K18" s="7">
        <f t="shared" si="6"/>
        <v>366.28966672874287</v>
      </c>
      <c r="L18" s="7">
        <f t="shared" si="7"/>
        <v>374.67772662034059</v>
      </c>
      <c r="M18" s="7">
        <f t="shared" si="8"/>
        <v>411.10334638675198</v>
      </c>
      <c r="N18" s="22"/>
      <c r="O18" s="7">
        <f t="shared" si="9"/>
        <v>34.038503907932899</v>
      </c>
      <c r="P18" s="7">
        <f t="shared" si="10"/>
        <v>34.812106269476836</v>
      </c>
      <c r="Q18" s="7">
        <f t="shared" si="11"/>
        <v>38.238059584885661</v>
      </c>
      <c r="R18" s="7">
        <f t="shared" si="12"/>
        <v>34.038503907932899</v>
      </c>
      <c r="S18" s="7">
        <f t="shared" si="13"/>
        <v>34.812106269476836</v>
      </c>
      <c r="T18" s="7">
        <f t="shared" si="14"/>
        <v>38.238059584885661</v>
      </c>
      <c r="U18" s="7">
        <f t="shared" si="15"/>
        <v>34.038503907932899</v>
      </c>
      <c r="V18" s="7">
        <f t="shared" si="16"/>
        <v>34.812106269476836</v>
      </c>
      <c r="W18" s="7">
        <f t="shared" si="17"/>
        <v>38.238059584885661</v>
      </c>
      <c r="X18" s="22"/>
      <c r="Y18" s="10">
        <v>1.0280430053739928</v>
      </c>
      <c r="Z18" s="22"/>
      <c r="AA18">
        <v>1.075</v>
      </c>
    </row>
    <row r="19" spans="1:27" x14ac:dyDescent="0.25">
      <c r="A19" s="16"/>
      <c r="B19" s="3" t="s">
        <v>17</v>
      </c>
      <c r="C19" s="3" t="s">
        <v>34</v>
      </c>
      <c r="D19" s="11" t="s">
        <v>19</v>
      </c>
      <c r="E19" s="7">
        <f t="shared" si="0"/>
        <v>389.32637540047955</v>
      </c>
      <c r="F19" s="7">
        <f t="shared" si="1"/>
        <v>398.24197758877796</v>
      </c>
      <c r="G19" s="7">
        <f t="shared" si="2"/>
        <v>436.9584793182006</v>
      </c>
      <c r="H19" s="7">
        <f t="shared" si="3"/>
        <v>389.32637540047955</v>
      </c>
      <c r="I19" s="7">
        <f t="shared" si="4"/>
        <v>398.24197758877796</v>
      </c>
      <c r="J19" s="7">
        <f t="shared" si="5"/>
        <v>436.9584793182006</v>
      </c>
      <c r="K19" s="7">
        <f t="shared" si="6"/>
        <v>389.32637540047955</v>
      </c>
      <c r="L19" s="7">
        <f t="shared" si="7"/>
        <v>398.24197758877796</v>
      </c>
      <c r="M19" s="7">
        <f t="shared" si="8"/>
        <v>436.9584793182006</v>
      </c>
      <c r="N19" s="22"/>
      <c r="O19" s="7">
        <f t="shared" si="9"/>
        <v>36.179255256863293</v>
      </c>
      <c r="P19" s="7">
        <f t="shared" si="10"/>
        <v>37.001511058155643</v>
      </c>
      <c r="Q19" s="7">
        <f t="shared" si="11"/>
        <v>40.64292960673604</v>
      </c>
      <c r="R19" s="7">
        <f t="shared" si="12"/>
        <v>36.179255256863293</v>
      </c>
      <c r="S19" s="7">
        <f t="shared" si="13"/>
        <v>37.001511058155643</v>
      </c>
      <c r="T19" s="7">
        <f t="shared" si="14"/>
        <v>40.64292960673604</v>
      </c>
      <c r="U19" s="7">
        <f t="shared" si="15"/>
        <v>36.179255256863293</v>
      </c>
      <c r="V19" s="7">
        <f t="shared" si="16"/>
        <v>37.001511058155643</v>
      </c>
      <c r="W19" s="7">
        <f t="shared" si="17"/>
        <v>40.64292960673604</v>
      </c>
      <c r="X19" s="22"/>
      <c r="Y19" s="10">
        <v>1.0926987392589338</v>
      </c>
      <c r="Z19" s="22"/>
      <c r="AA19">
        <v>1.075</v>
      </c>
    </row>
    <row r="20" spans="1:27" x14ac:dyDescent="0.25">
      <c r="A20" s="16"/>
      <c r="B20" s="3" t="s">
        <v>17</v>
      </c>
      <c r="C20" s="3" t="s">
        <v>35</v>
      </c>
      <c r="D20" s="11" t="s">
        <v>19</v>
      </c>
      <c r="E20" s="7">
        <f t="shared" si="0"/>
        <v>409.01244442789158</v>
      </c>
      <c r="F20" s="7">
        <f t="shared" si="1"/>
        <v>418.37885902241152</v>
      </c>
      <c r="G20" s="7">
        <f t="shared" si="2"/>
        <v>459.05303886896996</v>
      </c>
      <c r="H20" s="7">
        <f t="shared" si="3"/>
        <v>409.01244442789158</v>
      </c>
      <c r="I20" s="7">
        <f t="shared" si="4"/>
        <v>418.37885902241152</v>
      </c>
      <c r="J20" s="7">
        <f t="shared" si="5"/>
        <v>459.05303886896996</v>
      </c>
      <c r="K20" s="7">
        <f t="shared" si="6"/>
        <v>409.01244442789158</v>
      </c>
      <c r="L20" s="7">
        <f t="shared" si="7"/>
        <v>418.37885902241152</v>
      </c>
      <c r="M20" s="7">
        <f t="shared" si="8"/>
        <v>459.05303886896996</v>
      </c>
      <c r="N20" s="22"/>
      <c r="O20" s="7">
        <f t="shared" si="9"/>
        <v>38.008638934283915</v>
      </c>
      <c r="P20" s="7">
        <f t="shared" si="10"/>
        <v>38.872471637335821</v>
      </c>
      <c r="Q20" s="7">
        <f t="shared" si="11"/>
        <v>42.698016465137137</v>
      </c>
      <c r="R20" s="7">
        <f t="shared" si="12"/>
        <v>38.008638934283915</v>
      </c>
      <c r="S20" s="7">
        <f t="shared" si="13"/>
        <v>38.872471637335821</v>
      </c>
      <c r="T20" s="7">
        <f t="shared" si="14"/>
        <v>42.698016465137137</v>
      </c>
      <c r="U20" s="7">
        <f t="shared" si="15"/>
        <v>38.008638934283915</v>
      </c>
      <c r="V20" s="7">
        <f t="shared" si="16"/>
        <v>38.872471637335821</v>
      </c>
      <c r="W20" s="7">
        <f t="shared" si="17"/>
        <v>42.698016465137137</v>
      </c>
      <c r="X20" s="22"/>
      <c r="Y20" s="10">
        <v>1.1479504359493784</v>
      </c>
      <c r="Z20" s="22"/>
      <c r="AA20">
        <v>1.075</v>
      </c>
    </row>
    <row r="21" spans="1:27" x14ac:dyDescent="0.25">
      <c r="A21" s="16"/>
      <c r="B21" s="3" t="s">
        <v>17</v>
      </c>
      <c r="C21" s="3" t="s">
        <v>36</v>
      </c>
      <c r="D21" s="11" t="s">
        <v>19</v>
      </c>
      <c r="E21" s="7">
        <f t="shared" si="0"/>
        <v>482.73002536326294</v>
      </c>
      <c r="F21" s="7">
        <f t="shared" si="1"/>
        <v>493.78457789918843</v>
      </c>
      <c r="G21" s="7">
        <f t="shared" si="2"/>
        <v>541.78959128312874</v>
      </c>
      <c r="H21" s="7">
        <f t="shared" si="3"/>
        <v>482.73002536326294</v>
      </c>
      <c r="I21" s="7">
        <f t="shared" si="4"/>
        <v>493.78457789918843</v>
      </c>
      <c r="J21" s="7">
        <f t="shared" si="5"/>
        <v>541.78959128312874</v>
      </c>
      <c r="K21" s="7">
        <f t="shared" si="6"/>
        <v>482.73002536326294</v>
      </c>
      <c r="L21" s="7">
        <f t="shared" si="7"/>
        <v>493.78457789918843</v>
      </c>
      <c r="M21" s="7">
        <f t="shared" si="8"/>
        <v>541.78959128312874</v>
      </c>
      <c r="N21" s="22"/>
      <c r="O21" s="7">
        <f t="shared" si="9"/>
        <v>44.859053768973261</v>
      </c>
      <c r="P21" s="7">
        <f t="shared" si="10"/>
        <v>45.878577718268112</v>
      </c>
      <c r="Q21" s="7">
        <f t="shared" si="11"/>
        <v>50.393612350859577</v>
      </c>
      <c r="R21" s="7">
        <f t="shared" si="12"/>
        <v>44.859053768973261</v>
      </c>
      <c r="S21" s="7">
        <f t="shared" si="13"/>
        <v>45.878577718268112</v>
      </c>
      <c r="T21" s="7">
        <f t="shared" si="14"/>
        <v>50.393612350859577</v>
      </c>
      <c r="U21" s="7">
        <f t="shared" si="15"/>
        <v>44.859053768973261</v>
      </c>
      <c r="V21" s="7">
        <f t="shared" si="16"/>
        <v>45.878577718268112</v>
      </c>
      <c r="W21" s="7">
        <f t="shared" si="17"/>
        <v>50.393612350859577</v>
      </c>
      <c r="X21" s="22"/>
      <c r="Y21" s="10">
        <v>1.3548491020529527</v>
      </c>
      <c r="Z21" s="22"/>
      <c r="AA21">
        <v>1.075</v>
      </c>
    </row>
    <row r="22" spans="1:27" x14ac:dyDescent="0.25">
      <c r="A22" s="16"/>
      <c r="B22" s="3" t="s">
        <v>17</v>
      </c>
      <c r="C22" s="3" t="s">
        <v>37</v>
      </c>
      <c r="D22" s="11" t="s">
        <v>19</v>
      </c>
      <c r="E22" s="7">
        <f t="shared" si="0"/>
        <v>378.01741482004144</v>
      </c>
      <c r="F22" s="7">
        <f t="shared" si="1"/>
        <v>386.67404099215133</v>
      </c>
      <c r="G22" s="7">
        <f t="shared" si="2"/>
        <v>424.26592486998317</v>
      </c>
      <c r="H22" s="7">
        <f t="shared" si="3"/>
        <v>378.01741482004144</v>
      </c>
      <c r="I22" s="7">
        <f t="shared" si="4"/>
        <v>386.67404099215133</v>
      </c>
      <c r="J22" s="7">
        <f t="shared" si="5"/>
        <v>424.26592486998317</v>
      </c>
      <c r="K22" s="7">
        <f t="shared" si="6"/>
        <v>378.01741482004144</v>
      </c>
      <c r="L22" s="7">
        <f t="shared" si="7"/>
        <v>386.67404099215133</v>
      </c>
      <c r="M22" s="7">
        <f t="shared" si="8"/>
        <v>424.26592486998317</v>
      </c>
      <c r="N22" s="22"/>
      <c r="O22" s="7">
        <f t="shared" si="9"/>
        <v>35.128338089721446</v>
      </c>
      <c r="P22" s="7">
        <f t="shared" si="10"/>
        <v>35.92670940994239</v>
      </c>
      <c r="Q22" s="7">
        <f t="shared" si="11"/>
        <v>39.462353828063712</v>
      </c>
      <c r="R22" s="7">
        <f t="shared" si="12"/>
        <v>35.128338089721446</v>
      </c>
      <c r="S22" s="7">
        <f t="shared" si="13"/>
        <v>35.92670940994239</v>
      </c>
      <c r="T22" s="7">
        <f t="shared" si="14"/>
        <v>39.462353828063712</v>
      </c>
      <c r="U22" s="7">
        <f t="shared" si="15"/>
        <v>35.128338089721446</v>
      </c>
      <c r="V22" s="7">
        <f t="shared" si="16"/>
        <v>35.92670940994239</v>
      </c>
      <c r="W22" s="7">
        <f t="shared" si="17"/>
        <v>39.462353828063712</v>
      </c>
      <c r="X22" s="22"/>
      <c r="Y22" s="10">
        <v>1.0609585650776638</v>
      </c>
      <c r="Z22" s="22"/>
      <c r="AA22">
        <v>1.075</v>
      </c>
    </row>
    <row r="23" spans="1:27" x14ac:dyDescent="0.25">
      <c r="A23" s="16"/>
      <c r="B23" s="3" t="s">
        <v>17</v>
      </c>
      <c r="C23" s="3" t="s">
        <v>38</v>
      </c>
      <c r="D23" s="11" t="s">
        <v>19</v>
      </c>
      <c r="E23" s="7">
        <f t="shared" si="0"/>
        <v>444.19568870178739</v>
      </c>
      <c r="F23" s="7">
        <f t="shared" si="1"/>
        <v>454.36780213784385</v>
      </c>
      <c r="G23" s="7">
        <f t="shared" si="2"/>
        <v>498.54077431866369</v>
      </c>
      <c r="H23" s="7">
        <f t="shared" si="3"/>
        <v>444.19568870178739</v>
      </c>
      <c r="I23" s="7">
        <f t="shared" si="4"/>
        <v>454.36780213784385</v>
      </c>
      <c r="J23" s="7">
        <f t="shared" si="5"/>
        <v>498.54077431866369</v>
      </c>
      <c r="K23" s="7">
        <f t="shared" si="6"/>
        <v>444.19568870178739</v>
      </c>
      <c r="L23" s="7">
        <f t="shared" si="7"/>
        <v>454.36780213784385</v>
      </c>
      <c r="M23" s="7">
        <f t="shared" si="8"/>
        <v>498.54077431866369</v>
      </c>
      <c r="N23" s="22"/>
      <c r="O23" s="7">
        <f t="shared" si="9"/>
        <v>41.27814147964957</v>
      </c>
      <c r="P23" s="7">
        <f t="shared" si="10"/>
        <v>42.216281058732513</v>
      </c>
      <c r="Q23" s="7">
        <f t="shared" si="11"/>
        <v>46.370899194671267</v>
      </c>
      <c r="R23" s="7">
        <f t="shared" si="12"/>
        <v>41.27814147964957</v>
      </c>
      <c r="S23" s="7">
        <f t="shared" si="13"/>
        <v>42.216281058732513</v>
      </c>
      <c r="T23" s="7">
        <f t="shared" si="14"/>
        <v>46.370899194671267</v>
      </c>
      <c r="U23" s="7">
        <f t="shared" si="15"/>
        <v>41.27814147964957</v>
      </c>
      <c r="V23" s="7">
        <f t="shared" si="16"/>
        <v>42.216281058732513</v>
      </c>
      <c r="W23" s="7">
        <f t="shared" si="17"/>
        <v>46.370899194671267</v>
      </c>
      <c r="X23" s="22"/>
      <c r="Y23" s="10">
        <v>1.2466971150603916</v>
      </c>
      <c r="Z23" s="22"/>
      <c r="AA23">
        <v>1.075</v>
      </c>
    </row>
    <row r="24" spans="1:27" x14ac:dyDescent="0.25">
      <c r="A24" s="16"/>
      <c r="B24" s="3" t="s">
        <v>17</v>
      </c>
      <c r="C24" s="3" t="s">
        <v>39</v>
      </c>
      <c r="D24" s="11" t="s">
        <v>19</v>
      </c>
      <c r="E24" s="7">
        <f t="shared" si="0"/>
        <v>376.76093910164644</v>
      </c>
      <c r="F24" s="7">
        <f t="shared" si="1"/>
        <v>385.38879188882203</v>
      </c>
      <c r="G24" s="7">
        <f t="shared" si="2"/>
        <v>422.85572573141883</v>
      </c>
      <c r="H24" s="7">
        <f t="shared" si="3"/>
        <v>376.76093910164644</v>
      </c>
      <c r="I24" s="7">
        <f t="shared" si="4"/>
        <v>385.38879188882203</v>
      </c>
      <c r="J24" s="7">
        <f t="shared" si="5"/>
        <v>422.85572573141883</v>
      </c>
      <c r="K24" s="7">
        <f t="shared" si="6"/>
        <v>376.76093910164644</v>
      </c>
      <c r="L24" s="7">
        <f t="shared" si="7"/>
        <v>385.38879188882203</v>
      </c>
      <c r="M24" s="7">
        <f t="shared" si="8"/>
        <v>422.85572573141883</v>
      </c>
      <c r="N24" s="22"/>
      <c r="O24" s="7">
        <f t="shared" si="9"/>
        <v>35.011576527669291</v>
      </c>
      <c r="P24" s="7">
        <f t="shared" si="10"/>
        <v>35.807294176025408</v>
      </c>
      <c r="Q24" s="7">
        <f t="shared" si="11"/>
        <v>39.331186618745377</v>
      </c>
      <c r="R24" s="7">
        <f t="shared" si="12"/>
        <v>35.011576527669291</v>
      </c>
      <c r="S24" s="7">
        <f t="shared" si="13"/>
        <v>35.807294176025408</v>
      </c>
      <c r="T24" s="7">
        <f t="shared" si="14"/>
        <v>39.331186618745377</v>
      </c>
      <c r="U24" s="7">
        <f t="shared" si="15"/>
        <v>35.011576527669291</v>
      </c>
      <c r="V24" s="7">
        <f t="shared" si="16"/>
        <v>35.807294176025408</v>
      </c>
      <c r="W24" s="7">
        <f t="shared" si="17"/>
        <v>39.331186618745377</v>
      </c>
      <c r="X24" s="22"/>
      <c r="Y24" s="10">
        <v>1.057432090838698</v>
      </c>
      <c r="Z24" s="22"/>
      <c r="AA24">
        <v>1.075</v>
      </c>
    </row>
    <row r="25" spans="1:27" x14ac:dyDescent="0.25">
      <c r="A25" s="16"/>
      <c r="B25" s="3" t="s">
        <v>17</v>
      </c>
      <c r="C25" s="3" t="s">
        <v>40</v>
      </c>
      <c r="D25" s="11" t="s">
        <v>19</v>
      </c>
      <c r="E25" s="7">
        <f t="shared" si="0"/>
        <v>523.98406659192426</v>
      </c>
      <c r="F25" s="7">
        <f t="shared" si="1"/>
        <v>535.98333965924473</v>
      </c>
      <c r="G25" s="7">
        <f t="shared" si="2"/>
        <v>588.0908548501385</v>
      </c>
      <c r="H25" s="7">
        <f t="shared" si="3"/>
        <v>523.98406659192426</v>
      </c>
      <c r="I25" s="7">
        <f t="shared" si="4"/>
        <v>535.98333965924473</v>
      </c>
      <c r="J25" s="7">
        <f t="shared" si="5"/>
        <v>588.0908548501385</v>
      </c>
      <c r="K25" s="7">
        <f t="shared" si="6"/>
        <v>523.98406659192426</v>
      </c>
      <c r="L25" s="7">
        <f t="shared" si="7"/>
        <v>535.98333965924473</v>
      </c>
      <c r="M25" s="7">
        <f t="shared" si="8"/>
        <v>588.0908548501385</v>
      </c>
      <c r="N25" s="22"/>
      <c r="O25" s="7">
        <f t="shared" si="9"/>
        <v>48.692702302170133</v>
      </c>
      <c r="P25" s="7">
        <f t="shared" si="10"/>
        <v>49.799354627219451</v>
      </c>
      <c r="Q25" s="7">
        <f t="shared" si="11"/>
        <v>54.700243495295013</v>
      </c>
      <c r="R25" s="7">
        <f t="shared" si="12"/>
        <v>48.692702302170133</v>
      </c>
      <c r="S25" s="7">
        <f t="shared" si="13"/>
        <v>49.799354627219451</v>
      </c>
      <c r="T25" s="7">
        <f t="shared" si="14"/>
        <v>54.700243495295013</v>
      </c>
      <c r="U25" s="7">
        <f t="shared" si="15"/>
        <v>48.692702302170133</v>
      </c>
      <c r="V25" s="7">
        <f t="shared" si="16"/>
        <v>49.799354627219451</v>
      </c>
      <c r="W25" s="7">
        <f t="shared" si="17"/>
        <v>54.700243495295013</v>
      </c>
      <c r="X25" s="22"/>
      <c r="Y25" s="10">
        <v>1.47063431900242</v>
      </c>
      <c r="Z25" s="22"/>
      <c r="AA25">
        <v>1.075</v>
      </c>
    </row>
    <row r="26" spans="1:27" x14ac:dyDescent="0.25">
      <c r="A26" s="16"/>
      <c r="B26" s="3" t="s">
        <v>17</v>
      </c>
      <c r="C26" s="3" t="s">
        <v>41</v>
      </c>
      <c r="D26" s="11" t="s">
        <v>19</v>
      </c>
      <c r="E26" s="7">
        <f t="shared" si="0"/>
        <v>484.82430247500639</v>
      </c>
      <c r="F26" s="7">
        <f t="shared" si="1"/>
        <v>495.92681410844017</v>
      </c>
      <c r="G26" s="7">
        <f t="shared" si="2"/>
        <v>544.1400925587667</v>
      </c>
      <c r="H26" s="7">
        <f t="shared" si="3"/>
        <v>484.82430247500639</v>
      </c>
      <c r="I26" s="7">
        <f t="shared" si="4"/>
        <v>495.92681410844017</v>
      </c>
      <c r="J26" s="7">
        <f t="shared" si="5"/>
        <v>544.1400925587667</v>
      </c>
      <c r="K26" s="7">
        <f t="shared" si="6"/>
        <v>484.82430247500639</v>
      </c>
      <c r="L26" s="7">
        <f t="shared" si="7"/>
        <v>495.92681410844017</v>
      </c>
      <c r="M26" s="7">
        <f t="shared" si="8"/>
        <v>544.1400925587667</v>
      </c>
      <c r="N26" s="22"/>
      <c r="O26" s="7">
        <f t="shared" si="9"/>
        <v>45.053670396542955</v>
      </c>
      <c r="P26" s="7">
        <f t="shared" si="10"/>
        <v>46.077617451009843</v>
      </c>
      <c r="Q26" s="7">
        <f t="shared" si="11"/>
        <v>50.612240120791768</v>
      </c>
      <c r="R26" s="7">
        <f t="shared" si="12"/>
        <v>45.053670396542955</v>
      </c>
      <c r="S26" s="7">
        <f t="shared" si="13"/>
        <v>46.077617451009843</v>
      </c>
      <c r="T26" s="7">
        <f t="shared" si="14"/>
        <v>50.612240120791768</v>
      </c>
      <c r="U26" s="7">
        <f t="shared" si="15"/>
        <v>45.053670396542955</v>
      </c>
      <c r="V26" s="7">
        <f t="shared" si="16"/>
        <v>46.077617451009843</v>
      </c>
      <c r="W26" s="7">
        <f t="shared" si="17"/>
        <v>50.612240120791768</v>
      </c>
      <c r="X26" s="22"/>
      <c r="Y26" s="10">
        <v>1.3607269826802464</v>
      </c>
      <c r="Z26" s="22"/>
      <c r="AA26">
        <v>1.075</v>
      </c>
    </row>
    <row r="27" spans="1:27" x14ac:dyDescent="0.25">
      <c r="A27" s="16"/>
      <c r="B27" s="3" t="s">
        <v>17</v>
      </c>
      <c r="C27" s="3" t="s">
        <v>42</v>
      </c>
      <c r="D27" s="11" t="s">
        <v>19</v>
      </c>
      <c r="E27" s="7">
        <f t="shared" si="0"/>
        <v>503.25366941239577</v>
      </c>
      <c r="F27" s="7">
        <f t="shared" si="1"/>
        <v>514.77821488319012</v>
      </c>
      <c r="G27" s="7">
        <f t="shared" si="2"/>
        <v>564.82419890392566</v>
      </c>
      <c r="H27" s="7">
        <f t="shared" si="3"/>
        <v>503.25366941239577</v>
      </c>
      <c r="I27" s="7">
        <f t="shared" si="4"/>
        <v>514.77821488319012</v>
      </c>
      <c r="J27" s="7">
        <f t="shared" si="5"/>
        <v>564.82419890392566</v>
      </c>
      <c r="K27" s="7">
        <f t="shared" si="6"/>
        <v>503.25366941239577</v>
      </c>
      <c r="L27" s="7">
        <f t="shared" si="7"/>
        <v>514.77821488319012</v>
      </c>
      <c r="M27" s="7">
        <f t="shared" si="8"/>
        <v>564.82419890392566</v>
      </c>
      <c r="N27" s="22"/>
      <c r="O27" s="7">
        <f t="shared" si="9"/>
        <v>46.766271475687269</v>
      </c>
      <c r="P27" s="7">
        <f t="shared" si="10"/>
        <v>47.829141281952893</v>
      </c>
      <c r="Q27" s="7">
        <f t="shared" si="11"/>
        <v>52.53613613827207</v>
      </c>
      <c r="R27" s="7">
        <f t="shared" si="12"/>
        <v>46.766271475687269</v>
      </c>
      <c r="S27" s="7">
        <f t="shared" si="13"/>
        <v>47.829141281952893</v>
      </c>
      <c r="T27" s="7">
        <f t="shared" si="14"/>
        <v>52.53613613827207</v>
      </c>
      <c r="U27" s="7">
        <f t="shared" si="15"/>
        <v>46.766271475687269</v>
      </c>
      <c r="V27" s="7">
        <f t="shared" si="16"/>
        <v>47.829141281952893</v>
      </c>
      <c r="W27" s="7">
        <f t="shared" si="17"/>
        <v>52.53613613827207</v>
      </c>
      <c r="X27" s="22"/>
      <c r="Y27" s="10">
        <v>1.4124515697881992</v>
      </c>
      <c r="Z27" s="22"/>
      <c r="AA27">
        <v>1.075</v>
      </c>
    </row>
    <row r="28" spans="1:27" x14ac:dyDescent="0.25">
      <c r="A28" s="16"/>
      <c r="B28" s="3" t="s">
        <v>17</v>
      </c>
      <c r="C28" s="3" t="s">
        <v>43</v>
      </c>
      <c r="D28" s="11" t="s">
        <v>19</v>
      </c>
      <c r="E28" s="7">
        <f t="shared" si="0"/>
        <v>378.43620233090201</v>
      </c>
      <c r="F28" s="7">
        <f t="shared" si="1"/>
        <v>387.10241876733551</v>
      </c>
      <c r="G28" s="7">
        <f t="shared" si="2"/>
        <v>424.73594890499709</v>
      </c>
      <c r="H28" s="7">
        <f t="shared" si="3"/>
        <v>378.43620233090201</v>
      </c>
      <c r="I28" s="7">
        <f t="shared" si="4"/>
        <v>387.10241876733551</v>
      </c>
      <c r="J28" s="7">
        <f t="shared" si="5"/>
        <v>424.73594890499709</v>
      </c>
      <c r="K28" s="7">
        <f t="shared" si="6"/>
        <v>378.43620233090201</v>
      </c>
      <c r="L28" s="7">
        <f t="shared" si="7"/>
        <v>387.10241876733551</v>
      </c>
      <c r="M28" s="7">
        <f t="shared" si="8"/>
        <v>424.73594890499709</v>
      </c>
      <c r="N28" s="22"/>
      <c r="O28" s="7">
        <f t="shared" si="9"/>
        <v>35.167255104368152</v>
      </c>
      <c r="P28" s="7">
        <f t="shared" si="10"/>
        <v>35.966510902194699</v>
      </c>
      <c r="Q28" s="7">
        <f t="shared" si="11"/>
        <v>39.506072292569421</v>
      </c>
      <c r="R28" s="7">
        <f t="shared" si="12"/>
        <v>35.167255104368152</v>
      </c>
      <c r="S28" s="7">
        <f t="shared" si="13"/>
        <v>35.966510902194699</v>
      </c>
      <c r="T28" s="7">
        <f t="shared" si="14"/>
        <v>39.506072292569421</v>
      </c>
      <c r="U28" s="7">
        <f t="shared" si="15"/>
        <v>35.167255104368152</v>
      </c>
      <c r="V28" s="7">
        <f t="shared" si="16"/>
        <v>35.966510902194699</v>
      </c>
      <c r="W28" s="7">
        <f t="shared" si="17"/>
        <v>39.506072292569421</v>
      </c>
      <c r="X28" s="22"/>
      <c r="Y28" s="10">
        <v>1.0621339506000651</v>
      </c>
      <c r="Z28" s="22"/>
      <c r="AA28">
        <v>1.075</v>
      </c>
    </row>
    <row r="29" spans="1:27" x14ac:dyDescent="0.25">
      <c r="A29" s="16"/>
      <c r="B29" s="3" t="s">
        <v>17</v>
      </c>
      <c r="C29" s="3" t="s">
        <v>44</v>
      </c>
      <c r="D29" s="11" t="s">
        <v>19</v>
      </c>
      <c r="E29" s="7">
        <f t="shared" si="0"/>
        <v>376.36260200361363</v>
      </c>
      <c r="F29" s="7">
        <f t="shared" si="1"/>
        <v>384.98133284240015</v>
      </c>
      <c r="G29" s="7">
        <f t="shared" si="2"/>
        <v>422.40865411333641</v>
      </c>
      <c r="H29" s="7">
        <f t="shared" si="3"/>
        <v>376.36260200361363</v>
      </c>
      <c r="I29" s="7">
        <f t="shared" si="4"/>
        <v>384.98133284240015</v>
      </c>
      <c r="J29" s="7">
        <f t="shared" si="5"/>
        <v>422.40865411333641</v>
      </c>
      <c r="K29" s="7">
        <f t="shared" si="6"/>
        <v>376.36260200361363</v>
      </c>
      <c r="L29" s="7">
        <f t="shared" si="7"/>
        <v>384.98133284240015</v>
      </c>
      <c r="M29" s="7">
        <f t="shared" si="8"/>
        <v>422.40865411333641</v>
      </c>
      <c r="N29" s="22"/>
      <c r="O29" s="7">
        <f t="shared" si="9"/>
        <v>34.974559925510803</v>
      </c>
      <c r="P29" s="7">
        <f t="shared" si="10"/>
        <v>35.769436287454226</v>
      </c>
      <c r="Q29" s="7">
        <f t="shared" si="11"/>
        <v>39.28960303320369</v>
      </c>
      <c r="R29" s="7">
        <f t="shared" si="12"/>
        <v>34.974559925510803</v>
      </c>
      <c r="S29" s="7">
        <f t="shared" si="13"/>
        <v>35.769436287454226</v>
      </c>
      <c r="T29" s="7">
        <f t="shared" si="14"/>
        <v>39.28960303320369</v>
      </c>
      <c r="U29" s="7">
        <f t="shared" si="15"/>
        <v>34.974559925510803</v>
      </c>
      <c r="V29" s="7">
        <f t="shared" si="16"/>
        <v>35.769436287454226</v>
      </c>
      <c r="W29" s="7">
        <f t="shared" si="17"/>
        <v>39.28960303320369</v>
      </c>
      <c r="X29" s="22"/>
      <c r="Y29" s="10">
        <v>1.0563141022504017</v>
      </c>
      <c r="Z29" s="22"/>
      <c r="AA29">
        <v>1.075</v>
      </c>
    </row>
    <row r="30" spans="1:27" x14ac:dyDescent="0.25">
      <c r="A30" s="16"/>
      <c r="B30" s="3" t="s">
        <v>17</v>
      </c>
      <c r="C30" s="3" t="s">
        <v>45</v>
      </c>
      <c r="D30" s="11" t="s">
        <v>19</v>
      </c>
      <c r="E30" s="7">
        <f t="shared" si="0"/>
        <v>474.91441589226946</v>
      </c>
      <c r="F30" s="7">
        <f t="shared" si="1"/>
        <v>485.78999040537087</v>
      </c>
      <c r="G30" s="7">
        <f t="shared" si="2"/>
        <v>533.01778170337116</v>
      </c>
      <c r="H30" s="7">
        <f t="shared" si="3"/>
        <v>474.91441589226946</v>
      </c>
      <c r="I30" s="7">
        <f t="shared" si="4"/>
        <v>485.78999040537087</v>
      </c>
      <c r="J30" s="7">
        <f t="shared" si="5"/>
        <v>533.01778170337116</v>
      </c>
      <c r="K30" s="7">
        <f t="shared" si="6"/>
        <v>474.91441589226946</v>
      </c>
      <c r="L30" s="7">
        <f t="shared" si="7"/>
        <v>485.78999040537087</v>
      </c>
      <c r="M30" s="7">
        <f t="shared" si="8"/>
        <v>533.01778170337116</v>
      </c>
      <c r="N30" s="22"/>
      <c r="O30" s="7">
        <f t="shared" si="9"/>
        <v>44.132766140121589</v>
      </c>
      <c r="P30" s="7">
        <f t="shared" si="10"/>
        <v>45.135783552397079</v>
      </c>
      <c r="Q30" s="7">
        <f t="shared" si="11"/>
        <v>49.577717806759971</v>
      </c>
      <c r="R30" s="7">
        <f t="shared" si="12"/>
        <v>44.132766140121589</v>
      </c>
      <c r="S30" s="7">
        <f t="shared" si="13"/>
        <v>45.135783552397079</v>
      </c>
      <c r="T30" s="7">
        <f t="shared" si="14"/>
        <v>49.577717806759971</v>
      </c>
      <c r="U30" s="7">
        <f t="shared" si="15"/>
        <v>44.132766140121589</v>
      </c>
      <c r="V30" s="7">
        <f t="shared" si="16"/>
        <v>45.135783552397079</v>
      </c>
      <c r="W30" s="7">
        <f t="shared" si="17"/>
        <v>49.577717806759971</v>
      </c>
      <c r="X30" s="22"/>
      <c r="Y30" s="10">
        <v>1.3329135046850376</v>
      </c>
      <c r="Z30" s="22"/>
      <c r="AA30">
        <v>1.075</v>
      </c>
    </row>
    <row r="31" spans="1:27" x14ac:dyDescent="0.25">
      <c r="A31" s="16"/>
      <c r="B31" s="3" t="s">
        <v>17</v>
      </c>
      <c r="C31" s="3" t="s">
        <v>46</v>
      </c>
      <c r="D31" s="11" t="s">
        <v>19</v>
      </c>
      <c r="E31" s="7">
        <f t="shared" si="0"/>
        <v>387.65099898541041</v>
      </c>
      <c r="F31" s="7">
        <f t="shared" si="1"/>
        <v>396.52823493248758</v>
      </c>
      <c r="G31" s="7">
        <f t="shared" si="2"/>
        <v>435.07812911109949</v>
      </c>
      <c r="H31" s="7">
        <f t="shared" si="3"/>
        <v>387.65099898541041</v>
      </c>
      <c r="I31" s="7">
        <f t="shared" si="4"/>
        <v>396.52823493248758</v>
      </c>
      <c r="J31" s="7">
        <f t="shared" si="5"/>
        <v>435.07812911109949</v>
      </c>
      <c r="K31" s="7">
        <f t="shared" si="6"/>
        <v>387.65099898541041</v>
      </c>
      <c r="L31" s="7">
        <f t="shared" si="7"/>
        <v>396.52823493248758</v>
      </c>
      <c r="M31" s="7">
        <f t="shared" si="8"/>
        <v>435.07812911109949</v>
      </c>
      <c r="N31" s="22"/>
      <c r="O31" s="7">
        <f t="shared" si="9"/>
        <v>36.023566162052383</v>
      </c>
      <c r="P31" s="7">
        <f t="shared" si="10"/>
        <v>36.842283574826297</v>
      </c>
      <c r="Q31" s="7">
        <f t="shared" si="11"/>
        <v>40.468032117110788</v>
      </c>
      <c r="R31" s="7">
        <f t="shared" si="12"/>
        <v>36.023566162052383</v>
      </c>
      <c r="S31" s="7">
        <f t="shared" si="13"/>
        <v>36.842283574826297</v>
      </c>
      <c r="T31" s="7">
        <f t="shared" si="14"/>
        <v>40.468032117110788</v>
      </c>
      <c r="U31" s="7">
        <f t="shared" si="15"/>
        <v>36.023566162052383</v>
      </c>
      <c r="V31" s="7">
        <f t="shared" si="16"/>
        <v>36.842283574826297</v>
      </c>
      <c r="W31" s="7">
        <f t="shared" si="17"/>
        <v>40.468032117110788</v>
      </c>
      <c r="X31" s="22"/>
      <c r="Y31" s="10">
        <v>1.0879965618258043</v>
      </c>
      <c r="Z31" s="22"/>
      <c r="AA31">
        <v>1.075</v>
      </c>
    </row>
    <row r="32" spans="1:27" x14ac:dyDescent="0.25">
      <c r="A32" s="16"/>
      <c r="B32" s="3" t="s">
        <v>17</v>
      </c>
      <c r="C32" s="3" t="s">
        <v>47</v>
      </c>
      <c r="D32" s="11" t="s">
        <v>19</v>
      </c>
      <c r="E32" s="7">
        <f t="shared" si="0"/>
        <v>407.7011946986504</v>
      </c>
      <c r="F32" s="7">
        <f t="shared" si="1"/>
        <v>417.0375815794215</v>
      </c>
      <c r="G32" s="7">
        <f t="shared" si="2"/>
        <v>457.58136439763149</v>
      </c>
      <c r="H32" s="7">
        <f t="shared" si="3"/>
        <v>407.7011946986504</v>
      </c>
      <c r="I32" s="7">
        <f t="shared" si="4"/>
        <v>417.0375815794215</v>
      </c>
      <c r="J32" s="7">
        <f t="shared" si="5"/>
        <v>457.58136439763149</v>
      </c>
      <c r="K32" s="7">
        <f t="shared" si="6"/>
        <v>407.7011946986504</v>
      </c>
      <c r="L32" s="7">
        <f t="shared" si="7"/>
        <v>417.0375815794215</v>
      </c>
      <c r="M32" s="7">
        <f t="shared" si="8"/>
        <v>457.58136439763149</v>
      </c>
      <c r="N32" s="22"/>
      <c r="O32" s="7">
        <f t="shared" si="9"/>
        <v>37.886787342259332</v>
      </c>
      <c r="P32" s="7">
        <f t="shared" si="10"/>
        <v>38.747850690947047</v>
      </c>
      <c r="Q32" s="7">
        <f t="shared" si="11"/>
        <v>42.561131235135484</v>
      </c>
      <c r="R32" s="7">
        <f t="shared" si="12"/>
        <v>37.886787342259332</v>
      </c>
      <c r="S32" s="7">
        <f t="shared" si="13"/>
        <v>38.747850690947047</v>
      </c>
      <c r="T32" s="7">
        <f t="shared" si="14"/>
        <v>42.561131235135484</v>
      </c>
      <c r="U32" s="7">
        <f t="shared" si="15"/>
        <v>37.886787342259332</v>
      </c>
      <c r="V32" s="7">
        <f t="shared" si="16"/>
        <v>38.747850690947047</v>
      </c>
      <c r="W32" s="7">
        <f t="shared" si="17"/>
        <v>42.561131235135484</v>
      </c>
      <c r="X32" s="22"/>
      <c r="Y32" s="10">
        <v>1.1442702308142354</v>
      </c>
      <c r="Z32" s="22"/>
      <c r="AA32">
        <v>1.075</v>
      </c>
    </row>
    <row r="33" spans="1:27" x14ac:dyDescent="0.25">
      <c r="A33" s="16"/>
      <c r="B33" s="3" t="s">
        <v>17</v>
      </c>
      <c r="C33" s="3" t="s">
        <v>48</v>
      </c>
      <c r="D33" s="11" t="s">
        <v>19</v>
      </c>
      <c r="E33" s="7">
        <f t="shared" si="0"/>
        <v>468.90788697440712</v>
      </c>
      <c r="F33" s="7">
        <f t="shared" si="1"/>
        <v>479.64591154034889</v>
      </c>
      <c r="G33" s="7">
        <f t="shared" si="2"/>
        <v>526.27638449073652</v>
      </c>
      <c r="H33" s="7">
        <f t="shared" si="3"/>
        <v>468.90788697440712</v>
      </c>
      <c r="I33" s="7">
        <f t="shared" si="4"/>
        <v>479.64591154034889</v>
      </c>
      <c r="J33" s="7">
        <f t="shared" si="5"/>
        <v>526.27638449073652</v>
      </c>
      <c r="K33" s="7">
        <f t="shared" si="6"/>
        <v>468.90788697440712</v>
      </c>
      <c r="L33" s="7">
        <f t="shared" si="7"/>
        <v>479.64591154034889</v>
      </c>
      <c r="M33" s="7">
        <f t="shared" si="8"/>
        <v>526.27638449073652</v>
      </c>
      <c r="N33" s="22"/>
      <c r="O33" s="7">
        <f t="shared" si="9"/>
        <v>43.574592441502951</v>
      </c>
      <c r="P33" s="7">
        <f t="shared" si="10"/>
        <v>44.564924087900749</v>
      </c>
      <c r="Q33" s="7">
        <f t="shared" si="11"/>
        <v>48.95067852194812</v>
      </c>
      <c r="R33" s="7">
        <f t="shared" si="12"/>
        <v>43.574592441502951</v>
      </c>
      <c r="S33" s="7">
        <f t="shared" si="13"/>
        <v>44.564924087900749</v>
      </c>
      <c r="T33" s="7">
        <f t="shared" si="14"/>
        <v>48.95067852194812</v>
      </c>
      <c r="U33" s="7">
        <f t="shared" si="15"/>
        <v>43.574592441502951</v>
      </c>
      <c r="V33" s="7">
        <f t="shared" si="16"/>
        <v>44.564924087900749</v>
      </c>
      <c r="W33" s="7">
        <f t="shared" si="17"/>
        <v>48.95067852194812</v>
      </c>
      <c r="X33" s="22"/>
      <c r="Y33" s="10">
        <v>1.3160553440502252</v>
      </c>
      <c r="Z33" s="22"/>
      <c r="AA33">
        <v>1.075</v>
      </c>
    </row>
    <row r="34" spans="1:27" x14ac:dyDescent="0.25">
      <c r="A34" s="16"/>
      <c r="B34" s="3" t="s">
        <v>17</v>
      </c>
      <c r="C34" s="3" t="s">
        <v>49</v>
      </c>
      <c r="D34" s="11" t="s">
        <v>19</v>
      </c>
      <c r="E34" s="7">
        <f t="shared" si="0"/>
        <v>471.61568778956109</v>
      </c>
      <c r="F34" s="7">
        <f t="shared" si="1"/>
        <v>482.41572119024528</v>
      </c>
      <c r="G34" s="7">
        <f t="shared" si="2"/>
        <v>529.31547097766975</v>
      </c>
      <c r="H34" s="7">
        <f t="shared" si="3"/>
        <v>471.61568778956109</v>
      </c>
      <c r="I34" s="7">
        <f t="shared" si="4"/>
        <v>482.41572119024528</v>
      </c>
      <c r="J34" s="7">
        <f t="shared" si="5"/>
        <v>529.31547097766975</v>
      </c>
      <c r="K34" s="7">
        <f t="shared" si="6"/>
        <v>471.61568778956109</v>
      </c>
      <c r="L34" s="7">
        <f t="shared" si="7"/>
        <v>482.41572119024528</v>
      </c>
      <c r="M34" s="7">
        <f t="shared" si="8"/>
        <v>529.31547097766975</v>
      </c>
      <c r="N34" s="22"/>
      <c r="O34" s="7">
        <f t="shared" si="9"/>
        <v>43.826222495530061</v>
      </c>
      <c r="P34" s="7">
        <f t="shared" si="10"/>
        <v>44.822273006792102</v>
      </c>
      <c r="Q34" s="7">
        <f t="shared" si="11"/>
        <v>49.23335384238117</v>
      </c>
      <c r="R34" s="7">
        <f t="shared" si="12"/>
        <v>43.826222495530061</v>
      </c>
      <c r="S34" s="7">
        <f t="shared" si="13"/>
        <v>44.822273006792102</v>
      </c>
      <c r="T34" s="7">
        <f t="shared" si="14"/>
        <v>49.23335384238117</v>
      </c>
      <c r="U34" s="7">
        <f t="shared" si="15"/>
        <v>43.826222495530061</v>
      </c>
      <c r="V34" s="7">
        <f t="shared" si="16"/>
        <v>44.822273006792102</v>
      </c>
      <c r="W34" s="7">
        <f t="shared" si="17"/>
        <v>49.23335384238117</v>
      </c>
      <c r="X34" s="22"/>
      <c r="Y34" s="10">
        <v>1.3236551644678363</v>
      </c>
      <c r="Z34" s="22"/>
      <c r="AA34">
        <v>1.075</v>
      </c>
    </row>
    <row r="35" spans="1:27" x14ac:dyDescent="0.25">
      <c r="A35" s="16"/>
      <c r="B35" s="3" t="s">
        <v>17</v>
      </c>
      <c r="C35" s="3" t="s">
        <v>50</v>
      </c>
      <c r="D35" s="11" t="s">
        <v>19</v>
      </c>
      <c r="E35" s="7">
        <f t="shared" si="0"/>
        <v>384.6096475001537</v>
      </c>
      <c r="F35" s="7">
        <f t="shared" si="1"/>
        <v>393.4172362779903</v>
      </c>
      <c r="G35" s="7">
        <f t="shared" si="2"/>
        <v>431.66468372430063</v>
      </c>
      <c r="H35" s="7">
        <f t="shared" si="3"/>
        <v>384.6096475001537</v>
      </c>
      <c r="I35" s="7">
        <f t="shared" si="4"/>
        <v>393.4172362779903</v>
      </c>
      <c r="J35" s="7">
        <f t="shared" si="5"/>
        <v>431.66468372430063</v>
      </c>
      <c r="K35" s="7">
        <f t="shared" si="6"/>
        <v>384.6096475001537</v>
      </c>
      <c r="L35" s="7">
        <f t="shared" si="7"/>
        <v>393.4172362779903</v>
      </c>
      <c r="M35" s="7">
        <f t="shared" si="8"/>
        <v>431.66468372430063</v>
      </c>
      <c r="N35" s="22"/>
      <c r="O35" s="7">
        <f t="shared" si="9"/>
        <v>35.740939968032627</v>
      </c>
      <c r="P35" s="7">
        <f t="shared" si="10"/>
        <v>36.553234058215189</v>
      </c>
      <c r="Q35" s="7">
        <f t="shared" si="11"/>
        <v>40.150536457595095</v>
      </c>
      <c r="R35" s="7">
        <f t="shared" si="12"/>
        <v>35.740939968032627</v>
      </c>
      <c r="S35" s="7">
        <f t="shared" si="13"/>
        <v>36.553234058215189</v>
      </c>
      <c r="T35" s="7">
        <f t="shared" si="14"/>
        <v>40.150536457595095</v>
      </c>
      <c r="U35" s="7">
        <f t="shared" si="15"/>
        <v>35.740939968032627</v>
      </c>
      <c r="V35" s="7">
        <f t="shared" si="16"/>
        <v>36.553234058215189</v>
      </c>
      <c r="W35" s="7">
        <f t="shared" si="17"/>
        <v>40.150536457595095</v>
      </c>
      <c r="X35" s="22"/>
      <c r="Y35" s="10">
        <v>1.0794605849602124</v>
      </c>
      <c r="Z35" s="22"/>
      <c r="AA35">
        <v>1.075</v>
      </c>
    </row>
    <row r="36" spans="1:27" x14ac:dyDescent="0.25">
      <c r="A36" s="16"/>
      <c r="B36" s="3" t="s">
        <v>17</v>
      </c>
      <c r="C36" s="3" t="s">
        <v>51</v>
      </c>
      <c r="D36" s="11" t="s">
        <v>19</v>
      </c>
      <c r="E36" s="7">
        <f t="shared" si="0"/>
        <v>467.65141125601207</v>
      </c>
      <c r="F36" s="7">
        <f t="shared" si="1"/>
        <v>478.36066243701958</v>
      </c>
      <c r="G36" s="7">
        <f t="shared" si="2"/>
        <v>524.86618535217212</v>
      </c>
      <c r="H36" s="7">
        <f t="shared" si="3"/>
        <v>467.65141125601207</v>
      </c>
      <c r="I36" s="7">
        <f t="shared" si="4"/>
        <v>478.36066243701958</v>
      </c>
      <c r="J36" s="7">
        <f t="shared" si="5"/>
        <v>524.86618535217212</v>
      </c>
      <c r="K36" s="7">
        <f t="shared" si="6"/>
        <v>467.65141125601207</v>
      </c>
      <c r="L36" s="7">
        <f t="shared" si="7"/>
        <v>478.36066243701958</v>
      </c>
      <c r="M36" s="7">
        <f t="shared" si="8"/>
        <v>524.86618535217212</v>
      </c>
      <c r="N36" s="22"/>
      <c r="O36" s="7">
        <f t="shared" si="9"/>
        <v>43.457830879450796</v>
      </c>
      <c r="P36" s="7">
        <f t="shared" si="10"/>
        <v>44.445508853983767</v>
      </c>
      <c r="Q36" s="7">
        <f t="shared" si="11"/>
        <v>48.819511312629785</v>
      </c>
      <c r="R36" s="7">
        <f t="shared" si="12"/>
        <v>43.457830879450796</v>
      </c>
      <c r="S36" s="7">
        <f t="shared" si="13"/>
        <v>44.445508853983767</v>
      </c>
      <c r="T36" s="7">
        <f t="shared" si="14"/>
        <v>48.819511312629785</v>
      </c>
      <c r="U36" s="7">
        <f t="shared" si="15"/>
        <v>43.457830879450796</v>
      </c>
      <c r="V36" s="7">
        <f t="shared" si="16"/>
        <v>44.445508853983767</v>
      </c>
      <c r="W36" s="7">
        <f t="shared" si="17"/>
        <v>48.819511312629785</v>
      </c>
      <c r="X36" s="22"/>
      <c r="Y36" s="10">
        <v>1.3125288698112594</v>
      </c>
      <c r="Z36" s="22"/>
      <c r="AA36">
        <v>1.075</v>
      </c>
    </row>
    <row r="37" spans="1:27" x14ac:dyDescent="0.25">
      <c r="A37" s="16"/>
      <c r="B37" s="3" t="s">
        <v>17</v>
      </c>
      <c r="C37" s="3" t="s">
        <v>52</v>
      </c>
      <c r="D37" s="11" t="s">
        <v>19</v>
      </c>
      <c r="E37" s="7">
        <f t="shared" ref="E37:E68" si="18">(331.44*$Y37)*$AA37</f>
        <v>522.33481685824188</v>
      </c>
      <c r="F37" s="7">
        <f t="shared" ref="F37:F68" si="19">(339.03*$Y37)*$AA37</f>
        <v>534.29632198723675</v>
      </c>
      <c r="G37" s="7">
        <f t="shared" ref="G37:G68" si="20">(371.99*$Y37)*$AA37</f>
        <v>586.2398277911459</v>
      </c>
      <c r="H37" s="7">
        <f t="shared" ref="H37:H68" si="21">(331.44*$Y37)*$AA37</f>
        <v>522.33481685824188</v>
      </c>
      <c r="I37" s="7">
        <f t="shared" ref="I37:I68" si="22">(339.03*$Y37)*$AA37</f>
        <v>534.29632198723675</v>
      </c>
      <c r="J37" s="7">
        <f t="shared" ref="J37:J68" si="23">(371.99*$Y37)*$AA37</f>
        <v>586.2398277911459</v>
      </c>
      <c r="K37" s="7">
        <f t="shared" ref="K37:K68" si="24">(331.44*$Y37)*$AA37</f>
        <v>522.33481685824188</v>
      </c>
      <c r="L37" s="7">
        <f t="shared" ref="L37:L68" si="25">(339.03*$Y37)*$AA37</f>
        <v>534.29632198723675</v>
      </c>
      <c r="M37" s="7">
        <f t="shared" ref="M37:M68" si="26">(371.99*$Y37)*$AA37</f>
        <v>586.2398277911459</v>
      </c>
      <c r="N37" s="22"/>
      <c r="O37" s="7">
        <f t="shared" si="9"/>
        <v>48.53944110316754</v>
      </c>
      <c r="P37" s="7">
        <f t="shared" si="10"/>
        <v>49.642610219148622</v>
      </c>
      <c r="Q37" s="7">
        <f t="shared" si="11"/>
        <v>54.528073447064841</v>
      </c>
      <c r="R37" s="7">
        <f t="shared" si="12"/>
        <v>48.53944110316754</v>
      </c>
      <c r="S37" s="7">
        <f t="shared" si="13"/>
        <v>49.642610219148622</v>
      </c>
      <c r="T37" s="7">
        <f t="shared" si="14"/>
        <v>54.528073447064841</v>
      </c>
      <c r="U37" s="7">
        <f t="shared" si="15"/>
        <v>48.53944110316754</v>
      </c>
      <c r="V37" s="7">
        <f t="shared" si="16"/>
        <v>49.642610219148622</v>
      </c>
      <c r="W37" s="7">
        <f t="shared" si="17"/>
        <v>54.528073447064841</v>
      </c>
      <c r="X37" s="22"/>
      <c r="Y37" s="10">
        <v>1.4660054697422997</v>
      </c>
      <c r="Z37" s="22"/>
      <c r="AA37">
        <v>1.075</v>
      </c>
    </row>
    <row r="38" spans="1:27" x14ac:dyDescent="0.25">
      <c r="A38" s="16"/>
      <c r="B38" s="3" t="s">
        <v>17</v>
      </c>
      <c r="C38" s="3" t="s">
        <v>53</v>
      </c>
      <c r="D38" s="11" t="s">
        <v>19</v>
      </c>
      <c r="E38" s="7">
        <f t="shared" si="18"/>
        <v>519.17008491299509</v>
      </c>
      <c r="F38" s="7">
        <f t="shared" si="19"/>
        <v>531.0591174512814</v>
      </c>
      <c r="G38" s="7">
        <f t="shared" si="20"/>
        <v>582.68790697195584</v>
      </c>
      <c r="H38" s="7">
        <f t="shared" si="21"/>
        <v>519.17008491299509</v>
      </c>
      <c r="I38" s="7">
        <f t="shared" si="22"/>
        <v>531.0591174512814</v>
      </c>
      <c r="J38" s="7">
        <f t="shared" si="23"/>
        <v>582.68790697195584</v>
      </c>
      <c r="K38" s="7">
        <f t="shared" si="24"/>
        <v>519.17008491299509</v>
      </c>
      <c r="L38" s="7">
        <f t="shared" si="25"/>
        <v>531.0591174512814</v>
      </c>
      <c r="M38" s="7">
        <f t="shared" si="26"/>
        <v>582.68790697195584</v>
      </c>
      <c r="N38" s="22"/>
      <c r="O38" s="7">
        <f t="shared" si="9"/>
        <v>48.245349430727273</v>
      </c>
      <c r="P38" s="7">
        <f t="shared" si="10"/>
        <v>49.341834645061986</v>
      </c>
      <c r="Q38" s="7">
        <f t="shared" si="11"/>
        <v>54.19769773711571</v>
      </c>
      <c r="R38" s="7">
        <f t="shared" si="12"/>
        <v>48.245349430727273</v>
      </c>
      <c r="S38" s="7">
        <f t="shared" si="13"/>
        <v>49.341834645061986</v>
      </c>
      <c r="T38" s="7">
        <f t="shared" si="14"/>
        <v>54.19769773711571</v>
      </c>
      <c r="U38" s="7">
        <f t="shared" si="15"/>
        <v>48.245349430727273</v>
      </c>
      <c r="V38" s="7">
        <f t="shared" si="16"/>
        <v>49.341834645061986</v>
      </c>
      <c r="W38" s="7">
        <f t="shared" si="17"/>
        <v>54.19769773711571</v>
      </c>
      <c r="X38" s="22"/>
      <c r="Y38" s="10">
        <v>1.4571232084182204</v>
      </c>
      <c r="Z38" s="22"/>
      <c r="AA38">
        <v>1.075</v>
      </c>
    </row>
    <row r="39" spans="1:27" x14ac:dyDescent="0.25">
      <c r="A39" s="16"/>
      <c r="B39" s="3" t="s">
        <v>17</v>
      </c>
      <c r="C39" s="3" t="s">
        <v>54</v>
      </c>
      <c r="D39" s="11" t="s">
        <v>19</v>
      </c>
      <c r="E39" s="7">
        <f t="shared" si="18"/>
        <v>439.03990171135905</v>
      </c>
      <c r="F39" s="7">
        <f t="shared" si="19"/>
        <v>449.09394725199752</v>
      </c>
      <c r="G39" s="7">
        <f t="shared" si="20"/>
        <v>492.75420298578467</v>
      </c>
      <c r="H39" s="7">
        <f t="shared" si="21"/>
        <v>439.03990171135905</v>
      </c>
      <c r="I39" s="7">
        <f t="shared" si="22"/>
        <v>449.09394725199752</v>
      </c>
      <c r="J39" s="7">
        <f t="shared" si="23"/>
        <v>492.75420298578467</v>
      </c>
      <c r="K39" s="7">
        <f t="shared" si="24"/>
        <v>439.03990171135905</v>
      </c>
      <c r="L39" s="7">
        <f t="shared" si="25"/>
        <v>449.09394725199752</v>
      </c>
      <c r="M39" s="7">
        <f t="shared" si="26"/>
        <v>492.75420298578467</v>
      </c>
      <c r="N39" s="22"/>
      <c r="O39" s="7">
        <f t="shared" si="9"/>
        <v>40.799025382301046</v>
      </c>
      <c r="P39" s="7">
        <f t="shared" si="10"/>
        <v>41.726275959171531</v>
      </c>
      <c r="Q39" s="7">
        <f t="shared" si="11"/>
        <v>45.8326713710265</v>
      </c>
      <c r="R39" s="7">
        <f t="shared" si="12"/>
        <v>40.799025382301046</v>
      </c>
      <c r="S39" s="7">
        <f t="shared" si="13"/>
        <v>41.726275959171531</v>
      </c>
      <c r="T39" s="7">
        <f t="shared" si="14"/>
        <v>45.8326713710265</v>
      </c>
      <c r="U39" s="7">
        <f t="shared" si="15"/>
        <v>40.799025382301046</v>
      </c>
      <c r="V39" s="7">
        <f t="shared" si="16"/>
        <v>41.726275959171531</v>
      </c>
      <c r="W39" s="7">
        <f t="shared" si="17"/>
        <v>45.8326713710265</v>
      </c>
      <c r="X39" s="22"/>
      <c r="Y39" s="10">
        <v>1.2322266802265494</v>
      </c>
      <c r="Z39" s="22"/>
      <c r="AA39">
        <v>1.075</v>
      </c>
    </row>
    <row r="40" spans="1:27" x14ac:dyDescent="0.25">
      <c r="A40" s="16"/>
      <c r="B40" s="3" t="s">
        <v>17</v>
      </c>
      <c r="C40" s="3" t="s">
        <v>55</v>
      </c>
      <c r="D40" s="11" t="s">
        <v>19</v>
      </c>
      <c r="E40" s="7">
        <f t="shared" si="18"/>
        <v>404.40246659594203</v>
      </c>
      <c r="F40" s="7">
        <f t="shared" si="19"/>
        <v>413.66331236429585</v>
      </c>
      <c r="G40" s="7">
        <f t="shared" si="20"/>
        <v>453.87905367193002</v>
      </c>
      <c r="H40" s="7">
        <f t="shared" si="21"/>
        <v>404.40246659594203</v>
      </c>
      <c r="I40" s="7">
        <f t="shared" si="22"/>
        <v>413.66331236429585</v>
      </c>
      <c r="J40" s="7">
        <f t="shared" si="23"/>
        <v>453.87905367193002</v>
      </c>
      <c r="K40" s="7">
        <f t="shared" si="24"/>
        <v>404.40246659594203</v>
      </c>
      <c r="L40" s="7">
        <f t="shared" si="25"/>
        <v>413.66331236429585</v>
      </c>
      <c r="M40" s="7">
        <f t="shared" si="26"/>
        <v>453.87905367193002</v>
      </c>
      <c r="N40" s="22"/>
      <c r="O40" s="7">
        <f t="shared" si="9"/>
        <v>37.580243697667797</v>
      </c>
      <c r="P40" s="7">
        <f t="shared" si="10"/>
        <v>38.43434014534207</v>
      </c>
      <c r="Q40" s="7">
        <f t="shared" si="11"/>
        <v>42.216767270756684</v>
      </c>
      <c r="R40" s="7">
        <f t="shared" si="12"/>
        <v>37.580243697667797</v>
      </c>
      <c r="S40" s="7">
        <f t="shared" si="13"/>
        <v>38.43434014534207</v>
      </c>
      <c r="T40" s="7">
        <f t="shared" si="14"/>
        <v>42.216767270756684</v>
      </c>
      <c r="U40" s="7">
        <f t="shared" si="15"/>
        <v>37.580243697667797</v>
      </c>
      <c r="V40" s="7">
        <f t="shared" si="16"/>
        <v>38.43434014534207</v>
      </c>
      <c r="W40" s="7">
        <f t="shared" si="17"/>
        <v>42.216767270756684</v>
      </c>
      <c r="X40" s="22"/>
      <c r="Y40" s="10">
        <v>1.1350118905970341</v>
      </c>
      <c r="Z40" s="22"/>
      <c r="AA40">
        <v>1.075</v>
      </c>
    </row>
    <row r="41" spans="1:27" x14ac:dyDescent="0.25">
      <c r="A41" s="16"/>
      <c r="B41" s="3" t="s">
        <v>17</v>
      </c>
      <c r="C41" s="3" t="s">
        <v>56</v>
      </c>
      <c r="D41" s="11" t="s">
        <v>19</v>
      </c>
      <c r="E41" s="7">
        <f t="shared" si="18"/>
        <v>455.94627769029989</v>
      </c>
      <c r="F41" s="7">
        <f t="shared" si="19"/>
        <v>466.38748046506868</v>
      </c>
      <c r="G41" s="7">
        <f t="shared" si="20"/>
        <v>511.72898816683158</v>
      </c>
      <c r="H41" s="7">
        <f t="shared" si="21"/>
        <v>455.94627769029989</v>
      </c>
      <c r="I41" s="7">
        <f t="shared" si="22"/>
        <v>466.38748046506868</v>
      </c>
      <c r="J41" s="7">
        <f t="shared" si="23"/>
        <v>511.72898816683158</v>
      </c>
      <c r="K41" s="7">
        <f t="shared" si="24"/>
        <v>455.94627769029989</v>
      </c>
      <c r="L41" s="7">
        <f t="shared" si="25"/>
        <v>466.38748046506868</v>
      </c>
      <c r="M41" s="7">
        <f t="shared" si="26"/>
        <v>511.72898816683158</v>
      </c>
      <c r="N41" s="22"/>
      <c r="O41" s="7">
        <f t="shared" si="9"/>
        <v>42.370098216453165</v>
      </c>
      <c r="P41" s="7">
        <f t="shared" si="10"/>
        <v>43.333054994099825</v>
      </c>
      <c r="Q41" s="7">
        <f t="shared" si="11"/>
        <v>47.597577866535048</v>
      </c>
      <c r="R41" s="7">
        <f t="shared" si="12"/>
        <v>42.370098216453165</v>
      </c>
      <c r="S41" s="7">
        <f t="shared" si="13"/>
        <v>43.333054994099825</v>
      </c>
      <c r="T41" s="7">
        <f t="shared" si="14"/>
        <v>47.597577866535048</v>
      </c>
      <c r="U41" s="7">
        <f t="shared" si="15"/>
        <v>42.370098216453165</v>
      </c>
      <c r="V41" s="7">
        <f t="shared" si="16"/>
        <v>43.333054994099825</v>
      </c>
      <c r="W41" s="7">
        <f t="shared" si="17"/>
        <v>47.597577866535048</v>
      </c>
      <c r="X41" s="22"/>
      <c r="Y41" s="10">
        <v>1.2796767809257978</v>
      </c>
      <c r="Z41" s="22"/>
      <c r="AA41">
        <v>1.075</v>
      </c>
    </row>
    <row r="42" spans="1:27" x14ac:dyDescent="0.25">
      <c r="A42" s="16"/>
      <c r="B42" s="3" t="s">
        <v>17</v>
      </c>
      <c r="C42" s="3" t="s">
        <v>57</v>
      </c>
      <c r="D42" s="11" t="s">
        <v>19</v>
      </c>
      <c r="E42" s="7">
        <f t="shared" si="18"/>
        <v>371.0021116778766</v>
      </c>
      <c r="F42" s="7">
        <f t="shared" si="19"/>
        <v>379.49808690004375</v>
      </c>
      <c r="G42" s="7">
        <f t="shared" si="20"/>
        <v>416.39233503214257</v>
      </c>
      <c r="H42" s="7">
        <f t="shared" si="21"/>
        <v>371.0021116778766</v>
      </c>
      <c r="I42" s="7">
        <f t="shared" si="22"/>
        <v>379.49808690004375</v>
      </c>
      <c r="J42" s="7">
        <f t="shared" si="23"/>
        <v>416.39233503214257</v>
      </c>
      <c r="K42" s="7">
        <f t="shared" si="24"/>
        <v>371.0021116778766</v>
      </c>
      <c r="L42" s="7">
        <f t="shared" si="25"/>
        <v>379.49808690004375</v>
      </c>
      <c r="M42" s="7">
        <f t="shared" si="26"/>
        <v>416.39233503214257</v>
      </c>
      <c r="N42" s="22"/>
      <c r="O42" s="7">
        <f t="shared" si="9"/>
        <v>34.47642119140297</v>
      </c>
      <c r="P42" s="7">
        <f t="shared" si="10"/>
        <v>35.259976218480311</v>
      </c>
      <c r="Q42" s="7">
        <f t="shared" si="11"/>
        <v>38.730005624108529</v>
      </c>
      <c r="R42" s="7">
        <f t="shared" si="12"/>
        <v>34.47642119140297</v>
      </c>
      <c r="S42" s="7">
        <f t="shared" si="13"/>
        <v>35.259976218480311</v>
      </c>
      <c r="T42" s="7">
        <f t="shared" si="14"/>
        <v>38.730005624108529</v>
      </c>
      <c r="U42" s="7">
        <f t="shared" si="15"/>
        <v>34.47642119140297</v>
      </c>
      <c r="V42" s="7">
        <f t="shared" si="16"/>
        <v>35.259976218480311</v>
      </c>
      <c r="W42" s="7">
        <f t="shared" si="17"/>
        <v>38.730005624108529</v>
      </c>
      <c r="X42" s="22"/>
      <c r="Y42" s="10">
        <v>1.0412691389732096</v>
      </c>
      <c r="Z42" s="22"/>
      <c r="AA42">
        <v>1.075</v>
      </c>
    </row>
    <row r="43" spans="1:27" x14ac:dyDescent="0.25">
      <c r="A43" s="16"/>
      <c r="B43" s="3" t="s">
        <v>17</v>
      </c>
      <c r="C43" s="3" t="s">
        <v>58</v>
      </c>
      <c r="D43" s="11" t="s">
        <v>19</v>
      </c>
      <c r="E43" s="7">
        <f t="shared" si="18"/>
        <v>409.76295578982081</v>
      </c>
      <c r="F43" s="7">
        <f t="shared" si="19"/>
        <v>419.14655714887442</v>
      </c>
      <c r="G43" s="7">
        <f t="shared" si="20"/>
        <v>459.89537148278862</v>
      </c>
      <c r="H43" s="7">
        <f t="shared" si="21"/>
        <v>409.76295578982081</v>
      </c>
      <c r="I43" s="7">
        <f t="shared" si="22"/>
        <v>419.14655714887442</v>
      </c>
      <c r="J43" s="7">
        <f t="shared" si="23"/>
        <v>459.89537148278862</v>
      </c>
      <c r="K43" s="7">
        <f t="shared" si="24"/>
        <v>409.76295578982081</v>
      </c>
      <c r="L43" s="7">
        <f t="shared" si="25"/>
        <v>419.14655714887442</v>
      </c>
      <c r="M43" s="7">
        <f t="shared" si="26"/>
        <v>459.89537148278862</v>
      </c>
      <c r="N43" s="22"/>
      <c r="O43" s="7">
        <f t="shared" si="9"/>
        <v>38.0783823265945</v>
      </c>
      <c r="P43" s="7">
        <f t="shared" si="10"/>
        <v>38.943800106744376</v>
      </c>
      <c r="Q43" s="7">
        <f t="shared" si="11"/>
        <v>42.776364561693825</v>
      </c>
      <c r="R43" s="7">
        <f t="shared" si="12"/>
        <v>38.0783823265945</v>
      </c>
      <c r="S43" s="7">
        <f t="shared" si="13"/>
        <v>38.943800106744376</v>
      </c>
      <c r="T43" s="7">
        <f t="shared" si="14"/>
        <v>42.776364561693825</v>
      </c>
      <c r="U43" s="7">
        <f t="shared" si="15"/>
        <v>38.0783823265945</v>
      </c>
      <c r="V43" s="7">
        <f t="shared" si="16"/>
        <v>38.943800106744376</v>
      </c>
      <c r="W43" s="7">
        <f t="shared" si="17"/>
        <v>42.776364561693825</v>
      </c>
      <c r="X43" s="22"/>
      <c r="Y43" s="10">
        <v>1.1500568506975084</v>
      </c>
      <c r="Z43" s="22"/>
      <c r="AA43">
        <v>1.075</v>
      </c>
    </row>
    <row r="44" spans="1:27" x14ac:dyDescent="0.25">
      <c r="A44" s="16"/>
      <c r="B44" s="3" t="s">
        <v>17</v>
      </c>
      <c r="C44" s="3" t="s">
        <v>59</v>
      </c>
      <c r="D44" s="11" t="s">
        <v>19</v>
      </c>
      <c r="E44" s="7">
        <f t="shared" si="18"/>
        <v>357.80686084146043</v>
      </c>
      <c r="F44" s="7">
        <f t="shared" si="19"/>
        <v>366.00066386398839</v>
      </c>
      <c r="G44" s="7">
        <f t="shared" si="20"/>
        <v>401.58271229910349</v>
      </c>
      <c r="H44" s="7">
        <f t="shared" si="21"/>
        <v>357.80686084146043</v>
      </c>
      <c r="I44" s="7">
        <f t="shared" si="22"/>
        <v>366.00066386398839</v>
      </c>
      <c r="J44" s="7">
        <f t="shared" si="23"/>
        <v>401.58271229910349</v>
      </c>
      <c r="K44" s="7">
        <f t="shared" si="24"/>
        <v>357.80686084146043</v>
      </c>
      <c r="L44" s="7">
        <f t="shared" si="25"/>
        <v>366.00066386398839</v>
      </c>
      <c r="M44" s="7">
        <f t="shared" si="26"/>
        <v>401.58271229910349</v>
      </c>
      <c r="N44" s="22"/>
      <c r="O44" s="7">
        <f t="shared" si="9"/>
        <v>33.250215163881791</v>
      </c>
      <c r="P44" s="7">
        <f t="shared" si="10"/>
        <v>34.005901872151831</v>
      </c>
      <c r="Q44" s="7">
        <f t="shared" si="11"/>
        <v>37.352514437347729</v>
      </c>
      <c r="R44" s="7">
        <f t="shared" si="12"/>
        <v>33.250215163881791</v>
      </c>
      <c r="S44" s="7">
        <f t="shared" si="13"/>
        <v>34.005901872151831</v>
      </c>
      <c r="T44" s="7">
        <f t="shared" si="14"/>
        <v>37.352514437347729</v>
      </c>
      <c r="U44" s="7">
        <f t="shared" si="15"/>
        <v>33.250215163881791</v>
      </c>
      <c r="V44" s="7">
        <f t="shared" si="16"/>
        <v>34.005901872151831</v>
      </c>
      <c r="W44" s="7">
        <f t="shared" si="17"/>
        <v>37.352514437347729</v>
      </c>
      <c r="X44" s="22"/>
      <c r="Y44" s="10">
        <v>1.0042348282658349</v>
      </c>
      <c r="Z44" s="22"/>
      <c r="AA44">
        <v>1.075</v>
      </c>
    </row>
    <row r="45" spans="1:27" x14ac:dyDescent="0.25">
      <c r="A45" s="16"/>
      <c r="B45" s="30" t="s">
        <v>60</v>
      </c>
      <c r="C45" s="3" t="s">
        <v>61</v>
      </c>
      <c r="D45" s="11" t="s">
        <v>19</v>
      </c>
      <c r="E45" s="7">
        <f t="shared" si="18"/>
        <v>132.19315323320973</v>
      </c>
      <c r="F45" s="7">
        <f t="shared" si="19"/>
        <v>135.22038601452778</v>
      </c>
      <c r="G45" s="7">
        <f t="shared" si="20"/>
        <v>148.36631387648347</v>
      </c>
      <c r="H45" s="7">
        <f t="shared" si="21"/>
        <v>132.19315323320973</v>
      </c>
      <c r="I45" s="7">
        <f t="shared" si="22"/>
        <v>135.22038601452778</v>
      </c>
      <c r="J45" s="7">
        <f t="shared" si="23"/>
        <v>148.36631387648347</v>
      </c>
      <c r="K45" s="7">
        <f t="shared" si="24"/>
        <v>132.19315323320973</v>
      </c>
      <c r="L45" s="7">
        <f t="shared" si="25"/>
        <v>135.22038601452778</v>
      </c>
      <c r="M45" s="7">
        <f t="shared" si="26"/>
        <v>148.36631387648347</v>
      </c>
      <c r="N45" s="22"/>
      <c r="O45" s="7">
        <f t="shared" si="9"/>
        <v>12.284422880711018</v>
      </c>
      <c r="P45" s="7">
        <f t="shared" si="10"/>
        <v>12.563614309818085</v>
      </c>
      <c r="Q45" s="7">
        <f t="shared" si="11"/>
        <v>13.800033495863675</v>
      </c>
      <c r="R45" s="7">
        <f t="shared" si="12"/>
        <v>12.284422880711018</v>
      </c>
      <c r="S45" s="7">
        <f t="shared" si="13"/>
        <v>12.563614309818085</v>
      </c>
      <c r="T45" s="7">
        <f t="shared" si="14"/>
        <v>13.800033495863675</v>
      </c>
      <c r="U45" s="7">
        <f t="shared" si="15"/>
        <v>12.284422880711018</v>
      </c>
      <c r="V45" s="7">
        <f t="shared" si="16"/>
        <v>12.563614309818085</v>
      </c>
      <c r="W45" s="7">
        <f t="shared" si="17"/>
        <v>13.800033495863675</v>
      </c>
      <c r="X45" s="22"/>
      <c r="Y45" s="10">
        <v>0.36258627156762147</v>
      </c>
      <c r="Z45" s="22"/>
      <c r="AA45">
        <v>1.1000000000000001</v>
      </c>
    </row>
    <row r="46" spans="1:27" x14ac:dyDescent="0.25">
      <c r="A46" s="16"/>
      <c r="B46" s="30" t="s">
        <v>62</v>
      </c>
      <c r="C46" s="3" t="s">
        <v>63</v>
      </c>
      <c r="D46" s="11" t="s">
        <v>19</v>
      </c>
      <c r="E46" s="7">
        <f t="shared" si="18"/>
        <v>390.77289586999876</v>
      </c>
      <c r="F46" s="7">
        <f t="shared" si="19"/>
        <v>399.72162348179359</v>
      </c>
      <c r="G46" s="7">
        <f t="shared" si="20"/>
        <v>438.58197421759849</v>
      </c>
      <c r="H46" s="7">
        <f t="shared" si="21"/>
        <v>390.77289586999876</v>
      </c>
      <c r="I46" s="7">
        <f t="shared" si="22"/>
        <v>399.72162348179359</v>
      </c>
      <c r="J46" s="7">
        <f t="shared" si="23"/>
        <v>438.58197421759849</v>
      </c>
      <c r="K46" s="7">
        <f t="shared" si="24"/>
        <v>390.77289586999876</v>
      </c>
      <c r="L46" s="7">
        <f t="shared" si="25"/>
        <v>399.72162348179359</v>
      </c>
      <c r="M46" s="7">
        <f t="shared" si="26"/>
        <v>438.58197421759849</v>
      </c>
      <c r="N46" s="22"/>
      <c r="O46" s="7">
        <f t="shared" si="9"/>
        <v>36.313677265254533</v>
      </c>
      <c r="P46" s="7">
        <f t="shared" si="10"/>
        <v>37.138988112192138</v>
      </c>
      <c r="Q46" s="7">
        <f t="shared" si="11"/>
        <v>40.793936148630095</v>
      </c>
      <c r="R46" s="7">
        <f t="shared" si="12"/>
        <v>36.313677265254533</v>
      </c>
      <c r="S46" s="7">
        <f t="shared" si="13"/>
        <v>37.138988112192138</v>
      </c>
      <c r="T46" s="7">
        <f t="shared" si="14"/>
        <v>40.793936148630095</v>
      </c>
      <c r="U46" s="7">
        <f t="shared" si="15"/>
        <v>36.313677265254533</v>
      </c>
      <c r="V46" s="7">
        <f t="shared" si="16"/>
        <v>37.138988112192138</v>
      </c>
      <c r="W46" s="7">
        <f t="shared" si="17"/>
        <v>40.793936148630095</v>
      </c>
      <c r="X46" s="22"/>
      <c r="Y46" s="10">
        <v>1.0718322687501336</v>
      </c>
      <c r="Z46" s="22"/>
      <c r="AA46">
        <v>1.1000000000000001</v>
      </c>
    </row>
    <row r="47" spans="1:27" x14ac:dyDescent="0.25">
      <c r="A47" s="16"/>
      <c r="B47" s="30" t="s">
        <v>64</v>
      </c>
      <c r="C47" s="3" t="s">
        <v>65</v>
      </c>
      <c r="D47" s="11" t="s">
        <v>19</v>
      </c>
      <c r="E47" s="7">
        <f t="shared" si="18"/>
        <v>189.13137399392252</v>
      </c>
      <c r="F47" s="7">
        <f t="shared" si="19"/>
        <v>193.46249615363126</v>
      </c>
      <c r="G47" s="7">
        <f t="shared" si="20"/>
        <v>212.27063665218213</v>
      </c>
      <c r="H47" s="7">
        <f t="shared" si="21"/>
        <v>189.13137399392252</v>
      </c>
      <c r="I47" s="7">
        <f t="shared" si="22"/>
        <v>193.46249615363126</v>
      </c>
      <c r="J47" s="7">
        <f t="shared" si="23"/>
        <v>212.27063665218213</v>
      </c>
      <c r="K47" s="7">
        <f t="shared" si="24"/>
        <v>189.13137399392252</v>
      </c>
      <c r="L47" s="7">
        <f t="shared" si="25"/>
        <v>193.46249615363126</v>
      </c>
      <c r="M47" s="7">
        <f t="shared" si="26"/>
        <v>212.27063665218213</v>
      </c>
      <c r="N47" s="22"/>
      <c r="O47" s="7">
        <f t="shared" si="9"/>
        <v>17.575568184325409</v>
      </c>
      <c r="P47" s="7">
        <f t="shared" si="10"/>
        <v>17.975012915787349</v>
      </c>
      <c r="Q47" s="7">
        <f t="shared" si="11"/>
        <v>19.74398244083309</v>
      </c>
      <c r="R47" s="7">
        <f t="shared" si="12"/>
        <v>17.575568184325409</v>
      </c>
      <c r="S47" s="7">
        <f t="shared" si="13"/>
        <v>17.975012915787349</v>
      </c>
      <c r="T47" s="7">
        <f t="shared" si="14"/>
        <v>19.74398244083309</v>
      </c>
      <c r="U47" s="7">
        <f t="shared" si="15"/>
        <v>17.575568184325409</v>
      </c>
      <c r="V47" s="7">
        <f t="shared" si="16"/>
        <v>17.975012915787349</v>
      </c>
      <c r="W47" s="7">
        <f t="shared" si="17"/>
        <v>19.74398244083309</v>
      </c>
      <c r="X47" s="22"/>
      <c r="Y47" s="10">
        <v>0.5187593915090144</v>
      </c>
      <c r="Z47" s="22"/>
      <c r="AA47">
        <v>1.1000000000000001</v>
      </c>
    </row>
    <row r="48" spans="1:27" x14ac:dyDescent="0.25">
      <c r="A48" s="16"/>
      <c r="B48" s="30" t="s">
        <v>66</v>
      </c>
      <c r="C48" s="3" t="s">
        <v>67</v>
      </c>
      <c r="D48" s="11" t="s">
        <v>19</v>
      </c>
      <c r="E48" s="7">
        <f t="shared" si="18"/>
        <v>189.13137399392252</v>
      </c>
      <c r="F48" s="7">
        <f t="shared" si="19"/>
        <v>193.46249615363126</v>
      </c>
      <c r="G48" s="7">
        <f t="shared" si="20"/>
        <v>212.27063665218213</v>
      </c>
      <c r="H48" s="7">
        <f t="shared" si="21"/>
        <v>189.13137399392252</v>
      </c>
      <c r="I48" s="7">
        <f t="shared" si="22"/>
        <v>193.46249615363126</v>
      </c>
      <c r="J48" s="7">
        <f t="shared" si="23"/>
        <v>212.27063665218213</v>
      </c>
      <c r="K48" s="7">
        <f t="shared" si="24"/>
        <v>189.13137399392252</v>
      </c>
      <c r="L48" s="7">
        <f t="shared" si="25"/>
        <v>193.46249615363126</v>
      </c>
      <c r="M48" s="7">
        <f t="shared" si="26"/>
        <v>212.27063665218213</v>
      </c>
      <c r="N48" s="22"/>
      <c r="O48" s="7">
        <f t="shared" si="9"/>
        <v>17.575568184325409</v>
      </c>
      <c r="P48" s="7">
        <f t="shared" si="10"/>
        <v>17.975012915787349</v>
      </c>
      <c r="Q48" s="7">
        <f t="shared" si="11"/>
        <v>19.74398244083309</v>
      </c>
      <c r="R48" s="7">
        <f t="shared" si="12"/>
        <v>17.575568184325409</v>
      </c>
      <c r="S48" s="7">
        <f t="shared" si="13"/>
        <v>17.975012915787349</v>
      </c>
      <c r="T48" s="7">
        <f t="shared" si="14"/>
        <v>19.74398244083309</v>
      </c>
      <c r="U48" s="7">
        <f t="shared" si="15"/>
        <v>17.575568184325409</v>
      </c>
      <c r="V48" s="7">
        <f t="shared" si="16"/>
        <v>17.975012915787349</v>
      </c>
      <c r="W48" s="7">
        <f t="shared" si="17"/>
        <v>19.74398244083309</v>
      </c>
      <c r="X48" s="22"/>
      <c r="Y48" s="10">
        <v>0.5187593915090144</v>
      </c>
      <c r="Z48" s="22"/>
      <c r="AA48">
        <v>1.1000000000000001</v>
      </c>
    </row>
    <row r="49" spans="1:27" x14ac:dyDescent="0.25">
      <c r="A49" s="16"/>
      <c r="B49" s="30" t="s">
        <v>68</v>
      </c>
      <c r="C49" s="3" t="s">
        <v>69</v>
      </c>
      <c r="D49" s="11" t="s">
        <v>19</v>
      </c>
      <c r="E49" s="7">
        <f t="shared" si="18"/>
        <v>468.14026333357833</v>
      </c>
      <c r="F49" s="7">
        <f t="shared" si="19"/>
        <v>478.86070926256048</v>
      </c>
      <c r="G49" s="7">
        <f t="shared" si="20"/>
        <v>525.4148459976401</v>
      </c>
      <c r="H49" s="7">
        <f t="shared" si="21"/>
        <v>468.14026333357833</v>
      </c>
      <c r="I49" s="7">
        <f t="shared" si="22"/>
        <v>478.86070926256048</v>
      </c>
      <c r="J49" s="7">
        <f t="shared" si="23"/>
        <v>525.4148459976401</v>
      </c>
      <c r="K49" s="7">
        <f t="shared" si="24"/>
        <v>468.14026333357833</v>
      </c>
      <c r="L49" s="7">
        <f t="shared" si="25"/>
        <v>478.86070926256048</v>
      </c>
      <c r="M49" s="7">
        <f t="shared" si="26"/>
        <v>525.4148459976401</v>
      </c>
      <c r="N49" s="22"/>
      <c r="O49" s="7">
        <f t="shared" si="9"/>
        <v>43.503258842246602</v>
      </c>
      <c r="P49" s="7">
        <f t="shared" si="10"/>
        <v>44.491969270479473</v>
      </c>
      <c r="Q49" s="7">
        <f t="shared" si="11"/>
        <v>48.870544024082221</v>
      </c>
      <c r="R49" s="7">
        <f t="shared" si="12"/>
        <v>43.503258842246602</v>
      </c>
      <c r="S49" s="7">
        <f t="shared" si="13"/>
        <v>44.491969270479473</v>
      </c>
      <c r="T49" s="7">
        <f t="shared" si="14"/>
        <v>48.870544024082221</v>
      </c>
      <c r="U49" s="7">
        <f t="shared" si="15"/>
        <v>43.503258842246602</v>
      </c>
      <c r="V49" s="7">
        <f t="shared" si="16"/>
        <v>44.491969270479473</v>
      </c>
      <c r="W49" s="7">
        <f t="shared" si="17"/>
        <v>48.870544024082221</v>
      </c>
      <c r="X49" s="22"/>
      <c r="Y49" s="10">
        <v>1.2840395171855548</v>
      </c>
      <c r="Z49" s="22"/>
      <c r="AA49">
        <v>1.1000000000000001</v>
      </c>
    </row>
    <row r="50" spans="1:27" x14ac:dyDescent="0.25">
      <c r="A50" s="16"/>
      <c r="B50" s="3" t="s">
        <v>70</v>
      </c>
      <c r="C50" s="3" t="s">
        <v>71</v>
      </c>
      <c r="D50" s="11" t="s">
        <v>19</v>
      </c>
      <c r="E50" s="7">
        <f t="shared" si="18"/>
        <v>389.03501320228145</v>
      </c>
      <c r="F50" s="7">
        <f t="shared" si="19"/>
        <v>397.9439431751432</v>
      </c>
      <c r="G50" s="7">
        <f t="shared" si="20"/>
        <v>436.63147043542324</v>
      </c>
      <c r="H50" s="7">
        <f t="shared" si="21"/>
        <v>389.03501320228145</v>
      </c>
      <c r="I50" s="7">
        <f t="shared" si="22"/>
        <v>397.9439431751432</v>
      </c>
      <c r="J50" s="7">
        <f t="shared" si="23"/>
        <v>436.63147043542324</v>
      </c>
      <c r="K50" s="7">
        <f t="shared" si="24"/>
        <v>389.03501320228145</v>
      </c>
      <c r="L50" s="7">
        <f t="shared" si="25"/>
        <v>397.9439431751432</v>
      </c>
      <c r="M50" s="7">
        <f t="shared" si="26"/>
        <v>436.63147043542324</v>
      </c>
      <c r="N50" s="22"/>
      <c r="O50" s="7">
        <f t="shared" si="9"/>
        <v>36.152179600018918</v>
      </c>
      <c r="P50" s="7">
        <f t="shared" si="10"/>
        <v>36.973820045473893</v>
      </c>
      <c r="Q50" s="7">
        <f t="shared" si="11"/>
        <v>40.612513446774493</v>
      </c>
      <c r="R50" s="7">
        <f t="shared" si="12"/>
        <v>36.152179600018918</v>
      </c>
      <c r="S50" s="7">
        <f t="shared" si="13"/>
        <v>36.973820045473893</v>
      </c>
      <c r="T50" s="7">
        <f t="shared" si="14"/>
        <v>40.612513446774493</v>
      </c>
      <c r="U50" s="7">
        <f t="shared" si="15"/>
        <v>36.152179600018918</v>
      </c>
      <c r="V50" s="7">
        <f t="shared" si="16"/>
        <v>36.973820045473893</v>
      </c>
      <c r="W50" s="7">
        <f t="shared" si="17"/>
        <v>40.612513446774493</v>
      </c>
      <c r="X50" s="22"/>
      <c r="Y50" s="10">
        <v>1.0670655135778899</v>
      </c>
      <c r="Z50" s="22"/>
      <c r="AA50">
        <v>1.1000000000000001</v>
      </c>
    </row>
    <row r="51" spans="1:27" ht="31" customHeight="1" x14ac:dyDescent="0.25">
      <c r="A51" s="16"/>
      <c r="B51" s="30" t="s">
        <v>72</v>
      </c>
      <c r="C51" s="3" t="s">
        <v>73</v>
      </c>
      <c r="D51" s="11" t="s">
        <v>19</v>
      </c>
      <c r="E51" s="7">
        <f t="shared" si="18"/>
        <v>92.166947619477355</v>
      </c>
      <c r="F51" s="7">
        <f t="shared" si="19"/>
        <v>94.277577393891534</v>
      </c>
      <c r="G51" s="7">
        <f t="shared" si="20"/>
        <v>103.44310537342923</v>
      </c>
      <c r="H51" s="7">
        <f t="shared" si="21"/>
        <v>92.166947619477355</v>
      </c>
      <c r="I51" s="7">
        <f t="shared" si="22"/>
        <v>94.277577393891534</v>
      </c>
      <c r="J51" s="7">
        <f t="shared" si="23"/>
        <v>103.44310537342923</v>
      </c>
      <c r="K51" s="7">
        <f t="shared" si="24"/>
        <v>92.166947619477355</v>
      </c>
      <c r="L51" s="7">
        <f t="shared" si="25"/>
        <v>94.277577393891534</v>
      </c>
      <c r="M51" s="7">
        <f t="shared" si="26"/>
        <v>103.44310537342923</v>
      </c>
      <c r="N51" s="22"/>
      <c r="O51" s="7">
        <f t="shared" si="9"/>
        <v>8.5648744468980897</v>
      </c>
      <c r="P51" s="7">
        <f t="shared" si="10"/>
        <v>8.7595306843275917</v>
      </c>
      <c r="Q51" s="7">
        <f t="shared" si="11"/>
        <v>9.6215797358011006</v>
      </c>
      <c r="R51" s="7">
        <f t="shared" si="12"/>
        <v>8.5648744468980897</v>
      </c>
      <c r="S51" s="7">
        <f t="shared" si="13"/>
        <v>8.7595306843275917</v>
      </c>
      <c r="T51" s="7">
        <f t="shared" si="14"/>
        <v>9.6215797358011006</v>
      </c>
      <c r="U51" s="7">
        <f t="shared" si="15"/>
        <v>8.5648744468980897</v>
      </c>
      <c r="V51" s="7">
        <f t="shared" si="16"/>
        <v>8.7595306843275917</v>
      </c>
      <c r="W51" s="7">
        <f t="shared" si="17"/>
        <v>9.6215797358011006</v>
      </c>
      <c r="X51" s="22"/>
      <c r="Y51" s="10">
        <v>0.25280030835000261</v>
      </c>
      <c r="Z51" s="22"/>
      <c r="AA51">
        <v>1.1000000000000001</v>
      </c>
    </row>
    <row r="52" spans="1:27" x14ac:dyDescent="0.25">
      <c r="A52" s="16"/>
      <c r="B52" s="30" t="s">
        <v>74</v>
      </c>
      <c r="C52" s="3" t="s">
        <v>75</v>
      </c>
      <c r="D52" s="11" t="s">
        <v>19</v>
      </c>
      <c r="E52" s="7">
        <f t="shared" si="18"/>
        <v>235.22337175211794</v>
      </c>
      <c r="F52" s="7">
        <f t="shared" si="19"/>
        <v>240.61000399807068</v>
      </c>
      <c r="G52" s="7">
        <f t="shared" si="20"/>
        <v>264.0017561491382</v>
      </c>
      <c r="H52" s="7">
        <f t="shared" si="21"/>
        <v>235.22337175211794</v>
      </c>
      <c r="I52" s="7">
        <f t="shared" si="22"/>
        <v>240.61000399807068</v>
      </c>
      <c r="J52" s="7">
        <f t="shared" si="23"/>
        <v>264.0017561491382</v>
      </c>
      <c r="K52" s="7">
        <f t="shared" si="24"/>
        <v>235.22337175211794</v>
      </c>
      <c r="L52" s="7">
        <f t="shared" si="25"/>
        <v>240.61000399807068</v>
      </c>
      <c r="M52" s="7">
        <f t="shared" si="26"/>
        <v>264.0017561491382</v>
      </c>
      <c r="N52" s="22"/>
      <c r="O52" s="7">
        <f t="shared" si="9"/>
        <v>21.85879751980821</v>
      </c>
      <c r="P52" s="7">
        <f t="shared" si="10"/>
        <v>22.355588372531123</v>
      </c>
      <c r="Q52" s="7">
        <f t="shared" si="11"/>
        <v>24.555662148875459</v>
      </c>
      <c r="R52" s="7">
        <f t="shared" si="12"/>
        <v>21.85879751980821</v>
      </c>
      <c r="S52" s="7">
        <f t="shared" si="13"/>
        <v>22.355588372531123</v>
      </c>
      <c r="T52" s="7">
        <f t="shared" si="14"/>
        <v>24.555662148875459</v>
      </c>
      <c r="U52" s="7">
        <f t="shared" si="15"/>
        <v>21.85879751980821</v>
      </c>
      <c r="V52" s="7">
        <f t="shared" si="16"/>
        <v>22.355588372531123</v>
      </c>
      <c r="W52" s="7">
        <f t="shared" si="17"/>
        <v>24.555662148875459</v>
      </c>
      <c r="X52" s="22"/>
      <c r="Y52" s="10">
        <v>0.64518292561417379</v>
      </c>
      <c r="Z52" s="22"/>
      <c r="AA52">
        <v>1.1000000000000001</v>
      </c>
    </row>
    <row r="53" spans="1:27" x14ac:dyDescent="0.25">
      <c r="A53" s="16"/>
      <c r="B53" s="30" t="s">
        <v>76</v>
      </c>
      <c r="C53" s="3" t="s">
        <v>77</v>
      </c>
      <c r="D53" s="11" t="s">
        <v>19</v>
      </c>
      <c r="E53" s="7">
        <f t="shared" si="18"/>
        <v>219.89981947049475</v>
      </c>
      <c r="F53" s="7">
        <f t="shared" si="19"/>
        <v>224.93554125960003</v>
      </c>
      <c r="G53" s="7">
        <f t="shared" si="20"/>
        <v>246.80344510267122</v>
      </c>
      <c r="H53" s="7">
        <f t="shared" si="21"/>
        <v>219.89981947049475</v>
      </c>
      <c r="I53" s="7">
        <f t="shared" si="22"/>
        <v>224.93554125960003</v>
      </c>
      <c r="J53" s="7">
        <f t="shared" si="23"/>
        <v>246.80344510267122</v>
      </c>
      <c r="K53" s="7">
        <f t="shared" si="24"/>
        <v>219.89981947049475</v>
      </c>
      <c r="L53" s="7">
        <f t="shared" si="25"/>
        <v>224.93554125960003</v>
      </c>
      <c r="M53" s="7">
        <f t="shared" si="26"/>
        <v>246.80344510267122</v>
      </c>
      <c r="N53" s="22"/>
      <c r="O53" s="7">
        <f t="shared" si="9"/>
        <v>20.434813057238831</v>
      </c>
      <c r="P53" s="7">
        <f t="shared" si="10"/>
        <v>20.899240626721536</v>
      </c>
      <c r="Q53" s="7">
        <f t="shared" si="11"/>
        <v>22.955991291573493</v>
      </c>
      <c r="R53" s="7">
        <f t="shared" si="12"/>
        <v>20.434813057238831</v>
      </c>
      <c r="S53" s="7">
        <f t="shared" si="13"/>
        <v>20.899240626721536</v>
      </c>
      <c r="T53" s="7">
        <f t="shared" si="14"/>
        <v>22.955991291573493</v>
      </c>
      <c r="U53" s="7">
        <f t="shared" si="15"/>
        <v>20.434813057238831</v>
      </c>
      <c r="V53" s="7">
        <f t="shared" si="16"/>
        <v>20.899240626721536</v>
      </c>
      <c r="W53" s="7">
        <f t="shared" si="17"/>
        <v>22.955991291573493</v>
      </c>
      <c r="X53" s="22"/>
      <c r="Y53" s="10">
        <v>0.60315268763987107</v>
      </c>
      <c r="Z53" s="22"/>
      <c r="AA53">
        <v>1.1000000000000001</v>
      </c>
    </row>
    <row r="54" spans="1:27" x14ac:dyDescent="0.25">
      <c r="A54" s="16"/>
      <c r="B54" s="30" t="s">
        <v>78</v>
      </c>
      <c r="C54" s="3" t="s">
        <v>79</v>
      </c>
      <c r="D54" s="11" t="s">
        <v>19</v>
      </c>
      <c r="E54" s="7">
        <f t="shared" si="18"/>
        <v>61.850020706747948</v>
      </c>
      <c r="F54" s="7">
        <f t="shared" si="19"/>
        <v>63.266390659572643</v>
      </c>
      <c r="G54" s="7">
        <f t="shared" si="20"/>
        <v>69.417056488966836</v>
      </c>
      <c r="H54" s="7">
        <f t="shared" si="21"/>
        <v>61.850020706747948</v>
      </c>
      <c r="I54" s="7">
        <f t="shared" si="22"/>
        <v>63.266390659572643</v>
      </c>
      <c r="J54" s="7">
        <f t="shared" si="23"/>
        <v>69.417056488966836</v>
      </c>
      <c r="K54" s="7">
        <f t="shared" si="24"/>
        <v>61.850020706747948</v>
      </c>
      <c r="L54" s="7">
        <f t="shared" si="25"/>
        <v>63.266390659572643</v>
      </c>
      <c r="M54" s="7">
        <f t="shared" si="26"/>
        <v>69.417056488966836</v>
      </c>
      <c r="N54" s="22"/>
      <c r="O54" s="7">
        <f t="shared" si="9"/>
        <v>5.7475882143610821</v>
      </c>
      <c r="P54" s="7">
        <f t="shared" si="10"/>
        <v>5.8782152192329242</v>
      </c>
      <c r="Q54" s="7">
        <f t="shared" si="11"/>
        <v>6.4567062408082281</v>
      </c>
      <c r="R54" s="7">
        <f t="shared" si="12"/>
        <v>5.7475882143610821</v>
      </c>
      <c r="S54" s="7">
        <f t="shared" si="13"/>
        <v>5.8782152192329242</v>
      </c>
      <c r="T54" s="7">
        <f t="shared" si="14"/>
        <v>6.4567062408082281</v>
      </c>
      <c r="U54" s="7">
        <f t="shared" si="15"/>
        <v>5.7475882143610821</v>
      </c>
      <c r="V54" s="7">
        <f t="shared" si="16"/>
        <v>5.8782152192329242</v>
      </c>
      <c r="W54" s="7">
        <f t="shared" si="17"/>
        <v>6.4567062408082281</v>
      </c>
      <c r="X54" s="22"/>
      <c r="Y54" s="10">
        <v>0.16964546087252305</v>
      </c>
      <c r="Z54" s="22"/>
      <c r="AA54">
        <v>1.1000000000000001</v>
      </c>
    </row>
    <row r="55" spans="1:27" x14ac:dyDescent="0.25">
      <c r="A55" s="16"/>
      <c r="B55" s="30" t="s">
        <v>80</v>
      </c>
      <c r="C55" s="3" t="s">
        <v>81</v>
      </c>
      <c r="D55" s="11" t="s">
        <v>19</v>
      </c>
      <c r="E55" s="7">
        <f t="shared" si="18"/>
        <v>427.9022125302584</v>
      </c>
      <c r="F55" s="7">
        <f t="shared" si="19"/>
        <v>437.70120418215515</v>
      </c>
      <c r="G55" s="7">
        <f t="shared" si="20"/>
        <v>480.25387412240781</v>
      </c>
      <c r="H55" s="7">
        <f t="shared" si="21"/>
        <v>427.9022125302584</v>
      </c>
      <c r="I55" s="7">
        <f t="shared" si="22"/>
        <v>437.70120418215515</v>
      </c>
      <c r="J55" s="7">
        <f t="shared" si="23"/>
        <v>480.25387412240781</v>
      </c>
      <c r="K55" s="7">
        <f t="shared" si="24"/>
        <v>427.9022125302584</v>
      </c>
      <c r="L55" s="7">
        <f t="shared" si="25"/>
        <v>437.70120418215515</v>
      </c>
      <c r="M55" s="7">
        <f t="shared" si="26"/>
        <v>480.25387412240781</v>
      </c>
      <c r="N55" s="22"/>
      <c r="O55" s="7">
        <f t="shared" si="9"/>
        <v>39.764024094653514</v>
      </c>
      <c r="P55" s="7">
        <f t="shared" si="10"/>
        <v>40.667751914986546</v>
      </c>
      <c r="Q55" s="7">
        <f t="shared" si="11"/>
        <v>44.669975119318558</v>
      </c>
      <c r="R55" s="7">
        <f t="shared" si="12"/>
        <v>39.764024094653514</v>
      </c>
      <c r="S55" s="7">
        <f t="shared" si="13"/>
        <v>40.667751914986546</v>
      </c>
      <c r="T55" s="7">
        <f t="shared" si="14"/>
        <v>44.669975119318558</v>
      </c>
      <c r="U55" s="7">
        <f t="shared" si="15"/>
        <v>39.764024094653514</v>
      </c>
      <c r="V55" s="7">
        <f t="shared" si="16"/>
        <v>40.667751914986546</v>
      </c>
      <c r="W55" s="7">
        <f t="shared" si="17"/>
        <v>44.669975119318558</v>
      </c>
      <c r="X55" s="22"/>
      <c r="Y55" s="10">
        <v>1.1736724939390055</v>
      </c>
      <c r="Z55" s="22"/>
      <c r="AA55">
        <v>1.1000000000000001</v>
      </c>
    </row>
    <row r="56" spans="1:27" x14ac:dyDescent="0.25">
      <c r="A56" s="16"/>
      <c r="B56" s="3" t="s">
        <v>82</v>
      </c>
      <c r="C56" s="3" t="s">
        <v>83</v>
      </c>
      <c r="D56" s="11" t="s">
        <v>19</v>
      </c>
      <c r="E56" s="7">
        <f t="shared" si="18"/>
        <v>415.77984861170717</v>
      </c>
      <c r="F56" s="7">
        <f t="shared" si="19"/>
        <v>425.30123725207301</v>
      </c>
      <c r="G56" s="7">
        <f t="shared" si="20"/>
        <v>466.64840057044705</v>
      </c>
      <c r="H56" s="7">
        <f t="shared" si="21"/>
        <v>415.77984861170717</v>
      </c>
      <c r="I56" s="7">
        <f t="shared" si="22"/>
        <v>425.30123725207301</v>
      </c>
      <c r="J56" s="7">
        <f t="shared" si="23"/>
        <v>466.64840057044705</v>
      </c>
      <c r="K56" s="7">
        <f t="shared" si="24"/>
        <v>415.77984861170717</v>
      </c>
      <c r="L56" s="7">
        <f t="shared" si="25"/>
        <v>425.30123725207301</v>
      </c>
      <c r="M56" s="7">
        <f t="shared" si="26"/>
        <v>466.64840057044705</v>
      </c>
      <c r="N56" s="22"/>
      <c r="O56" s="7">
        <f t="shared" si="9"/>
        <v>38.637519120325194</v>
      </c>
      <c r="P56" s="7">
        <f t="shared" si="10"/>
        <v>39.515644554878037</v>
      </c>
      <c r="Q56" s="7">
        <f t="shared" si="11"/>
        <v>43.40448576504064</v>
      </c>
      <c r="R56" s="7">
        <f t="shared" si="12"/>
        <v>38.637519120325194</v>
      </c>
      <c r="S56" s="7">
        <f t="shared" si="13"/>
        <v>39.515644554878037</v>
      </c>
      <c r="T56" s="7">
        <f t="shared" si="14"/>
        <v>43.40448576504064</v>
      </c>
      <c r="U56" s="7">
        <f t="shared" si="15"/>
        <v>38.637519120325194</v>
      </c>
      <c r="V56" s="7">
        <f t="shared" si="16"/>
        <v>39.515644554878037</v>
      </c>
      <c r="W56" s="7">
        <f t="shared" si="17"/>
        <v>43.40448576504064</v>
      </c>
      <c r="X56" s="22"/>
      <c r="Y56" s="10">
        <v>1.1404226422764223</v>
      </c>
      <c r="Z56" s="22"/>
      <c r="AA56">
        <v>1.1000000000000001</v>
      </c>
    </row>
    <row r="57" spans="1:27" x14ac:dyDescent="0.25">
      <c r="A57" s="16"/>
      <c r="B57" s="3" t="s">
        <v>82</v>
      </c>
      <c r="C57" s="3" t="s">
        <v>84</v>
      </c>
      <c r="D57" s="11" t="s">
        <v>19</v>
      </c>
      <c r="E57" s="7">
        <f t="shared" si="18"/>
        <v>415.77984861170717</v>
      </c>
      <c r="F57" s="7">
        <f t="shared" si="19"/>
        <v>425.30123725207301</v>
      </c>
      <c r="G57" s="7">
        <f t="shared" si="20"/>
        <v>466.64840057044705</v>
      </c>
      <c r="H57" s="7">
        <f t="shared" si="21"/>
        <v>415.77984861170717</v>
      </c>
      <c r="I57" s="7">
        <f t="shared" si="22"/>
        <v>425.30123725207301</v>
      </c>
      <c r="J57" s="7">
        <f t="shared" si="23"/>
        <v>466.64840057044705</v>
      </c>
      <c r="K57" s="7">
        <f t="shared" si="24"/>
        <v>415.77984861170717</v>
      </c>
      <c r="L57" s="7">
        <f t="shared" si="25"/>
        <v>425.30123725207301</v>
      </c>
      <c r="M57" s="7">
        <f t="shared" si="26"/>
        <v>466.64840057044705</v>
      </c>
      <c r="N57" s="22"/>
      <c r="O57" s="7">
        <f t="shared" si="9"/>
        <v>38.637519120325194</v>
      </c>
      <c r="P57" s="7">
        <f t="shared" si="10"/>
        <v>39.515644554878037</v>
      </c>
      <c r="Q57" s="7">
        <f t="shared" si="11"/>
        <v>43.40448576504064</v>
      </c>
      <c r="R57" s="7">
        <f t="shared" si="12"/>
        <v>38.637519120325194</v>
      </c>
      <c r="S57" s="7">
        <f t="shared" si="13"/>
        <v>39.515644554878037</v>
      </c>
      <c r="T57" s="7">
        <f t="shared" si="14"/>
        <v>43.40448576504064</v>
      </c>
      <c r="U57" s="7">
        <f t="shared" si="15"/>
        <v>38.637519120325194</v>
      </c>
      <c r="V57" s="7">
        <f t="shared" si="16"/>
        <v>39.515644554878037</v>
      </c>
      <c r="W57" s="7">
        <f t="shared" si="17"/>
        <v>43.40448576504064</v>
      </c>
      <c r="X57" s="22"/>
      <c r="Y57" s="10">
        <v>1.1404226422764223</v>
      </c>
      <c r="Z57" s="22"/>
      <c r="AA57">
        <v>1.1000000000000001</v>
      </c>
    </row>
    <row r="58" spans="1:27" x14ac:dyDescent="0.25">
      <c r="A58" s="16"/>
      <c r="B58" s="3" t="s">
        <v>85</v>
      </c>
      <c r="C58" s="3" t="s">
        <v>86</v>
      </c>
      <c r="D58" s="11" t="s">
        <v>19</v>
      </c>
      <c r="E58" s="7">
        <f t="shared" si="18"/>
        <v>234.72419121951214</v>
      </c>
      <c r="F58" s="7">
        <f t="shared" si="19"/>
        <v>240.09939219512191</v>
      </c>
      <c r="G58" s="7">
        <f t="shared" si="20"/>
        <v>263.4415034146341</v>
      </c>
      <c r="H58" s="7">
        <f t="shared" si="21"/>
        <v>234.72419121951214</v>
      </c>
      <c r="I58" s="7">
        <f t="shared" si="22"/>
        <v>240.09939219512191</v>
      </c>
      <c r="J58" s="7">
        <f t="shared" si="23"/>
        <v>263.4415034146341</v>
      </c>
      <c r="K58" s="7">
        <f t="shared" si="24"/>
        <v>234.72419121951214</v>
      </c>
      <c r="L58" s="7">
        <f t="shared" si="25"/>
        <v>240.09939219512191</v>
      </c>
      <c r="M58" s="7">
        <f t="shared" si="26"/>
        <v>263.4415034146341</v>
      </c>
      <c r="N58" s="22"/>
      <c r="O58" s="7">
        <f t="shared" si="9"/>
        <v>21.812409756097555</v>
      </c>
      <c r="P58" s="7">
        <f t="shared" si="10"/>
        <v>22.308146341463413</v>
      </c>
      <c r="Q58" s="7">
        <f t="shared" si="11"/>
        <v>24.503551219512193</v>
      </c>
      <c r="R58" s="7">
        <f t="shared" si="12"/>
        <v>21.812409756097555</v>
      </c>
      <c r="S58" s="7">
        <f t="shared" si="13"/>
        <v>22.308146341463413</v>
      </c>
      <c r="T58" s="7">
        <f t="shared" si="14"/>
        <v>24.503551219512193</v>
      </c>
      <c r="U58" s="7">
        <f t="shared" si="15"/>
        <v>21.812409756097555</v>
      </c>
      <c r="V58" s="7">
        <f t="shared" si="16"/>
        <v>22.308146341463413</v>
      </c>
      <c r="W58" s="7">
        <f t="shared" si="17"/>
        <v>24.503551219512193</v>
      </c>
      <c r="X58" s="22"/>
      <c r="Y58" s="10">
        <v>0.68292682926829262</v>
      </c>
      <c r="Z58" s="22"/>
      <c r="AA58">
        <v>1.0369999999999999</v>
      </c>
    </row>
    <row r="59" spans="1:27" x14ac:dyDescent="0.25">
      <c r="A59" s="16"/>
      <c r="B59" s="3" t="s">
        <v>85</v>
      </c>
      <c r="C59" s="3" t="s">
        <v>87</v>
      </c>
      <c r="D59" s="11" t="s">
        <v>19</v>
      </c>
      <c r="E59" s="7">
        <f t="shared" si="18"/>
        <v>234.72419121951214</v>
      </c>
      <c r="F59" s="7">
        <f t="shared" si="19"/>
        <v>240.09939219512191</v>
      </c>
      <c r="G59" s="7">
        <f t="shared" si="20"/>
        <v>263.4415034146341</v>
      </c>
      <c r="H59" s="7">
        <f t="shared" si="21"/>
        <v>234.72419121951214</v>
      </c>
      <c r="I59" s="7">
        <f t="shared" si="22"/>
        <v>240.09939219512191</v>
      </c>
      <c r="J59" s="7">
        <f t="shared" si="23"/>
        <v>263.4415034146341</v>
      </c>
      <c r="K59" s="7">
        <f t="shared" si="24"/>
        <v>234.72419121951214</v>
      </c>
      <c r="L59" s="7">
        <f t="shared" si="25"/>
        <v>240.09939219512191</v>
      </c>
      <c r="M59" s="7">
        <f t="shared" si="26"/>
        <v>263.4415034146341</v>
      </c>
      <c r="N59" s="22"/>
      <c r="O59" s="7">
        <f t="shared" si="9"/>
        <v>21.812409756097555</v>
      </c>
      <c r="P59" s="7">
        <f t="shared" si="10"/>
        <v>22.308146341463413</v>
      </c>
      <c r="Q59" s="7">
        <f t="shared" si="11"/>
        <v>24.503551219512193</v>
      </c>
      <c r="R59" s="7">
        <f t="shared" si="12"/>
        <v>21.812409756097555</v>
      </c>
      <c r="S59" s="7">
        <f t="shared" si="13"/>
        <v>22.308146341463413</v>
      </c>
      <c r="T59" s="7">
        <f t="shared" si="14"/>
        <v>24.503551219512193</v>
      </c>
      <c r="U59" s="7">
        <f t="shared" si="15"/>
        <v>21.812409756097555</v>
      </c>
      <c r="V59" s="7">
        <f t="shared" si="16"/>
        <v>22.308146341463413</v>
      </c>
      <c r="W59" s="7">
        <f t="shared" si="17"/>
        <v>24.503551219512193</v>
      </c>
      <c r="X59" s="22"/>
      <c r="Y59" s="10">
        <v>0.68292682926829262</v>
      </c>
      <c r="Z59" s="22"/>
      <c r="AA59">
        <v>1.0369999999999999</v>
      </c>
    </row>
    <row r="60" spans="1:27" x14ac:dyDescent="0.25">
      <c r="A60" s="16"/>
      <c r="B60" s="3" t="s">
        <v>85</v>
      </c>
      <c r="C60" s="3" t="s">
        <v>88</v>
      </c>
      <c r="D60" s="11" t="s">
        <v>19</v>
      </c>
      <c r="E60" s="7">
        <f t="shared" si="18"/>
        <v>234.72419121951214</v>
      </c>
      <c r="F60" s="7">
        <f t="shared" si="19"/>
        <v>240.09939219512191</v>
      </c>
      <c r="G60" s="7">
        <f t="shared" si="20"/>
        <v>263.4415034146341</v>
      </c>
      <c r="H60" s="7">
        <f t="shared" si="21"/>
        <v>234.72419121951214</v>
      </c>
      <c r="I60" s="7">
        <f t="shared" si="22"/>
        <v>240.09939219512191</v>
      </c>
      <c r="J60" s="7">
        <f t="shared" si="23"/>
        <v>263.4415034146341</v>
      </c>
      <c r="K60" s="7">
        <f t="shared" si="24"/>
        <v>234.72419121951214</v>
      </c>
      <c r="L60" s="7">
        <f t="shared" si="25"/>
        <v>240.09939219512191</v>
      </c>
      <c r="M60" s="7">
        <f t="shared" si="26"/>
        <v>263.4415034146341</v>
      </c>
      <c r="N60" s="22"/>
      <c r="O60" s="7">
        <f t="shared" si="9"/>
        <v>21.812409756097555</v>
      </c>
      <c r="P60" s="7">
        <f t="shared" si="10"/>
        <v>22.308146341463413</v>
      </c>
      <c r="Q60" s="7">
        <f t="shared" si="11"/>
        <v>24.503551219512193</v>
      </c>
      <c r="R60" s="7">
        <f t="shared" si="12"/>
        <v>21.812409756097555</v>
      </c>
      <c r="S60" s="7">
        <f t="shared" si="13"/>
        <v>22.308146341463413</v>
      </c>
      <c r="T60" s="7">
        <f t="shared" si="14"/>
        <v>24.503551219512193</v>
      </c>
      <c r="U60" s="7">
        <f t="shared" si="15"/>
        <v>21.812409756097555</v>
      </c>
      <c r="V60" s="7">
        <f t="shared" si="16"/>
        <v>22.308146341463413</v>
      </c>
      <c r="W60" s="7">
        <f t="shared" si="17"/>
        <v>24.503551219512193</v>
      </c>
      <c r="X60" s="22"/>
      <c r="Y60" s="10">
        <v>0.68292682926829262</v>
      </c>
      <c r="Z60" s="22"/>
      <c r="AA60">
        <v>1.0369999999999999</v>
      </c>
    </row>
    <row r="61" spans="1:27" x14ac:dyDescent="0.25">
      <c r="A61" s="16"/>
      <c r="B61" s="3" t="s">
        <v>89</v>
      </c>
      <c r="C61" s="3" t="s">
        <v>90</v>
      </c>
      <c r="D61" s="11" t="s">
        <v>19</v>
      </c>
      <c r="E61" s="7">
        <f t="shared" si="18"/>
        <v>281.65338335318052</v>
      </c>
      <c r="F61" s="7">
        <f t="shared" si="19"/>
        <v>288.10326622685488</v>
      </c>
      <c r="G61" s="7">
        <f t="shared" si="20"/>
        <v>316.11224376523535</v>
      </c>
      <c r="H61" s="7">
        <f t="shared" si="21"/>
        <v>281.65338335318052</v>
      </c>
      <c r="I61" s="7">
        <f t="shared" si="22"/>
        <v>288.10326622685488</v>
      </c>
      <c r="J61" s="7">
        <f t="shared" si="23"/>
        <v>316.11224376523535</v>
      </c>
      <c r="K61" s="7">
        <f t="shared" si="24"/>
        <v>281.65338335318052</v>
      </c>
      <c r="L61" s="7">
        <f t="shared" si="25"/>
        <v>288.10326622685488</v>
      </c>
      <c r="M61" s="7">
        <f t="shared" si="26"/>
        <v>316.11224376523535</v>
      </c>
      <c r="N61" s="22"/>
      <c r="O61" s="7">
        <f t="shared" si="9"/>
        <v>26.173437748243902</v>
      </c>
      <c r="P61" s="7">
        <f t="shared" si="10"/>
        <v>26.768288606158535</v>
      </c>
      <c r="Q61" s="7">
        <f t="shared" si="11"/>
        <v>29.402628119780488</v>
      </c>
      <c r="R61" s="7">
        <f t="shared" si="12"/>
        <v>26.173437748243902</v>
      </c>
      <c r="S61" s="7">
        <f t="shared" si="13"/>
        <v>26.768288606158535</v>
      </c>
      <c r="T61" s="7">
        <f t="shared" si="14"/>
        <v>29.402628119780488</v>
      </c>
      <c r="U61" s="7">
        <f t="shared" si="15"/>
        <v>26.173437748243902</v>
      </c>
      <c r="V61" s="7">
        <f t="shared" si="16"/>
        <v>26.768288606158535</v>
      </c>
      <c r="W61" s="7">
        <f t="shared" si="17"/>
        <v>29.402628119780488</v>
      </c>
      <c r="X61" s="22"/>
      <c r="Y61" s="10">
        <v>0.81319324390243908</v>
      </c>
      <c r="Z61" s="22"/>
      <c r="AA61">
        <v>1.0449999999999999</v>
      </c>
    </row>
    <row r="62" spans="1:27" x14ac:dyDescent="0.25">
      <c r="A62" s="16"/>
      <c r="B62" s="3" t="s">
        <v>91</v>
      </c>
      <c r="C62" s="3" t="s">
        <v>92</v>
      </c>
      <c r="D62" s="11" t="s">
        <v>19</v>
      </c>
      <c r="E62" s="7">
        <f t="shared" si="18"/>
        <v>259.76609999999994</v>
      </c>
      <c r="F62" s="7">
        <f t="shared" si="19"/>
        <v>265.71476249999995</v>
      </c>
      <c r="G62" s="7">
        <f t="shared" si="20"/>
        <v>291.54716250000001</v>
      </c>
      <c r="H62" s="7">
        <f t="shared" si="21"/>
        <v>259.76609999999994</v>
      </c>
      <c r="I62" s="7">
        <f t="shared" si="22"/>
        <v>265.71476249999995</v>
      </c>
      <c r="J62" s="7">
        <f t="shared" si="23"/>
        <v>291.54716250000001</v>
      </c>
      <c r="K62" s="7">
        <f t="shared" si="24"/>
        <v>259.76609999999994</v>
      </c>
      <c r="L62" s="7">
        <f t="shared" si="25"/>
        <v>265.71476249999995</v>
      </c>
      <c r="M62" s="7">
        <f t="shared" si="26"/>
        <v>291.54716250000001</v>
      </c>
      <c r="N62" s="22"/>
      <c r="O62" s="7">
        <f t="shared" si="9"/>
        <v>24.139499999999998</v>
      </c>
      <c r="P62" s="7">
        <f t="shared" si="10"/>
        <v>24.688124999999999</v>
      </c>
      <c r="Q62" s="7">
        <f t="shared" si="11"/>
        <v>27.117750000000001</v>
      </c>
      <c r="R62" s="7">
        <f t="shared" si="12"/>
        <v>24.139499999999998</v>
      </c>
      <c r="S62" s="7">
        <f t="shared" si="13"/>
        <v>24.688124999999999</v>
      </c>
      <c r="T62" s="7">
        <f t="shared" si="14"/>
        <v>27.117750000000001</v>
      </c>
      <c r="U62" s="7">
        <f t="shared" si="15"/>
        <v>24.139499999999998</v>
      </c>
      <c r="V62" s="7">
        <f t="shared" si="16"/>
        <v>24.688124999999999</v>
      </c>
      <c r="W62" s="7">
        <f t="shared" si="17"/>
        <v>27.117750000000001</v>
      </c>
      <c r="X62" s="22"/>
      <c r="Y62" s="10">
        <v>0.75</v>
      </c>
      <c r="Z62" s="22"/>
      <c r="AA62">
        <v>1.0449999999999999</v>
      </c>
    </row>
    <row r="63" spans="1:27" x14ac:dyDescent="0.25">
      <c r="A63" s="16"/>
      <c r="B63" s="3" t="s">
        <v>93</v>
      </c>
      <c r="C63" s="3" t="s">
        <v>53</v>
      </c>
      <c r="D63" s="11" t="s">
        <v>19</v>
      </c>
      <c r="E63" s="7">
        <f t="shared" si="18"/>
        <v>299.29031999999995</v>
      </c>
      <c r="F63" s="7">
        <f t="shared" si="19"/>
        <v>306.14409000000001</v>
      </c>
      <c r="G63" s="7">
        <f t="shared" si="20"/>
        <v>335.90697</v>
      </c>
      <c r="H63" s="7">
        <f t="shared" si="21"/>
        <v>299.29031999999995</v>
      </c>
      <c r="I63" s="7">
        <f t="shared" si="22"/>
        <v>306.14409000000001</v>
      </c>
      <c r="J63" s="7">
        <f t="shared" si="23"/>
        <v>335.90697</v>
      </c>
      <c r="K63" s="7">
        <f t="shared" si="24"/>
        <v>299.29031999999995</v>
      </c>
      <c r="L63" s="7">
        <f t="shared" si="25"/>
        <v>306.14409000000001</v>
      </c>
      <c r="M63" s="7">
        <f t="shared" si="26"/>
        <v>335.90697</v>
      </c>
      <c r="N63" s="22"/>
      <c r="O63" s="7">
        <f t="shared" si="9"/>
        <v>27.8124</v>
      </c>
      <c r="P63" s="7">
        <f t="shared" si="10"/>
        <v>28.444500000000001</v>
      </c>
      <c r="Q63" s="7">
        <f t="shared" si="11"/>
        <v>31.2438</v>
      </c>
      <c r="R63" s="7">
        <f t="shared" si="12"/>
        <v>27.8124</v>
      </c>
      <c r="S63" s="7">
        <f t="shared" si="13"/>
        <v>28.444500000000001</v>
      </c>
      <c r="T63" s="7">
        <f t="shared" si="14"/>
        <v>31.2438</v>
      </c>
      <c r="U63" s="7">
        <f t="shared" si="15"/>
        <v>27.8124</v>
      </c>
      <c r="V63" s="7">
        <f t="shared" si="16"/>
        <v>28.444500000000001</v>
      </c>
      <c r="W63" s="7">
        <f t="shared" si="17"/>
        <v>31.2438</v>
      </c>
      <c r="X63" s="22"/>
      <c r="Y63" s="10">
        <v>0.86</v>
      </c>
      <c r="Z63" s="22"/>
      <c r="AA63">
        <v>1.05</v>
      </c>
    </row>
    <row r="64" spans="1:27" x14ac:dyDescent="0.25">
      <c r="A64" s="16"/>
      <c r="B64" s="3" t="s">
        <v>94</v>
      </c>
      <c r="C64" s="3" t="s">
        <v>95</v>
      </c>
      <c r="D64" s="11" t="s">
        <v>19</v>
      </c>
      <c r="E64" s="7">
        <f t="shared" si="18"/>
        <v>246.72161794097559</v>
      </c>
      <c r="F64" s="7">
        <f t="shared" si="19"/>
        <v>252.37156085725607</v>
      </c>
      <c r="G64" s="7">
        <f t="shared" si="20"/>
        <v>276.90675433823168</v>
      </c>
      <c r="H64" s="7">
        <f t="shared" si="21"/>
        <v>246.72161794097559</v>
      </c>
      <c r="I64" s="7">
        <f t="shared" si="22"/>
        <v>252.37156085725607</v>
      </c>
      <c r="J64" s="7">
        <f t="shared" si="23"/>
        <v>276.90675433823168</v>
      </c>
      <c r="K64" s="7">
        <f t="shared" si="24"/>
        <v>246.72161794097559</v>
      </c>
      <c r="L64" s="7">
        <f t="shared" si="25"/>
        <v>252.37156085725607</v>
      </c>
      <c r="M64" s="7">
        <f t="shared" si="26"/>
        <v>276.90675433823168</v>
      </c>
      <c r="N64" s="22"/>
      <c r="O64" s="7">
        <f t="shared" si="9"/>
        <v>22.927304587804876</v>
      </c>
      <c r="P64" s="7">
        <f t="shared" si="10"/>
        <v>23.448379692073171</v>
      </c>
      <c r="Q64" s="7">
        <f t="shared" si="11"/>
        <v>25.75599801097561</v>
      </c>
      <c r="R64" s="7">
        <f t="shared" si="12"/>
        <v>22.927304587804876</v>
      </c>
      <c r="S64" s="7">
        <f t="shared" si="13"/>
        <v>23.448379692073171</v>
      </c>
      <c r="T64" s="7">
        <f t="shared" si="14"/>
        <v>25.75599801097561</v>
      </c>
      <c r="U64" s="7">
        <f t="shared" si="15"/>
        <v>22.927304587804876</v>
      </c>
      <c r="V64" s="7">
        <f t="shared" si="16"/>
        <v>23.448379692073171</v>
      </c>
      <c r="W64" s="7">
        <f t="shared" si="17"/>
        <v>25.75599801097561</v>
      </c>
      <c r="X64" s="22"/>
      <c r="Y64" s="10">
        <v>0.71233780487804876</v>
      </c>
      <c r="Z64" s="22"/>
      <c r="AA64">
        <v>1.0449999999999999</v>
      </c>
    </row>
    <row r="65" spans="1:27" x14ac:dyDescent="0.25">
      <c r="A65" s="16"/>
      <c r="B65" s="3" t="s">
        <v>94</v>
      </c>
      <c r="C65" s="3" t="s">
        <v>96</v>
      </c>
      <c r="D65" s="11" t="s">
        <v>19</v>
      </c>
      <c r="E65" s="7">
        <f t="shared" si="18"/>
        <v>246.72161794097559</v>
      </c>
      <c r="F65" s="7">
        <f t="shared" si="19"/>
        <v>252.37156085725607</v>
      </c>
      <c r="G65" s="7">
        <f t="shared" si="20"/>
        <v>276.90675433823168</v>
      </c>
      <c r="H65" s="7">
        <f t="shared" si="21"/>
        <v>246.72161794097559</v>
      </c>
      <c r="I65" s="7">
        <f t="shared" si="22"/>
        <v>252.37156085725607</v>
      </c>
      <c r="J65" s="7">
        <f t="shared" si="23"/>
        <v>276.90675433823168</v>
      </c>
      <c r="K65" s="7">
        <f t="shared" si="24"/>
        <v>246.72161794097559</v>
      </c>
      <c r="L65" s="7">
        <f t="shared" si="25"/>
        <v>252.37156085725607</v>
      </c>
      <c r="M65" s="7">
        <f t="shared" si="26"/>
        <v>276.90675433823168</v>
      </c>
      <c r="N65" s="22"/>
      <c r="O65" s="7">
        <f t="shared" si="9"/>
        <v>22.927304587804876</v>
      </c>
      <c r="P65" s="7">
        <f t="shared" si="10"/>
        <v>23.448379692073171</v>
      </c>
      <c r="Q65" s="7">
        <f t="shared" si="11"/>
        <v>25.75599801097561</v>
      </c>
      <c r="R65" s="7">
        <f t="shared" si="12"/>
        <v>22.927304587804876</v>
      </c>
      <c r="S65" s="7">
        <f t="shared" si="13"/>
        <v>23.448379692073171</v>
      </c>
      <c r="T65" s="7">
        <f t="shared" si="14"/>
        <v>25.75599801097561</v>
      </c>
      <c r="U65" s="7">
        <f t="shared" si="15"/>
        <v>22.927304587804876</v>
      </c>
      <c r="V65" s="7">
        <f t="shared" si="16"/>
        <v>23.448379692073171</v>
      </c>
      <c r="W65" s="7">
        <f t="shared" si="17"/>
        <v>25.75599801097561</v>
      </c>
      <c r="X65" s="22"/>
      <c r="Y65" s="10">
        <v>0.71233780487804876</v>
      </c>
      <c r="Z65" s="22"/>
      <c r="AA65">
        <v>1.0449999999999999</v>
      </c>
    </row>
    <row r="66" spans="1:27" x14ac:dyDescent="0.25">
      <c r="A66" s="16"/>
      <c r="B66" s="3" t="s">
        <v>94</v>
      </c>
      <c r="C66" s="3" t="s">
        <v>97</v>
      </c>
      <c r="D66" s="11" t="s">
        <v>19</v>
      </c>
      <c r="E66" s="7">
        <f t="shared" si="18"/>
        <v>246.72161794097559</v>
      </c>
      <c r="F66" s="7">
        <f t="shared" si="19"/>
        <v>252.37156085725607</v>
      </c>
      <c r="G66" s="7">
        <f t="shared" si="20"/>
        <v>276.90675433823168</v>
      </c>
      <c r="H66" s="7">
        <f t="shared" si="21"/>
        <v>246.72161794097559</v>
      </c>
      <c r="I66" s="7">
        <f t="shared" si="22"/>
        <v>252.37156085725607</v>
      </c>
      <c r="J66" s="7">
        <f t="shared" si="23"/>
        <v>276.90675433823168</v>
      </c>
      <c r="K66" s="7">
        <f t="shared" si="24"/>
        <v>246.72161794097559</v>
      </c>
      <c r="L66" s="7">
        <f t="shared" si="25"/>
        <v>252.37156085725607</v>
      </c>
      <c r="M66" s="7">
        <f t="shared" si="26"/>
        <v>276.90675433823168</v>
      </c>
      <c r="N66" s="22"/>
      <c r="O66" s="7">
        <f t="shared" si="9"/>
        <v>22.927304587804876</v>
      </c>
      <c r="P66" s="7">
        <f t="shared" si="10"/>
        <v>23.448379692073171</v>
      </c>
      <c r="Q66" s="7">
        <f t="shared" si="11"/>
        <v>25.75599801097561</v>
      </c>
      <c r="R66" s="7">
        <f t="shared" si="12"/>
        <v>22.927304587804876</v>
      </c>
      <c r="S66" s="7">
        <f t="shared" si="13"/>
        <v>23.448379692073171</v>
      </c>
      <c r="T66" s="7">
        <f t="shared" si="14"/>
        <v>25.75599801097561</v>
      </c>
      <c r="U66" s="7">
        <f t="shared" si="15"/>
        <v>22.927304587804876</v>
      </c>
      <c r="V66" s="7">
        <f t="shared" si="16"/>
        <v>23.448379692073171</v>
      </c>
      <c r="W66" s="7">
        <f t="shared" si="17"/>
        <v>25.75599801097561</v>
      </c>
      <c r="X66" s="22"/>
      <c r="Y66" s="10">
        <v>0.71233780487804876</v>
      </c>
      <c r="Z66" s="22"/>
      <c r="AA66">
        <v>1.0449999999999999</v>
      </c>
    </row>
    <row r="67" spans="1:27" x14ac:dyDescent="0.25">
      <c r="A67" s="16"/>
      <c r="B67" s="3" t="s">
        <v>94</v>
      </c>
      <c r="C67" s="3" t="s">
        <v>98</v>
      </c>
      <c r="D67" s="11" t="s">
        <v>19</v>
      </c>
      <c r="E67" s="7">
        <f t="shared" si="18"/>
        <v>246.72161794097559</v>
      </c>
      <c r="F67" s="7">
        <f t="shared" si="19"/>
        <v>252.37156085725607</v>
      </c>
      <c r="G67" s="7">
        <f t="shared" si="20"/>
        <v>276.90675433823168</v>
      </c>
      <c r="H67" s="7">
        <f t="shared" si="21"/>
        <v>246.72161794097559</v>
      </c>
      <c r="I67" s="7">
        <f t="shared" si="22"/>
        <v>252.37156085725607</v>
      </c>
      <c r="J67" s="7">
        <f t="shared" si="23"/>
        <v>276.90675433823168</v>
      </c>
      <c r="K67" s="7">
        <f t="shared" si="24"/>
        <v>246.72161794097559</v>
      </c>
      <c r="L67" s="7">
        <f t="shared" si="25"/>
        <v>252.37156085725607</v>
      </c>
      <c r="M67" s="7">
        <f t="shared" si="26"/>
        <v>276.90675433823168</v>
      </c>
      <c r="N67" s="22"/>
      <c r="O67" s="7">
        <f t="shared" si="9"/>
        <v>22.927304587804876</v>
      </c>
      <c r="P67" s="7">
        <f t="shared" si="10"/>
        <v>23.448379692073171</v>
      </c>
      <c r="Q67" s="7">
        <f t="shared" si="11"/>
        <v>25.75599801097561</v>
      </c>
      <c r="R67" s="7">
        <f t="shared" si="12"/>
        <v>22.927304587804876</v>
      </c>
      <c r="S67" s="7">
        <f t="shared" si="13"/>
        <v>23.448379692073171</v>
      </c>
      <c r="T67" s="7">
        <f t="shared" si="14"/>
        <v>25.75599801097561</v>
      </c>
      <c r="U67" s="7">
        <f t="shared" si="15"/>
        <v>22.927304587804876</v>
      </c>
      <c r="V67" s="7">
        <f t="shared" si="16"/>
        <v>23.448379692073171</v>
      </c>
      <c r="W67" s="7">
        <f t="shared" si="17"/>
        <v>25.75599801097561</v>
      </c>
      <c r="X67" s="22"/>
      <c r="Y67" s="10">
        <v>0.71233780487804876</v>
      </c>
      <c r="Z67" s="22"/>
      <c r="AA67">
        <v>1.0449999999999999</v>
      </c>
    </row>
    <row r="68" spans="1:27" x14ac:dyDescent="0.25">
      <c r="A68" s="16"/>
      <c r="B68" s="30" t="s">
        <v>99</v>
      </c>
      <c r="C68" s="3" t="s">
        <v>100</v>
      </c>
      <c r="D68" s="11" t="s">
        <v>19</v>
      </c>
      <c r="E68" s="7">
        <f t="shared" si="18"/>
        <v>390.0563765853658</v>
      </c>
      <c r="F68" s="7">
        <f t="shared" si="19"/>
        <v>398.98869585365844</v>
      </c>
      <c r="G68" s="7">
        <f t="shared" si="20"/>
        <v>437.77779243902438</v>
      </c>
      <c r="H68" s="7">
        <f t="shared" si="21"/>
        <v>390.0563765853658</v>
      </c>
      <c r="I68" s="7">
        <f t="shared" si="22"/>
        <v>398.98869585365844</v>
      </c>
      <c r="J68" s="7">
        <f t="shared" si="23"/>
        <v>437.77779243902438</v>
      </c>
      <c r="K68" s="7">
        <f t="shared" si="24"/>
        <v>390.0563765853658</v>
      </c>
      <c r="L68" s="7">
        <f t="shared" si="25"/>
        <v>398.98869585365844</v>
      </c>
      <c r="M68" s="7">
        <f t="shared" si="26"/>
        <v>437.77779243902438</v>
      </c>
      <c r="N68" s="22"/>
      <c r="O68" s="7">
        <f t="shared" si="9"/>
        <v>36.247092682926827</v>
      </c>
      <c r="P68" s="7">
        <f t="shared" si="10"/>
        <v>37.070890243902433</v>
      </c>
      <c r="Q68" s="7">
        <f t="shared" si="11"/>
        <v>40.719136585365852</v>
      </c>
      <c r="R68" s="7">
        <f t="shared" si="12"/>
        <v>36.247092682926827</v>
      </c>
      <c r="S68" s="7">
        <f t="shared" si="13"/>
        <v>37.070890243902433</v>
      </c>
      <c r="T68" s="7">
        <f t="shared" si="14"/>
        <v>40.719136585365852</v>
      </c>
      <c r="U68" s="7">
        <f t="shared" si="15"/>
        <v>36.247092682926827</v>
      </c>
      <c r="V68" s="7">
        <f t="shared" si="16"/>
        <v>37.070890243902433</v>
      </c>
      <c r="W68" s="7">
        <f t="shared" si="17"/>
        <v>40.719136585365852</v>
      </c>
      <c r="X68" s="22"/>
      <c r="Y68" s="10">
        <v>1.1208130081300811</v>
      </c>
      <c r="Z68" s="22"/>
      <c r="AA68">
        <v>1.05</v>
      </c>
    </row>
    <row r="69" spans="1:27" hidden="1" x14ac:dyDescent="0.25">
      <c r="A69" s="16"/>
      <c r="B69" s="3" t="s">
        <v>101</v>
      </c>
      <c r="C69" s="3" t="s">
        <v>102</v>
      </c>
      <c r="D69" s="11" t="s">
        <v>6</v>
      </c>
      <c r="E69" s="7">
        <f t="shared" ref="E69:E100" si="27">(331.44*$Y69)*$AA69</f>
        <v>197.95443474710518</v>
      </c>
      <c r="F69" s="7">
        <f t="shared" ref="F69:F100" si="28">(339.03*$Y69)*$AA69</f>
        <v>202.48760563695106</v>
      </c>
      <c r="G69" s="7">
        <f t="shared" ref="G69:G100" si="29">(371.99*$Y69)*$AA69</f>
        <v>222.17315405978655</v>
      </c>
      <c r="H69" s="7">
        <f t="shared" ref="H69:H100" si="30">(331.44*$Y69)*$AA69</f>
        <v>197.95443474710518</v>
      </c>
      <c r="I69" s="7">
        <f t="shared" ref="I69:I100" si="31">(339.03*$Y69)*$AA69</f>
        <v>202.48760563695106</v>
      </c>
      <c r="J69" s="7">
        <f t="shared" ref="J69:J100" si="32">(371.99*$Y69)*$AA69</f>
        <v>222.17315405978655</v>
      </c>
      <c r="K69" s="7">
        <f t="shared" ref="K69:K100" si="33">(331.44*$Y69)*$AA69</f>
        <v>197.95443474710518</v>
      </c>
      <c r="L69" s="7">
        <f t="shared" ref="L69:L100" si="34">(339.03*$Y69)*$AA69</f>
        <v>202.48760563695106</v>
      </c>
      <c r="M69" s="7">
        <f t="shared" ref="M69:M100" si="35">(371.99*$Y69)*$AA69</f>
        <v>222.17315405978655</v>
      </c>
      <c r="N69" s="22"/>
      <c r="O69" s="7">
        <f t="shared" si="9"/>
        <v>18.395476074737026</v>
      </c>
      <c r="P69" s="7">
        <f t="shared" si="10"/>
        <v>18.813555076435595</v>
      </c>
      <c r="Q69" s="7">
        <f t="shared" si="11"/>
        <v>20.665047798243538</v>
      </c>
      <c r="R69" s="7">
        <f t="shared" si="12"/>
        <v>18.395476074737026</v>
      </c>
      <c r="S69" s="7">
        <f t="shared" si="13"/>
        <v>18.813555076435595</v>
      </c>
      <c r="T69" s="7">
        <f t="shared" si="14"/>
        <v>20.665047798243538</v>
      </c>
      <c r="U69" s="7">
        <f t="shared" si="15"/>
        <v>18.395476074737026</v>
      </c>
      <c r="V69" s="7">
        <f t="shared" si="16"/>
        <v>18.813555076435595</v>
      </c>
      <c r="W69" s="7">
        <f t="shared" si="17"/>
        <v>20.665047798243538</v>
      </c>
      <c r="X69" s="22"/>
      <c r="Y69" s="24">
        <v>0.55818291281517851</v>
      </c>
      <c r="Z69" s="22"/>
      <c r="AA69" s="24">
        <v>1.07</v>
      </c>
    </row>
    <row r="70" spans="1:27" hidden="1" x14ac:dyDescent="0.25">
      <c r="A70" s="16"/>
      <c r="B70" s="3" t="s">
        <v>103</v>
      </c>
      <c r="C70" s="3" t="s">
        <v>104</v>
      </c>
      <c r="D70" s="11" t="s">
        <v>6</v>
      </c>
      <c r="E70" s="7">
        <f t="shared" si="27"/>
        <v>207.8762664341792</v>
      </c>
      <c r="F70" s="7">
        <f t="shared" si="28"/>
        <v>212.6366479881118</v>
      </c>
      <c r="G70" s="7">
        <f t="shared" si="29"/>
        <v>233.3088714423435</v>
      </c>
      <c r="H70" s="7">
        <f t="shared" si="30"/>
        <v>207.8762664341792</v>
      </c>
      <c r="I70" s="7">
        <f t="shared" si="31"/>
        <v>212.6366479881118</v>
      </c>
      <c r="J70" s="7">
        <f t="shared" si="32"/>
        <v>233.3088714423435</v>
      </c>
      <c r="K70" s="7">
        <f t="shared" si="33"/>
        <v>207.8762664341792</v>
      </c>
      <c r="L70" s="7">
        <f t="shared" si="34"/>
        <v>212.6366479881118</v>
      </c>
      <c r="M70" s="7">
        <f t="shared" si="35"/>
        <v>233.3088714423435</v>
      </c>
      <c r="N70" s="22"/>
      <c r="O70" s="7">
        <f t="shared" ref="O70:O133" si="36">(30.8*$Y70)*$AA70</f>
        <v>19.317490363784458</v>
      </c>
      <c r="P70" s="7">
        <f t="shared" ref="P70:P133" si="37">(31.5*$Y70)*$AA70</f>
        <v>19.756524235688648</v>
      </c>
      <c r="Q70" s="7">
        <f t="shared" ref="Q70:Q133" si="38">(34.6*$Y70)*$AA70</f>
        <v>21.700817096978643</v>
      </c>
      <c r="R70" s="7">
        <f t="shared" ref="R70:R133" si="39">(30.8*$Y70)*$AA70</f>
        <v>19.317490363784458</v>
      </c>
      <c r="S70" s="7">
        <f t="shared" ref="S70:S133" si="40">(31.5*$Y70)*$AA70</f>
        <v>19.756524235688648</v>
      </c>
      <c r="T70" s="7">
        <f t="shared" ref="T70:T133" si="41">(34.6*$Y70)*$AA70</f>
        <v>21.700817096978643</v>
      </c>
      <c r="U70" s="7">
        <f t="shared" ref="U70:U133" si="42">(30.8*$Y70)*$AA70</f>
        <v>19.317490363784458</v>
      </c>
      <c r="V70" s="7">
        <f t="shared" ref="V70:V133" si="43">(31.5*$Y70)*$AA70</f>
        <v>19.756524235688648</v>
      </c>
      <c r="W70" s="7">
        <f t="shared" ref="W70:W133" si="44">(34.6*$Y70)*$AA70</f>
        <v>21.700817096978643</v>
      </c>
      <c r="X70" s="22"/>
      <c r="Y70" s="24">
        <v>0.58343371681620226</v>
      </c>
      <c r="Z70" s="22"/>
      <c r="AA70" s="24">
        <v>1.075</v>
      </c>
    </row>
    <row r="71" spans="1:27" hidden="1" x14ac:dyDescent="0.25">
      <c r="A71" s="16"/>
      <c r="B71" s="3" t="s">
        <v>105</v>
      </c>
      <c r="C71" s="3" t="s">
        <v>106</v>
      </c>
      <c r="D71" s="11" t="s">
        <v>6</v>
      </c>
      <c r="E71" s="7">
        <f t="shared" si="27"/>
        <v>191.40714165729227</v>
      </c>
      <c r="F71" s="7">
        <f t="shared" si="28"/>
        <v>195.79037906128349</v>
      </c>
      <c r="G71" s="7">
        <f t="shared" si="29"/>
        <v>214.82483292630991</v>
      </c>
      <c r="H71" s="7">
        <f t="shared" si="30"/>
        <v>191.40714165729227</v>
      </c>
      <c r="I71" s="7">
        <f t="shared" si="31"/>
        <v>195.79037906128349</v>
      </c>
      <c r="J71" s="7">
        <f t="shared" si="32"/>
        <v>214.82483292630991</v>
      </c>
      <c r="K71" s="7">
        <f t="shared" si="33"/>
        <v>191.40714165729227</v>
      </c>
      <c r="L71" s="7">
        <f t="shared" si="34"/>
        <v>195.79037906128349</v>
      </c>
      <c r="M71" s="7">
        <f t="shared" si="35"/>
        <v>214.82483292630991</v>
      </c>
      <c r="N71" s="22"/>
      <c r="O71" s="7">
        <f t="shared" si="36"/>
        <v>17.787050335036813</v>
      </c>
      <c r="P71" s="7">
        <f t="shared" si="37"/>
        <v>18.191301479014921</v>
      </c>
      <c r="Q71" s="7">
        <f t="shared" si="38"/>
        <v>19.981556545203695</v>
      </c>
      <c r="R71" s="7">
        <f t="shared" si="39"/>
        <v>17.787050335036813</v>
      </c>
      <c r="S71" s="7">
        <f t="shared" si="40"/>
        <v>18.191301479014921</v>
      </c>
      <c r="T71" s="7">
        <f t="shared" si="41"/>
        <v>19.981556545203695</v>
      </c>
      <c r="U71" s="7">
        <f t="shared" si="42"/>
        <v>17.787050335036813</v>
      </c>
      <c r="V71" s="7">
        <f t="shared" si="43"/>
        <v>18.191301479014921</v>
      </c>
      <c r="W71" s="7">
        <f t="shared" si="44"/>
        <v>19.981556545203695</v>
      </c>
      <c r="X71" s="22"/>
      <c r="Y71" s="24">
        <v>0.55000155643280191</v>
      </c>
      <c r="Z71" s="22"/>
      <c r="AA71" s="24">
        <v>1.05</v>
      </c>
    </row>
    <row r="72" spans="1:27" hidden="1" x14ac:dyDescent="0.25">
      <c r="A72" s="16"/>
      <c r="B72" s="3" t="s">
        <v>107</v>
      </c>
      <c r="C72" s="3" t="s">
        <v>108</v>
      </c>
      <c r="D72" s="11" t="s">
        <v>6</v>
      </c>
      <c r="E72" s="7">
        <f t="shared" si="27"/>
        <v>215.05357871626691</v>
      </c>
      <c r="F72" s="7">
        <f t="shared" si="28"/>
        <v>219.97832124117778</v>
      </c>
      <c r="G72" s="7">
        <f t="shared" si="29"/>
        <v>241.36429141523087</v>
      </c>
      <c r="H72" s="7">
        <f t="shared" si="30"/>
        <v>215.05357871626691</v>
      </c>
      <c r="I72" s="7">
        <f t="shared" si="31"/>
        <v>219.97832124117778</v>
      </c>
      <c r="J72" s="7">
        <f t="shared" si="32"/>
        <v>241.36429141523087</v>
      </c>
      <c r="K72" s="7">
        <f t="shared" si="33"/>
        <v>215.05357871626691</v>
      </c>
      <c r="L72" s="7">
        <f t="shared" si="34"/>
        <v>219.97832124117778</v>
      </c>
      <c r="M72" s="7">
        <f t="shared" si="35"/>
        <v>241.36429141523087</v>
      </c>
      <c r="N72" s="22"/>
      <c r="O72" s="7">
        <f t="shared" si="36"/>
        <v>19.984462419928253</v>
      </c>
      <c r="P72" s="7">
        <f t="shared" si="37"/>
        <v>20.438654747653896</v>
      </c>
      <c r="Q72" s="7">
        <f t="shared" si="38"/>
        <v>22.450077913296024</v>
      </c>
      <c r="R72" s="7">
        <f t="shared" si="39"/>
        <v>19.984462419928253</v>
      </c>
      <c r="S72" s="7">
        <f t="shared" si="40"/>
        <v>20.438654747653896</v>
      </c>
      <c r="T72" s="7">
        <f t="shared" si="41"/>
        <v>22.450077913296024</v>
      </c>
      <c r="U72" s="7">
        <f t="shared" si="42"/>
        <v>19.984462419928253</v>
      </c>
      <c r="V72" s="7">
        <f t="shared" si="43"/>
        <v>20.438654747653896</v>
      </c>
      <c r="W72" s="7">
        <f t="shared" si="44"/>
        <v>22.450077913296024</v>
      </c>
      <c r="X72" s="22"/>
      <c r="Y72" s="24">
        <v>0.61794874520495524</v>
      </c>
      <c r="Z72" s="22"/>
      <c r="AA72" s="24">
        <v>1.05</v>
      </c>
    </row>
    <row r="73" spans="1:27" hidden="1" x14ac:dyDescent="0.25">
      <c r="A73" s="16"/>
      <c r="B73" s="3" t="s">
        <v>109</v>
      </c>
      <c r="C73" s="3" t="s">
        <v>110</v>
      </c>
      <c r="D73" s="11" t="s">
        <v>6</v>
      </c>
      <c r="E73" s="7">
        <f t="shared" si="27"/>
        <v>235.29383107472259</v>
      </c>
      <c r="F73" s="7">
        <f t="shared" si="28"/>
        <v>240.68207684426503</v>
      </c>
      <c r="G73" s="7">
        <f t="shared" si="29"/>
        <v>264.08083581186963</v>
      </c>
      <c r="H73" s="7">
        <f t="shared" si="30"/>
        <v>235.29383107472259</v>
      </c>
      <c r="I73" s="7">
        <f t="shared" si="31"/>
        <v>240.68207684426503</v>
      </c>
      <c r="J73" s="7">
        <f t="shared" si="32"/>
        <v>264.08083581186963</v>
      </c>
      <c r="K73" s="7">
        <f t="shared" si="33"/>
        <v>235.29383107472259</v>
      </c>
      <c r="L73" s="7">
        <f t="shared" si="34"/>
        <v>240.68207684426503</v>
      </c>
      <c r="M73" s="7">
        <f t="shared" si="35"/>
        <v>264.08083581186963</v>
      </c>
      <c r="N73" s="22"/>
      <c r="O73" s="7">
        <f t="shared" si="36"/>
        <v>21.865345151766402</v>
      </c>
      <c r="P73" s="7">
        <f t="shared" si="37"/>
        <v>22.362284814306548</v>
      </c>
      <c r="Q73" s="7">
        <f t="shared" si="38"/>
        <v>24.563017605555764</v>
      </c>
      <c r="R73" s="7">
        <f t="shared" si="39"/>
        <v>21.865345151766402</v>
      </c>
      <c r="S73" s="7">
        <f t="shared" si="40"/>
        <v>22.362284814306548</v>
      </c>
      <c r="T73" s="7">
        <f t="shared" si="41"/>
        <v>24.563017605555764</v>
      </c>
      <c r="U73" s="7">
        <f t="shared" si="42"/>
        <v>21.865345151766402</v>
      </c>
      <c r="V73" s="7">
        <f t="shared" si="43"/>
        <v>22.362284814306548</v>
      </c>
      <c r="W73" s="7">
        <f t="shared" si="44"/>
        <v>24.563017605555764</v>
      </c>
      <c r="X73" s="22"/>
      <c r="Y73" s="24">
        <v>0.67610838440836118</v>
      </c>
      <c r="Z73" s="22"/>
      <c r="AA73" s="24">
        <v>1.05</v>
      </c>
    </row>
    <row r="74" spans="1:27" hidden="1" x14ac:dyDescent="0.25">
      <c r="A74" s="16"/>
      <c r="B74" s="3" t="s">
        <v>111</v>
      </c>
      <c r="C74" s="3" t="s">
        <v>112</v>
      </c>
      <c r="D74" s="11" t="s">
        <v>6</v>
      </c>
      <c r="E74" s="7">
        <f t="shared" si="27"/>
        <v>114.8919859837106</v>
      </c>
      <c r="F74" s="7">
        <f t="shared" si="28"/>
        <v>117.52302078221518</v>
      </c>
      <c r="G74" s="7">
        <f t="shared" si="29"/>
        <v>128.94843671880432</v>
      </c>
      <c r="H74" s="7">
        <f t="shared" si="30"/>
        <v>114.8919859837106</v>
      </c>
      <c r="I74" s="7">
        <f t="shared" si="31"/>
        <v>117.52302078221518</v>
      </c>
      <c r="J74" s="7">
        <f t="shared" si="32"/>
        <v>128.94843671880432</v>
      </c>
      <c r="K74" s="7">
        <f t="shared" si="33"/>
        <v>114.8919859837106</v>
      </c>
      <c r="L74" s="7">
        <f t="shared" si="34"/>
        <v>117.52302078221518</v>
      </c>
      <c r="M74" s="7">
        <f t="shared" si="35"/>
        <v>128.94843671880432</v>
      </c>
      <c r="N74" s="22"/>
      <c r="O74" s="7">
        <f t="shared" si="36"/>
        <v>10.676662950453435</v>
      </c>
      <c r="P74" s="7">
        <f t="shared" si="37"/>
        <v>10.919314381145558</v>
      </c>
      <c r="Q74" s="7">
        <f t="shared" si="38"/>
        <v>11.993913574210678</v>
      </c>
      <c r="R74" s="7">
        <f t="shared" si="39"/>
        <v>10.676662950453435</v>
      </c>
      <c r="S74" s="7">
        <f t="shared" si="40"/>
        <v>10.919314381145558</v>
      </c>
      <c r="T74" s="7">
        <f t="shared" si="41"/>
        <v>11.993913574210678</v>
      </c>
      <c r="U74" s="7">
        <f t="shared" si="42"/>
        <v>10.676662950453435</v>
      </c>
      <c r="V74" s="7">
        <f t="shared" si="43"/>
        <v>10.919314381145558</v>
      </c>
      <c r="W74" s="7">
        <f t="shared" si="44"/>
        <v>11.993913574210678</v>
      </c>
      <c r="X74" s="22"/>
      <c r="Y74" s="24">
        <v>0.32246037301278874</v>
      </c>
      <c r="Z74" s="22"/>
      <c r="AA74" s="24">
        <v>1.075</v>
      </c>
    </row>
    <row r="75" spans="1:27" hidden="1" x14ac:dyDescent="0.25">
      <c r="A75" s="16"/>
      <c r="B75" s="3" t="s">
        <v>113</v>
      </c>
      <c r="C75" s="3" t="s">
        <v>114</v>
      </c>
      <c r="D75" s="11" t="s">
        <v>6</v>
      </c>
      <c r="E75" s="7">
        <f t="shared" si="27"/>
        <v>299.41198273170727</v>
      </c>
      <c r="F75" s="7">
        <f t="shared" si="28"/>
        <v>306.26853881707314</v>
      </c>
      <c r="G75" s="7">
        <f t="shared" si="29"/>
        <v>336.04351754878047</v>
      </c>
      <c r="H75" s="7">
        <f t="shared" si="30"/>
        <v>299.41198273170727</v>
      </c>
      <c r="I75" s="7">
        <f t="shared" si="31"/>
        <v>306.26853881707314</v>
      </c>
      <c r="J75" s="7">
        <f t="shared" si="32"/>
        <v>336.04351754878047</v>
      </c>
      <c r="K75" s="7">
        <f t="shared" si="33"/>
        <v>299.41198273170727</v>
      </c>
      <c r="L75" s="7">
        <f t="shared" si="34"/>
        <v>306.26853881707314</v>
      </c>
      <c r="M75" s="7">
        <f t="shared" si="35"/>
        <v>336.04351754878047</v>
      </c>
      <c r="N75" s="22"/>
      <c r="O75" s="7">
        <f t="shared" si="36"/>
        <v>27.823705853658534</v>
      </c>
      <c r="P75" s="7">
        <f t="shared" si="37"/>
        <v>28.456062804878048</v>
      </c>
      <c r="Q75" s="7">
        <f t="shared" si="38"/>
        <v>31.256500731707316</v>
      </c>
      <c r="R75" s="7">
        <f t="shared" si="39"/>
        <v>27.823705853658534</v>
      </c>
      <c r="S75" s="7">
        <f t="shared" si="40"/>
        <v>28.456062804878048</v>
      </c>
      <c r="T75" s="7">
        <f t="shared" si="41"/>
        <v>31.256500731707316</v>
      </c>
      <c r="U75" s="7">
        <f t="shared" si="42"/>
        <v>27.823705853658534</v>
      </c>
      <c r="V75" s="7">
        <f t="shared" si="43"/>
        <v>28.456062804878048</v>
      </c>
      <c r="W75" s="7">
        <f t="shared" si="44"/>
        <v>31.256500731707316</v>
      </c>
      <c r="X75" s="22"/>
      <c r="Y75" s="24">
        <v>0.86034959349593487</v>
      </c>
      <c r="Z75" s="22"/>
      <c r="AA75" s="24">
        <v>1.05</v>
      </c>
    </row>
    <row r="76" spans="1:27" hidden="1" x14ac:dyDescent="0.25">
      <c r="A76" s="16"/>
      <c r="B76" s="3" t="s">
        <v>115</v>
      </c>
      <c r="C76" s="3" t="s">
        <v>116</v>
      </c>
      <c r="D76" s="11" t="s">
        <v>6</v>
      </c>
      <c r="E76" s="7">
        <f t="shared" si="27"/>
        <v>182.4795240177676</v>
      </c>
      <c r="F76" s="7">
        <f t="shared" si="28"/>
        <v>186.65831833135331</v>
      </c>
      <c r="G76" s="7">
        <f t="shared" si="29"/>
        <v>204.80496662855833</v>
      </c>
      <c r="H76" s="7">
        <f t="shared" si="30"/>
        <v>182.4795240177676</v>
      </c>
      <c r="I76" s="7">
        <f t="shared" si="31"/>
        <v>186.65831833135331</v>
      </c>
      <c r="J76" s="7">
        <f t="shared" si="32"/>
        <v>204.80496662855833</v>
      </c>
      <c r="K76" s="7">
        <f t="shared" si="33"/>
        <v>182.4795240177676</v>
      </c>
      <c r="L76" s="7">
        <f t="shared" si="34"/>
        <v>186.65831833135331</v>
      </c>
      <c r="M76" s="7">
        <f t="shared" si="35"/>
        <v>204.80496662855833</v>
      </c>
      <c r="N76" s="22"/>
      <c r="O76" s="7">
        <f t="shared" si="36"/>
        <v>16.957426200058055</v>
      </c>
      <c r="P76" s="7">
        <f t="shared" si="37"/>
        <v>17.342822250059374</v>
      </c>
      <c r="Q76" s="7">
        <f t="shared" si="38"/>
        <v>19.049576185779504</v>
      </c>
      <c r="R76" s="7">
        <f t="shared" si="39"/>
        <v>16.957426200058055</v>
      </c>
      <c r="S76" s="7">
        <f t="shared" si="40"/>
        <v>17.342822250059374</v>
      </c>
      <c r="T76" s="7">
        <f t="shared" si="41"/>
        <v>19.049576185779504</v>
      </c>
      <c r="U76" s="7">
        <f t="shared" si="42"/>
        <v>16.957426200058055</v>
      </c>
      <c r="V76" s="7">
        <f t="shared" si="43"/>
        <v>17.342822250059374</v>
      </c>
      <c r="W76" s="7">
        <f t="shared" si="44"/>
        <v>19.049576185779504</v>
      </c>
      <c r="X76" s="22"/>
      <c r="Y76" s="24">
        <v>0.529390178573241</v>
      </c>
      <c r="Z76" s="22"/>
      <c r="AA76" s="24">
        <v>1.04</v>
      </c>
    </row>
    <row r="77" spans="1:27" hidden="1" x14ac:dyDescent="0.25">
      <c r="A77" s="16"/>
      <c r="B77" s="3" t="s">
        <v>117</v>
      </c>
      <c r="C77" s="3" t="s">
        <v>118</v>
      </c>
      <c r="D77" s="11" t="s">
        <v>6</v>
      </c>
      <c r="E77" s="7">
        <f t="shared" si="27"/>
        <v>275.04123995121955</v>
      </c>
      <c r="F77" s="7">
        <f t="shared" si="28"/>
        <v>281.33970426219514</v>
      </c>
      <c r="G77" s="7">
        <f t="shared" si="29"/>
        <v>308.69113821341466</v>
      </c>
      <c r="H77" s="7">
        <f t="shared" si="30"/>
        <v>275.04123995121955</v>
      </c>
      <c r="I77" s="7">
        <f t="shared" si="31"/>
        <v>281.33970426219514</v>
      </c>
      <c r="J77" s="7">
        <f t="shared" si="32"/>
        <v>308.69113821341466</v>
      </c>
      <c r="K77" s="7">
        <f t="shared" si="33"/>
        <v>275.04123995121955</v>
      </c>
      <c r="L77" s="7">
        <f t="shared" si="34"/>
        <v>281.33970426219514</v>
      </c>
      <c r="M77" s="7">
        <f t="shared" si="35"/>
        <v>308.69113821341466</v>
      </c>
      <c r="N77" s="22"/>
      <c r="O77" s="7">
        <f t="shared" si="36"/>
        <v>25.558985609756103</v>
      </c>
      <c r="P77" s="7">
        <f t="shared" si="37"/>
        <v>26.139871646341465</v>
      </c>
      <c r="Q77" s="7">
        <f t="shared" si="38"/>
        <v>28.712366951219515</v>
      </c>
      <c r="R77" s="7">
        <f t="shared" si="39"/>
        <v>25.558985609756103</v>
      </c>
      <c r="S77" s="7">
        <f t="shared" si="40"/>
        <v>26.139871646341465</v>
      </c>
      <c r="T77" s="7">
        <f t="shared" si="41"/>
        <v>28.712366951219515</v>
      </c>
      <c r="U77" s="7">
        <f t="shared" si="42"/>
        <v>25.558985609756103</v>
      </c>
      <c r="V77" s="7">
        <f t="shared" si="43"/>
        <v>26.139871646341465</v>
      </c>
      <c r="W77" s="7">
        <f t="shared" si="44"/>
        <v>28.712366951219515</v>
      </c>
      <c r="X77" s="22"/>
      <c r="Y77" s="24">
        <v>0.79032113821138217</v>
      </c>
      <c r="Z77" s="22"/>
      <c r="AA77" s="24">
        <v>1.05</v>
      </c>
    </row>
    <row r="78" spans="1:27" hidden="1" x14ac:dyDescent="0.25">
      <c r="A78" s="16"/>
      <c r="B78" s="3" t="s">
        <v>119</v>
      </c>
      <c r="C78" s="3" t="s">
        <v>120</v>
      </c>
      <c r="D78" s="11" t="s">
        <v>6</v>
      </c>
      <c r="E78" s="7">
        <f t="shared" si="27"/>
        <v>292.44891336585368</v>
      </c>
      <c r="F78" s="7">
        <f t="shared" si="28"/>
        <v>299.14601465853656</v>
      </c>
      <c r="G78" s="7">
        <f t="shared" si="29"/>
        <v>328.2285520243903</v>
      </c>
      <c r="H78" s="7">
        <f t="shared" si="30"/>
        <v>292.44891336585368</v>
      </c>
      <c r="I78" s="7">
        <f t="shared" si="31"/>
        <v>299.14601465853656</v>
      </c>
      <c r="J78" s="7">
        <f t="shared" si="32"/>
        <v>328.2285520243903</v>
      </c>
      <c r="K78" s="7">
        <f t="shared" si="33"/>
        <v>292.44891336585368</v>
      </c>
      <c r="L78" s="7">
        <f t="shared" si="34"/>
        <v>299.14601465853656</v>
      </c>
      <c r="M78" s="7">
        <f t="shared" si="35"/>
        <v>328.2285520243903</v>
      </c>
      <c r="N78" s="22"/>
      <c r="O78" s="7">
        <f t="shared" si="36"/>
        <v>27.176642926829274</v>
      </c>
      <c r="P78" s="7">
        <f t="shared" si="37"/>
        <v>27.79429390243903</v>
      </c>
      <c r="Q78" s="7">
        <f t="shared" si="38"/>
        <v>30.529605365853662</v>
      </c>
      <c r="R78" s="7">
        <f t="shared" si="39"/>
        <v>27.176642926829274</v>
      </c>
      <c r="S78" s="7">
        <f t="shared" si="40"/>
        <v>27.79429390243903</v>
      </c>
      <c r="T78" s="7">
        <f t="shared" si="41"/>
        <v>30.529605365853662</v>
      </c>
      <c r="U78" s="7">
        <f t="shared" si="42"/>
        <v>27.176642926829274</v>
      </c>
      <c r="V78" s="7">
        <f t="shared" si="43"/>
        <v>27.79429390243903</v>
      </c>
      <c r="W78" s="7">
        <f t="shared" si="44"/>
        <v>30.529605365853662</v>
      </c>
      <c r="X78" s="22"/>
      <c r="Y78" s="24">
        <v>0.84034146341463423</v>
      </c>
      <c r="Z78" s="22"/>
      <c r="AA78" s="24">
        <v>1.05</v>
      </c>
    </row>
    <row r="79" spans="1:27" hidden="1" x14ac:dyDescent="0.25">
      <c r="A79" s="21" t="s">
        <v>121</v>
      </c>
      <c r="B79" s="18" t="s">
        <v>122</v>
      </c>
      <c r="C79" s="18" t="s">
        <v>123</v>
      </c>
      <c r="D79" s="19" t="s">
        <v>6</v>
      </c>
      <c r="E79" s="7">
        <f t="shared" si="27"/>
        <v>0</v>
      </c>
      <c r="F79" s="7">
        <f t="shared" si="28"/>
        <v>0</v>
      </c>
      <c r="G79" s="7">
        <f t="shared" si="29"/>
        <v>0</v>
      </c>
      <c r="H79" s="7">
        <f t="shared" si="30"/>
        <v>0</v>
      </c>
      <c r="I79" s="7">
        <f t="shared" si="31"/>
        <v>0</v>
      </c>
      <c r="J79" s="7">
        <f t="shared" si="32"/>
        <v>0</v>
      </c>
      <c r="K79" s="7">
        <f t="shared" si="33"/>
        <v>0</v>
      </c>
      <c r="L79" s="7">
        <f t="shared" si="34"/>
        <v>0</v>
      </c>
      <c r="M79" s="7">
        <f t="shared" si="35"/>
        <v>0</v>
      </c>
      <c r="N79" s="22"/>
      <c r="O79" s="7">
        <f t="shared" si="36"/>
        <v>0</v>
      </c>
      <c r="P79" s="7">
        <f t="shared" si="37"/>
        <v>0</v>
      </c>
      <c r="Q79" s="7">
        <f t="shared" si="38"/>
        <v>0</v>
      </c>
      <c r="R79" s="7">
        <f t="shared" si="39"/>
        <v>0</v>
      </c>
      <c r="S79" s="7">
        <f t="shared" si="40"/>
        <v>0</v>
      </c>
      <c r="T79" s="7">
        <f t="shared" si="41"/>
        <v>0</v>
      </c>
      <c r="U79" s="7">
        <f t="shared" si="42"/>
        <v>0</v>
      </c>
      <c r="V79" s="7">
        <f t="shared" si="43"/>
        <v>0</v>
      </c>
      <c r="W79" s="7">
        <f t="shared" si="44"/>
        <v>0</v>
      </c>
      <c r="X79" s="22"/>
      <c r="Z79" s="22"/>
      <c r="AA79" s="24">
        <v>1.075</v>
      </c>
    </row>
    <row r="80" spans="1:27" hidden="1" x14ac:dyDescent="0.25">
      <c r="A80" s="16"/>
      <c r="B80" s="3" t="s">
        <v>122</v>
      </c>
      <c r="C80" s="3" t="s">
        <v>124</v>
      </c>
      <c r="D80" s="11" t="s">
        <v>6</v>
      </c>
      <c r="E80" s="7">
        <f t="shared" si="27"/>
        <v>277.37226213003811</v>
      </c>
      <c r="F80" s="7">
        <f t="shared" si="28"/>
        <v>283.72410701770104</v>
      </c>
      <c r="G80" s="7">
        <f t="shared" si="29"/>
        <v>311.30734911221612</v>
      </c>
      <c r="H80" s="7">
        <f t="shared" si="30"/>
        <v>277.37226213003811</v>
      </c>
      <c r="I80" s="7">
        <f t="shared" si="31"/>
        <v>283.72410701770104</v>
      </c>
      <c r="J80" s="7">
        <f t="shared" si="32"/>
        <v>311.30734911221612</v>
      </c>
      <c r="K80" s="7">
        <f t="shared" si="33"/>
        <v>277.37226213003811</v>
      </c>
      <c r="L80" s="7">
        <f t="shared" si="34"/>
        <v>283.72410701770104</v>
      </c>
      <c r="M80" s="7">
        <f t="shared" si="35"/>
        <v>311.30734911221612</v>
      </c>
      <c r="N80" s="22"/>
      <c r="O80" s="7">
        <f t="shared" si="36"/>
        <v>25.775602442690005</v>
      </c>
      <c r="P80" s="7">
        <f t="shared" si="37"/>
        <v>26.361411589114777</v>
      </c>
      <c r="Q80" s="7">
        <f t="shared" si="38"/>
        <v>28.955709237567348</v>
      </c>
      <c r="R80" s="7">
        <f t="shared" si="39"/>
        <v>25.775602442690005</v>
      </c>
      <c r="S80" s="7">
        <f t="shared" si="40"/>
        <v>26.361411589114777</v>
      </c>
      <c r="T80" s="7">
        <f t="shared" si="41"/>
        <v>28.955709237567348</v>
      </c>
      <c r="U80" s="7">
        <f t="shared" si="42"/>
        <v>25.775602442690005</v>
      </c>
      <c r="V80" s="7">
        <f t="shared" si="43"/>
        <v>26.361411589114777</v>
      </c>
      <c r="W80" s="7">
        <f t="shared" si="44"/>
        <v>28.955709237567348</v>
      </c>
      <c r="X80" s="22"/>
      <c r="Y80" s="24">
        <v>0.77848391551464835</v>
      </c>
      <c r="Z80" s="22"/>
      <c r="AA80" s="24">
        <v>1.075</v>
      </c>
    </row>
    <row r="81" spans="1:27" hidden="1" x14ac:dyDescent="0.25">
      <c r="A81" s="21" t="s">
        <v>121</v>
      </c>
      <c r="B81" s="18" t="s">
        <v>122</v>
      </c>
      <c r="C81" s="18" t="s">
        <v>125</v>
      </c>
      <c r="D81" s="19" t="s">
        <v>6</v>
      </c>
      <c r="E81" s="7">
        <f t="shared" si="27"/>
        <v>0</v>
      </c>
      <c r="F81" s="7">
        <f t="shared" si="28"/>
        <v>0</v>
      </c>
      <c r="G81" s="7">
        <f t="shared" si="29"/>
        <v>0</v>
      </c>
      <c r="H81" s="7">
        <f t="shared" si="30"/>
        <v>0</v>
      </c>
      <c r="I81" s="7">
        <f t="shared" si="31"/>
        <v>0</v>
      </c>
      <c r="J81" s="7">
        <f t="shared" si="32"/>
        <v>0</v>
      </c>
      <c r="K81" s="7">
        <f t="shared" si="33"/>
        <v>0</v>
      </c>
      <c r="L81" s="7">
        <f t="shared" si="34"/>
        <v>0</v>
      </c>
      <c r="M81" s="7">
        <f t="shared" si="35"/>
        <v>0</v>
      </c>
      <c r="N81" s="22"/>
      <c r="O81" s="7">
        <f t="shared" si="36"/>
        <v>0</v>
      </c>
      <c r="P81" s="7">
        <f t="shared" si="37"/>
        <v>0</v>
      </c>
      <c r="Q81" s="7">
        <f t="shared" si="38"/>
        <v>0</v>
      </c>
      <c r="R81" s="7">
        <f t="shared" si="39"/>
        <v>0</v>
      </c>
      <c r="S81" s="7">
        <f t="shared" si="40"/>
        <v>0</v>
      </c>
      <c r="T81" s="7">
        <f t="shared" si="41"/>
        <v>0</v>
      </c>
      <c r="U81" s="7">
        <f t="shared" si="42"/>
        <v>0</v>
      </c>
      <c r="V81" s="7">
        <f t="shared" si="43"/>
        <v>0</v>
      </c>
      <c r="W81" s="7">
        <f t="shared" si="44"/>
        <v>0</v>
      </c>
      <c r="X81" s="22"/>
      <c r="Z81" s="22"/>
      <c r="AA81" s="24">
        <v>1.075</v>
      </c>
    </row>
    <row r="82" spans="1:27" hidden="1" x14ac:dyDescent="0.25">
      <c r="A82" s="21" t="s">
        <v>121</v>
      </c>
      <c r="B82" s="18" t="s">
        <v>122</v>
      </c>
      <c r="C82" s="18" t="s">
        <v>126</v>
      </c>
      <c r="D82" s="19" t="s">
        <v>6</v>
      </c>
      <c r="E82" s="7">
        <f t="shared" si="27"/>
        <v>0</v>
      </c>
      <c r="F82" s="7">
        <f t="shared" si="28"/>
        <v>0</v>
      </c>
      <c r="G82" s="7">
        <f t="shared" si="29"/>
        <v>0</v>
      </c>
      <c r="H82" s="7">
        <f t="shared" si="30"/>
        <v>0</v>
      </c>
      <c r="I82" s="7">
        <f t="shared" si="31"/>
        <v>0</v>
      </c>
      <c r="J82" s="7">
        <f t="shared" si="32"/>
        <v>0</v>
      </c>
      <c r="K82" s="7">
        <f t="shared" si="33"/>
        <v>0</v>
      </c>
      <c r="L82" s="7">
        <f t="shared" si="34"/>
        <v>0</v>
      </c>
      <c r="M82" s="7">
        <f t="shared" si="35"/>
        <v>0</v>
      </c>
      <c r="N82" s="22"/>
      <c r="O82" s="7">
        <f t="shared" si="36"/>
        <v>0</v>
      </c>
      <c r="P82" s="7">
        <f t="shared" si="37"/>
        <v>0</v>
      </c>
      <c r="Q82" s="7">
        <f t="shared" si="38"/>
        <v>0</v>
      </c>
      <c r="R82" s="7">
        <f t="shared" si="39"/>
        <v>0</v>
      </c>
      <c r="S82" s="7">
        <f t="shared" si="40"/>
        <v>0</v>
      </c>
      <c r="T82" s="7">
        <f t="shared" si="41"/>
        <v>0</v>
      </c>
      <c r="U82" s="7">
        <f t="shared" si="42"/>
        <v>0</v>
      </c>
      <c r="V82" s="7">
        <f t="shared" si="43"/>
        <v>0</v>
      </c>
      <c r="W82" s="7">
        <f t="shared" si="44"/>
        <v>0</v>
      </c>
      <c r="X82" s="22"/>
      <c r="Z82" s="22"/>
      <c r="AA82" s="24">
        <v>1.075</v>
      </c>
    </row>
    <row r="83" spans="1:27" hidden="1" x14ac:dyDescent="0.25">
      <c r="A83" s="21" t="s">
        <v>121</v>
      </c>
      <c r="B83" s="18" t="s">
        <v>122</v>
      </c>
      <c r="C83" s="18" t="s">
        <v>127</v>
      </c>
      <c r="D83" s="19" t="s">
        <v>6</v>
      </c>
      <c r="E83" s="7">
        <f t="shared" si="27"/>
        <v>0</v>
      </c>
      <c r="F83" s="7">
        <f t="shared" si="28"/>
        <v>0</v>
      </c>
      <c r="G83" s="7">
        <f t="shared" si="29"/>
        <v>0</v>
      </c>
      <c r="H83" s="7">
        <f t="shared" si="30"/>
        <v>0</v>
      </c>
      <c r="I83" s="7">
        <f t="shared" si="31"/>
        <v>0</v>
      </c>
      <c r="J83" s="7">
        <f t="shared" si="32"/>
        <v>0</v>
      </c>
      <c r="K83" s="7">
        <f t="shared" si="33"/>
        <v>0</v>
      </c>
      <c r="L83" s="7">
        <f t="shared" si="34"/>
        <v>0</v>
      </c>
      <c r="M83" s="7">
        <f t="shared" si="35"/>
        <v>0</v>
      </c>
      <c r="N83" s="22"/>
      <c r="O83" s="7">
        <f t="shared" si="36"/>
        <v>0</v>
      </c>
      <c r="P83" s="7">
        <f t="shared" si="37"/>
        <v>0</v>
      </c>
      <c r="Q83" s="7">
        <f t="shared" si="38"/>
        <v>0</v>
      </c>
      <c r="R83" s="7">
        <f t="shared" si="39"/>
        <v>0</v>
      </c>
      <c r="S83" s="7">
        <f t="shared" si="40"/>
        <v>0</v>
      </c>
      <c r="T83" s="7">
        <f t="shared" si="41"/>
        <v>0</v>
      </c>
      <c r="U83" s="7">
        <f t="shared" si="42"/>
        <v>0</v>
      </c>
      <c r="V83" s="7">
        <f t="shared" si="43"/>
        <v>0</v>
      </c>
      <c r="W83" s="7">
        <f t="shared" si="44"/>
        <v>0</v>
      </c>
      <c r="X83" s="22"/>
      <c r="Z83" s="22"/>
      <c r="AA83" s="24">
        <v>1.075</v>
      </c>
    </row>
    <row r="84" spans="1:27" hidden="1" x14ac:dyDescent="0.25">
      <c r="A84" s="21" t="s">
        <v>121</v>
      </c>
      <c r="B84" s="18" t="s">
        <v>122</v>
      </c>
      <c r="C84" s="18" t="s">
        <v>128</v>
      </c>
      <c r="D84" s="19" t="s">
        <v>6</v>
      </c>
      <c r="E84" s="7">
        <f t="shared" si="27"/>
        <v>0</v>
      </c>
      <c r="F84" s="7">
        <f t="shared" si="28"/>
        <v>0</v>
      </c>
      <c r="G84" s="7">
        <f t="shared" si="29"/>
        <v>0</v>
      </c>
      <c r="H84" s="7">
        <f t="shared" si="30"/>
        <v>0</v>
      </c>
      <c r="I84" s="7">
        <f t="shared" si="31"/>
        <v>0</v>
      </c>
      <c r="J84" s="7">
        <f t="shared" si="32"/>
        <v>0</v>
      </c>
      <c r="K84" s="7">
        <f t="shared" si="33"/>
        <v>0</v>
      </c>
      <c r="L84" s="7">
        <f t="shared" si="34"/>
        <v>0</v>
      </c>
      <c r="M84" s="7">
        <f t="shared" si="35"/>
        <v>0</v>
      </c>
      <c r="N84" s="22"/>
      <c r="O84" s="7">
        <f t="shared" si="36"/>
        <v>0</v>
      </c>
      <c r="P84" s="7">
        <f t="shared" si="37"/>
        <v>0</v>
      </c>
      <c r="Q84" s="7">
        <f t="shared" si="38"/>
        <v>0</v>
      </c>
      <c r="R84" s="7">
        <f t="shared" si="39"/>
        <v>0</v>
      </c>
      <c r="S84" s="7">
        <f t="shared" si="40"/>
        <v>0</v>
      </c>
      <c r="T84" s="7">
        <f t="shared" si="41"/>
        <v>0</v>
      </c>
      <c r="U84" s="7">
        <f t="shared" si="42"/>
        <v>0</v>
      </c>
      <c r="V84" s="7">
        <f t="shared" si="43"/>
        <v>0</v>
      </c>
      <c r="W84" s="7">
        <f t="shared" si="44"/>
        <v>0</v>
      </c>
      <c r="X84" s="22"/>
      <c r="Z84" s="22"/>
      <c r="AA84" s="24">
        <v>1.075</v>
      </c>
    </row>
    <row r="85" spans="1:27" hidden="1" x14ac:dyDescent="0.25">
      <c r="A85" s="21"/>
      <c r="B85" s="3" t="s">
        <v>129</v>
      </c>
      <c r="C85" s="3" t="s">
        <v>130</v>
      </c>
      <c r="D85" s="11" t="s">
        <v>6</v>
      </c>
      <c r="E85" s="7">
        <f t="shared" si="27"/>
        <v>210.18559399982186</v>
      </c>
      <c r="F85" s="7">
        <f t="shared" si="28"/>
        <v>214.99885932222904</v>
      </c>
      <c r="G85" s="7">
        <f t="shared" si="29"/>
        <v>235.90073350227414</v>
      </c>
      <c r="H85" s="7">
        <f t="shared" si="30"/>
        <v>210.18559399982186</v>
      </c>
      <c r="I85" s="7">
        <f t="shared" si="31"/>
        <v>214.99885932222904</v>
      </c>
      <c r="J85" s="7">
        <f t="shared" si="32"/>
        <v>235.90073350227414</v>
      </c>
      <c r="K85" s="7">
        <f t="shared" si="33"/>
        <v>210.18559399982186</v>
      </c>
      <c r="L85" s="7">
        <f t="shared" si="34"/>
        <v>214.99885932222904</v>
      </c>
      <c r="M85" s="7">
        <f t="shared" si="35"/>
        <v>235.90073350227414</v>
      </c>
      <c r="N85" s="22"/>
      <c r="O85" s="7">
        <f t="shared" si="36"/>
        <v>19.532091163391605</v>
      </c>
      <c r="P85" s="7">
        <f t="shared" si="37"/>
        <v>19.97600232619596</v>
      </c>
      <c r="Q85" s="7">
        <f t="shared" si="38"/>
        <v>21.941894618615244</v>
      </c>
      <c r="R85" s="7">
        <f t="shared" si="39"/>
        <v>19.532091163391605</v>
      </c>
      <c r="S85" s="7">
        <f t="shared" si="40"/>
        <v>19.97600232619596</v>
      </c>
      <c r="T85" s="7">
        <f t="shared" si="41"/>
        <v>21.941894618615244</v>
      </c>
      <c r="U85" s="7">
        <f t="shared" si="42"/>
        <v>19.532091163391605</v>
      </c>
      <c r="V85" s="7">
        <f t="shared" si="43"/>
        <v>19.97600232619596</v>
      </c>
      <c r="W85" s="7">
        <f t="shared" si="44"/>
        <v>21.941894618615244</v>
      </c>
      <c r="X85" s="22"/>
      <c r="Y85" s="24">
        <v>0.60976808077521238</v>
      </c>
      <c r="Z85" s="22"/>
      <c r="AA85" s="24">
        <v>1.04</v>
      </c>
    </row>
    <row r="86" spans="1:27" hidden="1" x14ac:dyDescent="0.25">
      <c r="A86" s="21"/>
      <c r="B86" s="3" t="s">
        <v>131</v>
      </c>
      <c r="C86" s="3" t="s">
        <v>132</v>
      </c>
      <c r="D86" s="11" t="s">
        <v>6</v>
      </c>
      <c r="E86" s="7">
        <f t="shared" si="27"/>
        <v>215.9884638799675</v>
      </c>
      <c r="F86" s="7">
        <f t="shared" si="28"/>
        <v>220.93461534282338</v>
      </c>
      <c r="G86" s="7">
        <f t="shared" si="29"/>
        <v>242.41355502869033</v>
      </c>
      <c r="H86" s="7">
        <f t="shared" si="30"/>
        <v>215.9884638799675</v>
      </c>
      <c r="I86" s="7">
        <f t="shared" si="31"/>
        <v>220.93461534282338</v>
      </c>
      <c r="J86" s="7">
        <f t="shared" si="32"/>
        <v>242.41355502869033</v>
      </c>
      <c r="K86" s="7">
        <f t="shared" si="33"/>
        <v>215.9884638799675</v>
      </c>
      <c r="L86" s="7">
        <f t="shared" si="34"/>
        <v>220.93461534282338</v>
      </c>
      <c r="M86" s="7">
        <f t="shared" si="35"/>
        <v>242.41355502869033</v>
      </c>
      <c r="N86" s="22"/>
      <c r="O86" s="7">
        <f t="shared" si="36"/>
        <v>20.071339269560102</v>
      </c>
      <c r="P86" s="7">
        <f t="shared" si="37"/>
        <v>20.527506071141012</v>
      </c>
      <c r="Q86" s="7">
        <f t="shared" si="38"/>
        <v>22.547673335285047</v>
      </c>
      <c r="R86" s="7">
        <f t="shared" si="39"/>
        <v>20.071339269560102</v>
      </c>
      <c r="S86" s="7">
        <f t="shared" si="40"/>
        <v>20.527506071141012</v>
      </c>
      <c r="T86" s="7">
        <f t="shared" si="41"/>
        <v>22.547673335285047</v>
      </c>
      <c r="U86" s="7">
        <f t="shared" si="42"/>
        <v>20.071339269560102</v>
      </c>
      <c r="V86" s="7">
        <f t="shared" si="43"/>
        <v>20.527506071141012</v>
      </c>
      <c r="W86" s="7">
        <f t="shared" si="44"/>
        <v>22.547673335285047</v>
      </c>
      <c r="X86" s="22"/>
      <c r="Y86" s="24">
        <v>0.62063510419171608</v>
      </c>
      <c r="Z86" s="22"/>
      <c r="AA86" s="24">
        <v>1.05</v>
      </c>
    </row>
    <row r="87" spans="1:27" hidden="1" x14ac:dyDescent="0.25">
      <c r="A87" s="21"/>
      <c r="B87" s="3" t="s">
        <v>133</v>
      </c>
      <c r="C87" s="3" t="s">
        <v>134</v>
      </c>
      <c r="D87" s="11" t="s">
        <v>6</v>
      </c>
      <c r="E87" s="7">
        <f t="shared" si="27"/>
        <v>261.13149998754506</v>
      </c>
      <c r="F87" s="7">
        <f t="shared" si="28"/>
        <v>267.11143024613017</v>
      </c>
      <c r="G87" s="7">
        <f t="shared" si="29"/>
        <v>293.07961223861599</v>
      </c>
      <c r="H87" s="7">
        <f t="shared" si="30"/>
        <v>261.13149998754506</v>
      </c>
      <c r="I87" s="7">
        <f t="shared" si="31"/>
        <v>267.11143024613017</v>
      </c>
      <c r="J87" s="7">
        <f t="shared" si="32"/>
        <v>293.07961223861599</v>
      </c>
      <c r="K87" s="7">
        <f t="shared" si="33"/>
        <v>261.13149998754506</v>
      </c>
      <c r="L87" s="7">
        <f t="shared" si="34"/>
        <v>267.11143024613017</v>
      </c>
      <c r="M87" s="7">
        <f t="shared" si="35"/>
        <v>293.07961223861599</v>
      </c>
      <c r="N87" s="22"/>
      <c r="O87" s="7">
        <f t="shared" si="36"/>
        <v>24.266383658026754</v>
      </c>
      <c r="P87" s="7">
        <f t="shared" si="37"/>
        <v>24.817892377527361</v>
      </c>
      <c r="Q87" s="7">
        <f t="shared" si="38"/>
        <v>27.260288135315768</v>
      </c>
      <c r="R87" s="7">
        <f t="shared" si="39"/>
        <v>24.266383658026754</v>
      </c>
      <c r="S87" s="7">
        <f t="shared" si="40"/>
        <v>24.817892377527361</v>
      </c>
      <c r="T87" s="7">
        <f t="shared" si="41"/>
        <v>27.260288135315768</v>
      </c>
      <c r="U87" s="7">
        <f t="shared" si="42"/>
        <v>24.266383658026754</v>
      </c>
      <c r="V87" s="7">
        <f t="shared" si="43"/>
        <v>24.817892377527361</v>
      </c>
      <c r="W87" s="7">
        <f t="shared" si="44"/>
        <v>27.260288135315768</v>
      </c>
      <c r="X87" s="22"/>
      <c r="Y87" s="24">
        <v>0.73632672830521761</v>
      </c>
      <c r="Z87" s="22"/>
      <c r="AA87" s="24">
        <v>1.07</v>
      </c>
    </row>
    <row r="88" spans="1:27" hidden="1" x14ac:dyDescent="0.25">
      <c r="A88" s="21"/>
      <c r="B88" s="3" t="s">
        <v>135</v>
      </c>
      <c r="C88" s="3" t="s">
        <v>136</v>
      </c>
      <c r="D88" s="11" t="s">
        <v>6</v>
      </c>
      <c r="E88" s="7">
        <f t="shared" si="27"/>
        <v>269.26161206158048</v>
      </c>
      <c r="F88" s="7">
        <f t="shared" si="28"/>
        <v>275.427722475373</v>
      </c>
      <c r="G88" s="7">
        <f t="shared" si="29"/>
        <v>302.20440221695429</v>
      </c>
      <c r="H88" s="7">
        <f t="shared" si="30"/>
        <v>269.26161206158048</v>
      </c>
      <c r="I88" s="7">
        <f t="shared" si="31"/>
        <v>275.427722475373</v>
      </c>
      <c r="J88" s="7">
        <f t="shared" si="32"/>
        <v>302.20440221695429</v>
      </c>
      <c r="K88" s="7">
        <f t="shared" si="33"/>
        <v>269.26161206158048</v>
      </c>
      <c r="L88" s="7">
        <f t="shared" si="34"/>
        <v>275.427722475373</v>
      </c>
      <c r="M88" s="7">
        <f t="shared" si="35"/>
        <v>302.20440221695429</v>
      </c>
      <c r="N88" s="22"/>
      <c r="O88" s="7">
        <f t="shared" si="36"/>
        <v>25.021897331332003</v>
      </c>
      <c r="P88" s="7">
        <f t="shared" si="37"/>
        <v>25.590576816135002</v>
      </c>
      <c r="Q88" s="7">
        <f t="shared" si="38"/>
        <v>28.10901453454829</v>
      </c>
      <c r="R88" s="7">
        <f t="shared" si="39"/>
        <v>25.021897331332003</v>
      </c>
      <c r="S88" s="7">
        <f t="shared" si="40"/>
        <v>25.590576816135002</v>
      </c>
      <c r="T88" s="7">
        <f t="shared" si="41"/>
        <v>28.10901453454829</v>
      </c>
      <c r="U88" s="7">
        <f t="shared" si="42"/>
        <v>25.021897331332003</v>
      </c>
      <c r="V88" s="7">
        <f t="shared" si="43"/>
        <v>25.590576816135002</v>
      </c>
      <c r="W88" s="7">
        <f t="shared" si="44"/>
        <v>28.10901453454829</v>
      </c>
      <c r="X88" s="22"/>
      <c r="Y88" s="24">
        <v>0.74806562063009741</v>
      </c>
      <c r="Z88" s="22"/>
      <c r="AA88" s="24">
        <v>1.0860000000000001</v>
      </c>
    </row>
    <row r="89" spans="1:27" hidden="1" x14ac:dyDescent="0.25">
      <c r="A89" s="21"/>
      <c r="B89" s="3" t="s">
        <v>137</v>
      </c>
      <c r="C89" s="3" t="s">
        <v>138</v>
      </c>
      <c r="D89" s="11" t="s">
        <v>6</v>
      </c>
      <c r="E89" s="7">
        <f t="shared" si="27"/>
        <v>174.31192564544222</v>
      </c>
      <c r="F89" s="7">
        <f t="shared" si="28"/>
        <v>178.3036813648753</v>
      </c>
      <c r="G89" s="7">
        <f t="shared" si="29"/>
        <v>195.63810409379693</v>
      </c>
      <c r="H89" s="7">
        <f t="shared" si="30"/>
        <v>174.31192564544222</v>
      </c>
      <c r="I89" s="7">
        <f t="shared" si="31"/>
        <v>178.3036813648753</v>
      </c>
      <c r="J89" s="7">
        <f t="shared" si="32"/>
        <v>195.63810409379693</v>
      </c>
      <c r="K89" s="7">
        <f t="shared" si="33"/>
        <v>174.31192564544222</v>
      </c>
      <c r="L89" s="7">
        <f t="shared" si="34"/>
        <v>178.3036813648753</v>
      </c>
      <c r="M89" s="7">
        <f t="shared" si="35"/>
        <v>195.63810409379693</v>
      </c>
      <c r="N89" s="22"/>
      <c r="O89" s="7">
        <f t="shared" si="36"/>
        <v>16.198429006395184</v>
      </c>
      <c r="P89" s="7">
        <f t="shared" si="37"/>
        <v>16.566575120176896</v>
      </c>
      <c r="Q89" s="7">
        <f t="shared" si="38"/>
        <v>18.196936481210177</v>
      </c>
      <c r="R89" s="7">
        <f t="shared" si="39"/>
        <v>16.198429006395184</v>
      </c>
      <c r="S89" s="7">
        <f t="shared" si="40"/>
        <v>16.566575120176896</v>
      </c>
      <c r="T89" s="7">
        <f t="shared" si="41"/>
        <v>18.196936481210177</v>
      </c>
      <c r="U89" s="7">
        <f t="shared" si="42"/>
        <v>16.198429006395184</v>
      </c>
      <c r="V89" s="7">
        <f t="shared" si="43"/>
        <v>16.566575120176896</v>
      </c>
      <c r="W89" s="7">
        <f t="shared" si="44"/>
        <v>18.196936481210177</v>
      </c>
      <c r="X89" s="22"/>
      <c r="Y89" s="24">
        <v>0.48923071598898177</v>
      </c>
      <c r="Z89" s="22"/>
      <c r="AA89" s="24">
        <v>1.075</v>
      </c>
    </row>
    <row r="90" spans="1:27" hidden="1" x14ac:dyDescent="0.25">
      <c r="A90" s="16"/>
      <c r="B90" s="3" t="s">
        <v>139</v>
      </c>
      <c r="C90" s="3" t="s">
        <v>140</v>
      </c>
      <c r="D90" s="11" t="s">
        <v>6</v>
      </c>
      <c r="E90" s="7">
        <f t="shared" si="27"/>
        <v>164.3181558297303</v>
      </c>
      <c r="F90" s="7">
        <f t="shared" si="28"/>
        <v>168.08105349672175</v>
      </c>
      <c r="G90" s="7">
        <f t="shared" si="29"/>
        <v>184.42164731807074</v>
      </c>
      <c r="H90" s="7">
        <f t="shared" si="30"/>
        <v>164.3181558297303</v>
      </c>
      <c r="I90" s="7">
        <f t="shared" si="31"/>
        <v>168.08105349672175</v>
      </c>
      <c r="J90" s="7">
        <f t="shared" si="32"/>
        <v>184.42164731807074</v>
      </c>
      <c r="K90" s="7">
        <f t="shared" si="33"/>
        <v>164.3181558297303</v>
      </c>
      <c r="L90" s="7">
        <f t="shared" si="34"/>
        <v>168.08105349672175</v>
      </c>
      <c r="M90" s="7">
        <f t="shared" si="35"/>
        <v>184.42164731807074</v>
      </c>
      <c r="N90" s="22"/>
      <c r="O90" s="7">
        <f t="shared" si="36"/>
        <v>15.269729663153791</v>
      </c>
      <c r="P90" s="7">
        <f t="shared" si="37"/>
        <v>15.616768973680015</v>
      </c>
      <c r="Q90" s="7">
        <f t="shared" si="38"/>
        <v>17.153657348867572</v>
      </c>
      <c r="R90" s="7">
        <f t="shared" si="39"/>
        <v>15.269729663153791</v>
      </c>
      <c r="S90" s="7">
        <f t="shared" si="40"/>
        <v>15.616768973680015</v>
      </c>
      <c r="T90" s="7">
        <f t="shared" si="41"/>
        <v>17.153657348867572</v>
      </c>
      <c r="U90" s="7">
        <f t="shared" si="42"/>
        <v>15.269729663153791</v>
      </c>
      <c r="V90" s="7">
        <f t="shared" si="43"/>
        <v>15.616768973680015</v>
      </c>
      <c r="W90" s="7">
        <f t="shared" si="44"/>
        <v>17.153657348867572</v>
      </c>
      <c r="X90" s="22"/>
      <c r="Y90" s="24">
        <v>0.47670234962393204</v>
      </c>
      <c r="Z90" s="22"/>
      <c r="AA90" s="24">
        <v>1.04</v>
      </c>
    </row>
    <row r="91" spans="1:27" hidden="1" x14ac:dyDescent="0.25">
      <c r="A91" s="16"/>
      <c r="B91" s="3" t="s">
        <v>141</v>
      </c>
      <c r="C91" s="3" t="s">
        <v>141</v>
      </c>
      <c r="D91" s="11" t="s">
        <v>6</v>
      </c>
      <c r="E91" s="7">
        <f t="shared" si="27"/>
        <v>224.40918553111982</v>
      </c>
      <c r="F91" s="7">
        <f t="shared" si="28"/>
        <v>229.54817212954245</v>
      </c>
      <c r="G91" s="7">
        <f t="shared" si="29"/>
        <v>251.86450918935935</v>
      </c>
      <c r="H91" s="7">
        <f t="shared" si="30"/>
        <v>224.40918553111982</v>
      </c>
      <c r="I91" s="7">
        <f t="shared" si="31"/>
        <v>229.54817212954245</v>
      </c>
      <c r="J91" s="7">
        <f t="shared" si="32"/>
        <v>251.86450918935935</v>
      </c>
      <c r="K91" s="7">
        <f t="shared" si="33"/>
        <v>224.40918553111982</v>
      </c>
      <c r="L91" s="7">
        <f t="shared" si="34"/>
        <v>229.54817212954245</v>
      </c>
      <c r="M91" s="7">
        <f t="shared" si="35"/>
        <v>251.86450918935935</v>
      </c>
      <c r="N91" s="22"/>
      <c r="O91" s="7">
        <f t="shared" si="36"/>
        <v>20.853858660265782</v>
      </c>
      <c r="P91" s="7">
        <f t="shared" si="37"/>
        <v>21.327809993453641</v>
      </c>
      <c r="Q91" s="7">
        <f t="shared" si="38"/>
        <v>23.426737326142728</v>
      </c>
      <c r="R91" s="7">
        <f t="shared" si="39"/>
        <v>20.853858660265782</v>
      </c>
      <c r="S91" s="7">
        <f t="shared" si="40"/>
        <v>21.327809993453641</v>
      </c>
      <c r="T91" s="7">
        <f t="shared" si="41"/>
        <v>23.426737326142728</v>
      </c>
      <c r="U91" s="7">
        <f t="shared" si="42"/>
        <v>20.853858660265782</v>
      </c>
      <c r="V91" s="7">
        <f t="shared" si="43"/>
        <v>21.327809993453641</v>
      </c>
      <c r="W91" s="7">
        <f t="shared" si="44"/>
        <v>23.426737326142728</v>
      </c>
      <c r="X91" s="22"/>
      <c r="Y91" s="24">
        <v>0.6448317458338213</v>
      </c>
      <c r="Z91" s="22"/>
      <c r="AA91" s="24">
        <v>1.05</v>
      </c>
    </row>
    <row r="92" spans="1:27" hidden="1" x14ac:dyDescent="0.25">
      <c r="A92" s="16"/>
      <c r="B92" s="3" t="s">
        <v>142</v>
      </c>
      <c r="C92" s="3" t="s">
        <v>143</v>
      </c>
      <c r="D92" s="11" t="s">
        <v>6</v>
      </c>
      <c r="E92" s="7">
        <f t="shared" si="27"/>
        <v>271.8550382485854</v>
      </c>
      <c r="F92" s="7">
        <f t="shared" si="28"/>
        <v>278.08053830985369</v>
      </c>
      <c r="G92" s="7">
        <f t="shared" si="29"/>
        <v>305.11512092110576</v>
      </c>
      <c r="H92" s="7">
        <f t="shared" si="30"/>
        <v>271.8550382485854</v>
      </c>
      <c r="I92" s="7">
        <f t="shared" si="31"/>
        <v>278.08053830985369</v>
      </c>
      <c r="J92" s="7">
        <f t="shared" si="32"/>
        <v>305.11512092110576</v>
      </c>
      <c r="K92" s="7">
        <f t="shared" si="33"/>
        <v>271.8550382485854</v>
      </c>
      <c r="L92" s="7">
        <f t="shared" si="34"/>
        <v>278.08053830985369</v>
      </c>
      <c r="M92" s="7">
        <f t="shared" si="35"/>
        <v>305.11512092110576</v>
      </c>
      <c r="N92" s="22"/>
      <c r="O92" s="7">
        <f t="shared" si="36"/>
        <v>25.262898799349596</v>
      </c>
      <c r="P92" s="7">
        <f t="shared" si="37"/>
        <v>25.837055590243903</v>
      </c>
      <c r="Q92" s="7">
        <f t="shared" si="38"/>
        <v>28.3797499499187</v>
      </c>
      <c r="R92" s="7">
        <f t="shared" si="39"/>
        <v>25.262898799349596</v>
      </c>
      <c r="S92" s="7">
        <f t="shared" si="40"/>
        <v>25.837055590243903</v>
      </c>
      <c r="T92" s="7">
        <f t="shared" si="41"/>
        <v>28.3797499499187</v>
      </c>
      <c r="U92" s="7">
        <f t="shared" si="42"/>
        <v>25.262898799349596</v>
      </c>
      <c r="V92" s="7">
        <f t="shared" si="43"/>
        <v>25.837055590243903</v>
      </c>
      <c r="W92" s="7">
        <f t="shared" si="44"/>
        <v>28.3797499499187</v>
      </c>
      <c r="X92" s="22"/>
      <c r="Y92" s="24">
        <v>0.78867691056910572</v>
      </c>
      <c r="Z92" s="22"/>
      <c r="AA92" s="24">
        <v>1.04</v>
      </c>
    </row>
    <row r="93" spans="1:27" hidden="1" x14ac:dyDescent="0.25">
      <c r="A93" s="16"/>
      <c r="B93" s="3" t="s">
        <v>144</v>
      </c>
      <c r="C93" s="3" t="s">
        <v>145</v>
      </c>
      <c r="D93" s="11" t="s">
        <v>6</v>
      </c>
      <c r="E93" s="7">
        <f t="shared" si="27"/>
        <v>167.99827778779343</v>
      </c>
      <c r="F93" s="7">
        <f t="shared" si="28"/>
        <v>171.84545051410694</v>
      </c>
      <c r="G93" s="7">
        <f t="shared" si="29"/>
        <v>188.55201349952114</v>
      </c>
      <c r="H93" s="7">
        <f t="shared" si="30"/>
        <v>167.99827778779343</v>
      </c>
      <c r="I93" s="7">
        <f t="shared" si="31"/>
        <v>171.84545051410694</v>
      </c>
      <c r="J93" s="7">
        <f t="shared" si="32"/>
        <v>188.55201349952114</v>
      </c>
      <c r="K93" s="7">
        <f t="shared" si="33"/>
        <v>167.99827778779343</v>
      </c>
      <c r="L93" s="7">
        <f t="shared" si="34"/>
        <v>171.84545051410694</v>
      </c>
      <c r="M93" s="7">
        <f t="shared" si="35"/>
        <v>188.55201349952114</v>
      </c>
      <c r="N93" s="22"/>
      <c r="O93" s="7">
        <f t="shared" si="36"/>
        <v>15.611715411127317</v>
      </c>
      <c r="P93" s="7">
        <f t="shared" si="37"/>
        <v>15.966527125016574</v>
      </c>
      <c r="Q93" s="7">
        <f t="shared" si="38"/>
        <v>17.537836143668997</v>
      </c>
      <c r="R93" s="7">
        <f t="shared" si="39"/>
        <v>15.611715411127317</v>
      </c>
      <c r="S93" s="7">
        <f t="shared" si="40"/>
        <v>15.966527125016574</v>
      </c>
      <c r="T93" s="7">
        <f t="shared" si="41"/>
        <v>17.537836143668997</v>
      </c>
      <c r="U93" s="7">
        <f t="shared" si="42"/>
        <v>15.611715411127317</v>
      </c>
      <c r="V93" s="7">
        <f t="shared" si="43"/>
        <v>15.966527125016574</v>
      </c>
      <c r="W93" s="7">
        <f t="shared" si="44"/>
        <v>17.537836143668997</v>
      </c>
      <c r="X93" s="22"/>
      <c r="Y93" s="24">
        <v>0.48044917249730157</v>
      </c>
      <c r="Z93" s="22"/>
      <c r="AA93" s="24">
        <v>1.0549999999999999</v>
      </c>
    </row>
    <row r="94" spans="1:27" hidden="1" x14ac:dyDescent="0.25">
      <c r="A94" s="16"/>
      <c r="B94" s="3" t="s">
        <v>146</v>
      </c>
      <c r="C94" s="3" t="s">
        <v>147</v>
      </c>
      <c r="D94" s="11" t="s">
        <v>6</v>
      </c>
      <c r="E94" s="7">
        <f t="shared" si="27"/>
        <v>212.1322231003499</v>
      </c>
      <c r="F94" s="7">
        <f t="shared" si="28"/>
        <v>216.99006637011715</v>
      </c>
      <c r="G94" s="7">
        <f t="shared" si="29"/>
        <v>238.08552278270324</v>
      </c>
      <c r="H94" s="7">
        <f t="shared" si="30"/>
        <v>212.1322231003499</v>
      </c>
      <c r="I94" s="7">
        <f t="shared" si="31"/>
        <v>216.99006637011715</v>
      </c>
      <c r="J94" s="7">
        <f t="shared" si="32"/>
        <v>238.08552278270324</v>
      </c>
      <c r="K94" s="7">
        <f t="shared" si="33"/>
        <v>212.1322231003499</v>
      </c>
      <c r="L94" s="7">
        <f t="shared" si="34"/>
        <v>216.99006637011715</v>
      </c>
      <c r="M94" s="7">
        <f t="shared" si="35"/>
        <v>238.08552278270324</v>
      </c>
      <c r="N94" s="22"/>
      <c r="O94" s="7">
        <f t="shared" si="36"/>
        <v>19.712987181664182</v>
      </c>
      <c r="P94" s="7">
        <f t="shared" si="37"/>
        <v>20.161009617611096</v>
      </c>
      <c r="Q94" s="7">
        <f t="shared" si="38"/>
        <v>22.145108976804568</v>
      </c>
      <c r="R94" s="7">
        <f t="shared" si="39"/>
        <v>19.712987181664182</v>
      </c>
      <c r="S94" s="7">
        <f t="shared" si="40"/>
        <v>20.161009617611096</v>
      </c>
      <c r="T94" s="7">
        <f t="shared" si="41"/>
        <v>22.145108976804568</v>
      </c>
      <c r="U94" s="7">
        <f t="shared" si="42"/>
        <v>19.712987181664182</v>
      </c>
      <c r="V94" s="7">
        <f t="shared" si="43"/>
        <v>20.161009617611096</v>
      </c>
      <c r="W94" s="7">
        <f t="shared" si="44"/>
        <v>22.145108976804568</v>
      </c>
      <c r="X94" s="22"/>
      <c r="Y94" s="24">
        <v>0.61541543399301268</v>
      </c>
      <c r="Z94" s="22"/>
      <c r="AA94" s="24">
        <v>1.04</v>
      </c>
    </row>
    <row r="95" spans="1:27" hidden="1" x14ac:dyDescent="0.25">
      <c r="A95" s="16"/>
      <c r="B95" s="3" t="s">
        <v>148</v>
      </c>
      <c r="C95" s="3" t="s">
        <v>149</v>
      </c>
      <c r="D95" s="11" t="s">
        <v>6</v>
      </c>
      <c r="E95" s="7">
        <f t="shared" si="27"/>
        <v>277.66264741463419</v>
      </c>
      <c r="F95" s="7">
        <f t="shared" si="28"/>
        <v>284.02114214634145</v>
      </c>
      <c r="G95" s="7">
        <f t="shared" si="29"/>
        <v>311.63326156097565</v>
      </c>
      <c r="H95" s="7">
        <f t="shared" si="30"/>
        <v>277.66264741463419</v>
      </c>
      <c r="I95" s="7">
        <f t="shared" si="31"/>
        <v>284.02114214634145</v>
      </c>
      <c r="J95" s="7">
        <f t="shared" si="32"/>
        <v>311.63326156097565</v>
      </c>
      <c r="K95" s="7">
        <f t="shared" si="33"/>
        <v>277.66264741463419</v>
      </c>
      <c r="L95" s="7">
        <f t="shared" si="34"/>
        <v>284.02114214634145</v>
      </c>
      <c r="M95" s="7">
        <f t="shared" si="35"/>
        <v>311.63326156097565</v>
      </c>
      <c r="N95" s="22"/>
      <c r="O95" s="7">
        <f t="shared" si="36"/>
        <v>25.802587317073176</v>
      </c>
      <c r="P95" s="7">
        <f t="shared" si="37"/>
        <v>26.389009756097561</v>
      </c>
      <c r="Q95" s="7">
        <f t="shared" si="38"/>
        <v>28.98602341463415</v>
      </c>
      <c r="R95" s="7">
        <f t="shared" si="39"/>
        <v>25.802587317073176</v>
      </c>
      <c r="S95" s="7">
        <f t="shared" si="40"/>
        <v>26.389009756097561</v>
      </c>
      <c r="T95" s="7">
        <f t="shared" si="41"/>
        <v>28.98602341463415</v>
      </c>
      <c r="U95" s="7">
        <f t="shared" si="42"/>
        <v>25.802587317073176</v>
      </c>
      <c r="V95" s="7">
        <f t="shared" si="43"/>
        <v>26.389009756097561</v>
      </c>
      <c r="W95" s="7">
        <f t="shared" si="44"/>
        <v>28.98602341463415</v>
      </c>
      <c r="X95" s="22"/>
      <c r="Y95" s="24">
        <v>0.79785365853658541</v>
      </c>
      <c r="Z95" s="22"/>
      <c r="AA95" s="24">
        <v>1.05</v>
      </c>
    </row>
    <row r="96" spans="1:27" hidden="1" x14ac:dyDescent="0.25">
      <c r="A96" s="16"/>
      <c r="B96" s="3" t="s">
        <v>150</v>
      </c>
      <c r="C96" s="3" t="s">
        <v>151</v>
      </c>
      <c r="D96" s="11" t="s">
        <v>6</v>
      </c>
      <c r="E96" s="7">
        <f t="shared" si="27"/>
        <v>228.20368023802047</v>
      </c>
      <c r="F96" s="7">
        <f t="shared" si="28"/>
        <v>233.42956103999541</v>
      </c>
      <c r="G96" s="7">
        <f t="shared" si="29"/>
        <v>256.12324104435567</v>
      </c>
      <c r="H96" s="7">
        <f t="shared" si="30"/>
        <v>228.20368023802047</v>
      </c>
      <c r="I96" s="7">
        <f t="shared" si="31"/>
        <v>233.42956103999541</v>
      </c>
      <c r="J96" s="7">
        <f t="shared" si="32"/>
        <v>256.12324104435567</v>
      </c>
      <c r="K96" s="7">
        <f t="shared" si="33"/>
        <v>228.20368023802047</v>
      </c>
      <c r="L96" s="7">
        <f t="shared" si="34"/>
        <v>233.42956103999541</v>
      </c>
      <c r="M96" s="7">
        <f t="shared" si="35"/>
        <v>256.12324104435567</v>
      </c>
      <c r="N96" s="22"/>
      <c r="O96" s="7">
        <f t="shared" si="36"/>
        <v>21.206472819608468</v>
      </c>
      <c r="P96" s="7">
        <f t="shared" si="37"/>
        <v>21.688438110963208</v>
      </c>
      <c r="Q96" s="7">
        <f t="shared" si="38"/>
        <v>23.8228558298199</v>
      </c>
      <c r="R96" s="7">
        <f t="shared" si="39"/>
        <v>21.206472819608468</v>
      </c>
      <c r="S96" s="7">
        <f t="shared" si="40"/>
        <v>21.688438110963208</v>
      </c>
      <c r="T96" s="7">
        <f t="shared" si="41"/>
        <v>23.8228558298199</v>
      </c>
      <c r="U96" s="7">
        <f t="shared" si="42"/>
        <v>21.206472819608468</v>
      </c>
      <c r="V96" s="7">
        <f t="shared" si="43"/>
        <v>21.688438110963208</v>
      </c>
      <c r="W96" s="7">
        <f t="shared" si="44"/>
        <v>23.8228558298199</v>
      </c>
      <c r="X96" s="22"/>
      <c r="Y96" s="10">
        <v>0.64048543701626304</v>
      </c>
      <c r="Z96" s="22"/>
      <c r="AA96" s="10">
        <v>1.075</v>
      </c>
    </row>
    <row r="97" spans="1:27" hidden="1" x14ac:dyDescent="0.25">
      <c r="A97" s="16"/>
      <c r="B97" s="3" t="s">
        <v>152</v>
      </c>
      <c r="C97" s="3" t="s">
        <v>153</v>
      </c>
      <c r="D97" s="11" t="s">
        <v>6</v>
      </c>
      <c r="E97" s="7">
        <f t="shared" si="27"/>
        <v>176.74262113991662</v>
      </c>
      <c r="F97" s="7">
        <f t="shared" si="28"/>
        <v>180.79003996218299</v>
      </c>
      <c r="G97" s="7">
        <f t="shared" si="29"/>
        <v>198.36618283199851</v>
      </c>
      <c r="H97" s="7">
        <f t="shared" si="30"/>
        <v>176.74262113991662</v>
      </c>
      <c r="I97" s="7">
        <f t="shared" si="31"/>
        <v>180.79003996218299</v>
      </c>
      <c r="J97" s="7">
        <f t="shared" si="32"/>
        <v>198.36618283199851</v>
      </c>
      <c r="K97" s="7">
        <f t="shared" si="33"/>
        <v>176.74262113991662</v>
      </c>
      <c r="L97" s="7">
        <f t="shared" si="34"/>
        <v>180.79003996218299</v>
      </c>
      <c r="M97" s="7">
        <f t="shared" si="35"/>
        <v>198.36618283199851</v>
      </c>
      <c r="N97" s="22"/>
      <c r="O97" s="7">
        <f t="shared" si="36"/>
        <v>16.424308264269346</v>
      </c>
      <c r="P97" s="7">
        <f t="shared" si="37"/>
        <v>16.797587997548195</v>
      </c>
      <c r="Q97" s="7">
        <f t="shared" si="38"/>
        <v>18.45068395921167</v>
      </c>
      <c r="R97" s="7">
        <f t="shared" si="39"/>
        <v>16.424308264269346</v>
      </c>
      <c r="S97" s="7">
        <f t="shared" si="40"/>
        <v>16.797587997548195</v>
      </c>
      <c r="T97" s="7">
        <f t="shared" si="41"/>
        <v>18.45068395921167</v>
      </c>
      <c r="U97" s="7">
        <f t="shared" si="42"/>
        <v>16.424308264269346</v>
      </c>
      <c r="V97" s="7">
        <f t="shared" si="43"/>
        <v>16.797587997548195</v>
      </c>
      <c r="W97" s="7">
        <f t="shared" si="44"/>
        <v>18.45068395921167</v>
      </c>
      <c r="X97" s="22"/>
      <c r="Y97" s="10">
        <v>0.50545664628144726</v>
      </c>
      <c r="Z97" s="22"/>
      <c r="AA97" s="10">
        <v>1.0549999999999999</v>
      </c>
    </row>
    <row r="98" spans="1:27" hidden="1" x14ac:dyDescent="0.25">
      <c r="A98" s="16"/>
      <c r="B98" s="3" t="s">
        <v>154</v>
      </c>
      <c r="C98" s="3" t="s">
        <v>155</v>
      </c>
      <c r="D98" s="11" t="s">
        <v>6</v>
      </c>
      <c r="E98" s="7">
        <f t="shared" si="27"/>
        <v>181.80413199759201</v>
      </c>
      <c r="F98" s="7">
        <f t="shared" si="28"/>
        <v>185.96745978500968</v>
      </c>
      <c r="G98" s="7">
        <f t="shared" si="29"/>
        <v>204.04694382628605</v>
      </c>
      <c r="H98" s="7">
        <f t="shared" si="30"/>
        <v>181.80413199759201</v>
      </c>
      <c r="I98" s="7">
        <f t="shared" si="31"/>
        <v>185.96745978500968</v>
      </c>
      <c r="J98" s="7">
        <f t="shared" si="32"/>
        <v>204.04694382628605</v>
      </c>
      <c r="K98" s="7">
        <f t="shared" si="33"/>
        <v>181.80413199759201</v>
      </c>
      <c r="L98" s="7">
        <f t="shared" si="34"/>
        <v>185.96745978500968</v>
      </c>
      <c r="M98" s="7">
        <f t="shared" si="35"/>
        <v>204.04694382628605</v>
      </c>
      <c r="N98" s="22"/>
      <c r="O98" s="7">
        <f t="shared" si="36"/>
        <v>16.894663485173286</v>
      </c>
      <c r="P98" s="7">
        <f t="shared" si="37"/>
        <v>17.278633109836314</v>
      </c>
      <c r="Q98" s="7">
        <f t="shared" si="38"/>
        <v>18.979070019058302</v>
      </c>
      <c r="R98" s="7">
        <f t="shared" si="39"/>
        <v>16.894663485173286</v>
      </c>
      <c r="S98" s="7">
        <f t="shared" si="40"/>
        <v>17.278633109836314</v>
      </c>
      <c r="T98" s="7">
        <f t="shared" si="41"/>
        <v>18.979070019058302</v>
      </c>
      <c r="U98" s="7">
        <f t="shared" si="42"/>
        <v>16.894663485173286</v>
      </c>
      <c r="V98" s="7">
        <f t="shared" si="43"/>
        <v>17.278633109836314</v>
      </c>
      <c r="W98" s="7">
        <f t="shared" si="44"/>
        <v>18.979070019058302</v>
      </c>
      <c r="X98" s="22"/>
      <c r="Y98" s="10">
        <v>0.52743080310855661</v>
      </c>
      <c r="Z98" s="22"/>
      <c r="AA98" s="10">
        <v>1.04</v>
      </c>
    </row>
    <row r="99" spans="1:27" hidden="1" x14ac:dyDescent="0.25">
      <c r="A99" s="16"/>
      <c r="B99" s="3" t="s">
        <v>156</v>
      </c>
      <c r="C99" s="3" t="s">
        <v>157</v>
      </c>
      <c r="D99" s="11" t="s">
        <v>6</v>
      </c>
      <c r="E99" s="7">
        <f t="shared" si="27"/>
        <v>211.57046408422676</v>
      </c>
      <c r="F99" s="7">
        <f t="shared" si="28"/>
        <v>216.41544303184705</v>
      </c>
      <c r="G99" s="7">
        <f t="shared" si="29"/>
        <v>237.45503540517592</v>
      </c>
      <c r="H99" s="7">
        <f t="shared" si="30"/>
        <v>211.57046408422676</v>
      </c>
      <c r="I99" s="7">
        <f t="shared" si="31"/>
        <v>216.41544303184705</v>
      </c>
      <c r="J99" s="7">
        <f t="shared" si="32"/>
        <v>237.45503540517592</v>
      </c>
      <c r="K99" s="7">
        <f t="shared" si="33"/>
        <v>211.57046408422676</v>
      </c>
      <c r="L99" s="7">
        <f t="shared" si="34"/>
        <v>216.41544303184705</v>
      </c>
      <c r="M99" s="7">
        <f t="shared" si="35"/>
        <v>237.45503540517592</v>
      </c>
      <c r="N99" s="22"/>
      <c r="O99" s="7">
        <f t="shared" si="36"/>
        <v>19.660784135270887</v>
      </c>
      <c r="P99" s="7">
        <f t="shared" si="37"/>
        <v>20.107620138345226</v>
      </c>
      <c r="Q99" s="7">
        <f t="shared" si="38"/>
        <v>22.086465294817298</v>
      </c>
      <c r="R99" s="7">
        <f t="shared" si="39"/>
        <v>19.660784135270887</v>
      </c>
      <c r="S99" s="7">
        <f t="shared" si="40"/>
        <v>20.107620138345226</v>
      </c>
      <c r="T99" s="7">
        <f t="shared" si="41"/>
        <v>22.086465294817298</v>
      </c>
      <c r="U99" s="7">
        <f t="shared" si="42"/>
        <v>19.660784135270887</v>
      </c>
      <c r="V99" s="7">
        <f t="shared" si="43"/>
        <v>20.107620138345226</v>
      </c>
      <c r="W99" s="7">
        <f t="shared" si="44"/>
        <v>22.086465294817298</v>
      </c>
      <c r="X99" s="22"/>
      <c r="Y99" s="10">
        <v>0.61378571850870656</v>
      </c>
      <c r="Z99" s="22"/>
      <c r="AA99" s="10">
        <v>1.04</v>
      </c>
    </row>
    <row r="100" spans="1:27" hidden="1" x14ac:dyDescent="0.25">
      <c r="A100" s="16"/>
      <c r="B100" s="3" t="s">
        <v>158</v>
      </c>
      <c r="C100" s="3" t="s">
        <v>159</v>
      </c>
      <c r="D100" s="11" t="s">
        <v>6</v>
      </c>
      <c r="E100" s="7">
        <f t="shared" si="27"/>
        <v>205.83098465266522</v>
      </c>
      <c r="F100" s="7">
        <f t="shared" si="28"/>
        <v>210.54452910569967</v>
      </c>
      <c r="G100" s="7">
        <f t="shared" si="29"/>
        <v>231.0133598266502</v>
      </c>
      <c r="H100" s="7">
        <f t="shared" si="30"/>
        <v>205.83098465266522</v>
      </c>
      <c r="I100" s="7">
        <f t="shared" si="31"/>
        <v>210.54452910569967</v>
      </c>
      <c r="J100" s="7">
        <f t="shared" si="32"/>
        <v>231.0133598266502</v>
      </c>
      <c r="K100" s="7">
        <f t="shared" si="33"/>
        <v>205.83098465266522</v>
      </c>
      <c r="L100" s="7">
        <f t="shared" si="34"/>
        <v>210.54452910569967</v>
      </c>
      <c r="M100" s="7">
        <f t="shared" si="35"/>
        <v>231.0133598266502</v>
      </c>
      <c r="N100" s="22"/>
      <c r="O100" s="7">
        <f t="shared" si="36"/>
        <v>19.127426765936789</v>
      </c>
      <c r="P100" s="7">
        <f t="shared" si="37"/>
        <v>19.562141010617172</v>
      </c>
      <c r="Q100" s="7">
        <f t="shared" si="38"/>
        <v>21.487304094201718</v>
      </c>
      <c r="R100" s="7">
        <f t="shared" si="39"/>
        <v>19.127426765936789</v>
      </c>
      <c r="S100" s="7">
        <f t="shared" si="40"/>
        <v>19.562141010617172</v>
      </c>
      <c r="T100" s="7">
        <f t="shared" si="41"/>
        <v>21.487304094201718</v>
      </c>
      <c r="U100" s="7">
        <f t="shared" si="42"/>
        <v>19.127426765936789</v>
      </c>
      <c r="V100" s="7">
        <f t="shared" si="43"/>
        <v>19.562141010617172</v>
      </c>
      <c r="W100" s="7">
        <f t="shared" si="44"/>
        <v>21.487304094201718</v>
      </c>
      <c r="X100" s="22"/>
      <c r="Y100" s="10">
        <v>0.59144795194609734</v>
      </c>
      <c r="Z100" s="22"/>
      <c r="AA100" s="10">
        <v>1.05</v>
      </c>
    </row>
    <row r="101" spans="1:27" hidden="1" x14ac:dyDescent="0.25">
      <c r="A101" s="16"/>
      <c r="B101" s="3" t="s">
        <v>160</v>
      </c>
      <c r="C101" s="3" t="s">
        <v>161</v>
      </c>
      <c r="D101" s="11" t="s">
        <v>6</v>
      </c>
      <c r="E101" s="7">
        <f t="shared" ref="E101:E132" si="45">(331.44*$Y101)*$AA101</f>
        <v>354.30261798224149</v>
      </c>
      <c r="F101" s="7">
        <f t="shared" ref="F101:F132" si="46">(339.03*$Y101)*$AA101</f>
        <v>362.41617358954664</v>
      </c>
      <c r="G101" s="7">
        <f t="shared" ref="G101:G132" si="47">(371.99*$Y101)*$AA101</f>
        <v>397.64974313062407</v>
      </c>
      <c r="H101" s="7">
        <f t="shared" ref="H101:H132" si="48">(331.44*$Y101)*$AA101</f>
        <v>354.30261798224149</v>
      </c>
      <c r="I101" s="7">
        <f t="shared" ref="I101:I132" si="49">(339.03*$Y101)*$AA101</f>
        <v>362.41617358954664</v>
      </c>
      <c r="J101" s="7">
        <f t="shared" ref="J101:J132" si="50">(371.99*$Y101)*$AA101</f>
        <v>397.64974313062407</v>
      </c>
      <c r="K101" s="7">
        <f t="shared" ref="K101:K132" si="51">(331.44*$Y101)*$AA101</f>
        <v>354.30261798224149</v>
      </c>
      <c r="L101" s="7">
        <f t="shared" ref="L101:L132" si="52">(339.03*$Y101)*$AA101</f>
        <v>362.41617358954664</v>
      </c>
      <c r="M101" s="7">
        <f t="shared" ref="M101:M132" si="53">(371.99*$Y101)*$AA101</f>
        <v>397.64974313062407</v>
      </c>
      <c r="N101" s="22"/>
      <c r="O101" s="7">
        <f t="shared" si="36"/>
        <v>32.924573478919378</v>
      </c>
      <c r="P101" s="7">
        <f t="shared" si="37"/>
        <v>33.672859239803913</v>
      </c>
      <c r="Q101" s="7">
        <f t="shared" si="38"/>
        <v>36.98669618086398</v>
      </c>
      <c r="R101" s="7">
        <f t="shared" si="39"/>
        <v>32.924573478919378</v>
      </c>
      <c r="S101" s="7">
        <f t="shared" si="40"/>
        <v>33.672859239803913</v>
      </c>
      <c r="T101" s="7">
        <f t="shared" si="41"/>
        <v>36.98669618086398</v>
      </c>
      <c r="U101" s="7">
        <f t="shared" si="42"/>
        <v>32.924573478919378</v>
      </c>
      <c r="V101" s="7">
        <f t="shared" si="43"/>
        <v>33.672859239803913</v>
      </c>
      <c r="W101" s="7">
        <f t="shared" si="44"/>
        <v>36.98669618086398</v>
      </c>
      <c r="X101" s="22"/>
      <c r="Y101" s="10">
        <v>0.92153418828144262</v>
      </c>
      <c r="Z101" s="22"/>
      <c r="AA101" s="10">
        <v>1.1599999999999999</v>
      </c>
    </row>
    <row r="102" spans="1:27" hidden="1" x14ac:dyDescent="0.25">
      <c r="A102" s="16"/>
      <c r="B102" s="3" t="s">
        <v>162</v>
      </c>
      <c r="C102" s="3" t="s">
        <v>163</v>
      </c>
      <c r="D102" s="11" t="s">
        <v>6</v>
      </c>
      <c r="E102" s="7">
        <f t="shared" si="45"/>
        <v>252.96199338199852</v>
      </c>
      <c r="F102" s="7">
        <f t="shared" si="46"/>
        <v>258.75484134775212</v>
      </c>
      <c r="G102" s="7">
        <f t="shared" si="47"/>
        <v>283.91060800799431</v>
      </c>
      <c r="H102" s="7">
        <f t="shared" si="48"/>
        <v>252.96199338199852</v>
      </c>
      <c r="I102" s="7">
        <f t="shared" si="49"/>
        <v>258.75484134775212</v>
      </c>
      <c r="J102" s="7">
        <f t="shared" si="50"/>
        <v>283.91060800799431</v>
      </c>
      <c r="K102" s="7">
        <f t="shared" si="51"/>
        <v>252.96199338199852</v>
      </c>
      <c r="L102" s="7">
        <f t="shared" si="52"/>
        <v>258.75484134775212</v>
      </c>
      <c r="M102" s="7">
        <f t="shared" si="53"/>
        <v>283.91060800799431</v>
      </c>
      <c r="N102" s="22"/>
      <c r="O102" s="7">
        <f t="shared" si="36"/>
        <v>23.507209136391367</v>
      </c>
      <c r="P102" s="7">
        <f t="shared" si="37"/>
        <v>24.041463889491173</v>
      </c>
      <c r="Q102" s="7">
        <f t="shared" si="38"/>
        <v>26.407449224647447</v>
      </c>
      <c r="R102" s="7">
        <f t="shared" si="39"/>
        <v>23.507209136391367</v>
      </c>
      <c r="S102" s="7">
        <f t="shared" si="40"/>
        <v>24.041463889491173</v>
      </c>
      <c r="T102" s="7">
        <f t="shared" si="41"/>
        <v>26.407449224647447</v>
      </c>
      <c r="U102" s="7">
        <f t="shared" si="42"/>
        <v>23.507209136391367</v>
      </c>
      <c r="V102" s="7">
        <f t="shared" si="43"/>
        <v>24.041463889491173</v>
      </c>
      <c r="W102" s="7">
        <f t="shared" si="44"/>
        <v>26.407449224647447</v>
      </c>
      <c r="X102" s="22"/>
      <c r="Y102" s="10">
        <v>0.72687721510177383</v>
      </c>
      <c r="Z102" s="22"/>
      <c r="AA102" s="10">
        <v>1.05</v>
      </c>
    </row>
    <row r="103" spans="1:27" hidden="1" x14ac:dyDescent="0.25">
      <c r="A103" s="16"/>
      <c r="B103" s="3" t="s">
        <v>164</v>
      </c>
      <c r="C103" s="3" t="s">
        <v>165</v>
      </c>
      <c r="D103" s="11" t="s">
        <v>6</v>
      </c>
      <c r="E103" s="7">
        <f t="shared" si="45"/>
        <v>169.04980721305591</v>
      </c>
      <c r="F103" s="7">
        <f t="shared" si="46"/>
        <v>172.92106003935055</v>
      </c>
      <c r="G103" s="7">
        <f t="shared" si="47"/>
        <v>189.73219220729143</v>
      </c>
      <c r="H103" s="7">
        <f t="shared" si="48"/>
        <v>169.04980721305591</v>
      </c>
      <c r="I103" s="7">
        <f t="shared" si="49"/>
        <v>172.92106003935055</v>
      </c>
      <c r="J103" s="7">
        <f t="shared" si="50"/>
        <v>189.73219220729143</v>
      </c>
      <c r="K103" s="7">
        <f t="shared" si="51"/>
        <v>169.04980721305591</v>
      </c>
      <c r="L103" s="7">
        <f t="shared" si="52"/>
        <v>172.92106003935055</v>
      </c>
      <c r="M103" s="7">
        <f t="shared" si="53"/>
        <v>189.73219220729143</v>
      </c>
      <c r="N103" s="22"/>
      <c r="O103" s="7">
        <f t="shared" si="36"/>
        <v>15.709431758876786</v>
      </c>
      <c r="P103" s="7">
        <f t="shared" si="37"/>
        <v>16.066464298851258</v>
      </c>
      <c r="Q103" s="7">
        <f t="shared" si="38"/>
        <v>17.647608404452495</v>
      </c>
      <c r="R103" s="7">
        <f t="shared" si="39"/>
        <v>15.709431758876786</v>
      </c>
      <c r="S103" s="7">
        <f t="shared" si="40"/>
        <v>16.066464298851258</v>
      </c>
      <c r="T103" s="7">
        <f t="shared" si="41"/>
        <v>17.647608404452495</v>
      </c>
      <c r="U103" s="7">
        <f t="shared" si="42"/>
        <v>15.709431758876786</v>
      </c>
      <c r="V103" s="7">
        <f t="shared" si="43"/>
        <v>16.066464298851258</v>
      </c>
      <c r="W103" s="7">
        <f t="shared" si="44"/>
        <v>17.647608404452495</v>
      </c>
      <c r="X103" s="22"/>
      <c r="Y103" s="10">
        <v>0.49042931315174781</v>
      </c>
      <c r="Z103" s="22"/>
      <c r="AA103" s="10">
        <v>1.04</v>
      </c>
    </row>
    <row r="104" spans="1:27" hidden="1" x14ac:dyDescent="0.25">
      <c r="A104" s="16"/>
      <c r="B104" s="3" t="s">
        <v>166</v>
      </c>
      <c r="C104" s="3" t="s">
        <v>167</v>
      </c>
      <c r="D104" s="11" t="s">
        <v>6</v>
      </c>
      <c r="E104" s="7">
        <f t="shared" si="45"/>
        <v>168.50598229981094</v>
      </c>
      <c r="F104" s="7">
        <f t="shared" si="46"/>
        <v>172.3647814962132</v>
      </c>
      <c r="G104" s="7">
        <f t="shared" si="47"/>
        <v>189.12183307900881</v>
      </c>
      <c r="H104" s="7">
        <f t="shared" si="48"/>
        <v>168.50598229981094</v>
      </c>
      <c r="I104" s="7">
        <f t="shared" si="49"/>
        <v>172.3647814962132</v>
      </c>
      <c r="J104" s="7">
        <f t="shared" si="50"/>
        <v>189.12183307900881</v>
      </c>
      <c r="K104" s="7">
        <f t="shared" si="51"/>
        <v>168.50598229981094</v>
      </c>
      <c r="L104" s="7">
        <f t="shared" si="52"/>
        <v>172.3647814962132</v>
      </c>
      <c r="M104" s="7">
        <f t="shared" si="53"/>
        <v>189.12183307900881</v>
      </c>
      <c r="N104" s="22"/>
      <c r="O104" s="7">
        <f t="shared" si="36"/>
        <v>15.658895289748303</v>
      </c>
      <c r="P104" s="7">
        <f t="shared" si="37"/>
        <v>16.014779273606219</v>
      </c>
      <c r="Q104" s="7">
        <f t="shared" si="38"/>
        <v>17.590836916405564</v>
      </c>
      <c r="R104" s="7">
        <f t="shared" si="39"/>
        <v>15.658895289748303</v>
      </c>
      <c r="S104" s="7">
        <f t="shared" si="40"/>
        <v>16.014779273606219</v>
      </c>
      <c r="T104" s="7">
        <f t="shared" si="41"/>
        <v>17.590836916405564</v>
      </c>
      <c r="U104" s="7">
        <f t="shared" si="42"/>
        <v>15.658895289748303</v>
      </c>
      <c r="V104" s="7">
        <f t="shared" si="43"/>
        <v>16.014779273606219</v>
      </c>
      <c r="W104" s="7">
        <f t="shared" si="44"/>
        <v>17.590836916405564</v>
      </c>
      <c r="X104" s="22"/>
      <c r="Y104" s="10">
        <v>0.43828076829792612</v>
      </c>
      <c r="Z104" s="22"/>
      <c r="AA104" s="10">
        <v>1.1599999999999999</v>
      </c>
    </row>
    <row r="105" spans="1:27" hidden="1" x14ac:dyDescent="0.25">
      <c r="A105" s="16"/>
      <c r="B105" s="3" t="s">
        <v>168</v>
      </c>
      <c r="C105" s="3" t="s">
        <v>169</v>
      </c>
      <c r="D105" s="11" t="s">
        <v>6</v>
      </c>
      <c r="E105" s="7">
        <f t="shared" si="45"/>
        <v>283.98167227317072</v>
      </c>
      <c r="F105" s="7">
        <f t="shared" si="46"/>
        <v>290.48487313170727</v>
      </c>
      <c r="G105" s="7">
        <f t="shared" si="47"/>
        <v>318.72538700487803</v>
      </c>
      <c r="H105" s="7">
        <f t="shared" si="48"/>
        <v>283.98167227317072</v>
      </c>
      <c r="I105" s="7">
        <f t="shared" si="49"/>
        <v>290.48487313170727</v>
      </c>
      <c r="J105" s="7">
        <f t="shared" si="50"/>
        <v>318.72538700487803</v>
      </c>
      <c r="K105" s="7">
        <f t="shared" si="51"/>
        <v>283.98167227317072</v>
      </c>
      <c r="L105" s="7">
        <f t="shared" si="52"/>
        <v>290.48487313170727</v>
      </c>
      <c r="M105" s="7">
        <f t="shared" si="53"/>
        <v>318.72538700487803</v>
      </c>
      <c r="N105" s="22"/>
      <c r="O105" s="7">
        <f t="shared" si="36"/>
        <v>26.389800585365855</v>
      </c>
      <c r="P105" s="7">
        <f t="shared" si="37"/>
        <v>26.989568780487804</v>
      </c>
      <c r="Q105" s="7">
        <f t="shared" si="38"/>
        <v>29.645685073170732</v>
      </c>
      <c r="R105" s="7">
        <f t="shared" si="39"/>
        <v>26.389800585365855</v>
      </c>
      <c r="S105" s="7">
        <f t="shared" si="40"/>
        <v>26.989568780487804</v>
      </c>
      <c r="T105" s="7">
        <f t="shared" si="41"/>
        <v>29.645685073170732</v>
      </c>
      <c r="U105" s="7">
        <f t="shared" si="42"/>
        <v>26.389800585365855</v>
      </c>
      <c r="V105" s="7">
        <f t="shared" si="43"/>
        <v>26.989568780487804</v>
      </c>
      <c r="W105" s="7">
        <f t="shared" si="44"/>
        <v>29.645685073170732</v>
      </c>
      <c r="X105" s="22"/>
      <c r="Y105" s="10">
        <v>0.79703414634146341</v>
      </c>
      <c r="Z105" s="22"/>
      <c r="AA105" s="10">
        <v>1.075</v>
      </c>
    </row>
    <row r="106" spans="1:27" ht="14.5" hidden="1" customHeight="1" x14ac:dyDescent="0.25">
      <c r="A106" s="16"/>
      <c r="B106" s="3" t="s">
        <v>170</v>
      </c>
      <c r="C106" s="3" t="s">
        <v>171</v>
      </c>
      <c r="D106" s="11" t="s">
        <v>6</v>
      </c>
      <c r="E106" s="7">
        <f t="shared" si="45"/>
        <v>283.18848114189836</v>
      </c>
      <c r="F106" s="7">
        <f t="shared" si="46"/>
        <v>289.67351786609282</v>
      </c>
      <c r="G106" s="7">
        <f t="shared" si="47"/>
        <v>317.83515296878704</v>
      </c>
      <c r="H106" s="7">
        <f t="shared" si="48"/>
        <v>283.18848114189836</v>
      </c>
      <c r="I106" s="7">
        <f t="shared" si="49"/>
        <v>289.67351786609282</v>
      </c>
      <c r="J106" s="7">
        <f t="shared" si="50"/>
        <v>317.83515296878704</v>
      </c>
      <c r="K106" s="7">
        <f t="shared" si="51"/>
        <v>283.18848114189836</v>
      </c>
      <c r="L106" s="7">
        <f t="shared" si="52"/>
        <v>289.67351786609282</v>
      </c>
      <c r="M106" s="7">
        <f t="shared" si="53"/>
        <v>317.83515296878704</v>
      </c>
      <c r="N106" s="22"/>
      <c r="O106" s="7">
        <f t="shared" si="36"/>
        <v>26.31609105470212</v>
      </c>
      <c r="P106" s="7">
        <f t="shared" si="37"/>
        <v>26.914184033218074</v>
      </c>
      <c r="Q106" s="7">
        <f t="shared" si="38"/>
        <v>29.562881509503029</v>
      </c>
      <c r="R106" s="7">
        <f t="shared" si="39"/>
        <v>26.31609105470212</v>
      </c>
      <c r="S106" s="7">
        <f t="shared" si="40"/>
        <v>26.914184033218074</v>
      </c>
      <c r="T106" s="7">
        <f t="shared" si="41"/>
        <v>29.562881509503029</v>
      </c>
      <c r="U106" s="7">
        <f t="shared" si="42"/>
        <v>26.31609105470212</v>
      </c>
      <c r="V106" s="7">
        <f t="shared" si="43"/>
        <v>26.914184033218074</v>
      </c>
      <c r="W106" s="7">
        <f t="shared" si="44"/>
        <v>29.562881509503029</v>
      </c>
      <c r="X106" s="22"/>
      <c r="Y106" s="10">
        <v>0.82953256382240947</v>
      </c>
      <c r="Z106" s="22"/>
      <c r="AA106" s="10">
        <v>1.03</v>
      </c>
    </row>
    <row r="107" spans="1:27" hidden="1" x14ac:dyDescent="0.25">
      <c r="A107" s="16"/>
      <c r="B107" s="3" t="s">
        <v>170</v>
      </c>
      <c r="C107" s="18" t="s">
        <v>172</v>
      </c>
      <c r="D107" s="11" t="s">
        <v>6</v>
      </c>
      <c r="E107" s="7">
        <f t="shared" si="45"/>
        <v>437.16200364878057</v>
      </c>
      <c r="F107" s="7">
        <f t="shared" si="46"/>
        <v>447.17304518780492</v>
      </c>
      <c r="G107" s="7">
        <f t="shared" si="47"/>
        <v>490.64655363658545</v>
      </c>
      <c r="H107" s="7">
        <f t="shared" si="48"/>
        <v>437.16200364878057</v>
      </c>
      <c r="I107" s="7">
        <f t="shared" si="49"/>
        <v>447.17304518780492</v>
      </c>
      <c r="J107" s="7">
        <f t="shared" si="50"/>
        <v>490.64655363658545</v>
      </c>
      <c r="K107" s="7">
        <f t="shared" si="51"/>
        <v>437.16200364878057</v>
      </c>
      <c r="L107" s="7">
        <f t="shared" si="52"/>
        <v>447.17304518780492</v>
      </c>
      <c r="M107" s="7">
        <f t="shared" si="53"/>
        <v>490.64655363658545</v>
      </c>
      <c r="N107" s="22"/>
      <c r="O107" s="7">
        <f t="shared" si="36"/>
        <v>40.624516390243905</v>
      </c>
      <c r="P107" s="7">
        <f t="shared" si="37"/>
        <v>41.547800853658543</v>
      </c>
      <c r="Q107" s="7">
        <f t="shared" si="38"/>
        <v>45.636632048780498</v>
      </c>
      <c r="R107" s="7">
        <f t="shared" si="39"/>
        <v>40.624516390243905</v>
      </c>
      <c r="S107" s="7">
        <f t="shared" si="40"/>
        <v>41.547800853658543</v>
      </c>
      <c r="T107" s="7">
        <f t="shared" si="41"/>
        <v>45.636632048780498</v>
      </c>
      <c r="U107" s="7">
        <f t="shared" si="42"/>
        <v>40.624516390243905</v>
      </c>
      <c r="V107" s="7">
        <f t="shared" si="43"/>
        <v>41.547800853658543</v>
      </c>
      <c r="W107" s="7">
        <f t="shared" si="44"/>
        <v>45.636632048780498</v>
      </c>
      <c r="X107" s="22"/>
      <c r="Y107" s="10">
        <v>1.2805609756097562</v>
      </c>
      <c r="Z107" s="22"/>
      <c r="AA107" s="10">
        <v>1.03</v>
      </c>
    </row>
    <row r="108" spans="1:27" hidden="1" x14ac:dyDescent="0.25">
      <c r="A108" s="16"/>
      <c r="B108" s="3" t="s">
        <v>173</v>
      </c>
      <c r="C108" s="3" t="s">
        <v>174</v>
      </c>
      <c r="D108" s="11" t="s">
        <v>6</v>
      </c>
      <c r="E108" s="7">
        <f t="shared" si="45"/>
        <v>346.69634487804876</v>
      </c>
      <c r="F108" s="7">
        <f t="shared" si="46"/>
        <v>354.63571628048777</v>
      </c>
      <c r="G108" s="7">
        <f t="shared" si="47"/>
        <v>389.11288115853665</v>
      </c>
      <c r="H108" s="7">
        <f t="shared" si="48"/>
        <v>346.69634487804876</v>
      </c>
      <c r="I108" s="7">
        <f t="shared" si="49"/>
        <v>354.63571628048777</v>
      </c>
      <c r="J108" s="7">
        <f t="shared" si="50"/>
        <v>389.11288115853665</v>
      </c>
      <c r="K108" s="7">
        <f t="shared" si="51"/>
        <v>346.69634487804876</v>
      </c>
      <c r="L108" s="7">
        <f t="shared" si="52"/>
        <v>354.63571628048777</v>
      </c>
      <c r="M108" s="7">
        <f t="shared" si="53"/>
        <v>389.11288115853665</v>
      </c>
      <c r="N108" s="22"/>
      <c r="O108" s="7">
        <f t="shared" si="36"/>
        <v>32.217739024390248</v>
      </c>
      <c r="P108" s="7">
        <f t="shared" si="37"/>
        <v>32.949960365853656</v>
      </c>
      <c r="Q108" s="7">
        <f t="shared" si="38"/>
        <v>36.192654878048785</v>
      </c>
      <c r="R108" s="7">
        <f t="shared" si="39"/>
        <v>32.217739024390248</v>
      </c>
      <c r="S108" s="7">
        <f t="shared" si="40"/>
        <v>32.949960365853656</v>
      </c>
      <c r="T108" s="7">
        <f t="shared" si="41"/>
        <v>36.192654878048785</v>
      </c>
      <c r="U108" s="7">
        <f t="shared" si="42"/>
        <v>32.217739024390248</v>
      </c>
      <c r="V108" s="7">
        <f t="shared" si="43"/>
        <v>32.949960365853656</v>
      </c>
      <c r="W108" s="7">
        <f t="shared" si="44"/>
        <v>36.192654878048785</v>
      </c>
      <c r="X108" s="22"/>
      <c r="Y108" s="10">
        <v>0.69735365853658537</v>
      </c>
      <c r="Z108" s="22"/>
      <c r="AA108" s="10">
        <v>1.5</v>
      </c>
    </row>
    <row r="109" spans="1:27" hidden="1" x14ac:dyDescent="0.25">
      <c r="A109" s="16"/>
      <c r="B109" s="3" t="s">
        <v>175</v>
      </c>
      <c r="C109" s="3" t="s">
        <v>176</v>
      </c>
      <c r="D109" s="11" t="s">
        <v>6</v>
      </c>
      <c r="E109" s="7">
        <f t="shared" si="45"/>
        <v>322.3397489268292</v>
      </c>
      <c r="F109" s="7">
        <f t="shared" si="46"/>
        <v>329.72135251829258</v>
      </c>
      <c r="G109" s="7">
        <f t="shared" si="47"/>
        <v>361.77637944512185</v>
      </c>
      <c r="H109" s="7">
        <f t="shared" si="48"/>
        <v>322.3397489268292</v>
      </c>
      <c r="I109" s="7">
        <f t="shared" si="49"/>
        <v>329.72135251829258</v>
      </c>
      <c r="J109" s="7">
        <f t="shared" si="50"/>
        <v>361.77637944512185</v>
      </c>
      <c r="K109" s="7">
        <f t="shared" si="51"/>
        <v>322.3397489268292</v>
      </c>
      <c r="L109" s="7">
        <f t="shared" si="52"/>
        <v>329.72135251829258</v>
      </c>
      <c r="M109" s="7">
        <f t="shared" si="53"/>
        <v>361.77637944512185</v>
      </c>
      <c r="N109" s="22"/>
      <c r="O109" s="7">
        <f t="shared" si="36"/>
        <v>29.954333414634139</v>
      </c>
      <c r="P109" s="7">
        <f t="shared" si="37"/>
        <v>30.635113719512187</v>
      </c>
      <c r="Q109" s="7">
        <f t="shared" si="38"/>
        <v>33.649997926829258</v>
      </c>
      <c r="R109" s="7">
        <f t="shared" si="39"/>
        <v>29.954333414634139</v>
      </c>
      <c r="S109" s="7">
        <f t="shared" si="40"/>
        <v>30.635113719512187</v>
      </c>
      <c r="T109" s="7">
        <f t="shared" si="41"/>
        <v>33.649997926829258</v>
      </c>
      <c r="U109" s="7">
        <f t="shared" si="42"/>
        <v>29.954333414634139</v>
      </c>
      <c r="V109" s="7">
        <f t="shared" si="43"/>
        <v>30.635113719512187</v>
      </c>
      <c r="W109" s="7">
        <f t="shared" si="44"/>
        <v>33.649997926829258</v>
      </c>
      <c r="X109" s="22"/>
      <c r="Y109" s="10">
        <v>0.95817073170731692</v>
      </c>
      <c r="Z109" s="22"/>
      <c r="AA109" s="10">
        <v>1.0149999999999999</v>
      </c>
    </row>
    <row r="110" spans="1:27" hidden="1" x14ac:dyDescent="0.25">
      <c r="A110" s="16"/>
      <c r="B110" s="3" t="s">
        <v>175</v>
      </c>
      <c r="C110" s="3" t="s">
        <v>177</v>
      </c>
      <c r="D110" s="11" t="s">
        <v>6</v>
      </c>
      <c r="E110" s="7">
        <f t="shared" si="45"/>
        <v>322.3397489268292</v>
      </c>
      <c r="F110" s="7">
        <f t="shared" si="46"/>
        <v>329.72135251829258</v>
      </c>
      <c r="G110" s="7">
        <f t="shared" si="47"/>
        <v>361.77637944512185</v>
      </c>
      <c r="H110" s="7">
        <f t="shared" si="48"/>
        <v>322.3397489268292</v>
      </c>
      <c r="I110" s="7">
        <f t="shared" si="49"/>
        <v>329.72135251829258</v>
      </c>
      <c r="J110" s="7">
        <f t="shared" si="50"/>
        <v>361.77637944512185</v>
      </c>
      <c r="K110" s="7">
        <f t="shared" si="51"/>
        <v>322.3397489268292</v>
      </c>
      <c r="L110" s="7">
        <f t="shared" si="52"/>
        <v>329.72135251829258</v>
      </c>
      <c r="M110" s="7">
        <f t="shared" si="53"/>
        <v>361.77637944512185</v>
      </c>
      <c r="N110" s="22"/>
      <c r="O110" s="7">
        <f t="shared" si="36"/>
        <v>29.954333414634139</v>
      </c>
      <c r="P110" s="7">
        <f t="shared" si="37"/>
        <v>30.635113719512187</v>
      </c>
      <c r="Q110" s="7">
        <f t="shared" si="38"/>
        <v>33.649997926829258</v>
      </c>
      <c r="R110" s="7">
        <f t="shared" si="39"/>
        <v>29.954333414634139</v>
      </c>
      <c r="S110" s="7">
        <f t="shared" si="40"/>
        <v>30.635113719512187</v>
      </c>
      <c r="T110" s="7">
        <f t="shared" si="41"/>
        <v>33.649997926829258</v>
      </c>
      <c r="U110" s="7">
        <f t="shared" si="42"/>
        <v>29.954333414634139</v>
      </c>
      <c r="V110" s="7">
        <f t="shared" si="43"/>
        <v>30.635113719512187</v>
      </c>
      <c r="W110" s="7">
        <f t="shared" si="44"/>
        <v>33.649997926829258</v>
      </c>
      <c r="X110" s="22"/>
      <c r="Y110" s="10">
        <v>0.95817073170731692</v>
      </c>
      <c r="Z110" s="22"/>
      <c r="AA110" s="10">
        <v>1.0149999999999999</v>
      </c>
    </row>
    <row r="111" spans="1:27" hidden="1" x14ac:dyDescent="0.25">
      <c r="A111" s="16"/>
      <c r="B111" s="3" t="s">
        <v>178</v>
      </c>
      <c r="C111" s="3" t="s">
        <v>179</v>
      </c>
      <c r="D111" s="11" t="s">
        <v>6</v>
      </c>
      <c r="E111" s="7">
        <f t="shared" si="45"/>
        <v>208.2646754104471</v>
      </c>
      <c r="F111" s="7">
        <f t="shared" si="46"/>
        <v>213.0339515580614</v>
      </c>
      <c r="G111" s="7">
        <f t="shared" si="47"/>
        <v>233.74480028340642</v>
      </c>
      <c r="H111" s="7">
        <f t="shared" si="48"/>
        <v>208.2646754104471</v>
      </c>
      <c r="I111" s="7">
        <f t="shared" si="49"/>
        <v>213.0339515580614</v>
      </c>
      <c r="J111" s="7">
        <f t="shared" si="50"/>
        <v>233.74480028340642</v>
      </c>
      <c r="K111" s="7">
        <f t="shared" si="51"/>
        <v>208.2646754104471</v>
      </c>
      <c r="L111" s="7">
        <f t="shared" si="52"/>
        <v>213.0339515580614</v>
      </c>
      <c r="M111" s="7">
        <f t="shared" si="53"/>
        <v>233.74480028340642</v>
      </c>
      <c r="N111" s="22"/>
      <c r="O111" s="7">
        <f t="shared" si="36"/>
        <v>19.353584367130615</v>
      </c>
      <c r="P111" s="7">
        <f t="shared" si="37"/>
        <v>19.793438557292671</v>
      </c>
      <c r="Q111" s="7">
        <f t="shared" si="38"/>
        <v>21.741364256581797</v>
      </c>
      <c r="R111" s="7">
        <f t="shared" si="39"/>
        <v>19.353584367130615</v>
      </c>
      <c r="S111" s="7">
        <f t="shared" si="40"/>
        <v>19.793438557292671</v>
      </c>
      <c r="T111" s="7">
        <f t="shared" si="41"/>
        <v>21.741364256581797</v>
      </c>
      <c r="U111" s="7">
        <f t="shared" si="42"/>
        <v>19.353584367130615</v>
      </c>
      <c r="V111" s="7">
        <f t="shared" si="43"/>
        <v>19.793438557292671</v>
      </c>
      <c r="W111" s="7">
        <f t="shared" si="44"/>
        <v>21.741364256581797</v>
      </c>
      <c r="X111" s="22"/>
      <c r="Y111" s="10">
        <v>0.60419531615667499</v>
      </c>
      <c r="Z111" s="22"/>
      <c r="AA111" s="10">
        <v>1.04</v>
      </c>
    </row>
    <row r="112" spans="1:27" hidden="1" x14ac:dyDescent="0.25">
      <c r="A112" s="16"/>
      <c r="B112" s="3" t="s">
        <v>180</v>
      </c>
      <c r="C112" s="3" t="s">
        <v>181</v>
      </c>
      <c r="D112" s="11" t="s">
        <v>8</v>
      </c>
      <c r="E112" s="99">
        <f t="shared" si="45"/>
        <v>204.82992000000002</v>
      </c>
      <c r="F112" s="99">
        <f t="shared" si="46"/>
        <v>209.52053999999998</v>
      </c>
      <c r="G112" s="99">
        <f t="shared" si="47"/>
        <v>229.88981999999999</v>
      </c>
      <c r="H112" s="99">
        <f t="shared" si="48"/>
        <v>204.82992000000002</v>
      </c>
      <c r="I112" s="99">
        <f t="shared" si="49"/>
        <v>209.52053999999998</v>
      </c>
      <c r="J112" s="99">
        <f t="shared" si="50"/>
        <v>229.88981999999999</v>
      </c>
      <c r="K112" s="99">
        <f t="shared" si="51"/>
        <v>204.82992000000002</v>
      </c>
      <c r="L112" s="99">
        <f t="shared" si="52"/>
        <v>209.52053999999998</v>
      </c>
      <c r="M112" s="99">
        <f t="shared" si="53"/>
        <v>229.88981999999999</v>
      </c>
      <c r="N112" s="22"/>
      <c r="O112" s="99">
        <f t="shared" si="36"/>
        <v>19.034400000000002</v>
      </c>
      <c r="P112" s="99">
        <f t="shared" si="37"/>
        <v>19.466999999999999</v>
      </c>
      <c r="Q112" s="99">
        <f t="shared" si="38"/>
        <v>21.382800000000003</v>
      </c>
      <c r="R112" s="99">
        <f t="shared" si="39"/>
        <v>19.034400000000002</v>
      </c>
      <c r="S112" s="99">
        <f t="shared" si="40"/>
        <v>19.466999999999999</v>
      </c>
      <c r="T112" s="99">
        <f t="shared" si="41"/>
        <v>21.382800000000003</v>
      </c>
      <c r="U112" s="99">
        <f t="shared" si="42"/>
        <v>19.034400000000002</v>
      </c>
      <c r="V112" s="99">
        <f t="shared" si="43"/>
        <v>19.466999999999999</v>
      </c>
      <c r="W112" s="99">
        <f t="shared" si="44"/>
        <v>21.382800000000003</v>
      </c>
      <c r="X112" s="22"/>
      <c r="Y112" s="10">
        <v>0.6</v>
      </c>
      <c r="Z112" s="22"/>
      <c r="AA112" s="10">
        <v>1.03</v>
      </c>
    </row>
    <row r="113" spans="1:27" hidden="1" x14ac:dyDescent="0.25">
      <c r="A113" s="16"/>
      <c r="B113" s="3" t="s">
        <v>182</v>
      </c>
      <c r="C113" s="3" t="s">
        <v>183</v>
      </c>
      <c r="D113" s="11" t="s">
        <v>8</v>
      </c>
      <c r="E113" s="7">
        <f t="shared" si="45"/>
        <v>276.5005056</v>
      </c>
      <c r="F113" s="7">
        <f t="shared" si="46"/>
        <v>282.83238719999997</v>
      </c>
      <c r="G113" s="7">
        <f t="shared" si="47"/>
        <v>310.32893760000007</v>
      </c>
      <c r="H113" s="7">
        <f t="shared" si="48"/>
        <v>276.5005056</v>
      </c>
      <c r="I113" s="7">
        <f t="shared" si="49"/>
        <v>282.83238719999997</v>
      </c>
      <c r="J113" s="7">
        <f t="shared" si="50"/>
        <v>310.32893760000007</v>
      </c>
      <c r="K113" s="7">
        <f t="shared" si="51"/>
        <v>276.5005056</v>
      </c>
      <c r="L113" s="7">
        <f t="shared" si="52"/>
        <v>282.83238719999997</v>
      </c>
      <c r="M113" s="7">
        <f t="shared" si="53"/>
        <v>310.32893760000007</v>
      </c>
      <c r="N113" s="22"/>
      <c r="O113" s="7">
        <f t="shared" si="36"/>
        <v>25.694592000000004</v>
      </c>
      <c r="P113" s="7">
        <f t="shared" si="37"/>
        <v>26.278560000000002</v>
      </c>
      <c r="Q113" s="7">
        <f t="shared" si="38"/>
        <v>28.864704000000003</v>
      </c>
      <c r="R113" s="7">
        <f t="shared" si="39"/>
        <v>25.694592000000004</v>
      </c>
      <c r="S113" s="7">
        <f t="shared" si="40"/>
        <v>26.278560000000002</v>
      </c>
      <c r="T113" s="7">
        <f t="shared" si="41"/>
        <v>28.864704000000003</v>
      </c>
      <c r="U113" s="7">
        <f t="shared" si="42"/>
        <v>25.694592000000004</v>
      </c>
      <c r="V113" s="7">
        <f t="shared" si="43"/>
        <v>26.278560000000002</v>
      </c>
      <c r="W113" s="7">
        <f t="shared" si="44"/>
        <v>28.864704000000003</v>
      </c>
      <c r="X113" s="22"/>
      <c r="Y113" s="10">
        <v>0.79</v>
      </c>
      <c r="Z113" s="22"/>
      <c r="AA113" s="10">
        <v>1.056</v>
      </c>
    </row>
    <row r="114" spans="1:27" hidden="1" x14ac:dyDescent="0.25">
      <c r="A114" s="21">
        <v>0.02</v>
      </c>
      <c r="B114" s="18" t="s">
        <v>182</v>
      </c>
      <c r="C114" s="18" t="s">
        <v>184</v>
      </c>
      <c r="D114" s="19" t="s">
        <v>8</v>
      </c>
      <c r="E114" s="32">
        <f>E113*1.02</f>
        <v>282.03051571200001</v>
      </c>
      <c r="F114" s="32">
        <f t="shared" ref="F114:O114" si="54">F113*1.02</f>
        <v>288.48903494399997</v>
      </c>
      <c r="G114" s="32">
        <f t="shared" si="54"/>
        <v>316.53551635200006</v>
      </c>
      <c r="H114" s="32">
        <f t="shared" si="54"/>
        <v>282.03051571200001</v>
      </c>
      <c r="I114" s="32">
        <f t="shared" si="54"/>
        <v>288.48903494399997</v>
      </c>
      <c r="J114" s="32">
        <f t="shared" si="54"/>
        <v>316.53551635200006</v>
      </c>
      <c r="K114" s="32">
        <f t="shared" si="54"/>
        <v>282.03051571200001</v>
      </c>
      <c r="L114" s="32">
        <f t="shared" si="54"/>
        <v>288.48903494399997</v>
      </c>
      <c r="M114" s="32">
        <f t="shared" si="54"/>
        <v>316.53551635200006</v>
      </c>
      <c r="N114" s="33"/>
      <c r="O114" s="32">
        <f t="shared" si="54"/>
        <v>26.208483840000003</v>
      </c>
      <c r="P114" s="32">
        <f t="shared" ref="P114" si="55">P113*1.02</f>
        <v>26.804131200000004</v>
      </c>
      <c r="Q114" s="32">
        <f t="shared" ref="Q114" si="56">Q113*1.02</f>
        <v>29.441998080000005</v>
      </c>
      <c r="R114" s="32">
        <f t="shared" ref="R114" si="57">R113*1.02</f>
        <v>26.208483840000003</v>
      </c>
      <c r="S114" s="32">
        <f t="shared" ref="S114" si="58">S113*1.02</f>
        <v>26.804131200000004</v>
      </c>
      <c r="T114" s="32">
        <f t="shared" ref="T114" si="59">T113*1.02</f>
        <v>29.441998080000005</v>
      </c>
      <c r="U114" s="32">
        <f t="shared" ref="U114" si="60">U113*1.02</f>
        <v>26.208483840000003</v>
      </c>
      <c r="V114" s="32">
        <f t="shared" ref="V114" si="61">V113*1.02</f>
        <v>26.804131200000004</v>
      </c>
      <c r="W114" s="32">
        <f t="shared" ref="W114" si="62">W113*1.02</f>
        <v>29.441998080000005</v>
      </c>
      <c r="X114" s="33"/>
      <c r="Y114" s="34"/>
      <c r="Z114" s="22"/>
      <c r="AA114" s="10">
        <v>1.056</v>
      </c>
    </row>
    <row r="115" spans="1:27" hidden="1" x14ac:dyDescent="0.25">
      <c r="A115" s="21">
        <v>0.04</v>
      </c>
      <c r="B115" s="18" t="s">
        <v>182</v>
      </c>
      <c r="C115" s="18" t="s">
        <v>185</v>
      </c>
      <c r="D115" s="19" t="s">
        <v>8</v>
      </c>
      <c r="E115" s="32">
        <f>E113*1.04</f>
        <v>287.56052582400002</v>
      </c>
      <c r="F115" s="32">
        <f t="shared" ref="F115:M115" si="63">F113*1.04</f>
        <v>294.14568268799997</v>
      </c>
      <c r="G115" s="32">
        <f t="shared" si="63"/>
        <v>322.7420951040001</v>
      </c>
      <c r="H115" s="32">
        <f t="shared" si="63"/>
        <v>287.56052582400002</v>
      </c>
      <c r="I115" s="32">
        <f t="shared" si="63"/>
        <v>294.14568268799997</v>
      </c>
      <c r="J115" s="32">
        <f t="shared" si="63"/>
        <v>322.7420951040001</v>
      </c>
      <c r="K115" s="32">
        <f t="shared" si="63"/>
        <v>287.56052582400002</v>
      </c>
      <c r="L115" s="32">
        <f t="shared" si="63"/>
        <v>294.14568268799997</v>
      </c>
      <c r="M115" s="32">
        <f t="shared" si="63"/>
        <v>322.7420951040001</v>
      </c>
      <c r="N115" s="33"/>
      <c r="O115" s="32">
        <f>O113*1.04</f>
        <v>26.722375680000006</v>
      </c>
      <c r="P115" s="32">
        <f t="shared" ref="P115:W115" si="64">P113*1.04</f>
        <v>27.329702400000002</v>
      </c>
      <c r="Q115" s="32">
        <f t="shared" si="64"/>
        <v>30.019292160000003</v>
      </c>
      <c r="R115" s="32">
        <f t="shared" si="64"/>
        <v>26.722375680000006</v>
      </c>
      <c r="S115" s="32">
        <f t="shared" si="64"/>
        <v>27.329702400000002</v>
      </c>
      <c r="T115" s="32">
        <f t="shared" si="64"/>
        <v>30.019292160000003</v>
      </c>
      <c r="U115" s="32">
        <f t="shared" si="64"/>
        <v>26.722375680000006</v>
      </c>
      <c r="V115" s="32">
        <f t="shared" si="64"/>
        <v>27.329702400000002</v>
      </c>
      <c r="W115" s="32">
        <f t="shared" si="64"/>
        <v>30.019292160000003</v>
      </c>
      <c r="X115" s="33"/>
      <c r="Y115" s="34"/>
      <c r="Z115" s="22"/>
      <c r="AA115" s="10">
        <v>1.056</v>
      </c>
    </row>
    <row r="116" spans="1:27" hidden="1" x14ac:dyDescent="0.25">
      <c r="A116" s="21">
        <v>0.03</v>
      </c>
      <c r="B116" s="18" t="s">
        <v>182</v>
      </c>
      <c r="C116" s="18" t="s">
        <v>186</v>
      </c>
      <c r="D116" s="19" t="s">
        <v>8</v>
      </c>
      <c r="E116" s="32">
        <f>E113*1.03</f>
        <v>284.79552076800002</v>
      </c>
      <c r="F116" s="32">
        <f t="shared" ref="F116:M116" si="65">F113*1.03</f>
        <v>291.31735881599997</v>
      </c>
      <c r="G116" s="32">
        <f t="shared" si="65"/>
        <v>319.63880572800008</v>
      </c>
      <c r="H116" s="32">
        <f t="shared" si="65"/>
        <v>284.79552076800002</v>
      </c>
      <c r="I116" s="32">
        <f t="shared" si="65"/>
        <v>291.31735881599997</v>
      </c>
      <c r="J116" s="32">
        <f t="shared" si="65"/>
        <v>319.63880572800008</v>
      </c>
      <c r="K116" s="32">
        <f t="shared" si="65"/>
        <v>284.79552076800002</v>
      </c>
      <c r="L116" s="32">
        <f t="shared" si="65"/>
        <v>291.31735881599997</v>
      </c>
      <c r="M116" s="32">
        <f t="shared" si="65"/>
        <v>319.63880572800008</v>
      </c>
      <c r="N116" s="33"/>
      <c r="O116" s="32">
        <f>O113*1.03</f>
        <v>26.465429760000003</v>
      </c>
      <c r="P116" s="32">
        <f t="shared" ref="P116:W116" si="66">P113*1.03</f>
        <v>27.066916800000005</v>
      </c>
      <c r="Q116" s="32">
        <f t="shared" si="66"/>
        <v>29.730645120000005</v>
      </c>
      <c r="R116" s="32">
        <f t="shared" si="66"/>
        <v>26.465429760000003</v>
      </c>
      <c r="S116" s="32">
        <f t="shared" si="66"/>
        <v>27.066916800000005</v>
      </c>
      <c r="T116" s="32">
        <f t="shared" si="66"/>
        <v>29.730645120000005</v>
      </c>
      <c r="U116" s="32">
        <f t="shared" si="66"/>
        <v>26.465429760000003</v>
      </c>
      <c r="V116" s="32">
        <f t="shared" si="66"/>
        <v>27.066916800000005</v>
      </c>
      <c r="W116" s="32">
        <f t="shared" si="66"/>
        <v>29.730645120000005</v>
      </c>
      <c r="X116" s="33"/>
      <c r="Y116" s="34"/>
      <c r="Z116" s="22"/>
      <c r="AA116" s="10">
        <v>1.056</v>
      </c>
    </row>
    <row r="117" spans="1:27" hidden="1" x14ac:dyDescent="0.25">
      <c r="A117" s="16"/>
      <c r="B117" s="3" t="s">
        <v>180</v>
      </c>
      <c r="C117" s="3" t="s">
        <v>187</v>
      </c>
      <c r="D117" s="11" t="s">
        <v>8</v>
      </c>
      <c r="E117" s="99">
        <f t="shared" si="45"/>
        <v>196.079904</v>
      </c>
      <c r="F117" s="99">
        <f t="shared" si="46"/>
        <v>200.57014799999996</v>
      </c>
      <c r="G117" s="99">
        <f t="shared" si="47"/>
        <v>220.06928400000001</v>
      </c>
      <c r="H117" s="99">
        <f t="shared" si="48"/>
        <v>196.079904</v>
      </c>
      <c r="I117" s="99">
        <f t="shared" si="49"/>
        <v>200.57014799999996</v>
      </c>
      <c r="J117" s="99">
        <f t="shared" si="50"/>
        <v>220.06928400000001</v>
      </c>
      <c r="K117" s="99">
        <f t="shared" si="51"/>
        <v>196.079904</v>
      </c>
      <c r="L117" s="99">
        <f t="shared" si="52"/>
        <v>200.57014799999996</v>
      </c>
      <c r="M117" s="99">
        <f t="shared" si="53"/>
        <v>220.06928400000001</v>
      </c>
      <c r="N117" s="33"/>
      <c r="O117" s="99">
        <f t="shared" si="36"/>
        <v>18.22128</v>
      </c>
      <c r="P117" s="99">
        <f t="shared" si="37"/>
        <v>18.635400000000001</v>
      </c>
      <c r="Q117" s="99">
        <f t="shared" si="38"/>
        <v>20.469359999999998</v>
      </c>
      <c r="R117" s="99">
        <f t="shared" si="39"/>
        <v>18.22128</v>
      </c>
      <c r="S117" s="99">
        <f t="shared" si="40"/>
        <v>18.635400000000001</v>
      </c>
      <c r="T117" s="99">
        <f t="shared" si="41"/>
        <v>20.469359999999998</v>
      </c>
      <c r="U117" s="99">
        <f t="shared" si="42"/>
        <v>18.22128</v>
      </c>
      <c r="V117" s="99">
        <f t="shared" si="43"/>
        <v>18.635400000000001</v>
      </c>
      <c r="W117" s="99">
        <f t="shared" si="44"/>
        <v>20.469359999999998</v>
      </c>
      <c r="X117" s="22"/>
      <c r="Y117" s="10">
        <v>0.57999999999999996</v>
      </c>
      <c r="Z117" s="22"/>
      <c r="AA117" s="10">
        <v>1.02</v>
      </c>
    </row>
    <row r="118" spans="1:27" hidden="1" x14ac:dyDescent="0.25">
      <c r="A118" s="16"/>
      <c r="B118" s="3" t="s">
        <v>180</v>
      </c>
      <c r="C118" s="3" t="s">
        <v>188</v>
      </c>
      <c r="D118" s="11" t="s">
        <v>8</v>
      </c>
      <c r="E118" s="99">
        <f t="shared" si="45"/>
        <v>192.69921599999998</v>
      </c>
      <c r="F118" s="99">
        <f t="shared" si="46"/>
        <v>197.11204199999997</v>
      </c>
      <c r="G118" s="99">
        <f t="shared" si="47"/>
        <v>216.27498599999998</v>
      </c>
      <c r="H118" s="99">
        <f t="shared" si="48"/>
        <v>192.69921599999998</v>
      </c>
      <c r="I118" s="99">
        <f t="shared" si="49"/>
        <v>197.11204199999997</v>
      </c>
      <c r="J118" s="99">
        <f t="shared" si="50"/>
        <v>216.27498599999998</v>
      </c>
      <c r="K118" s="99">
        <f t="shared" si="51"/>
        <v>192.69921599999998</v>
      </c>
      <c r="L118" s="99">
        <f t="shared" si="52"/>
        <v>197.11204199999997</v>
      </c>
      <c r="M118" s="99">
        <f t="shared" si="53"/>
        <v>216.27498599999998</v>
      </c>
      <c r="N118" s="33"/>
      <c r="O118" s="99">
        <f t="shared" si="36"/>
        <v>17.907119999999999</v>
      </c>
      <c r="P118" s="99">
        <f t="shared" si="37"/>
        <v>18.3141</v>
      </c>
      <c r="Q118" s="99">
        <f t="shared" si="38"/>
        <v>20.116439999999997</v>
      </c>
      <c r="R118" s="99">
        <f t="shared" si="39"/>
        <v>17.907119999999999</v>
      </c>
      <c r="S118" s="99">
        <f t="shared" si="40"/>
        <v>18.3141</v>
      </c>
      <c r="T118" s="99">
        <f t="shared" si="41"/>
        <v>20.116439999999997</v>
      </c>
      <c r="U118" s="99">
        <f t="shared" si="42"/>
        <v>17.907119999999999</v>
      </c>
      <c r="V118" s="99">
        <f t="shared" si="43"/>
        <v>18.3141</v>
      </c>
      <c r="W118" s="99">
        <f t="shared" si="44"/>
        <v>20.116439999999997</v>
      </c>
      <c r="X118" s="22"/>
      <c r="Y118" s="10">
        <v>0.56999999999999995</v>
      </c>
      <c r="Z118" s="22"/>
      <c r="AA118" s="10">
        <v>1.02</v>
      </c>
    </row>
    <row r="119" spans="1:27" hidden="1" x14ac:dyDescent="0.25">
      <c r="A119" s="16"/>
      <c r="B119" s="3" t="s">
        <v>180</v>
      </c>
      <c r="C119" s="3" t="s">
        <v>189</v>
      </c>
      <c r="D119" s="11" t="s">
        <v>8</v>
      </c>
      <c r="E119" s="99">
        <f t="shared" si="45"/>
        <v>189.31852800000001</v>
      </c>
      <c r="F119" s="99">
        <f t="shared" si="46"/>
        <v>193.65393599999999</v>
      </c>
      <c r="G119" s="99">
        <f t="shared" si="47"/>
        <v>212.48068800000004</v>
      </c>
      <c r="H119" s="99">
        <f t="shared" si="48"/>
        <v>189.31852800000001</v>
      </c>
      <c r="I119" s="99">
        <f t="shared" si="49"/>
        <v>193.65393599999999</v>
      </c>
      <c r="J119" s="99">
        <f t="shared" si="50"/>
        <v>212.48068800000004</v>
      </c>
      <c r="K119" s="99">
        <f t="shared" si="51"/>
        <v>189.31852800000001</v>
      </c>
      <c r="L119" s="99">
        <f t="shared" si="52"/>
        <v>193.65393599999999</v>
      </c>
      <c r="M119" s="99">
        <f t="shared" si="53"/>
        <v>212.48068800000004</v>
      </c>
      <c r="N119" s="33"/>
      <c r="O119" s="99">
        <f t="shared" si="36"/>
        <v>17.592960000000001</v>
      </c>
      <c r="P119" s="99">
        <f t="shared" si="37"/>
        <v>17.992800000000003</v>
      </c>
      <c r="Q119" s="99">
        <f t="shared" si="38"/>
        <v>19.763520000000003</v>
      </c>
      <c r="R119" s="99">
        <f t="shared" si="39"/>
        <v>17.592960000000001</v>
      </c>
      <c r="S119" s="99">
        <f t="shared" si="40"/>
        <v>17.992800000000003</v>
      </c>
      <c r="T119" s="99">
        <f t="shared" si="41"/>
        <v>19.763520000000003</v>
      </c>
      <c r="U119" s="99">
        <f t="shared" si="42"/>
        <v>17.592960000000001</v>
      </c>
      <c r="V119" s="99">
        <f t="shared" si="43"/>
        <v>17.992800000000003</v>
      </c>
      <c r="W119" s="99">
        <f t="shared" si="44"/>
        <v>19.763520000000003</v>
      </c>
      <c r="X119" s="22"/>
      <c r="Y119" s="10">
        <v>0.56000000000000005</v>
      </c>
      <c r="Z119" s="22"/>
      <c r="AA119" s="28">
        <v>1.02</v>
      </c>
    </row>
    <row r="120" spans="1:27" hidden="1" x14ac:dyDescent="0.25">
      <c r="A120" s="16"/>
      <c r="B120" s="3" t="s">
        <v>190</v>
      </c>
      <c r="C120" s="3" t="s">
        <v>191</v>
      </c>
      <c r="D120" s="11" t="s">
        <v>8</v>
      </c>
      <c r="E120" s="7">
        <f t="shared" si="45"/>
        <v>99.39980684643551</v>
      </c>
      <c r="F120" s="7">
        <f t="shared" si="46"/>
        <v>101.67606962088773</v>
      </c>
      <c r="G120" s="7">
        <f t="shared" si="47"/>
        <v>111.5608681776658</v>
      </c>
      <c r="H120" s="7">
        <f t="shared" si="48"/>
        <v>99.39980684643551</v>
      </c>
      <c r="I120" s="7">
        <f t="shared" si="49"/>
        <v>101.67606962088773</v>
      </c>
      <c r="J120" s="7">
        <f t="shared" si="50"/>
        <v>111.5608681776658</v>
      </c>
      <c r="K120" s="7">
        <f t="shared" si="51"/>
        <v>99.39980684643551</v>
      </c>
      <c r="L120" s="7">
        <f t="shared" si="52"/>
        <v>101.67606962088773</v>
      </c>
      <c r="M120" s="7">
        <f t="shared" si="53"/>
        <v>111.5608681776658</v>
      </c>
      <c r="N120" s="33"/>
      <c r="O120" s="7">
        <f t="shared" si="36"/>
        <v>9.237008360095988</v>
      </c>
      <c r="P120" s="7">
        <f t="shared" si="37"/>
        <v>9.4469403682799875</v>
      </c>
      <c r="Q120" s="7">
        <f t="shared" si="38"/>
        <v>10.376639261666272</v>
      </c>
      <c r="R120" s="7">
        <f t="shared" si="39"/>
        <v>9.237008360095988</v>
      </c>
      <c r="S120" s="7">
        <f t="shared" si="40"/>
        <v>9.4469403682799875</v>
      </c>
      <c r="T120" s="7">
        <f t="shared" si="41"/>
        <v>10.376639261666272</v>
      </c>
      <c r="U120" s="7">
        <f t="shared" si="42"/>
        <v>9.237008360095988</v>
      </c>
      <c r="V120" s="7">
        <f t="shared" si="43"/>
        <v>9.4469403682799875</v>
      </c>
      <c r="W120" s="7">
        <f t="shared" si="44"/>
        <v>10.376639261666272</v>
      </c>
      <c r="X120" s="22"/>
      <c r="Y120" s="10">
        <v>0.28976122592684572</v>
      </c>
      <c r="Z120" s="22"/>
      <c r="AA120" s="28">
        <v>1.0349999999999999</v>
      </c>
    </row>
    <row r="121" spans="1:27" hidden="1" x14ac:dyDescent="0.25">
      <c r="A121" s="21">
        <v>-0.01</v>
      </c>
      <c r="B121" s="18" t="s">
        <v>190</v>
      </c>
      <c r="C121" s="18" t="s">
        <v>192</v>
      </c>
      <c r="D121" s="19" t="s">
        <v>8</v>
      </c>
      <c r="E121" s="32">
        <f>E120/1.01</f>
        <v>98.415650343005453</v>
      </c>
      <c r="F121" s="32">
        <f t="shared" ref="F121:O121" si="67">F120/1.01</f>
        <v>100.66937586226508</v>
      </c>
      <c r="G121" s="32">
        <f t="shared" si="67"/>
        <v>110.45630512640177</v>
      </c>
      <c r="H121" s="32">
        <f t="shared" si="67"/>
        <v>98.415650343005453</v>
      </c>
      <c r="I121" s="32">
        <f t="shared" si="67"/>
        <v>100.66937586226508</v>
      </c>
      <c r="J121" s="32">
        <f t="shared" si="67"/>
        <v>110.45630512640177</v>
      </c>
      <c r="K121" s="32">
        <f t="shared" si="67"/>
        <v>98.415650343005453</v>
      </c>
      <c r="L121" s="32">
        <f t="shared" si="67"/>
        <v>100.66937586226508</v>
      </c>
      <c r="M121" s="32">
        <f t="shared" si="67"/>
        <v>110.45630512640177</v>
      </c>
      <c r="N121" s="33"/>
      <c r="O121" s="32">
        <f t="shared" si="67"/>
        <v>9.1455528317782058</v>
      </c>
      <c r="P121" s="32">
        <f t="shared" ref="P121" si="68">P120/1.01</f>
        <v>9.3534063052277094</v>
      </c>
      <c r="Q121" s="32">
        <f t="shared" ref="Q121" si="69">Q120/1.01</f>
        <v>10.273900259075516</v>
      </c>
      <c r="R121" s="32">
        <f t="shared" ref="R121" si="70">R120/1.01</f>
        <v>9.1455528317782058</v>
      </c>
      <c r="S121" s="32">
        <f t="shared" ref="S121" si="71">S120/1.01</f>
        <v>9.3534063052277094</v>
      </c>
      <c r="T121" s="32">
        <f t="shared" ref="T121" si="72">T120/1.01</f>
        <v>10.273900259075516</v>
      </c>
      <c r="U121" s="32">
        <f t="shared" ref="U121" si="73">U120/1.01</f>
        <v>9.1455528317782058</v>
      </c>
      <c r="V121" s="32">
        <f t="shared" ref="V121" si="74">V120/1.01</f>
        <v>9.3534063052277094</v>
      </c>
      <c r="W121" s="32">
        <f t="shared" ref="W121" si="75">W120/1.01</f>
        <v>10.273900259075516</v>
      </c>
      <c r="X121" s="33"/>
      <c r="Y121" s="31"/>
      <c r="Z121" s="22"/>
      <c r="AA121" s="28">
        <v>1.0349999999999999</v>
      </c>
    </row>
    <row r="122" spans="1:27" hidden="1" x14ac:dyDescent="0.25">
      <c r="A122" s="21">
        <v>-0.01</v>
      </c>
      <c r="B122" s="18" t="s">
        <v>190</v>
      </c>
      <c r="C122" s="18" t="s">
        <v>193</v>
      </c>
      <c r="D122" s="19" t="s">
        <v>8</v>
      </c>
      <c r="E122" s="32">
        <f>E120/1.01</f>
        <v>98.415650343005453</v>
      </c>
      <c r="F122" s="32">
        <f t="shared" ref="F122:M122" si="76">F120/1.01</f>
        <v>100.66937586226508</v>
      </c>
      <c r="G122" s="32">
        <f t="shared" si="76"/>
        <v>110.45630512640177</v>
      </c>
      <c r="H122" s="32">
        <f t="shared" si="76"/>
        <v>98.415650343005453</v>
      </c>
      <c r="I122" s="32">
        <f t="shared" si="76"/>
        <v>100.66937586226508</v>
      </c>
      <c r="J122" s="32">
        <f t="shared" si="76"/>
        <v>110.45630512640177</v>
      </c>
      <c r="K122" s="32">
        <f t="shared" si="76"/>
        <v>98.415650343005453</v>
      </c>
      <c r="L122" s="32">
        <f t="shared" si="76"/>
        <v>100.66937586226508</v>
      </c>
      <c r="M122" s="32">
        <f t="shared" si="76"/>
        <v>110.45630512640177</v>
      </c>
      <c r="N122" s="33"/>
      <c r="O122" s="32">
        <f t="shared" ref="O122:W122" si="77">O120/1.01</f>
        <v>9.1455528317782058</v>
      </c>
      <c r="P122" s="32">
        <f t="shared" si="77"/>
        <v>9.3534063052277094</v>
      </c>
      <c r="Q122" s="32">
        <f t="shared" si="77"/>
        <v>10.273900259075516</v>
      </c>
      <c r="R122" s="32">
        <f t="shared" si="77"/>
        <v>9.1455528317782058</v>
      </c>
      <c r="S122" s="32">
        <f t="shared" si="77"/>
        <v>9.3534063052277094</v>
      </c>
      <c r="T122" s="32">
        <f t="shared" si="77"/>
        <v>10.273900259075516</v>
      </c>
      <c r="U122" s="32">
        <f t="shared" si="77"/>
        <v>9.1455528317782058</v>
      </c>
      <c r="V122" s="32">
        <f t="shared" si="77"/>
        <v>9.3534063052277094</v>
      </c>
      <c r="W122" s="32">
        <f t="shared" si="77"/>
        <v>10.273900259075516</v>
      </c>
      <c r="X122" s="33"/>
      <c r="Y122" s="31"/>
      <c r="Z122" s="22"/>
      <c r="AA122" s="28">
        <v>1.0349999999999999</v>
      </c>
    </row>
    <row r="123" spans="1:27" hidden="1" x14ac:dyDescent="0.25">
      <c r="A123" s="21">
        <v>-0.02</v>
      </c>
      <c r="B123" s="18" t="s">
        <v>190</v>
      </c>
      <c r="C123" s="18" t="s">
        <v>194</v>
      </c>
      <c r="D123" s="19" t="s">
        <v>8</v>
      </c>
      <c r="E123" s="32">
        <f>E120/1.02</f>
        <v>97.450791025917169</v>
      </c>
      <c r="F123" s="32">
        <f t="shared" ref="F123:M123" si="78">F120/1.02</f>
        <v>99.682421196948752</v>
      </c>
      <c r="G123" s="32">
        <f t="shared" si="78"/>
        <v>109.37340017418215</v>
      </c>
      <c r="H123" s="32">
        <f t="shared" si="78"/>
        <v>97.450791025917169</v>
      </c>
      <c r="I123" s="32">
        <f t="shared" si="78"/>
        <v>99.682421196948752</v>
      </c>
      <c r="J123" s="32">
        <f t="shared" si="78"/>
        <v>109.37340017418215</v>
      </c>
      <c r="K123" s="32">
        <f t="shared" si="78"/>
        <v>97.450791025917169</v>
      </c>
      <c r="L123" s="32">
        <f t="shared" si="78"/>
        <v>99.682421196948752</v>
      </c>
      <c r="M123" s="32">
        <f t="shared" si="78"/>
        <v>109.37340017418215</v>
      </c>
      <c r="N123" s="33"/>
      <c r="O123" s="32">
        <f t="shared" ref="O123:W123" si="79">O120/1.02</f>
        <v>9.0558905491137143</v>
      </c>
      <c r="P123" s="32">
        <f t="shared" si="79"/>
        <v>9.2617062434117514</v>
      </c>
      <c r="Q123" s="32">
        <f t="shared" si="79"/>
        <v>10.173175746731639</v>
      </c>
      <c r="R123" s="32">
        <f t="shared" si="79"/>
        <v>9.0558905491137143</v>
      </c>
      <c r="S123" s="32">
        <f t="shared" si="79"/>
        <v>9.2617062434117514</v>
      </c>
      <c r="T123" s="32">
        <f t="shared" si="79"/>
        <v>10.173175746731639</v>
      </c>
      <c r="U123" s="32">
        <f t="shared" si="79"/>
        <v>9.0558905491137143</v>
      </c>
      <c r="V123" s="32">
        <f t="shared" si="79"/>
        <v>9.2617062434117514</v>
      </c>
      <c r="W123" s="32">
        <f t="shared" si="79"/>
        <v>10.173175746731639</v>
      </c>
      <c r="X123" s="33"/>
      <c r="Y123" s="31"/>
      <c r="Z123" s="22"/>
      <c r="AA123" s="28">
        <v>1.0349999999999999</v>
      </c>
    </row>
    <row r="124" spans="1:27" hidden="1" x14ac:dyDescent="0.25">
      <c r="A124" s="21">
        <v>0.08</v>
      </c>
      <c r="B124" s="18" t="s">
        <v>190</v>
      </c>
      <c r="C124" s="18" t="s">
        <v>195</v>
      </c>
      <c r="D124" s="19" t="s">
        <v>8</v>
      </c>
      <c r="E124" s="32">
        <f>E120*1.08</f>
        <v>107.35179139415035</v>
      </c>
      <c r="F124" s="32">
        <f t="shared" ref="F124:M124" si="80">F120*1.08</f>
        <v>109.81015519055876</v>
      </c>
      <c r="G124" s="32">
        <f t="shared" si="80"/>
        <v>120.48573763187906</v>
      </c>
      <c r="H124" s="32">
        <f t="shared" si="80"/>
        <v>107.35179139415035</v>
      </c>
      <c r="I124" s="32">
        <f t="shared" si="80"/>
        <v>109.81015519055876</v>
      </c>
      <c r="J124" s="32">
        <f t="shared" si="80"/>
        <v>120.48573763187906</v>
      </c>
      <c r="K124" s="32">
        <f t="shared" si="80"/>
        <v>107.35179139415035</v>
      </c>
      <c r="L124" s="32">
        <f t="shared" si="80"/>
        <v>109.81015519055876</v>
      </c>
      <c r="M124" s="32">
        <f t="shared" si="80"/>
        <v>120.48573763187906</v>
      </c>
      <c r="N124" s="33"/>
      <c r="O124" s="32">
        <f t="shared" ref="O124:W124" si="81">O120*1.08</f>
        <v>9.975969028903668</v>
      </c>
      <c r="P124" s="32">
        <f t="shared" si="81"/>
        <v>10.202695597742387</v>
      </c>
      <c r="Q124" s="32">
        <f t="shared" si="81"/>
        <v>11.206770402599574</v>
      </c>
      <c r="R124" s="32">
        <f t="shared" si="81"/>
        <v>9.975969028903668</v>
      </c>
      <c r="S124" s="32">
        <f t="shared" si="81"/>
        <v>10.202695597742387</v>
      </c>
      <c r="T124" s="32">
        <f t="shared" si="81"/>
        <v>11.206770402599574</v>
      </c>
      <c r="U124" s="32">
        <f t="shared" si="81"/>
        <v>9.975969028903668</v>
      </c>
      <c r="V124" s="32">
        <f t="shared" si="81"/>
        <v>10.202695597742387</v>
      </c>
      <c r="W124" s="32">
        <f t="shared" si="81"/>
        <v>11.206770402599574</v>
      </c>
      <c r="X124" s="33"/>
      <c r="Y124" s="31"/>
      <c r="Z124" s="22"/>
      <c r="AA124" s="28">
        <v>1.0349999999999999</v>
      </c>
    </row>
    <row r="125" spans="1:27" hidden="1" x14ac:dyDescent="0.25">
      <c r="A125" s="21">
        <v>0.05</v>
      </c>
      <c r="B125" s="18" t="s">
        <v>190</v>
      </c>
      <c r="C125" s="18" t="s">
        <v>196</v>
      </c>
      <c r="D125" s="19" t="s">
        <v>8</v>
      </c>
      <c r="E125" s="32">
        <f>E120*1.05</f>
        <v>104.36979718875729</v>
      </c>
      <c r="F125" s="32">
        <f t="shared" ref="F125:M125" si="82">F120*1.05</f>
        <v>106.75987310193211</v>
      </c>
      <c r="G125" s="32">
        <f t="shared" si="82"/>
        <v>117.13891158654909</v>
      </c>
      <c r="H125" s="32">
        <f t="shared" si="82"/>
        <v>104.36979718875729</v>
      </c>
      <c r="I125" s="32">
        <f t="shared" si="82"/>
        <v>106.75987310193211</v>
      </c>
      <c r="J125" s="32">
        <f t="shared" si="82"/>
        <v>117.13891158654909</v>
      </c>
      <c r="K125" s="32">
        <f t="shared" si="82"/>
        <v>104.36979718875729</v>
      </c>
      <c r="L125" s="32">
        <f t="shared" si="82"/>
        <v>106.75987310193211</v>
      </c>
      <c r="M125" s="32">
        <f t="shared" si="82"/>
        <v>117.13891158654909</v>
      </c>
      <c r="N125" s="33"/>
      <c r="O125" s="32">
        <f t="shared" ref="O125:W125" si="83">O120*1.05</f>
        <v>9.6988587781007887</v>
      </c>
      <c r="P125" s="32">
        <f t="shared" si="83"/>
        <v>9.9192873866939877</v>
      </c>
      <c r="Q125" s="32">
        <f t="shared" si="83"/>
        <v>10.895471224749587</v>
      </c>
      <c r="R125" s="32">
        <f t="shared" si="83"/>
        <v>9.6988587781007887</v>
      </c>
      <c r="S125" s="32">
        <f t="shared" si="83"/>
        <v>9.9192873866939877</v>
      </c>
      <c r="T125" s="32">
        <f t="shared" si="83"/>
        <v>10.895471224749587</v>
      </c>
      <c r="U125" s="32">
        <f t="shared" si="83"/>
        <v>9.6988587781007887</v>
      </c>
      <c r="V125" s="32">
        <f t="shared" si="83"/>
        <v>9.9192873866939877</v>
      </c>
      <c r="W125" s="32">
        <f t="shared" si="83"/>
        <v>10.895471224749587</v>
      </c>
      <c r="X125" s="33"/>
      <c r="Y125" s="31"/>
      <c r="Z125" s="22"/>
      <c r="AA125" s="28">
        <v>1.0349999999999999</v>
      </c>
    </row>
    <row r="126" spans="1:27" hidden="1" x14ac:dyDescent="0.25">
      <c r="A126" s="21">
        <v>-0.01</v>
      </c>
      <c r="B126" s="18" t="s">
        <v>190</v>
      </c>
      <c r="C126" s="18" t="s">
        <v>197</v>
      </c>
      <c r="D126" s="19" t="s">
        <v>8</v>
      </c>
      <c r="E126" s="32">
        <f>E120/1.01</f>
        <v>98.415650343005453</v>
      </c>
      <c r="F126" s="32">
        <f t="shared" ref="F126:M126" si="84">F120/1.01</f>
        <v>100.66937586226508</v>
      </c>
      <c r="G126" s="32">
        <f t="shared" si="84"/>
        <v>110.45630512640177</v>
      </c>
      <c r="H126" s="32">
        <f t="shared" si="84"/>
        <v>98.415650343005453</v>
      </c>
      <c r="I126" s="32">
        <f t="shared" si="84"/>
        <v>100.66937586226508</v>
      </c>
      <c r="J126" s="32">
        <f t="shared" si="84"/>
        <v>110.45630512640177</v>
      </c>
      <c r="K126" s="32">
        <f t="shared" si="84"/>
        <v>98.415650343005453</v>
      </c>
      <c r="L126" s="32">
        <f t="shared" si="84"/>
        <v>100.66937586226508</v>
      </c>
      <c r="M126" s="32">
        <f t="shared" si="84"/>
        <v>110.45630512640177</v>
      </c>
      <c r="N126" s="33"/>
      <c r="O126" s="32">
        <f t="shared" ref="O126:W126" si="85">O120/1.01</f>
        <v>9.1455528317782058</v>
      </c>
      <c r="P126" s="32">
        <f t="shared" si="85"/>
        <v>9.3534063052277094</v>
      </c>
      <c r="Q126" s="32">
        <f t="shared" si="85"/>
        <v>10.273900259075516</v>
      </c>
      <c r="R126" s="32">
        <f t="shared" si="85"/>
        <v>9.1455528317782058</v>
      </c>
      <c r="S126" s="32">
        <f t="shared" si="85"/>
        <v>9.3534063052277094</v>
      </c>
      <c r="T126" s="32">
        <f t="shared" si="85"/>
        <v>10.273900259075516</v>
      </c>
      <c r="U126" s="32">
        <f t="shared" si="85"/>
        <v>9.1455528317782058</v>
      </c>
      <c r="V126" s="32">
        <f t="shared" si="85"/>
        <v>9.3534063052277094</v>
      </c>
      <c r="W126" s="32">
        <f t="shared" si="85"/>
        <v>10.273900259075516</v>
      </c>
      <c r="X126" s="33"/>
      <c r="Y126" s="31"/>
      <c r="Z126" s="22"/>
      <c r="AA126" s="28">
        <v>1.0349999999999999</v>
      </c>
    </row>
    <row r="127" spans="1:27" hidden="1" x14ac:dyDescent="0.25">
      <c r="A127" s="16"/>
      <c r="B127" s="3" t="s">
        <v>198</v>
      </c>
      <c r="C127" s="3" t="s">
        <v>199</v>
      </c>
      <c r="D127" s="11" t="s">
        <v>8</v>
      </c>
      <c r="E127" s="7">
        <f t="shared" si="45"/>
        <v>167.04576</v>
      </c>
      <c r="F127" s="7">
        <f t="shared" si="46"/>
        <v>170.87111999999999</v>
      </c>
      <c r="G127" s="7">
        <f t="shared" si="47"/>
        <v>187.48295999999999</v>
      </c>
      <c r="H127" s="7">
        <f t="shared" si="48"/>
        <v>167.04576</v>
      </c>
      <c r="I127" s="7">
        <f t="shared" si="49"/>
        <v>170.87111999999999</v>
      </c>
      <c r="J127" s="7">
        <f t="shared" si="50"/>
        <v>187.48295999999999</v>
      </c>
      <c r="K127" s="7">
        <f t="shared" si="51"/>
        <v>167.04576</v>
      </c>
      <c r="L127" s="7">
        <f t="shared" si="52"/>
        <v>170.87111999999999</v>
      </c>
      <c r="M127" s="7">
        <f t="shared" si="53"/>
        <v>187.48295999999999</v>
      </c>
      <c r="N127" s="22"/>
      <c r="O127" s="7">
        <f t="shared" si="36"/>
        <v>15.523199999999999</v>
      </c>
      <c r="P127" s="7">
        <f t="shared" si="37"/>
        <v>15.875999999999999</v>
      </c>
      <c r="Q127" s="7">
        <f t="shared" si="38"/>
        <v>17.438400000000001</v>
      </c>
      <c r="R127" s="7">
        <f t="shared" si="39"/>
        <v>15.523199999999999</v>
      </c>
      <c r="S127" s="7">
        <f t="shared" si="40"/>
        <v>15.875999999999999</v>
      </c>
      <c r="T127" s="7">
        <f t="shared" si="41"/>
        <v>17.438400000000001</v>
      </c>
      <c r="U127" s="7">
        <f t="shared" si="42"/>
        <v>15.523199999999999</v>
      </c>
      <c r="V127" s="7">
        <f t="shared" si="43"/>
        <v>15.875999999999999</v>
      </c>
      <c r="W127" s="7">
        <f t="shared" si="44"/>
        <v>17.438400000000001</v>
      </c>
      <c r="X127" s="22"/>
      <c r="Y127" s="10">
        <v>0.48</v>
      </c>
      <c r="Z127" s="22"/>
      <c r="AA127" s="10">
        <v>1.05</v>
      </c>
    </row>
    <row r="128" spans="1:27" hidden="1" x14ac:dyDescent="0.25">
      <c r="A128" s="16"/>
      <c r="B128" s="3" t="s">
        <v>200</v>
      </c>
      <c r="C128" s="3" t="s">
        <v>201</v>
      </c>
      <c r="D128" s="11" t="s">
        <v>8</v>
      </c>
      <c r="E128" s="7">
        <f t="shared" si="45"/>
        <v>378.09763145775258</v>
      </c>
      <c r="F128" s="7">
        <f t="shared" si="46"/>
        <v>386.7560945966747</v>
      </c>
      <c r="G128" s="7">
        <f t="shared" si="47"/>
        <v>424.35595560574887</v>
      </c>
      <c r="H128" s="7">
        <f t="shared" si="48"/>
        <v>378.09763145775258</v>
      </c>
      <c r="I128" s="7">
        <f t="shared" si="49"/>
        <v>386.7560945966747</v>
      </c>
      <c r="J128" s="7">
        <f t="shared" si="50"/>
        <v>424.35595560574887</v>
      </c>
      <c r="K128" s="7">
        <f t="shared" si="51"/>
        <v>378.09763145775258</v>
      </c>
      <c r="L128" s="7">
        <f t="shared" si="52"/>
        <v>386.7560945966747</v>
      </c>
      <c r="M128" s="7">
        <f t="shared" si="53"/>
        <v>424.35595560574887</v>
      </c>
      <c r="N128" s="22"/>
      <c r="O128" s="7">
        <f t="shared" si="36"/>
        <v>35.135792447799844</v>
      </c>
      <c r="P128" s="7">
        <f t="shared" si="37"/>
        <v>35.934333185249841</v>
      </c>
      <c r="Q128" s="7">
        <f t="shared" si="38"/>
        <v>39.470727879671259</v>
      </c>
      <c r="R128" s="7">
        <f t="shared" si="39"/>
        <v>35.135792447799844</v>
      </c>
      <c r="S128" s="7">
        <f t="shared" si="40"/>
        <v>35.934333185249841</v>
      </c>
      <c r="T128" s="7">
        <f t="shared" si="41"/>
        <v>39.470727879671259</v>
      </c>
      <c r="U128" s="7">
        <f t="shared" si="42"/>
        <v>35.135792447799844</v>
      </c>
      <c r="V128" s="7">
        <f t="shared" si="43"/>
        <v>35.934333185249841</v>
      </c>
      <c r="W128" s="7">
        <f t="shared" si="44"/>
        <v>39.470727879671259</v>
      </c>
      <c r="X128" s="22"/>
      <c r="Y128" s="10">
        <v>1.1350969970859937</v>
      </c>
      <c r="Z128" s="22"/>
      <c r="AA128" s="10">
        <v>1.0049999999999999</v>
      </c>
    </row>
    <row r="129" spans="1:27" hidden="1" x14ac:dyDescent="0.25">
      <c r="A129" s="16"/>
      <c r="B129" s="3" t="s">
        <v>202</v>
      </c>
      <c r="C129" s="3" t="s">
        <v>203</v>
      </c>
      <c r="D129" s="11" t="s">
        <v>8</v>
      </c>
      <c r="E129" s="7">
        <f t="shared" si="45"/>
        <v>167.38485765203467</v>
      </c>
      <c r="F129" s="7">
        <f t="shared" si="46"/>
        <v>171.21798301282078</v>
      </c>
      <c r="G129" s="7">
        <f t="shared" si="47"/>
        <v>187.86354452685367</v>
      </c>
      <c r="H129" s="7">
        <f t="shared" si="48"/>
        <v>167.38485765203467</v>
      </c>
      <c r="I129" s="7">
        <f t="shared" si="49"/>
        <v>171.21798301282078</v>
      </c>
      <c r="J129" s="7">
        <f t="shared" si="50"/>
        <v>187.86354452685367</v>
      </c>
      <c r="K129" s="7">
        <f t="shared" si="51"/>
        <v>167.38485765203467</v>
      </c>
      <c r="L129" s="7">
        <f t="shared" si="52"/>
        <v>171.21798301282078</v>
      </c>
      <c r="M129" s="7">
        <f t="shared" si="53"/>
        <v>187.86354452685367</v>
      </c>
      <c r="N129" s="22"/>
      <c r="O129" s="7">
        <f t="shared" si="36"/>
        <v>15.554711608987052</v>
      </c>
      <c r="P129" s="7">
        <f t="shared" si="37"/>
        <v>15.908227781918574</v>
      </c>
      <c r="Q129" s="7">
        <f t="shared" si="38"/>
        <v>17.473799404901037</v>
      </c>
      <c r="R129" s="7">
        <f t="shared" si="39"/>
        <v>15.554711608987052</v>
      </c>
      <c r="S129" s="7">
        <f t="shared" si="40"/>
        <v>15.908227781918574</v>
      </c>
      <c r="T129" s="7">
        <f t="shared" si="41"/>
        <v>17.473799404901037</v>
      </c>
      <c r="U129" s="7">
        <f t="shared" si="42"/>
        <v>15.554711608987052</v>
      </c>
      <c r="V129" s="7">
        <f t="shared" si="43"/>
        <v>15.908227781918574</v>
      </c>
      <c r="W129" s="7">
        <f t="shared" si="44"/>
        <v>17.473799404901037</v>
      </c>
      <c r="X129" s="22"/>
      <c r="Y129" s="10">
        <v>0.49512069038028556</v>
      </c>
      <c r="Z129" s="22"/>
      <c r="AA129" s="10">
        <v>1.02</v>
      </c>
    </row>
    <row r="130" spans="1:27" hidden="1" x14ac:dyDescent="0.25">
      <c r="A130" s="16"/>
      <c r="B130" s="3" t="s">
        <v>204</v>
      </c>
      <c r="C130" s="3" t="s">
        <v>205</v>
      </c>
      <c r="D130" s="11" t="s">
        <v>8</v>
      </c>
      <c r="E130" s="7">
        <f t="shared" si="45"/>
        <v>234.23624455159489</v>
      </c>
      <c r="F130" s="7">
        <f t="shared" si="46"/>
        <v>239.60027151317649</v>
      </c>
      <c r="G130" s="7">
        <f t="shared" si="47"/>
        <v>262.89385895108552</v>
      </c>
      <c r="H130" s="7">
        <f t="shared" si="48"/>
        <v>234.23624455159489</v>
      </c>
      <c r="I130" s="7">
        <f t="shared" si="49"/>
        <v>239.60027151317649</v>
      </c>
      <c r="J130" s="7">
        <f t="shared" si="50"/>
        <v>262.89385895108552</v>
      </c>
      <c r="K130" s="7">
        <f t="shared" si="51"/>
        <v>234.23624455159489</v>
      </c>
      <c r="L130" s="7">
        <f t="shared" si="52"/>
        <v>239.60027151317649</v>
      </c>
      <c r="M130" s="7">
        <f t="shared" si="53"/>
        <v>262.89385895108552</v>
      </c>
      <c r="N130" s="22"/>
      <c r="O130" s="7">
        <f t="shared" si="36"/>
        <v>21.767065931055768</v>
      </c>
      <c r="P130" s="7">
        <f t="shared" si="37"/>
        <v>22.261771974943393</v>
      </c>
      <c r="Q130" s="7">
        <f t="shared" si="38"/>
        <v>24.452613026445764</v>
      </c>
      <c r="R130" s="7">
        <f t="shared" si="39"/>
        <v>21.767065931055768</v>
      </c>
      <c r="S130" s="7">
        <f t="shared" si="40"/>
        <v>22.261771974943393</v>
      </c>
      <c r="T130" s="7">
        <f t="shared" si="41"/>
        <v>24.452613026445764</v>
      </c>
      <c r="U130" s="7">
        <f t="shared" si="42"/>
        <v>21.767065931055768</v>
      </c>
      <c r="V130" s="7">
        <f t="shared" si="43"/>
        <v>22.261771974943393</v>
      </c>
      <c r="W130" s="7">
        <f t="shared" si="44"/>
        <v>24.452613026445764</v>
      </c>
      <c r="X130" s="22"/>
      <c r="Y130" s="10">
        <v>0.66987954487153833</v>
      </c>
      <c r="Z130" s="22"/>
      <c r="AA130" s="10">
        <v>1.0549999999999999</v>
      </c>
    </row>
    <row r="131" spans="1:27" hidden="1" x14ac:dyDescent="0.25">
      <c r="A131" s="16"/>
      <c r="B131" s="30" t="s">
        <v>206</v>
      </c>
      <c r="C131" s="3" t="s">
        <v>207</v>
      </c>
      <c r="D131" s="11" t="s">
        <v>8</v>
      </c>
      <c r="E131" s="99">
        <f t="shared" si="45"/>
        <v>127.6044</v>
      </c>
      <c r="F131" s="99">
        <f t="shared" si="46"/>
        <v>130.52654999999999</v>
      </c>
      <c r="G131" s="99">
        <f t="shared" si="47"/>
        <v>143.21615</v>
      </c>
      <c r="H131" s="99">
        <f t="shared" si="48"/>
        <v>127.6044</v>
      </c>
      <c r="I131" s="99">
        <f t="shared" si="49"/>
        <v>130.52654999999999</v>
      </c>
      <c r="J131" s="99">
        <f t="shared" si="50"/>
        <v>143.21615</v>
      </c>
      <c r="K131" s="99">
        <f t="shared" si="51"/>
        <v>127.6044</v>
      </c>
      <c r="L131" s="99">
        <f t="shared" si="52"/>
        <v>130.52654999999999</v>
      </c>
      <c r="M131" s="99">
        <f t="shared" si="53"/>
        <v>143.21615</v>
      </c>
      <c r="N131" s="22"/>
      <c r="O131" s="99">
        <f t="shared" si="36"/>
        <v>11.858000000000001</v>
      </c>
      <c r="P131" s="99">
        <f t="shared" si="37"/>
        <v>12.1275</v>
      </c>
      <c r="Q131" s="99">
        <f t="shared" si="38"/>
        <v>13.321</v>
      </c>
      <c r="R131" s="99">
        <f t="shared" si="39"/>
        <v>11.858000000000001</v>
      </c>
      <c r="S131" s="99">
        <f t="shared" si="40"/>
        <v>12.1275</v>
      </c>
      <c r="T131" s="99">
        <f t="shared" si="41"/>
        <v>13.321</v>
      </c>
      <c r="U131" s="99">
        <f t="shared" si="42"/>
        <v>11.858000000000001</v>
      </c>
      <c r="V131" s="99">
        <f t="shared" si="43"/>
        <v>12.1275</v>
      </c>
      <c r="W131" s="99">
        <f t="shared" si="44"/>
        <v>13.321</v>
      </c>
      <c r="X131" s="22"/>
      <c r="Y131" s="10">
        <v>0.35</v>
      </c>
      <c r="Z131" s="22"/>
      <c r="AA131" s="10">
        <v>1.1000000000000001</v>
      </c>
    </row>
    <row r="132" spans="1:27" hidden="1" x14ac:dyDescent="0.25">
      <c r="A132" s="16"/>
      <c r="B132" s="3" t="s">
        <v>208</v>
      </c>
      <c r="C132" s="3" t="s">
        <v>209</v>
      </c>
      <c r="D132" s="11" t="s">
        <v>8</v>
      </c>
      <c r="E132" s="99">
        <f t="shared" si="45"/>
        <v>180.93309600000003</v>
      </c>
      <c r="F132" s="99">
        <f t="shared" si="46"/>
        <v>185.07647700000001</v>
      </c>
      <c r="G132" s="99">
        <f t="shared" si="47"/>
        <v>203.06934100000004</v>
      </c>
      <c r="H132" s="99">
        <f t="shared" si="48"/>
        <v>180.93309600000003</v>
      </c>
      <c r="I132" s="99">
        <f t="shared" si="49"/>
        <v>185.07647700000001</v>
      </c>
      <c r="J132" s="99">
        <f t="shared" si="50"/>
        <v>203.06934100000004</v>
      </c>
      <c r="K132" s="99">
        <f t="shared" si="51"/>
        <v>180.93309600000003</v>
      </c>
      <c r="L132" s="99">
        <f t="shared" si="52"/>
        <v>185.07647700000001</v>
      </c>
      <c r="M132" s="99">
        <f t="shared" si="53"/>
        <v>203.06934100000004</v>
      </c>
      <c r="N132" s="22"/>
      <c r="O132" s="99">
        <f t="shared" si="36"/>
        <v>16.813720000000004</v>
      </c>
      <c r="P132" s="99">
        <f t="shared" si="37"/>
        <v>17.19585</v>
      </c>
      <c r="Q132" s="99">
        <f t="shared" si="38"/>
        <v>18.88814</v>
      </c>
      <c r="R132" s="99">
        <f t="shared" si="39"/>
        <v>16.813720000000004</v>
      </c>
      <c r="S132" s="99">
        <f t="shared" si="40"/>
        <v>17.19585</v>
      </c>
      <c r="T132" s="99">
        <f t="shared" si="41"/>
        <v>18.88814</v>
      </c>
      <c r="U132" s="99">
        <f t="shared" si="42"/>
        <v>16.813720000000004</v>
      </c>
      <c r="V132" s="99">
        <f t="shared" si="43"/>
        <v>17.19585</v>
      </c>
      <c r="W132" s="99">
        <f t="shared" si="44"/>
        <v>18.88814</v>
      </c>
      <c r="X132" s="22"/>
      <c r="Y132" s="10">
        <v>0.53</v>
      </c>
      <c r="Z132" s="22"/>
      <c r="AA132" s="10">
        <v>1.03</v>
      </c>
    </row>
    <row r="133" spans="1:27" hidden="1" x14ac:dyDescent="0.25">
      <c r="A133" s="16"/>
      <c r="B133" s="3" t="s">
        <v>210</v>
      </c>
      <c r="C133" s="3" t="s">
        <v>210</v>
      </c>
      <c r="D133" s="11" t="s">
        <v>8</v>
      </c>
      <c r="E133" s="99">
        <f t="shared" ref="E133:E139" si="86">(331.44*$Y133)*$AA133</f>
        <v>319.17671999999999</v>
      </c>
      <c r="F133" s="99">
        <f t="shared" ref="F133:F139" si="87">(339.03*$Y133)*$AA133</f>
        <v>326.48589000000004</v>
      </c>
      <c r="G133" s="99">
        <f t="shared" ref="G133:G139" si="88">(371.99*$Y133)*$AA133</f>
        <v>358.22637000000003</v>
      </c>
      <c r="H133" s="99">
        <f t="shared" ref="H133:H139" si="89">(331.44*$Y133)*$AA133</f>
        <v>319.17671999999999</v>
      </c>
      <c r="I133" s="99">
        <f t="shared" ref="I133:I139" si="90">(339.03*$Y133)*$AA133</f>
        <v>326.48589000000004</v>
      </c>
      <c r="J133" s="99">
        <f t="shared" ref="J133:J139" si="91">(371.99*$Y133)*$AA133</f>
        <v>358.22637000000003</v>
      </c>
      <c r="K133" s="99">
        <f t="shared" ref="K133:K139" si="92">(331.44*$Y133)*$AA133</f>
        <v>319.17671999999999</v>
      </c>
      <c r="L133" s="99">
        <f t="shared" ref="L133:L139" si="93">(339.03*$Y133)*$AA133</f>
        <v>326.48589000000004</v>
      </c>
      <c r="M133" s="99">
        <f t="shared" ref="M133:M139" si="94">(371.99*$Y133)*$AA133</f>
        <v>358.22637000000003</v>
      </c>
      <c r="N133" s="22"/>
      <c r="O133" s="99">
        <f t="shared" si="36"/>
        <v>29.660400000000003</v>
      </c>
      <c r="P133" s="99">
        <f t="shared" si="37"/>
        <v>30.334500000000002</v>
      </c>
      <c r="Q133" s="99">
        <f t="shared" si="38"/>
        <v>33.319800000000001</v>
      </c>
      <c r="R133" s="99">
        <f t="shared" si="39"/>
        <v>29.660400000000003</v>
      </c>
      <c r="S133" s="99">
        <f t="shared" si="40"/>
        <v>30.334500000000002</v>
      </c>
      <c r="T133" s="99">
        <f t="shared" si="41"/>
        <v>33.319800000000001</v>
      </c>
      <c r="U133" s="99">
        <f t="shared" si="42"/>
        <v>29.660400000000003</v>
      </c>
      <c r="V133" s="99">
        <f t="shared" si="43"/>
        <v>30.334500000000002</v>
      </c>
      <c r="W133" s="99">
        <f t="shared" si="44"/>
        <v>33.319800000000001</v>
      </c>
      <c r="X133" s="22"/>
      <c r="Y133" s="10">
        <v>0.9</v>
      </c>
      <c r="Z133" s="22"/>
      <c r="AA133" s="10">
        <v>1.07</v>
      </c>
    </row>
    <row r="134" spans="1:27" hidden="1" x14ac:dyDescent="0.25">
      <c r="A134" s="16"/>
      <c r="B134" s="3" t="s">
        <v>211</v>
      </c>
      <c r="C134" s="3" t="s">
        <v>212</v>
      </c>
      <c r="D134" s="11" t="s">
        <v>8</v>
      </c>
      <c r="E134" s="99">
        <f t="shared" si="86"/>
        <v>191.77118400000001</v>
      </c>
      <c r="F134" s="99">
        <f t="shared" si="87"/>
        <v>196.162758</v>
      </c>
      <c r="G134" s="99">
        <f t="shared" si="88"/>
        <v>215.23341400000001</v>
      </c>
      <c r="H134" s="99">
        <f t="shared" si="89"/>
        <v>191.77118400000001</v>
      </c>
      <c r="I134" s="99">
        <f t="shared" si="90"/>
        <v>196.162758</v>
      </c>
      <c r="J134" s="99">
        <f t="shared" si="91"/>
        <v>215.23341400000001</v>
      </c>
      <c r="K134" s="99">
        <f t="shared" si="92"/>
        <v>191.77118400000001</v>
      </c>
      <c r="L134" s="99">
        <f t="shared" si="93"/>
        <v>196.162758</v>
      </c>
      <c r="M134" s="99">
        <f t="shared" si="94"/>
        <v>215.23341400000001</v>
      </c>
      <c r="N134" s="22"/>
      <c r="O134" s="99">
        <f t="shared" ref="O134:O139" si="95">(30.8*$Y134)*$AA134</f>
        <v>17.820880000000002</v>
      </c>
      <c r="P134" s="99">
        <f t="shared" ref="P134:P139" si="96">(31.5*$Y134)*$AA134</f>
        <v>18.225900000000003</v>
      </c>
      <c r="Q134" s="99">
        <f t="shared" ref="Q134:Q139" si="97">(34.6*$Y134)*$AA134</f>
        <v>20.019560000000002</v>
      </c>
      <c r="R134" s="99">
        <f t="shared" ref="R134:R139" si="98">(30.8*$Y134)*$AA134</f>
        <v>17.820880000000002</v>
      </c>
      <c r="S134" s="99">
        <f t="shared" ref="S134:S139" si="99">(31.5*$Y134)*$AA134</f>
        <v>18.225900000000003</v>
      </c>
      <c r="T134" s="99">
        <f t="shared" ref="T134:T139" si="100">(34.6*$Y134)*$AA134</f>
        <v>20.019560000000002</v>
      </c>
      <c r="U134" s="99">
        <f t="shared" ref="U134:U139" si="101">(30.8*$Y134)*$AA134</f>
        <v>17.820880000000002</v>
      </c>
      <c r="V134" s="99">
        <f t="shared" ref="V134:V139" si="102">(31.5*$Y134)*$AA134</f>
        <v>18.225900000000003</v>
      </c>
      <c r="W134" s="99">
        <f t="shared" ref="W134:W139" si="103">(34.6*$Y134)*$AA134</f>
        <v>20.019560000000002</v>
      </c>
      <c r="X134" s="22"/>
      <c r="Y134" s="10">
        <v>0.55000000000000004</v>
      </c>
      <c r="Z134" s="22"/>
      <c r="AA134" s="10">
        <v>1.052</v>
      </c>
    </row>
    <row r="135" spans="1:27" hidden="1" x14ac:dyDescent="0.25">
      <c r="A135" s="16"/>
      <c r="B135" s="3" t="s">
        <v>213</v>
      </c>
      <c r="C135" s="3" t="s">
        <v>214</v>
      </c>
      <c r="D135" s="11" t="s">
        <v>8</v>
      </c>
      <c r="E135" s="7">
        <f t="shared" si="86"/>
        <v>183.78220319467542</v>
      </c>
      <c r="F135" s="7">
        <f t="shared" si="87"/>
        <v>187.99082895574099</v>
      </c>
      <c r="G135" s="7">
        <f t="shared" si="88"/>
        <v>206.26702198403123</v>
      </c>
      <c r="H135" s="7">
        <f t="shared" si="89"/>
        <v>183.78220319467542</v>
      </c>
      <c r="I135" s="7">
        <f t="shared" si="90"/>
        <v>187.99082895574099</v>
      </c>
      <c r="J135" s="7">
        <f t="shared" si="91"/>
        <v>206.26702198403123</v>
      </c>
      <c r="K135" s="7">
        <f t="shared" si="92"/>
        <v>183.78220319467542</v>
      </c>
      <c r="L135" s="7">
        <f t="shared" si="93"/>
        <v>187.99082895574099</v>
      </c>
      <c r="M135" s="7">
        <f t="shared" si="94"/>
        <v>206.26702198403123</v>
      </c>
      <c r="N135" s="22"/>
      <c r="O135" s="7">
        <f t="shared" si="95"/>
        <v>17.078481349251756</v>
      </c>
      <c r="P135" s="7">
        <f t="shared" si="96"/>
        <v>17.466628652643845</v>
      </c>
      <c r="Q135" s="7">
        <f t="shared" si="97"/>
        <v>19.18556671052308</v>
      </c>
      <c r="R135" s="7">
        <f t="shared" si="98"/>
        <v>17.078481349251756</v>
      </c>
      <c r="S135" s="7">
        <f t="shared" si="99"/>
        <v>17.466628652643845</v>
      </c>
      <c r="T135" s="7">
        <f t="shared" si="100"/>
        <v>19.18556671052308</v>
      </c>
      <c r="U135" s="7">
        <f t="shared" si="101"/>
        <v>17.078481349251756</v>
      </c>
      <c r="V135" s="7">
        <f t="shared" si="102"/>
        <v>17.466628652643845</v>
      </c>
      <c r="W135" s="7">
        <f t="shared" si="103"/>
        <v>19.18556671052308</v>
      </c>
      <c r="X135" s="22"/>
      <c r="Y135" s="10">
        <v>0.53368252906927738</v>
      </c>
      <c r="Z135" s="22"/>
      <c r="AA135" s="10">
        <v>1.0389999999999999</v>
      </c>
    </row>
    <row r="136" spans="1:27" hidden="1" x14ac:dyDescent="0.25">
      <c r="A136" s="16"/>
      <c r="B136" s="3" t="s">
        <v>215</v>
      </c>
      <c r="C136" s="3" t="s">
        <v>216</v>
      </c>
      <c r="D136" s="11" t="s">
        <v>8</v>
      </c>
      <c r="E136" s="7">
        <f t="shared" si="86"/>
        <v>110.73536785143243</v>
      </c>
      <c r="F136" s="7">
        <f t="shared" si="87"/>
        <v>113.27121579372175</v>
      </c>
      <c r="G136" s="7">
        <f t="shared" si="88"/>
        <v>124.28327747723374</v>
      </c>
      <c r="H136" s="7">
        <f t="shared" si="89"/>
        <v>110.73536785143243</v>
      </c>
      <c r="I136" s="7">
        <f t="shared" si="90"/>
        <v>113.27121579372175</v>
      </c>
      <c r="J136" s="7">
        <f t="shared" si="91"/>
        <v>124.28327747723374</v>
      </c>
      <c r="K136" s="7">
        <f t="shared" si="92"/>
        <v>110.73536785143243</v>
      </c>
      <c r="L136" s="7">
        <f t="shared" si="93"/>
        <v>113.27121579372175</v>
      </c>
      <c r="M136" s="7">
        <f t="shared" si="94"/>
        <v>124.28327747723374</v>
      </c>
      <c r="N136" s="22"/>
      <c r="O136" s="7">
        <f t="shared" si="95"/>
        <v>10.290397446971154</v>
      </c>
      <c r="P136" s="7">
        <f t="shared" si="96"/>
        <v>10.524270116220498</v>
      </c>
      <c r="Q136" s="7">
        <f t="shared" si="97"/>
        <v>11.559991937181881</v>
      </c>
      <c r="R136" s="7">
        <f t="shared" si="98"/>
        <v>10.290397446971154</v>
      </c>
      <c r="S136" s="7">
        <f t="shared" si="99"/>
        <v>10.524270116220498</v>
      </c>
      <c r="T136" s="7">
        <f t="shared" si="100"/>
        <v>11.559991937181881</v>
      </c>
      <c r="U136" s="7">
        <f t="shared" si="101"/>
        <v>10.290397446971154</v>
      </c>
      <c r="V136" s="7">
        <f t="shared" si="102"/>
        <v>10.524270116220498</v>
      </c>
      <c r="W136" s="7">
        <f t="shared" si="103"/>
        <v>11.559991937181881</v>
      </c>
      <c r="X136" s="22"/>
      <c r="Y136" s="10">
        <v>0.33244160518741211</v>
      </c>
      <c r="Z136" s="22"/>
      <c r="AA136" s="10">
        <v>1.0049999999999999</v>
      </c>
    </row>
    <row r="137" spans="1:27" hidden="1" x14ac:dyDescent="0.25">
      <c r="A137" s="16"/>
      <c r="B137" s="3" t="s">
        <v>217</v>
      </c>
      <c r="C137" s="3" t="s">
        <v>218</v>
      </c>
      <c r="D137" s="11" t="s">
        <v>8</v>
      </c>
      <c r="E137" s="7">
        <f t="shared" si="86"/>
        <v>134.14906158745211</v>
      </c>
      <c r="F137" s="7">
        <f t="shared" si="87"/>
        <v>137.22108481171216</v>
      </c>
      <c r="G137" s="7">
        <f t="shared" si="88"/>
        <v>150.5615176801723</v>
      </c>
      <c r="H137" s="7">
        <f t="shared" si="89"/>
        <v>134.14906158745211</v>
      </c>
      <c r="I137" s="7">
        <f t="shared" si="90"/>
        <v>137.22108481171216</v>
      </c>
      <c r="J137" s="7">
        <f t="shared" si="91"/>
        <v>150.5615176801723</v>
      </c>
      <c r="K137" s="7">
        <f t="shared" si="92"/>
        <v>134.14906158745211</v>
      </c>
      <c r="L137" s="7">
        <f t="shared" si="93"/>
        <v>137.22108481171216</v>
      </c>
      <c r="M137" s="7">
        <f t="shared" si="94"/>
        <v>150.5615176801723</v>
      </c>
      <c r="N137" s="22"/>
      <c r="O137" s="7">
        <f t="shared" si="95"/>
        <v>12.466181199895983</v>
      </c>
      <c r="P137" s="7">
        <f t="shared" si="96"/>
        <v>12.749503499893619</v>
      </c>
      <c r="Q137" s="7">
        <f t="shared" si="97"/>
        <v>14.004216542740293</v>
      </c>
      <c r="R137" s="7">
        <f t="shared" si="98"/>
        <v>12.466181199895983</v>
      </c>
      <c r="S137" s="7">
        <f t="shared" si="99"/>
        <v>12.749503499893619</v>
      </c>
      <c r="T137" s="7">
        <f t="shared" si="100"/>
        <v>14.004216542740293</v>
      </c>
      <c r="U137" s="7">
        <f t="shared" si="101"/>
        <v>12.466181199895983</v>
      </c>
      <c r="V137" s="7">
        <f t="shared" si="102"/>
        <v>12.749503499893619</v>
      </c>
      <c r="W137" s="7">
        <f t="shared" si="103"/>
        <v>14.004216542740293</v>
      </c>
      <c r="X137" s="22"/>
      <c r="Y137" s="10">
        <v>0.39105907522102967</v>
      </c>
      <c r="Z137" s="22"/>
      <c r="AA137" s="10">
        <v>1.0349999999999999</v>
      </c>
    </row>
    <row r="138" spans="1:27" ht="14.5" hidden="1" customHeight="1" x14ac:dyDescent="0.25">
      <c r="A138" s="16"/>
      <c r="B138" s="3" t="s">
        <v>219</v>
      </c>
      <c r="C138" s="3" t="s">
        <v>220</v>
      </c>
      <c r="D138" s="11" t="s">
        <v>6</v>
      </c>
      <c r="E138" s="7">
        <f t="shared" si="86"/>
        <v>353.64648</v>
      </c>
      <c r="F138" s="7">
        <f t="shared" si="87"/>
        <v>361.74500999999998</v>
      </c>
      <c r="G138" s="7">
        <f t="shared" si="88"/>
        <v>396.91332999999997</v>
      </c>
      <c r="H138" s="7">
        <f t="shared" si="89"/>
        <v>353.64648</v>
      </c>
      <c r="I138" s="7">
        <f t="shared" si="90"/>
        <v>361.74500999999998</v>
      </c>
      <c r="J138" s="7">
        <f t="shared" si="91"/>
        <v>396.91332999999997</v>
      </c>
      <c r="K138" s="7">
        <f t="shared" si="92"/>
        <v>353.64648</v>
      </c>
      <c r="L138" s="7">
        <f t="shared" si="93"/>
        <v>361.74500999999998</v>
      </c>
      <c r="M138" s="7">
        <f t="shared" si="94"/>
        <v>396.91332999999997</v>
      </c>
      <c r="N138" s="22"/>
      <c r="O138" s="7">
        <f t="shared" si="95"/>
        <v>32.863599999999998</v>
      </c>
      <c r="P138" s="7">
        <f t="shared" si="96"/>
        <v>33.610500000000002</v>
      </c>
      <c r="Q138" s="7">
        <f t="shared" si="97"/>
        <v>36.918199999999999</v>
      </c>
      <c r="R138" s="7">
        <f t="shared" si="98"/>
        <v>32.863599999999998</v>
      </c>
      <c r="S138" s="7">
        <f t="shared" si="99"/>
        <v>33.610500000000002</v>
      </c>
      <c r="T138" s="7">
        <f t="shared" si="100"/>
        <v>36.918199999999999</v>
      </c>
      <c r="U138" s="7">
        <f t="shared" si="101"/>
        <v>32.863599999999998</v>
      </c>
      <c r="V138" s="7">
        <f t="shared" si="102"/>
        <v>33.610500000000002</v>
      </c>
      <c r="W138" s="7">
        <f t="shared" si="103"/>
        <v>36.918199999999999</v>
      </c>
      <c r="X138" s="22"/>
      <c r="Y138" s="10">
        <v>1</v>
      </c>
      <c r="Z138" s="22"/>
      <c r="AA138" s="10">
        <v>1.0669999999999999</v>
      </c>
    </row>
    <row r="139" spans="1:27" ht="14.5" hidden="1" customHeight="1" x14ac:dyDescent="0.25">
      <c r="A139" s="16"/>
      <c r="B139" s="3" t="s">
        <v>221</v>
      </c>
      <c r="C139" s="3" t="s">
        <v>222</v>
      </c>
      <c r="D139" s="11" t="s">
        <v>6</v>
      </c>
      <c r="E139" s="7">
        <f t="shared" si="86"/>
        <v>206.81856000000002</v>
      </c>
      <c r="F139" s="7">
        <f t="shared" si="87"/>
        <v>211.55471999999997</v>
      </c>
      <c r="G139" s="7">
        <f t="shared" si="88"/>
        <v>232.12175999999999</v>
      </c>
      <c r="H139" s="7">
        <f t="shared" si="89"/>
        <v>206.81856000000002</v>
      </c>
      <c r="I139" s="7">
        <f t="shared" si="90"/>
        <v>211.55471999999997</v>
      </c>
      <c r="J139" s="7">
        <f t="shared" si="91"/>
        <v>232.12175999999999</v>
      </c>
      <c r="K139" s="7">
        <f t="shared" si="92"/>
        <v>206.81856000000002</v>
      </c>
      <c r="L139" s="7">
        <f t="shared" si="93"/>
        <v>211.55471999999997</v>
      </c>
      <c r="M139" s="7">
        <f t="shared" si="94"/>
        <v>232.12175999999999</v>
      </c>
      <c r="N139" s="22"/>
      <c r="O139" s="7">
        <f t="shared" si="95"/>
        <v>19.219200000000001</v>
      </c>
      <c r="P139" s="7">
        <f t="shared" si="96"/>
        <v>19.655999999999999</v>
      </c>
      <c r="Q139" s="7">
        <f t="shared" si="97"/>
        <v>21.590400000000002</v>
      </c>
      <c r="R139" s="7">
        <f t="shared" si="98"/>
        <v>19.219200000000001</v>
      </c>
      <c r="S139" s="7">
        <f t="shared" si="99"/>
        <v>19.655999999999999</v>
      </c>
      <c r="T139" s="7">
        <f t="shared" si="100"/>
        <v>21.590400000000002</v>
      </c>
      <c r="U139" s="7">
        <f t="shared" si="101"/>
        <v>19.219200000000001</v>
      </c>
      <c r="V139" s="7">
        <f t="shared" si="102"/>
        <v>19.655999999999999</v>
      </c>
      <c r="W139" s="7">
        <f t="shared" si="103"/>
        <v>21.590400000000002</v>
      </c>
      <c r="X139" s="22"/>
      <c r="Y139" s="10">
        <v>0.6</v>
      </c>
      <c r="Z139" s="22"/>
      <c r="AA139" s="10">
        <v>1.04</v>
      </c>
    </row>
    <row r="140" spans="1:27" x14ac:dyDescent="0.25">
      <c r="A140" s="16"/>
      <c r="B140" s="17"/>
      <c r="C140" s="3"/>
      <c r="D140" s="1"/>
      <c r="F140" s="4"/>
      <c r="G140" s="4"/>
      <c r="H140" s="4"/>
      <c r="I140" s="4"/>
      <c r="J140" s="4"/>
      <c r="K140" s="4"/>
      <c r="L140" s="4"/>
      <c r="M140" s="4"/>
    </row>
    <row r="141" spans="1:27" x14ac:dyDescent="0.25">
      <c r="A141" s="16"/>
      <c r="B141" s="17"/>
      <c r="C141" s="3"/>
      <c r="D141" s="1"/>
      <c r="F141" s="4"/>
      <c r="G141" s="4"/>
      <c r="H141" s="4"/>
      <c r="I141" s="4"/>
      <c r="J141" s="4"/>
      <c r="K141" s="4"/>
      <c r="L141" s="4"/>
      <c r="M141" s="4"/>
    </row>
    <row r="142" spans="1:27" x14ac:dyDescent="0.25">
      <c r="A142" s="16"/>
      <c r="B142" s="17"/>
      <c r="C142" s="3"/>
      <c r="D142" s="1"/>
      <c r="F142" s="4"/>
      <c r="G142" s="4"/>
      <c r="H142" s="4"/>
      <c r="I142" s="4"/>
      <c r="J142" s="4"/>
      <c r="K142" s="4"/>
      <c r="L142" s="4"/>
      <c r="M142" s="4"/>
    </row>
    <row r="143" spans="1:27" x14ac:dyDescent="0.25">
      <c r="A143" s="16"/>
      <c r="B143" s="17"/>
      <c r="C143" s="3"/>
      <c r="D143" s="1"/>
      <c r="F143" s="4"/>
      <c r="G143" s="4"/>
      <c r="H143" s="4"/>
      <c r="I143" s="4"/>
      <c r="J143" s="4"/>
      <c r="K143" s="4"/>
      <c r="L143" s="4"/>
      <c r="M143" s="4"/>
    </row>
    <row r="144" spans="1:27" x14ac:dyDescent="0.25">
      <c r="A144" s="16"/>
      <c r="B144" s="17"/>
      <c r="C144" s="3"/>
      <c r="D144" s="1"/>
      <c r="F144" s="4"/>
      <c r="G144" s="4"/>
      <c r="H144" s="4"/>
      <c r="I144" s="4"/>
      <c r="J144" s="4"/>
      <c r="K144" s="4"/>
      <c r="L144" s="4"/>
      <c r="M144" s="4"/>
    </row>
    <row r="145" spans="1:13" x14ac:dyDescent="0.25">
      <c r="A145" s="16"/>
      <c r="B145" s="17"/>
      <c r="C145" s="3"/>
      <c r="D145" s="1"/>
      <c r="F145" s="4"/>
      <c r="G145" s="4"/>
      <c r="H145" s="4"/>
      <c r="I145" s="4"/>
      <c r="J145" s="4"/>
      <c r="K145" s="4"/>
      <c r="L145" s="4"/>
      <c r="M145" s="4"/>
    </row>
    <row r="146" spans="1:13" x14ac:dyDescent="0.25">
      <c r="A146" s="16"/>
      <c r="B146" s="17"/>
      <c r="C146" s="3"/>
      <c r="D146" s="1"/>
      <c r="F146" s="4"/>
      <c r="G146" s="4"/>
      <c r="H146" s="4"/>
      <c r="I146" s="4"/>
      <c r="J146" s="4"/>
      <c r="K146" s="4"/>
      <c r="L146" s="4"/>
      <c r="M146" s="4"/>
    </row>
    <row r="147" spans="1:13" ht="21" x14ac:dyDescent="0.55000000000000004">
      <c r="A147" s="16"/>
      <c r="B147" s="17"/>
      <c r="C147" s="3"/>
      <c r="D147" s="1"/>
      <c r="F147" s="4"/>
      <c r="G147" s="4"/>
      <c r="H147" s="134">
        <v>9.2903040000000006E-2</v>
      </c>
      <c r="I147" s="135"/>
      <c r="J147" s="135"/>
      <c r="K147" s="4"/>
      <c r="L147" s="4"/>
      <c r="M147" s="4"/>
    </row>
    <row r="148" spans="1:13" x14ac:dyDescent="0.25">
      <c r="A148" s="16"/>
      <c r="B148" s="17"/>
      <c r="C148" s="3"/>
      <c r="D148" s="1"/>
      <c r="F148" s="4"/>
      <c r="G148" s="4"/>
      <c r="H148" s="4"/>
      <c r="I148" s="4"/>
      <c r="J148" s="4"/>
      <c r="K148" s="4"/>
      <c r="L148" s="4"/>
      <c r="M148" s="4"/>
    </row>
    <row r="149" spans="1:13" x14ac:dyDescent="0.25">
      <c r="A149" s="16"/>
      <c r="B149" s="17"/>
      <c r="C149" s="3"/>
      <c r="D149" s="1"/>
      <c r="F149" s="4"/>
      <c r="G149" s="4"/>
      <c r="H149" s="4"/>
      <c r="I149" s="4">
        <f>E139*H147</f>
        <v>19.214072952422402</v>
      </c>
      <c r="J149" s="4"/>
      <c r="K149" s="4"/>
      <c r="L149" s="4"/>
      <c r="M149" s="4"/>
    </row>
    <row r="150" spans="1:13" x14ac:dyDescent="0.25">
      <c r="A150" s="16"/>
      <c r="B150" s="17"/>
      <c r="C150" s="3"/>
      <c r="D150" s="1"/>
      <c r="F150" s="4"/>
      <c r="G150" s="4"/>
      <c r="H150" s="4"/>
      <c r="I150" s="4"/>
      <c r="J150" s="4"/>
      <c r="K150" s="4"/>
      <c r="L150" s="4"/>
      <c r="M150" s="4"/>
    </row>
    <row r="151" spans="1:13" x14ac:dyDescent="0.25">
      <c r="A151" s="16"/>
      <c r="B151" s="17"/>
      <c r="C151" s="3"/>
      <c r="D151" s="1"/>
      <c r="F151" s="4"/>
      <c r="G151" s="4"/>
      <c r="H151" s="4"/>
      <c r="I151" s="4"/>
      <c r="J151" s="4"/>
      <c r="K151" s="4"/>
      <c r="L151" s="4"/>
      <c r="M151" s="4"/>
    </row>
    <row r="152" spans="1:13" x14ac:dyDescent="0.25">
      <c r="A152" s="16"/>
      <c r="B152" s="17"/>
      <c r="C152" s="3"/>
      <c r="D152" s="1"/>
      <c r="F152" s="4"/>
      <c r="G152" s="4"/>
      <c r="H152" s="4"/>
      <c r="I152" s="4"/>
      <c r="J152" s="4"/>
      <c r="K152" s="4"/>
      <c r="L152" s="4"/>
      <c r="M152" s="4"/>
    </row>
    <row r="153" spans="1:13" x14ac:dyDescent="0.25">
      <c r="A153" s="16"/>
      <c r="B153" s="17"/>
      <c r="C153" s="3"/>
      <c r="D153" s="1"/>
      <c r="F153" s="4"/>
      <c r="G153" s="4"/>
      <c r="H153" s="4"/>
      <c r="I153" s="4"/>
      <c r="J153" s="4"/>
      <c r="K153" s="4"/>
      <c r="L153" s="4"/>
      <c r="M153" s="4"/>
    </row>
    <row r="154" spans="1:13" x14ac:dyDescent="0.25">
      <c r="A154" s="16"/>
      <c r="B154" s="17"/>
      <c r="C154" s="3"/>
      <c r="D154" s="1"/>
      <c r="F154" s="4"/>
      <c r="G154" s="4"/>
      <c r="H154" s="4"/>
      <c r="I154" s="4"/>
      <c r="J154" s="4"/>
      <c r="K154" s="4"/>
      <c r="L154" s="4"/>
      <c r="M154" s="4"/>
    </row>
    <row r="155" spans="1:13" x14ac:dyDescent="0.25">
      <c r="A155" s="16"/>
      <c r="B155" s="17"/>
      <c r="C155" s="3"/>
      <c r="D155" s="1"/>
      <c r="F155" s="4"/>
      <c r="G155" s="4"/>
      <c r="H155" s="4"/>
      <c r="I155" s="4"/>
      <c r="J155" s="4"/>
      <c r="K155" s="4"/>
      <c r="L155" s="4"/>
      <c r="M155" s="4"/>
    </row>
    <row r="156" spans="1:13" x14ac:dyDescent="0.25">
      <c r="A156" s="16"/>
      <c r="B156" s="17"/>
      <c r="C156" s="3"/>
      <c r="D156" s="1"/>
      <c r="F156" s="4"/>
      <c r="G156" s="4"/>
      <c r="H156" s="4"/>
      <c r="I156" s="4"/>
      <c r="J156" s="4"/>
      <c r="K156" s="4"/>
      <c r="L156" s="4"/>
      <c r="M156" s="4"/>
    </row>
    <row r="157" spans="1:13" x14ac:dyDescent="0.25">
      <c r="A157" s="16"/>
      <c r="B157" s="17"/>
      <c r="C157" s="3"/>
      <c r="D157" s="1"/>
      <c r="F157" s="4"/>
      <c r="G157" s="4"/>
      <c r="H157" s="4"/>
      <c r="I157" s="4"/>
      <c r="J157" s="4"/>
      <c r="K157" s="4"/>
      <c r="L157" s="4"/>
      <c r="M157" s="4"/>
    </row>
    <row r="158" spans="1:13" x14ac:dyDescent="0.25">
      <c r="A158" s="16"/>
      <c r="B158" s="17"/>
      <c r="C158" s="3"/>
      <c r="D158" s="1"/>
      <c r="F158" s="4"/>
      <c r="G158" s="4"/>
      <c r="H158" s="4"/>
      <c r="I158" s="4"/>
      <c r="J158" s="4"/>
      <c r="K158" s="4"/>
      <c r="L158" s="4"/>
      <c r="M158" s="4"/>
    </row>
    <row r="159" spans="1:13" x14ac:dyDescent="0.25">
      <c r="A159" s="16"/>
      <c r="B159" s="17"/>
      <c r="C159" s="3"/>
      <c r="D159" s="1"/>
      <c r="F159" s="4"/>
      <c r="G159" s="4"/>
      <c r="H159" s="4"/>
      <c r="I159" s="4"/>
      <c r="J159" s="4"/>
      <c r="K159" s="4"/>
      <c r="L159" s="4"/>
      <c r="M159" s="4"/>
    </row>
  </sheetData>
  <autoFilter ref="B4:D139" xr:uid="{B593B8AD-AE04-4543-B232-6D3D3239B900}">
    <filterColumn colId="2">
      <filters>
        <filter val="AMERICAS"/>
      </filters>
    </filterColumn>
    <sortState xmlns:xlrd2="http://schemas.microsoft.com/office/spreadsheetml/2017/richdata2" ref="B68:D139">
      <sortCondition ref="B4:B139"/>
    </sortState>
  </autoFilter>
  <mergeCells count="9">
    <mergeCell ref="H147:J147"/>
    <mergeCell ref="E1:M1"/>
    <mergeCell ref="O1:W1"/>
    <mergeCell ref="E2:G2"/>
    <mergeCell ref="H2:J2"/>
    <mergeCell ref="K2:M2"/>
    <mergeCell ref="O2:Q2"/>
    <mergeCell ref="R2:T2"/>
    <mergeCell ref="U2:W2"/>
  </mergeCells>
  <pageMargins left="0.70866141732283472" right="0.70866141732283472" top="0.74803149606299213" bottom="0.74803149606299213" header="0.31496062992125984" footer="0.31496062992125984"/>
  <pageSetup paperSize="8" scale="70" orientation="landscape" horizontalDpi="1200" verticalDpi="1200" r:id="rId1"/>
  <colBreaks count="4" manualBreakCount="4">
    <brk id="13" max="1048575" man="1"/>
    <brk id="14" max="1048575" man="1"/>
    <brk id="23" max="1048575" man="1"/>
    <brk id="2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AB410-A69C-4F5C-966B-754E46AD9607}">
  <sheetPr filterMode="1">
    <tabColor rgb="FFFFC000"/>
  </sheetPr>
  <dimension ref="A1:AP159"/>
  <sheetViews>
    <sheetView tabSelected="1" view="pageBreakPreview" zoomScaleNormal="100" zoomScaleSheetLayoutView="100" workbookViewId="0">
      <selection activeCell="H4" sqref="H4"/>
    </sheetView>
  </sheetViews>
  <sheetFormatPr defaultColWidth="8.83203125" defaultRowHeight="13.5" x14ac:dyDescent="0.25"/>
  <cols>
    <col min="1" max="1" width="4.58203125" customWidth="1"/>
    <col min="2" max="2" width="21" customWidth="1"/>
    <col min="3" max="3" width="14.58203125" customWidth="1"/>
    <col min="4" max="4" width="10.08203125" bestFit="1" customWidth="1"/>
    <col min="5" max="5" width="11" style="4" bestFit="1" customWidth="1"/>
    <col min="6" max="6" width="11" bestFit="1" customWidth="1"/>
    <col min="7" max="7" width="11" customWidth="1"/>
    <col min="8" max="8" width="2.83203125" customWidth="1"/>
    <col min="9" max="11" width="11" customWidth="1"/>
    <col min="12" max="12" width="4" customWidth="1"/>
    <col min="13" max="15" width="10.83203125" customWidth="1"/>
    <col min="16" max="16" width="3.83203125" customWidth="1"/>
    <col min="17" max="17" width="7.83203125" hidden="1" customWidth="1"/>
    <col min="18" max="18" width="7" hidden="1" customWidth="1"/>
    <col min="19" max="19" width="5" hidden="1" customWidth="1"/>
    <col min="20" max="20" width="7.5" hidden="1" customWidth="1"/>
    <col min="21" max="21" width="5" hidden="1" customWidth="1"/>
    <col min="22" max="22" width="16" customWidth="1"/>
    <col min="23" max="23" width="5" customWidth="1"/>
    <col min="24" max="24" width="13" customWidth="1"/>
    <col min="25" max="25" width="9.5" customWidth="1"/>
    <col min="26" max="26" width="11" customWidth="1"/>
    <col min="27" max="27" width="6" customWidth="1"/>
    <col min="28" max="28" width="14.08203125" customWidth="1"/>
    <col min="29" max="29" width="17.08203125" customWidth="1"/>
    <col min="30" max="30" width="13.83203125" customWidth="1"/>
    <col min="31" max="42" width="6" customWidth="1"/>
  </cols>
  <sheetData>
    <row r="1" spans="1:42" ht="18.5" thickBot="1" x14ac:dyDescent="0.35">
      <c r="E1" s="136" t="s">
        <v>230</v>
      </c>
      <c r="F1" s="137"/>
      <c r="G1" s="137"/>
      <c r="H1" s="138"/>
      <c r="I1" s="138"/>
      <c r="J1" s="138"/>
      <c r="K1" s="138"/>
      <c r="L1" s="138"/>
      <c r="M1" s="138"/>
      <c r="N1" s="138"/>
      <c r="O1" s="138"/>
      <c r="P1" s="138"/>
      <c r="Q1" s="138"/>
      <c r="R1" s="138"/>
      <c r="S1" s="138"/>
      <c r="T1" s="138"/>
      <c r="U1" s="138"/>
      <c r="V1" s="138"/>
      <c r="W1" s="138"/>
      <c r="X1" s="138"/>
      <c r="Y1" s="138"/>
      <c r="Z1" s="138"/>
      <c r="AA1" s="53"/>
    </row>
    <row r="2" spans="1:42" ht="17.5" customHeight="1" x14ac:dyDescent="0.25">
      <c r="A2" s="20"/>
      <c r="B2" s="15"/>
      <c r="C2" s="2"/>
      <c r="D2" s="38"/>
      <c r="E2" s="150" t="s">
        <v>0</v>
      </c>
      <c r="F2" s="151"/>
      <c r="G2" s="152"/>
      <c r="H2" s="54"/>
      <c r="I2" s="139" t="s">
        <v>224</v>
      </c>
      <c r="J2" s="140"/>
      <c r="K2" s="141"/>
      <c r="L2" s="54"/>
      <c r="M2" s="145" t="s">
        <v>231</v>
      </c>
      <c r="N2" s="146"/>
      <c r="O2" s="146"/>
      <c r="P2" s="100"/>
      <c r="Q2" s="153" t="s">
        <v>232</v>
      </c>
      <c r="R2" s="154"/>
      <c r="S2" s="155"/>
      <c r="T2" s="155"/>
      <c r="U2" s="155"/>
      <c r="V2" s="156"/>
      <c r="W2" s="100"/>
      <c r="X2" s="147" t="s">
        <v>233</v>
      </c>
      <c r="Y2" s="148"/>
      <c r="Z2" s="149"/>
      <c r="AA2" s="22"/>
      <c r="AB2" s="22"/>
      <c r="AC2" s="22"/>
      <c r="AD2" s="22"/>
      <c r="AE2" s="22"/>
      <c r="AF2" s="22"/>
      <c r="AG2" s="22"/>
      <c r="AH2" s="22"/>
      <c r="AI2" s="22"/>
      <c r="AJ2" s="22"/>
      <c r="AK2" s="22"/>
      <c r="AL2" s="22"/>
      <c r="AM2" s="22"/>
      <c r="AN2" s="22"/>
      <c r="AO2" s="22"/>
      <c r="AP2" s="22"/>
    </row>
    <row r="3" spans="1:42" x14ac:dyDescent="0.25">
      <c r="A3" s="16"/>
      <c r="B3" s="16"/>
      <c r="C3" s="1"/>
      <c r="D3" s="1"/>
      <c r="E3" s="142"/>
      <c r="F3" s="133"/>
      <c r="G3" s="143"/>
      <c r="H3" s="36"/>
      <c r="I3" s="142"/>
      <c r="J3" s="133"/>
      <c r="K3" s="143"/>
      <c r="L3" s="36"/>
      <c r="M3" s="142"/>
      <c r="N3" s="133"/>
      <c r="O3" s="144"/>
      <c r="P3" s="101"/>
      <c r="Q3" s="157"/>
      <c r="R3" s="158"/>
      <c r="S3" s="158"/>
      <c r="T3" s="158"/>
      <c r="U3" s="158"/>
      <c r="V3" s="159"/>
      <c r="W3" s="101"/>
      <c r="X3" s="142"/>
      <c r="Y3" s="133"/>
      <c r="Z3" s="143"/>
      <c r="AA3" s="22"/>
      <c r="AB3" s="22"/>
      <c r="AC3" s="22"/>
      <c r="AD3" s="22"/>
      <c r="AE3" s="22"/>
      <c r="AF3" s="22"/>
      <c r="AG3" s="22"/>
      <c r="AH3" s="22"/>
      <c r="AI3" s="22"/>
      <c r="AJ3" s="22"/>
      <c r="AK3" s="22"/>
      <c r="AL3" s="22"/>
      <c r="AM3" s="22"/>
      <c r="AN3" s="22"/>
      <c r="AO3" s="22"/>
      <c r="AP3" s="22"/>
    </row>
    <row r="4" spans="1:42" x14ac:dyDescent="0.25">
      <c r="A4" s="16"/>
      <c r="B4" s="16"/>
      <c r="C4" s="1"/>
      <c r="D4" s="1"/>
      <c r="E4" s="39" t="s">
        <v>9</v>
      </c>
      <c r="F4" s="6" t="s">
        <v>10</v>
      </c>
      <c r="G4" s="40" t="s">
        <v>11</v>
      </c>
      <c r="H4" s="36"/>
      <c r="I4" s="48" t="s">
        <v>9</v>
      </c>
      <c r="J4" s="36" t="s">
        <v>10</v>
      </c>
      <c r="K4" s="49" t="s">
        <v>11</v>
      </c>
      <c r="L4" s="36"/>
      <c r="M4" s="48" t="s">
        <v>9</v>
      </c>
      <c r="N4" s="36" t="s">
        <v>10</v>
      </c>
      <c r="O4" s="36" t="s">
        <v>11</v>
      </c>
      <c r="P4" s="101"/>
      <c r="Q4" s="157"/>
      <c r="R4" s="158"/>
      <c r="S4" s="158"/>
      <c r="T4" s="158"/>
      <c r="U4" s="158"/>
      <c r="V4" s="159"/>
      <c r="W4" s="101"/>
      <c r="X4" s="48" t="s">
        <v>9</v>
      </c>
      <c r="Y4" s="36" t="s">
        <v>10</v>
      </c>
      <c r="Z4" s="49" t="s">
        <v>11</v>
      </c>
      <c r="AA4" s="22"/>
      <c r="AB4" s="22"/>
      <c r="AC4" s="22"/>
      <c r="AD4" s="22"/>
      <c r="AE4" s="22"/>
      <c r="AF4" s="22"/>
      <c r="AG4" s="22"/>
      <c r="AH4" s="22"/>
      <c r="AI4" s="22"/>
      <c r="AJ4" s="22"/>
      <c r="AK4" s="22"/>
      <c r="AL4" s="22"/>
      <c r="AM4" s="22"/>
      <c r="AN4" s="22"/>
      <c r="AO4" s="22"/>
      <c r="AP4" s="22"/>
    </row>
    <row r="5" spans="1:42" x14ac:dyDescent="0.25">
      <c r="A5" s="16"/>
      <c r="B5" s="12" t="s">
        <v>14</v>
      </c>
      <c r="C5" s="12" t="s">
        <v>15</v>
      </c>
      <c r="D5" s="37" t="s">
        <v>16</v>
      </c>
      <c r="E5" s="41"/>
      <c r="F5" s="14"/>
      <c r="G5" s="42"/>
      <c r="H5" s="37"/>
      <c r="I5" s="50"/>
      <c r="J5" s="37"/>
      <c r="K5" s="51"/>
      <c r="L5" s="37"/>
      <c r="M5" s="50"/>
      <c r="N5" s="37"/>
      <c r="O5" s="37"/>
      <c r="P5" s="101"/>
      <c r="Q5" s="36" t="s">
        <v>234</v>
      </c>
      <c r="R5" s="36" t="s">
        <v>235</v>
      </c>
      <c r="S5" s="36" t="s">
        <v>236</v>
      </c>
      <c r="T5" s="36" t="s">
        <v>237</v>
      </c>
      <c r="U5" s="36" t="s">
        <v>238</v>
      </c>
      <c r="V5" s="36" t="s">
        <v>239</v>
      </c>
      <c r="W5" s="101"/>
      <c r="X5" s="50"/>
      <c r="Y5" s="37"/>
      <c r="Z5" s="51"/>
      <c r="AA5" s="22"/>
      <c r="AJ5" s="22"/>
      <c r="AK5" s="22"/>
      <c r="AL5" s="22"/>
      <c r="AM5" s="22"/>
      <c r="AN5" s="22"/>
      <c r="AO5" s="22"/>
      <c r="AP5" s="22"/>
    </row>
    <row r="6" spans="1:42" hidden="1" x14ac:dyDescent="0.25">
      <c r="A6" s="16"/>
      <c r="B6" s="3" t="s">
        <v>17</v>
      </c>
      <c r="C6" s="3" t="s">
        <v>18</v>
      </c>
      <c r="D6" s="11" t="s">
        <v>19</v>
      </c>
      <c r="E6" s="43">
        <v>1812.7573346593736</v>
      </c>
      <c r="F6" s="7">
        <v>2640.9278965688713</v>
      </c>
      <c r="G6" s="44">
        <v>3159.8935852809545</v>
      </c>
      <c r="H6" s="4"/>
      <c r="I6" s="47">
        <v>187.98909455868639</v>
      </c>
      <c r="J6" s="4">
        <v>248.41050462649525</v>
      </c>
      <c r="K6" s="46">
        <v>287.63363033322742</v>
      </c>
      <c r="L6" s="4"/>
      <c r="M6" s="47">
        <v>412.61379064966394</v>
      </c>
      <c r="N6" s="4">
        <v>422.06267633344061</v>
      </c>
      <c r="O6" s="4">
        <v>463.09499150304276</v>
      </c>
      <c r="P6" s="52"/>
      <c r="Q6" s="104">
        <v>0.08</v>
      </c>
      <c r="R6" s="104">
        <v>0.05</v>
      </c>
      <c r="S6" s="104">
        <v>0.03</v>
      </c>
      <c r="T6" s="104">
        <v>1.4999999999999999E-2</v>
      </c>
      <c r="U6" s="104">
        <v>0.02</v>
      </c>
      <c r="V6" s="105">
        <f t="shared" ref="V6:V57" si="0">SUBTOTAL(9,Q6:U6)</f>
        <v>0</v>
      </c>
      <c r="W6" s="52"/>
      <c r="X6" s="47">
        <f>(E6+I6+M6)*(1+V6)</f>
        <v>2413.360219867724</v>
      </c>
      <c r="Y6" s="47">
        <f>(F6+J6+N6)*(1+V6)</f>
        <v>3311.4010775288075</v>
      </c>
      <c r="Z6" s="52">
        <f>(G6+K6+O6)*(1+V6)</f>
        <v>3910.6222071172247</v>
      </c>
      <c r="AA6" s="22"/>
      <c r="AJ6" s="22"/>
      <c r="AK6" s="22"/>
      <c r="AL6" s="22"/>
      <c r="AM6" s="22"/>
      <c r="AN6" s="22"/>
      <c r="AO6" s="22"/>
      <c r="AP6" s="22"/>
    </row>
    <row r="7" spans="1:42" hidden="1" x14ac:dyDescent="0.25">
      <c r="A7" s="16"/>
      <c r="B7" s="3" t="s">
        <v>17</v>
      </c>
      <c r="C7" s="3" t="s">
        <v>20</v>
      </c>
      <c r="D7" s="11" t="s">
        <v>19</v>
      </c>
      <c r="E7" s="45">
        <v>1693.3112879164594</v>
      </c>
      <c r="F7" s="8">
        <v>2466.1541521631029</v>
      </c>
      <c r="G7" s="46">
        <v>2950.4485330681255</v>
      </c>
      <c r="H7" s="4"/>
      <c r="I7" s="47">
        <v>175.60213368615777</v>
      </c>
      <c r="J7" s="4">
        <v>232.04226151985642</v>
      </c>
      <c r="K7" s="46">
        <v>268.68090047980081</v>
      </c>
      <c r="L7" s="4"/>
      <c r="M7" s="47">
        <v>385.42587907297639</v>
      </c>
      <c r="N7" s="4">
        <v>394.25215961293503</v>
      </c>
      <c r="O7" s="4">
        <v>432.58077708290034</v>
      </c>
      <c r="P7" s="52"/>
      <c r="Q7" s="104">
        <v>0.08</v>
      </c>
      <c r="R7" s="104">
        <v>0.05</v>
      </c>
      <c r="S7" s="104">
        <v>0.03</v>
      </c>
      <c r="T7" s="104">
        <v>1.4999999999999999E-2</v>
      </c>
      <c r="U7" s="104">
        <v>0.02</v>
      </c>
      <c r="V7" s="105">
        <f t="shared" si="0"/>
        <v>0</v>
      </c>
      <c r="W7" s="52"/>
      <c r="X7" s="52">
        <f>(E7+I7+M7)*(1+V7)</f>
        <v>2254.3393006755932</v>
      </c>
      <c r="Y7" s="52">
        <f>(F7+J7+N7)*(1+V7)</f>
        <v>3092.4485732958942</v>
      </c>
      <c r="Z7" s="52">
        <f>(G7+K7+O7)*(1+V7)</f>
        <v>3651.7102106308266</v>
      </c>
      <c r="AA7" s="22"/>
      <c r="AJ7" s="22"/>
      <c r="AK7" s="22"/>
      <c r="AL7" s="22"/>
      <c r="AM7" s="22"/>
      <c r="AN7" s="22"/>
      <c r="AO7" s="22"/>
      <c r="AP7" s="22"/>
    </row>
    <row r="8" spans="1:42" hidden="1" x14ac:dyDescent="0.25">
      <c r="A8" s="16"/>
      <c r="B8" s="3" t="s">
        <v>17</v>
      </c>
      <c r="C8" s="3" t="s">
        <v>240</v>
      </c>
      <c r="D8" s="11" t="s">
        <v>19</v>
      </c>
      <c r="E8" s="45">
        <v>1693.3112879164594</v>
      </c>
      <c r="F8" s="8">
        <v>2466.1541521631029</v>
      </c>
      <c r="G8" s="46">
        <v>2950.4485330681255</v>
      </c>
      <c r="H8" s="4"/>
      <c r="I8" s="47">
        <v>175.60213368615777</v>
      </c>
      <c r="J8" s="4">
        <v>232.04226151985642</v>
      </c>
      <c r="K8" s="46">
        <v>268.68090047980081</v>
      </c>
      <c r="L8" s="4"/>
      <c r="M8" s="47">
        <v>385.42587907297639</v>
      </c>
      <c r="N8" s="4">
        <v>394.25215961293503</v>
      </c>
      <c r="O8" s="4">
        <v>432.58077708290034</v>
      </c>
      <c r="P8" s="52"/>
      <c r="Q8" s="104">
        <v>0.08</v>
      </c>
      <c r="R8" s="104">
        <v>0.05</v>
      </c>
      <c r="S8" s="104">
        <v>0.03</v>
      </c>
      <c r="T8" s="104">
        <v>1.4999999999999999E-2</v>
      </c>
      <c r="U8" s="104">
        <v>0.02</v>
      </c>
      <c r="V8" s="105">
        <f t="shared" si="0"/>
        <v>0</v>
      </c>
      <c r="W8" s="52"/>
      <c r="X8" s="52">
        <f>(E8+I8+M8)*(1+V8)</f>
        <v>2254.3393006755932</v>
      </c>
      <c r="Y8" s="52">
        <f t="shared" ref="Y8:Y75" si="1">(F8+J8+N8)*(1+V8)</f>
        <v>3092.4485732958942</v>
      </c>
      <c r="Z8" s="52">
        <f t="shared" ref="Z8:Z75" si="2">(G8+K8+O8)*(1+V8)</f>
        <v>3651.7102106308266</v>
      </c>
      <c r="AA8" s="22"/>
      <c r="AJ8" s="22"/>
      <c r="AK8" s="22"/>
      <c r="AL8" s="22"/>
      <c r="AM8" s="22"/>
      <c r="AN8" s="22"/>
      <c r="AO8" s="22"/>
      <c r="AP8" s="22"/>
    </row>
    <row r="9" spans="1:42" hidden="1" x14ac:dyDescent="0.25">
      <c r="A9" s="16"/>
      <c r="B9" s="3" t="s">
        <v>17</v>
      </c>
      <c r="C9" s="3" t="s">
        <v>22</v>
      </c>
      <c r="D9" s="11" t="s">
        <v>19</v>
      </c>
      <c r="E9" s="45">
        <v>2218.492789656887</v>
      </c>
      <c r="F9" s="8">
        <v>3234.6056688214817</v>
      </c>
      <c r="G9" s="46">
        <v>3871.3426156141222</v>
      </c>
      <c r="H9" s="4"/>
      <c r="I9" s="47">
        <v>230.06523975308525</v>
      </c>
      <c r="J9" s="4">
        <v>304.01030675871601</v>
      </c>
      <c r="K9" s="46">
        <v>352.01244135470802</v>
      </c>
      <c r="L9" s="4"/>
      <c r="M9" s="47">
        <v>504.96594440274635</v>
      </c>
      <c r="N9" s="4">
        <v>516.52970109480771</v>
      </c>
      <c r="O9" s="4">
        <v>566.74596203951728</v>
      </c>
      <c r="P9" s="52"/>
      <c r="Q9" s="104">
        <v>0.08</v>
      </c>
      <c r="R9" s="104">
        <v>0.05</v>
      </c>
      <c r="S9" s="104">
        <v>0.03</v>
      </c>
      <c r="T9" s="104">
        <v>1.4999999999999999E-2</v>
      </c>
      <c r="U9" s="104">
        <v>0.02</v>
      </c>
      <c r="V9" s="105">
        <f t="shared" si="0"/>
        <v>0</v>
      </c>
      <c r="W9" s="52"/>
      <c r="X9" s="52">
        <f t="shared" ref="X9:X76" si="3">(E9+I9+M9)*(1+V9)</f>
        <v>2953.5239738127184</v>
      </c>
      <c r="Y9" s="52">
        <f t="shared" si="1"/>
        <v>4055.1456766750052</v>
      </c>
      <c r="Z9" s="52">
        <f t="shared" si="2"/>
        <v>4790.101019008348</v>
      </c>
      <c r="AA9" s="22"/>
      <c r="AJ9" s="22"/>
      <c r="AK9" s="22"/>
      <c r="AL9" s="22"/>
      <c r="AM9" s="22"/>
      <c r="AN9" s="22"/>
      <c r="AO9" s="22"/>
      <c r="AP9" s="22"/>
    </row>
    <row r="10" spans="1:42" hidden="1" x14ac:dyDescent="0.25">
      <c r="A10" s="16"/>
      <c r="B10" s="3" t="s">
        <v>17</v>
      </c>
      <c r="C10" s="3" t="s">
        <v>23</v>
      </c>
      <c r="D10" s="11" t="s">
        <v>19</v>
      </c>
      <c r="E10" s="45">
        <v>1758.2913973147688</v>
      </c>
      <c r="F10" s="8">
        <v>2556.5693684733965</v>
      </c>
      <c r="G10" s="46">
        <v>3071.177026355047</v>
      </c>
      <c r="H10" s="4"/>
      <c r="I10" s="47">
        <v>182.34079180467967</v>
      </c>
      <c r="J10" s="4">
        <v>240.94678583631821</v>
      </c>
      <c r="K10" s="46">
        <v>278.99141717628845</v>
      </c>
      <c r="L10" s="4"/>
      <c r="M10" s="47">
        <v>400.21643528424357</v>
      </c>
      <c r="N10" s="4">
        <v>409.38142063244351</v>
      </c>
      <c r="O10" s="4">
        <v>449.18088269788126</v>
      </c>
      <c r="P10" s="52"/>
      <c r="Q10" s="104">
        <v>0.08</v>
      </c>
      <c r="R10" s="104">
        <v>0.05</v>
      </c>
      <c r="S10" s="104">
        <v>0.03</v>
      </c>
      <c r="T10" s="104">
        <v>1.4999999999999999E-2</v>
      </c>
      <c r="U10" s="104">
        <v>0.02</v>
      </c>
      <c r="V10" s="105">
        <f t="shared" si="0"/>
        <v>0</v>
      </c>
      <c r="W10" s="52"/>
      <c r="X10" s="52">
        <f t="shared" si="3"/>
        <v>2340.8486244036922</v>
      </c>
      <c r="Y10" s="52">
        <f t="shared" si="1"/>
        <v>3206.8975749421584</v>
      </c>
      <c r="Z10" s="52">
        <f t="shared" si="2"/>
        <v>3799.3493262292168</v>
      </c>
      <c r="AA10" s="22"/>
      <c r="AJ10" s="22"/>
      <c r="AK10" s="22"/>
      <c r="AL10" s="22"/>
      <c r="AM10" s="22"/>
      <c r="AN10" s="22"/>
      <c r="AO10" s="22"/>
      <c r="AP10" s="22"/>
    </row>
    <row r="11" spans="1:42" hidden="1" x14ac:dyDescent="0.25">
      <c r="A11" s="16"/>
      <c r="B11" s="3" t="s">
        <v>17</v>
      </c>
      <c r="C11" s="3" t="s">
        <v>24</v>
      </c>
      <c r="D11" s="11" t="s">
        <v>19</v>
      </c>
      <c r="E11" s="45">
        <v>2159.7180507210342</v>
      </c>
      <c r="F11" s="8">
        <v>3148.6056688214817</v>
      </c>
      <c r="G11" s="46">
        <v>3768.2819492789658</v>
      </c>
      <c r="H11" s="4"/>
      <c r="I11" s="47">
        <v>223.97009963464777</v>
      </c>
      <c r="J11" s="4">
        <v>295.95613299855899</v>
      </c>
      <c r="K11" s="46">
        <v>342.68654251056751</v>
      </c>
      <c r="L11" s="4"/>
      <c r="M11" s="47">
        <v>491.58783396121635</v>
      </c>
      <c r="N11" s="4">
        <v>502.8452309554404</v>
      </c>
      <c r="O11" s="4">
        <v>551.73110775776274</v>
      </c>
      <c r="P11" s="52"/>
      <c r="Q11" s="104">
        <v>0.08</v>
      </c>
      <c r="R11" s="104">
        <v>0.05</v>
      </c>
      <c r="S11" s="104">
        <v>0.03</v>
      </c>
      <c r="T11" s="104">
        <v>1.4999999999999999E-2</v>
      </c>
      <c r="U11" s="104">
        <v>0.02</v>
      </c>
      <c r="V11" s="105">
        <f t="shared" si="0"/>
        <v>0</v>
      </c>
      <c r="W11" s="52"/>
      <c r="X11" s="52">
        <f t="shared" si="3"/>
        <v>2875.2759843168983</v>
      </c>
      <c r="Y11" s="52">
        <f t="shared" si="1"/>
        <v>3947.4070327754812</v>
      </c>
      <c r="Z11" s="52">
        <f t="shared" si="2"/>
        <v>4662.6995995472962</v>
      </c>
      <c r="AA11" s="22"/>
      <c r="AJ11" s="22"/>
      <c r="AK11" s="22"/>
      <c r="AL11" s="22"/>
      <c r="AM11" s="22"/>
      <c r="AN11" s="22"/>
      <c r="AO11" s="22"/>
      <c r="AP11" s="22"/>
    </row>
    <row r="12" spans="1:42" hidden="1" x14ac:dyDescent="0.25">
      <c r="A12" s="16"/>
      <c r="B12" s="3" t="s">
        <v>17</v>
      </c>
      <c r="C12" s="3" t="s">
        <v>25</v>
      </c>
      <c r="D12" s="11" t="s">
        <v>19</v>
      </c>
      <c r="E12" s="45">
        <v>1765.8120338140229</v>
      </c>
      <c r="F12" s="8">
        <v>2572.788165091994</v>
      </c>
      <c r="G12" s="46">
        <v>3092.4574838388862</v>
      </c>
      <c r="H12" s="4"/>
      <c r="I12" s="47">
        <v>183.12070736147729</v>
      </c>
      <c r="J12" s="4">
        <v>241.97737336845651</v>
      </c>
      <c r="K12" s="46">
        <v>280.18473077504632</v>
      </c>
      <c r="L12" s="4"/>
      <c r="M12" s="47">
        <v>401.92825753133906</v>
      </c>
      <c r="N12" s="4">
        <v>411.13244373295282</v>
      </c>
      <c r="O12" s="4">
        <v>451.10213769938099</v>
      </c>
      <c r="P12" s="52"/>
      <c r="Q12" s="104">
        <v>0.08</v>
      </c>
      <c r="R12" s="104">
        <v>0.05</v>
      </c>
      <c r="S12" s="104">
        <v>0.03</v>
      </c>
      <c r="T12" s="104">
        <v>1.4999999999999999E-2</v>
      </c>
      <c r="U12" s="104">
        <v>0.02</v>
      </c>
      <c r="V12" s="105">
        <f t="shared" si="0"/>
        <v>0</v>
      </c>
      <c r="W12" s="52"/>
      <c r="X12" s="52">
        <f t="shared" si="3"/>
        <v>2350.8609987068394</v>
      </c>
      <c r="Y12" s="52">
        <f t="shared" si="1"/>
        <v>3225.8979821934031</v>
      </c>
      <c r="Z12" s="52">
        <f t="shared" si="2"/>
        <v>3823.7443523133134</v>
      </c>
      <c r="AA12" s="22"/>
      <c r="AJ12" s="22"/>
      <c r="AK12" s="22"/>
      <c r="AL12" s="22"/>
      <c r="AM12" s="22"/>
      <c r="AN12" s="22"/>
      <c r="AO12" s="22"/>
      <c r="AP12" s="22"/>
    </row>
    <row r="13" spans="1:42" hidden="1" x14ac:dyDescent="0.25">
      <c r="A13" s="16"/>
      <c r="B13" s="3" t="s">
        <v>17</v>
      </c>
      <c r="C13" s="3" t="s">
        <v>26</v>
      </c>
      <c r="D13" s="11" t="s">
        <v>19</v>
      </c>
      <c r="E13" s="45">
        <v>1717.8080556936848</v>
      </c>
      <c r="F13" s="8">
        <v>2497.442565887618</v>
      </c>
      <c r="G13" s="46">
        <v>3000.0318249627053</v>
      </c>
      <c r="H13" s="4"/>
      <c r="I13" s="47">
        <v>178.14253173393081</v>
      </c>
      <c r="J13" s="4">
        <v>235.3991666769397</v>
      </c>
      <c r="K13" s="46">
        <v>272.56784889395095</v>
      </c>
      <c r="L13" s="4"/>
      <c r="M13" s="47">
        <v>391.00175181554891</v>
      </c>
      <c r="N13" s="4">
        <v>399.95572024506862</v>
      </c>
      <c r="O13" s="4">
        <v>438.83882952530189</v>
      </c>
      <c r="P13" s="52"/>
      <c r="Q13" s="104">
        <v>0.08</v>
      </c>
      <c r="R13" s="104">
        <v>0.05</v>
      </c>
      <c r="S13" s="104">
        <v>0.03</v>
      </c>
      <c r="T13" s="104">
        <v>1.4999999999999999E-2</v>
      </c>
      <c r="U13" s="104">
        <v>0.02</v>
      </c>
      <c r="V13" s="105">
        <f t="shared" si="0"/>
        <v>0</v>
      </c>
      <c r="W13" s="52"/>
      <c r="X13" s="52">
        <f t="shared" si="3"/>
        <v>2286.9523392431647</v>
      </c>
      <c r="Y13" s="52">
        <f t="shared" si="1"/>
        <v>3132.7974528096265</v>
      </c>
      <c r="Z13" s="52">
        <f t="shared" si="2"/>
        <v>3711.4385033819581</v>
      </c>
      <c r="AA13" s="22"/>
      <c r="AJ13" s="22"/>
      <c r="AK13" s="22"/>
      <c r="AL13" s="22"/>
      <c r="AM13" s="22"/>
      <c r="AN13" s="22"/>
      <c r="AO13" s="22"/>
      <c r="AP13" s="22"/>
    </row>
    <row r="14" spans="1:42" hidden="1" x14ac:dyDescent="0.25">
      <c r="A14" s="16"/>
      <c r="B14" s="3" t="s">
        <v>17</v>
      </c>
      <c r="C14" s="3" t="s">
        <v>27</v>
      </c>
      <c r="D14" s="11" t="s">
        <v>19</v>
      </c>
      <c r="E14" s="45">
        <v>1612.2665340626554</v>
      </c>
      <c r="F14" s="8">
        <v>2322.8329189457982</v>
      </c>
      <c r="G14" s="46">
        <v>2795.9229239184488</v>
      </c>
      <c r="H14" s="4"/>
      <c r="I14" s="47">
        <v>167.1975173569837</v>
      </c>
      <c r="J14" s="4">
        <v>220.93632482484009</v>
      </c>
      <c r="K14" s="46">
        <v>255.82137630371312</v>
      </c>
      <c r="L14" s="4"/>
      <c r="M14" s="47">
        <v>366.97874196282896</v>
      </c>
      <c r="N14" s="4">
        <v>375.38258172718406</v>
      </c>
      <c r="O14" s="4">
        <v>411.87672647463415</v>
      </c>
      <c r="P14" s="52"/>
      <c r="Q14" s="104">
        <v>0.08</v>
      </c>
      <c r="R14" s="104">
        <v>0.05</v>
      </c>
      <c r="S14" s="104">
        <v>0.03</v>
      </c>
      <c r="T14" s="104">
        <v>1.4999999999999999E-2</v>
      </c>
      <c r="U14" s="104">
        <v>0.02</v>
      </c>
      <c r="V14" s="105">
        <f t="shared" si="0"/>
        <v>0</v>
      </c>
      <c r="W14" s="52"/>
      <c r="X14" s="52">
        <f t="shared" si="3"/>
        <v>2146.4427933824682</v>
      </c>
      <c r="Y14" s="52">
        <f t="shared" si="1"/>
        <v>2919.1518254978223</v>
      </c>
      <c r="Z14" s="52">
        <f t="shared" si="2"/>
        <v>3463.621026696796</v>
      </c>
      <c r="AA14" s="22"/>
      <c r="AJ14" s="22"/>
      <c r="AK14" s="22"/>
      <c r="AL14" s="22"/>
      <c r="AM14" s="22"/>
      <c r="AN14" s="22"/>
      <c r="AO14" s="22"/>
      <c r="AP14" s="22"/>
    </row>
    <row r="15" spans="1:42" hidden="1" x14ac:dyDescent="0.25">
      <c r="A15" s="16"/>
      <c r="B15" s="3" t="s">
        <v>17</v>
      </c>
      <c r="C15" s="3" t="s">
        <v>28</v>
      </c>
      <c r="D15" s="11" t="s">
        <v>19</v>
      </c>
      <c r="E15" s="45">
        <v>1701.2466434609646</v>
      </c>
      <c r="F15" s="8">
        <v>2518.8100447538536</v>
      </c>
      <c r="G15" s="46">
        <v>3020.0353058180008</v>
      </c>
      <c r="H15" s="4"/>
      <c r="I15" s="47">
        <v>176.42505701698138</v>
      </c>
      <c r="J15" s="4">
        <v>233.12967991696453</v>
      </c>
      <c r="K15" s="46">
        <v>269.94001833281442</v>
      </c>
      <c r="L15" s="4"/>
      <c r="M15" s="47">
        <v>387.23209828873621</v>
      </c>
      <c r="N15" s="4">
        <v>396.09974137952634</v>
      </c>
      <c r="O15" s="4">
        <v>434.60797804256265</v>
      </c>
      <c r="P15" s="52"/>
      <c r="Q15" s="104">
        <v>0.08</v>
      </c>
      <c r="R15" s="104">
        <v>0.05</v>
      </c>
      <c r="S15" s="104">
        <v>0.03</v>
      </c>
      <c r="T15" s="104">
        <v>1.4999999999999999E-2</v>
      </c>
      <c r="U15" s="104">
        <v>0.02</v>
      </c>
      <c r="V15" s="105">
        <f t="shared" si="0"/>
        <v>0</v>
      </c>
      <c r="W15" s="52"/>
      <c r="X15" s="52">
        <f t="shared" si="3"/>
        <v>2264.903798766682</v>
      </c>
      <c r="Y15" s="52">
        <f t="shared" si="1"/>
        <v>3148.0394660503443</v>
      </c>
      <c r="Z15" s="52">
        <f t="shared" si="2"/>
        <v>3724.5833021933777</v>
      </c>
      <c r="AA15" s="22"/>
      <c r="AJ15" s="22"/>
      <c r="AK15" s="22"/>
      <c r="AL15" s="22"/>
      <c r="AM15" s="22"/>
      <c r="AN15" s="22"/>
      <c r="AO15" s="22"/>
      <c r="AP15" s="22"/>
    </row>
    <row r="16" spans="1:42" hidden="1" x14ac:dyDescent="0.25">
      <c r="A16" s="16"/>
      <c r="B16" s="3" t="s">
        <v>17</v>
      </c>
      <c r="C16" s="3" t="s">
        <v>29</v>
      </c>
      <c r="D16" s="11" t="s">
        <v>19</v>
      </c>
      <c r="E16" s="45">
        <v>1620.2794629537543</v>
      </c>
      <c r="F16" s="8">
        <v>2355</v>
      </c>
      <c r="G16" s="46">
        <v>2828.6364992541025</v>
      </c>
      <c r="H16" s="4"/>
      <c r="I16" s="47">
        <v>168.02848530740928</v>
      </c>
      <c r="J16" s="4">
        <v>222.03437345568352</v>
      </c>
      <c r="K16" s="46">
        <v>257.09280286615586</v>
      </c>
      <c r="L16" s="4"/>
      <c r="M16" s="47">
        <v>368.80261816553303</v>
      </c>
      <c r="N16" s="4">
        <v>377.24822482699932</v>
      </c>
      <c r="O16" s="4">
        <v>413.92374466388077</v>
      </c>
      <c r="P16" s="52"/>
      <c r="Q16" s="104">
        <v>0.08</v>
      </c>
      <c r="R16" s="104">
        <v>0.05</v>
      </c>
      <c r="S16" s="104">
        <v>0.03</v>
      </c>
      <c r="T16" s="104">
        <v>1.4999999999999999E-2</v>
      </c>
      <c r="U16" s="104">
        <v>0.02</v>
      </c>
      <c r="V16" s="105">
        <f t="shared" si="0"/>
        <v>0</v>
      </c>
      <c r="W16" s="52"/>
      <c r="X16" s="52">
        <f t="shared" si="3"/>
        <v>2157.1105664266966</v>
      </c>
      <c r="Y16" s="52">
        <f t="shared" si="1"/>
        <v>2954.282598282683</v>
      </c>
      <c r="Z16" s="52">
        <f t="shared" si="2"/>
        <v>3499.6530467841394</v>
      </c>
      <c r="AA16" s="22"/>
      <c r="AJ16" s="22"/>
      <c r="AK16" s="22"/>
      <c r="AL16" s="22"/>
      <c r="AM16" s="22"/>
      <c r="AN16" s="22"/>
      <c r="AO16" s="22"/>
      <c r="AP16" s="22"/>
    </row>
    <row r="17" spans="1:42" hidden="1" x14ac:dyDescent="0.25">
      <c r="A17" s="16"/>
      <c r="B17" s="3" t="s">
        <v>17</v>
      </c>
      <c r="C17" s="3" t="s">
        <v>30</v>
      </c>
      <c r="D17" s="11" t="s">
        <v>19</v>
      </c>
      <c r="E17" s="45">
        <v>1730.6892093485828</v>
      </c>
      <c r="F17" s="8">
        <v>2516.2555942317254</v>
      </c>
      <c r="G17" s="46">
        <v>3022.66882148185</v>
      </c>
      <c r="H17" s="4"/>
      <c r="I17" s="47">
        <v>179.47835113245534</v>
      </c>
      <c r="J17" s="4">
        <v>237.16433061720085</v>
      </c>
      <c r="K17" s="46">
        <v>274.61172587505536</v>
      </c>
      <c r="L17" s="4"/>
      <c r="M17" s="47">
        <v>393.93371713482702</v>
      </c>
      <c r="N17" s="4">
        <v>402.95482778246554</v>
      </c>
      <c r="O17" s="4">
        <v>442.12950590449037</v>
      </c>
      <c r="P17" s="52"/>
      <c r="Q17" s="104">
        <v>0.08</v>
      </c>
      <c r="R17" s="104">
        <v>0.05</v>
      </c>
      <c r="S17" s="104">
        <v>0.03</v>
      </c>
      <c r="T17" s="104">
        <v>1.4999999999999999E-2</v>
      </c>
      <c r="U17" s="104">
        <v>0.02</v>
      </c>
      <c r="V17" s="105">
        <f t="shared" si="0"/>
        <v>0</v>
      </c>
      <c r="W17" s="52"/>
      <c r="X17" s="52">
        <f t="shared" si="3"/>
        <v>2304.101277615865</v>
      </c>
      <c r="Y17" s="52">
        <f t="shared" si="1"/>
        <v>3156.3747526313919</v>
      </c>
      <c r="Z17" s="52">
        <f t="shared" si="2"/>
        <v>3739.4100532613961</v>
      </c>
      <c r="AA17" s="22"/>
      <c r="AJ17" s="22"/>
      <c r="AK17" s="22"/>
      <c r="AL17" s="22"/>
      <c r="AM17" s="22"/>
      <c r="AN17" s="22"/>
      <c r="AO17" s="22"/>
      <c r="AP17" s="22"/>
    </row>
    <row r="18" spans="1:42" hidden="1" x14ac:dyDescent="0.25">
      <c r="A18" s="16"/>
      <c r="B18" s="3" t="s">
        <v>17</v>
      </c>
      <c r="C18" s="3" t="s">
        <v>32</v>
      </c>
      <c r="D18" s="11" t="s">
        <v>19</v>
      </c>
      <c r="E18" s="45">
        <v>1817.1770263550472</v>
      </c>
      <c r="F18" s="8">
        <v>2642.5723520636498</v>
      </c>
      <c r="G18" s="46">
        <v>3174.6613625062159</v>
      </c>
      <c r="H18" s="4"/>
      <c r="I18" s="47">
        <v>188.44743160370206</v>
      </c>
      <c r="J18" s="4">
        <v>249.01615537931491</v>
      </c>
      <c r="K18" s="46">
        <v>288.33491116275394</v>
      </c>
      <c r="L18" s="4"/>
      <c r="M18" s="47">
        <v>413.61978616223905</v>
      </c>
      <c r="N18" s="4">
        <v>423.0917092160991</v>
      </c>
      <c r="O18" s="4">
        <v>464.22406545525973</v>
      </c>
      <c r="P18" s="52"/>
      <c r="Q18" s="104">
        <v>0.08</v>
      </c>
      <c r="R18" s="104">
        <v>0.05</v>
      </c>
      <c r="S18" s="104">
        <v>0.03</v>
      </c>
      <c r="T18" s="104">
        <v>1.4999999999999999E-2</v>
      </c>
      <c r="U18" s="104">
        <v>0.02</v>
      </c>
      <c r="V18" s="105">
        <f t="shared" si="0"/>
        <v>0</v>
      </c>
      <c r="W18" s="52"/>
      <c r="X18" s="52">
        <f t="shared" si="3"/>
        <v>2419.2442441209882</v>
      </c>
      <c r="Y18" s="52">
        <f t="shared" si="1"/>
        <v>3314.6802166590637</v>
      </c>
      <c r="Z18" s="52">
        <f t="shared" si="2"/>
        <v>3927.2203391242297</v>
      </c>
      <c r="AA18" s="22"/>
      <c r="AJ18" s="22"/>
      <c r="AK18" s="22"/>
      <c r="AL18" s="22"/>
      <c r="AM18" s="22"/>
      <c r="AN18" s="22"/>
      <c r="AO18" s="22"/>
      <c r="AP18" s="22"/>
    </row>
    <row r="19" spans="1:42" hidden="1" x14ac:dyDescent="0.25">
      <c r="A19" s="16"/>
      <c r="B19" s="3" t="s">
        <v>17</v>
      </c>
      <c r="C19" s="3" t="s">
        <v>33</v>
      </c>
      <c r="D19" s="11" t="s">
        <v>19</v>
      </c>
      <c r="E19" s="45">
        <v>1609.2391844853307</v>
      </c>
      <c r="F19" s="8">
        <v>2338.8751864743908</v>
      </c>
      <c r="G19" s="46">
        <v>2809.2327200397813</v>
      </c>
      <c r="H19" s="4"/>
      <c r="I19" s="47">
        <v>166.8835709202088</v>
      </c>
      <c r="J19" s="4">
        <v>220.52147313906531</v>
      </c>
      <c r="K19" s="46">
        <v>255.3410210280428</v>
      </c>
      <c r="L19" s="4"/>
      <c r="M19" s="47">
        <v>366.28966672874287</v>
      </c>
      <c r="N19" s="4">
        <v>374.67772662034059</v>
      </c>
      <c r="O19" s="4">
        <v>411.10334638675198</v>
      </c>
      <c r="P19" s="52"/>
      <c r="Q19" s="104">
        <v>0.08</v>
      </c>
      <c r="R19" s="104">
        <v>0.05</v>
      </c>
      <c r="S19" s="104">
        <v>0.03</v>
      </c>
      <c r="T19" s="104">
        <v>1.4999999999999999E-2</v>
      </c>
      <c r="U19" s="104">
        <v>0.02</v>
      </c>
      <c r="V19" s="105">
        <f t="shared" si="0"/>
        <v>0</v>
      </c>
      <c r="W19" s="52"/>
      <c r="X19" s="52">
        <f t="shared" si="3"/>
        <v>2142.4124221342822</v>
      </c>
      <c r="Y19" s="52">
        <f t="shared" si="1"/>
        <v>2934.0743862337968</v>
      </c>
      <c r="Z19" s="52">
        <f t="shared" si="2"/>
        <v>3475.6770874545759</v>
      </c>
      <c r="AA19" s="22"/>
      <c r="AJ19" s="22"/>
      <c r="AK19" s="22"/>
      <c r="AL19" s="22"/>
      <c r="AM19" s="22"/>
      <c r="AN19" s="22"/>
      <c r="AO19" s="22"/>
      <c r="AP19" s="22"/>
    </row>
    <row r="20" spans="1:42" hidden="1" x14ac:dyDescent="0.25">
      <c r="A20" s="16"/>
      <c r="B20" s="3" t="s">
        <v>17</v>
      </c>
      <c r="C20" s="3" t="s">
        <v>34</v>
      </c>
      <c r="D20" s="11" t="s">
        <v>19</v>
      </c>
      <c r="E20" s="45">
        <v>1710.4475385380408</v>
      </c>
      <c r="F20" s="8">
        <v>2486.6921929388363</v>
      </c>
      <c r="G20" s="46">
        <v>2987.0964694181998</v>
      </c>
      <c r="H20" s="4"/>
      <c r="I20" s="47">
        <v>177.37922109708092</v>
      </c>
      <c r="J20" s="4">
        <v>234.3905210375116</v>
      </c>
      <c r="K20" s="46">
        <v>271.39994173388658</v>
      </c>
      <c r="L20" s="4"/>
      <c r="M20" s="47">
        <v>389.32637540047955</v>
      </c>
      <c r="N20" s="4">
        <v>398.24197758877796</v>
      </c>
      <c r="O20" s="4">
        <v>436.9584793182006</v>
      </c>
      <c r="P20" s="52"/>
      <c r="Q20" s="104">
        <v>0.08</v>
      </c>
      <c r="R20" s="104">
        <v>0.05</v>
      </c>
      <c r="S20" s="104">
        <v>0.03</v>
      </c>
      <c r="T20" s="104">
        <v>1.4999999999999999E-2</v>
      </c>
      <c r="U20" s="104">
        <v>0.02</v>
      </c>
      <c r="V20" s="105">
        <f t="shared" si="0"/>
        <v>0</v>
      </c>
      <c r="W20" s="52"/>
      <c r="X20" s="52">
        <f t="shared" si="3"/>
        <v>2277.1531350356013</v>
      </c>
      <c r="Y20" s="52">
        <f t="shared" si="1"/>
        <v>3119.3246915651257</v>
      </c>
      <c r="Z20" s="52">
        <f t="shared" si="2"/>
        <v>3695.454890470287</v>
      </c>
      <c r="AA20" s="22"/>
      <c r="AJ20" s="22"/>
      <c r="AK20" s="22"/>
      <c r="AL20" s="22"/>
      <c r="AM20" s="22"/>
      <c r="AN20" s="22"/>
      <c r="AO20" s="22"/>
      <c r="AP20" s="22"/>
    </row>
    <row r="21" spans="1:42" hidden="1" x14ac:dyDescent="0.25">
      <c r="A21" s="16"/>
      <c r="B21" s="3" t="s">
        <v>17</v>
      </c>
      <c r="C21" s="3" t="s">
        <v>35</v>
      </c>
      <c r="D21" s="11" t="s">
        <v>19</v>
      </c>
      <c r="E21" s="45">
        <v>1796.9353555445052</v>
      </c>
      <c r="F21" s="8">
        <v>2613.0084535057185</v>
      </c>
      <c r="G21" s="46">
        <v>3139.0890104425657</v>
      </c>
      <c r="H21" s="4"/>
      <c r="I21" s="47">
        <v>186.34830156832763</v>
      </c>
      <c r="J21" s="4">
        <v>246.24234579962567</v>
      </c>
      <c r="K21" s="46">
        <v>285.12312702158522</v>
      </c>
      <c r="L21" s="4"/>
      <c r="M21" s="47">
        <v>409.01244442789158</v>
      </c>
      <c r="N21" s="4">
        <v>418.37885902241152</v>
      </c>
      <c r="O21" s="4">
        <v>459.05303886896996</v>
      </c>
      <c r="P21" s="52"/>
      <c r="Q21" s="104">
        <v>0.08</v>
      </c>
      <c r="R21" s="104">
        <v>0.05</v>
      </c>
      <c r="S21" s="104">
        <v>0.03</v>
      </c>
      <c r="T21" s="104">
        <v>1.4999999999999999E-2</v>
      </c>
      <c r="U21" s="104">
        <v>0.02</v>
      </c>
      <c r="V21" s="105">
        <f t="shared" si="0"/>
        <v>0</v>
      </c>
      <c r="W21" s="52"/>
      <c r="X21" s="52">
        <f t="shared" si="3"/>
        <v>2392.2961015407245</v>
      </c>
      <c r="Y21" s="52">
        <f t="shared" si="1"/>
        <v>3277.6296583277558</v>
      </c>
      <c r="Z21" s="52">
        <f t="shared" si="2"/>
        <v>3883.265176333121</v>
      </c>
      <c r="AA21" s="22"/>
      <c r="AJ21" s="22"/>
      <c r="AK21" s="22"/>
      <c r="AL21" s="22"/>
      <c r="AM21" s="22"/>
      <c r="AN21" s="22"/>
      <c r="AO21" s="22"/>
      <c r="AP21" s="22"/>
    </row>
    <row r="22" spans="1:42" hidden="1" x14ac:dyDescent="0.25">
      <c r="A22" s="16"/>
      <c r="B22" s="3" t="s">
        <v>17</v>
      </c>
      <c r="C22" s="3" t="s">
        <v>36</v>
      </c>
      <c r="D22" s="11" t="s">
        <v>19</v>
      </c>
      <c r="E22" s="45">
        <v>2120.80258577822</v>
      </c>
      <c r="F22" s="8">
        <v>3086.0233714569868</v>
      </c>
      <c r="G22" s="46">
        <v>3708.2516161113872</v>
      </c>
      <c r="H22" s="4"/>
      <c r="I22" s="47">
        <v>219.93443370239285</v>
      </c>
      <c r="J22" s="4">
        <v>290.62336721717776</v>
      </c>
      <c r="K22" s="46">
        <v>336.51175218226882</v>
      </c>
      <c r="L22" s="4"/>
      <c r="M22" s="47">
        <v>482.73002536326294</v>
      </c>
      <c r="N22" s="4">
        <v>493.78457789918843</v>
      </c>
      <c r="O22" s="4">
        <v>541.78959128312874</v>
      </c>
      <c r="P22" s="52"/>
      <c r="Q22" s="104">
        <v>0.08</v>
      </c>
      <c r="R22" s="104">
        <v>0.05</v>
      </c>
      <c r="S22" s="104">
        <v>0.03</v>
      </c>
      <c r="T22" s="104">
        <v>1.4999999999999999E-2</v>
      </c>
      <c r="U22" s="104">
        <v>0.02</v>
      </c>
      <c r="V22" s="105">
        <f t="shared" si="0"/>
        <v>0</v>
      </c>
      <c r="W22" s="52"/>
      <c r="X22" s="52">
        <f t="shared" si="3"/>
        <v>2823.4670448438756</v>
      </c>
      <c r="Y22" s="52">
        <f t="shared" si="1"/>
        <v>3870.4313165733529</v>
      </c>
      <c r="Z22" s="52">
        <f t="shared" si="2"/>
        <v>4586.5529595767848</v>
      </c>
      <c r="AA22" s="22"/>
      <c r="AJ22" s="22"/>
      <c r="AK22" s="22"/>
      <c r="AL22" s="22"/>
      <c r="AM22" s="22"/>
      <c r="AN22" s="22"/>
      <c r="AO22" s="22"/>
      <c r="AP22" s="22"/>
    </row>
    <row r="23" spans="1:42" hidden="1" x14ac:dyDescent="0.25">
      <c r="A23" s="16"/>
      <c r="B23" s="3" t="s">
        <v>17</v>
      </c>
      <c r="C23" s="3" t="s">
        <v>37</v>
      </c>
      <c r="D23" s="11" t="s">
        <v>19</v>
      </c>
      <c r="E23" s="45">
        <v>1660.7633018398806</v>
      </c>
      <c r="F23" s="8">
        <v>2414.126802585778</v>
      </c>
      <c r="G23" s="46">
        <v>2899.7817006464447</v>
      </c>
      <c r="H23" s="4"/>
      <c r="I23" s="47">
        <v>172.22679694623253</v>
      </c>
      <c r="J23" s="4">
        <v>227.58206075758602</v>
      </c>
      <c r="K23" s="46">
        <v>263.51645005047692</v>
      </c>
      <c r="L23" s="4"/>
      <c r="M23" s="47">
        <v>378.01741482004144</v>
      </c>
      <c r="N23" s="4">
        <v>386.67404099215133</v>
      </c>
      <c r="O23" s="4">
        <v>424.26592486998317</v>
      </c>
      <c r="P23" s="52"/>
      <c r="Q23" s="104">
        <v>0.08</v>
      </c>
      <c r="R23" s="104">
        <v>0.05</v>
      </c>
      <c r="S23" s="104">
        <v>0.03</v>
      </c>
      <c r="T23" s="104">
        <v>1.4999999999999999E-2</v>
      </c>
      <c r="U23" s="104">
        <v>0.02</v>
      </c>
      <c r="V23" s="105">
        <f t="shared" si="0"/>
        <v>0</v>
      </c>
      <c r="W23" s="52"/>
      <c r="X23" s="52">
        <f t="shared" si="3"/>
        <v>2211.0075136061546</v>
      </c>
      <c r="Y23" s="52">
        <f t="shared" si="1"/>
        <v>3028.3829043355154</v>
      </c>
      <c r="Z23" s="52">
        <f t="shared" si="2"/>
        <v>3587.5640755669051</v>
      </c>
      <c r="AA23" s="22"/>
      <c r="AJ23" s="22"/>
      <c r="AK23" s="22"/>
      <c r="AL23" s="22"/>
      <c r="AM23" s="22"/>
      <c r="AN23" s="22"/>
      <c r="AO23" s="22"/>
      <c r="AP23" s="22"/>
    </row>
    <row r="24" spans="1:42" hidden="1" x14ac:dyDescent="0.25">
      <c r="A24" s="16"/>
      <c r="B24" s="3" t="s">
        <v>17</v>
      </c>
      <c r="C24" s="3" t="s">
        <v>38</v>
      </c>
      <c r="D24" s="11" t="s">
        <v>19</v>
      </c>
      <c r="E24" s="45">
        <v>1951.5077076081552</v>
      </c>
      <c r="F24" s="8">
        <v>2838.7657881650921</v>
      </c>
      <c r="G24" s="46">
        <v>3410.7349577324712</v>
      </c>
      <c r="H24" s="4"/>
      <c r="I24" s="47">
        <v>202.37797964639879</v>
      </c>
      <c r="J24" s="4">
        <v>267.42410865518769</v>
      </c>
      <c r="K24" s="46">
        <v>309.6494140888874</v>
      </c>
      <c r="L24" s="4"/>
      <c r="M24" s="47">
        <v>444.19568870178739</v>
      </c>
      <c r="N24" s="4">
        <v>454.36780213784385</v>
      </c>
      <c r="O24" s="4">
        <v>498.54077431866369</v>
      </c>
      <c r="P24" s="52"/>
      <c r="Q24" s="104">
        <v>0.08</v>
      </c>
      <c r="R24" s="104">
        <v>0.05</v>
      </c>
      <c r="S24" s="104">
        <v>0.03</v>
      </c>
      <c r="T24" s="104">
        <v>1.4999999999999999E-2</v>
      </c>
      <c r="U24" s="104">
        <v>0.02</v>
      </c>
      <c r="V24" s="105">
        <f t="shared" si="0"/>
        <v>0</v>
      </c>
      <c r="W24" s="52"/>
      <c r="X24" s="52">
        <f t="shared" si="3"/>
        <v>2598.0813759563412</v>
      </c>
      <c r="Y24" s="52">
        <f t="shared" si="1"/>
        <v>3560.5576989581236</v>
      </c>
      <c r="Z24" s="52">
        <f t="shared" si="2"/>
        <v>4218.9251461400218</v>
      </c>
      <c r="AA24" s="22"/>
      <c r="AJ24" s="22"/>
      <c r="AK24" s="22"/>
      <c r="AL24" s="22"/>
      <c r="AM24" s="22"/>
      <c r="AN24" s="22"/>
      <c r="AO24" s="22"/>
      <c r="AP24" s="22"/>
    </row>
    <row r="25" spans="1:42" hidden="1" x14ac:dyDescent="0.25">
      <c r="A25" s="16"/>
      <c r="B25" s="3" t="s">
        <v>17</v>
      </c>
      <c r="C25" s="3" t="s">
        <v>39</v>
      </c>
      <c r="D25" s="11" t="s">
        <v>19</v>
      </c>
      <c r="E25" s="45">
        <v>1655.2431626056689</v>
      </c>
      <c r="F25" s="8">
        <v>2406.0641471904523</v>
      </c>
      <c r="G25" s="46">
        <v>2890.0805569368472</v>
      </c>
      <c r="H25" s="4"/>
      <c r="I25" s="47">
        <v>171.65433975263224</v>
      </c>
      <c r="J25" s="4">
        <v>226.82561059927687</v>
      </c>
      <c r="K25" s="46">
        <v>262.64055913142033</v>
      </c>
      <c r="L25" s="4"/>
      <c r="M25" s="47">
        <v>376.76093910164644</v>
      </c>
      <c r="N25" s="4">
        <v>385.38879188882203</v>
      </c>
      <c r="O25" s="4">
        <v>422.85572573141883</v>
      </c>
      <c r="P25" s="52"/>
      <c r="Q25" s="104">
        <v>0.08</v>
      </c>
      <c r="R25" s="104">
        <v>0.05</v>
      </c>
      <c r="S25" s="104">
        <v>0.03</v>
      </c>
      <c r="T25" s="104">
        <v>1.4999999999999999E-2</v>
      </c>
      <c r="U25" s="104">
        <v>0.02</v>
      </c>
      <c r="V25" s="105">
        <f t="shared" si="0"/>
        <v>0</v>
      </c>
      <c r="W25" s="52"/>
      <c r="X25" s="52">
        <f t="shared" si="3"/>
        <v>2203.6584414599474</v>
      </c>
      <c r="Y25" s="52">
        <f t="shared" si="1"/>
        <v>3018.2785496785514</v>
      </c>
      <c r="Z25" s="52">
        <f t="shared" si="2"/>
        <v>3575.576841799686</v>
      </c>
      <c r="AA25" s="22"/>
      <c r="AJ25" s="22"/>
      <c r="AK25" s="22"/>
      <c r="AL25" s="22"/>
      <c r="AM25" s="22"/>
      <c r="AN25" s="22"/>
      <c r="AO25" s="22"/>
      <c r="AP25" s="22"/>
    </row>
    <row r="26" spans="1:42" hidden="1" x14ac:dyDescent="0.25">
      <c r="A26" s="16"/>
      <c r="B26" s="3" t="s">
        <v>17</v>
      </c>
      <c r="C26" s="3" t="s">
        <v>40</v>
      </c>
      <c r="D26" s="11" t="s">
        <v>19</v>
      </c>
      <c r="E26" s="45">
        <v>2302.0460815514671</v>
      </c>
      <c r="F26" s="8">
        <v>3357.5815067130779</v>
      </c>
      <c r="G26" s="46">
        <v>4037.3143560417702</v>
      </c>
      <c r="H26" s="4"/>
      <c r="I26" s="47">
        <v>238.73</v>
      </c>
      <c r="J26" s="4">
        <v>315.45999999999998</v>
      </c>
      <c r="K26" s="46">
        <v>365.27</v>
      </c>
      <c r="L26" s="4"/>
      <c r="M26" s="47">
        <v>523.98406659192426</v>
      </c>
      <c r="N26" s="4">
        <v>535.98333965924473</v>
      </c>
      <c r="O26" s="4">
        <v>588.0908548501385</v>
      </c>
      <c r="P26" s="52"/>
      <c r="Q26" s="104">
        <v>0.08</v>
      </c>
      <c r="R26" s="104">
        <v>0.05</v>
      </c>
      <c r="S26" s="104">
        <v>0.03</v>
      </c>
      <c r="T26" s="104">
        <v>1.4999999999999999E-2</v>
      </c>
      <c r="U26" s="104">
        <v>0.02</v>
      </c>
      <c r="V26" s="105">
        <f t="shared" si="0"/>
        <v>0</v>
      </c>
      <c r="W26" s="52"/>
      <c r="X26" s="52">
        <f t="shared" si="3"/>
        <v>3064.7601481433912</v>
      </c>
      <c r="Y26" s="52">
        <f t="shared" si="1"/>
        <v>4209.0248463723228</v>
      </c>
      <c r="Z26" s="52">
        <f t="shared" si="2"/>
        <v>4990.675210891909</v>
      </c>
      <c r="AA26" s="22"/>
      <c r="AJ26" s="22"/>
      <c r="AK26" s="22"/>
      <c r="AL26" s="22"/>
      <c r="AM26" s="22"/>
      <c r="AN26" s="22"/>
      <c r="AO26" s="22"/>
      <c r="AP26" s="22"/>
    </row>
    <row r="27" spans="1:42" hidden="1" x14ac:dyDescent="0.25">
      <c r="A27" s="16"/>
      <c r="B27" s="3" t="s">
        <v>17</v>
      </c>
      <c r="C27" s="3" t="s">
        <v>41</v>
      </c>
      <c r="D27" s="11" t="s">
        <v>19</v>
      </c>
      <c r="E27" s="45">
        <v>2130.0034808552959</v>
      </c>
      <c r="F27" s="8">
        <v>3099.4619592242666</v>
      </c>
      <c r="G27" s="46">
        <v>3724.4206862257583</v>
      </c>
      <c r="H27" s="4"/>
      <c r="I27" s="47">
        <v>220.88859778249241</v>
      </c>
      <c r="J27" s="4">
        <v>291.88420833772489</v>
      </c>
      <c r="K27" s="46">
        <v>337.97167558334104</v>
      </c>
      <c r="L27" s="4"/>
      <c r="M27" s="47">
        <v>484.82430247500639</v>
      </c>
      <c r="N27" s="4">
        <v>495.92681410844017</v>
      </c>
      <c r="O27" s="4">
        <v>544.1400925587667</v>
      </c>
      <c r="P27" s="52"/>
      <c r="Q27" s="104">
        <v>0.08</v>
      </c>
      <c r="R27" s="104">
        <v>0.05</v>
      </c>
      <c r="S27" s="104">
        <v>0.03</v>
      </c>
      <c r="T27" s="104">
        <v>1.4999999999999999E-2</v>
      </c>
      <c r="U27" s="104">
        <v>0.02</v>
      </c>
      <c r="V27" s="105">
        <f t="shared" si="0"/>
        <v>0</v>
      </c>
      <c r="W27" s="52"/>
      <c r="X27" s="52">
        <f t="shared" si="3"/>
        <v>2835.7163811127948</v>
      </c>
      <c r="Y27" s="52">
        <f t="shared" si="1"/>
        <v>3887.2729816704318</v>
      </c>
      <c r="Z27" s="52">
        <f t="shared" si="2"/>
        <v>4606.5324543678662</v>
      </c>
      <c r="AA27" s="22"/>
      <c r="AJ27" s="22"/>
      <c r="AK27" s="22"/>
      <c r="AL27" s="22"/>
      <c r="AM27" s="22"/>
      <c r="AN27" s="22"/>
      <c r="AO27" s="22"/>
      <c r="AP27" s="22"/>
    </row>
    <row r="28" spans="1:42" hidden="1" x14ac:dyDescent="0.25">
      <c r="A28" s="16"/>
      <c r="B28" s="3" t="s">
        <v>17</v>
      </c>
      <c r="C28" s="3" t="s">
        <v>42</v>
      </c>
      <c r="D28" s="11" t="s">
        <v>19</v>
      </c>
      <c r="E28" s="45">
        <v>2210.970164097464</v>
      </c>
      <c r="F28" s="8">
        <v>3217.7155643958231</v>
      </c>
      <c r="G28" s="46">
        <v>3866.7115862754849</v>
      </c>
      <c r="H28" s="4"/>
      <c r="I28" s="47">
        <v>229.28511792399013</v>
      </c>
      <c r="J28" s="4">
        <v>302.97944665648191</v>
      </c>
      <c r="K28" s="46">
        <v>350.81881214801609</v>
      </c>
      <c r="L28" s="4"/>
      <c r="M28" s="47">
        <v>503.25366941239577</v>
      </c>
      <c r="N28" s="4">
        <v>514.77821488319012</v>
      </c>
      <c r="O28" s="4">
        <v>564.82419890392566</v>
      </c>
      <c r="P28" s="52"/>
      <c r="Q28" s="104">
        <v>0.08</v>
      </c>
      <c r="R28" s="104">
        <v>0.05</v>
      </c>
      <c r="S28" s="104">
        <v>0.03</v>
      </c>
      <c r="T28" s="104">
        <v>1.4999999999999999E-2</v>
      </c>
      <c r="U28" s="104">
        <v>0.02</v>
      </c>
      <c r="V28" s="105">
        <f t="shared" si="0"/>
        <v>0</v>
      </c>
      <c r="W28" s="52"/>
      <c r="X28" s="52">
        <f t="shared" si="3"/>
        <v>2943.5089514338497</v>
      </c>
      <c r="Y28" s="52">
        <f t="shared" si="1"/>
        <v>4035.4732259354951</v>
      </c>
      <c r="Z28" s="52">
        <f t="shared" si="2"/>
        <v>4782.3545973274267</v>
      </c>
      <c r="AA28" s="22"/>
      <c r="AJ28" s="22"/>
      <c r="AK28" s="22"/>
      <c r="AL28" s="22"/>
      <c r="AM28" s="22"/>
      <c r="AN28" s="22"/>
      <c r="AO28" s="22"/>
      <c r="AP28" s="22"/>
    </row>
    <row r="29" spans="1:42" hidden="1" x14ac:dyDescent="0.25">
      <c r="A29" s="16"/>
      <c r="B29" s="3" t="s">
        <v>17</v>
      </c>
      <c r="C29" s="3" t="s">
        <v>43</v>
      </c>
      <c r="D29" s="11" t="s">
        <v>19</v>
      </c>
      <c r="E29" s="45">
        <v>1662.6031824962706</v>
      </c>
      <c r="F29" s="8">
        <v>2416.8150174042767</v>
      </c>
      <c r="G29" s="46">
        <v>2903.0154152163104</v>
      </c>
      <c r="H29" s="4"/>
      <c r="I29" s="47">
        <v>172.41759882140781</v>
      </c>
      <c r="J29" s="4">
        <v>227.83418809618107</v>
      </c>
      <c r="K29" s="46">
        <v>263.80838738950126</v>
      </c>
      <c r="L29" s="4"/>
      <c r="M29" s="47">
        <v>378.43620233090201</v>
      </c>
      <c r="N29" s="4">
        <v>387.10241876733551</v>
      </c>
      <c r="O29" s="4">
        <v>424.73594890499709</v>
      </c>
      <c r="P29" s="52"/>
      <c r="Q29" s="104">
        <v>0.08</v>
      </c>
      <c r="R29" s="104">
        <v>0.05</v>
      </c>
      <c r="S29" s="104">
        <v>0.03</v>
      </c>
      <c r="T29" s="104">
        <v>1.4999999999999999E-2</v>
      </c>
      <c r="U29" s="104">
        <v>0.02</v>
      </c>
      <c r="V29" s="105">
        <f t="shared" si="0"/>
        <v>0</v>
      </c>
      <c r="W29" s="52"/>
      <c r="X29" s="52">
        <f t="shared" si="3"/>
        <v>2213.4569836485807</v>
      </c>
      <c r="Y29" s="52">
        <f t="shared" si="1"/>
        <v>3031.7516242677934</v>
      </c>
      <c r="Z29" s="52">
        <f t="shared" si="2"/>
        <v>3591.5597515108088</v>
      </c>
      <c r="AA29" s="22"/>
      <c r="AJ29" s="22"/>
      <c r="AK29" s="22"/>
      <c r="AL29" s="22"/>
      <c r="AM29" s="22"/>
      <c r="AN29" s="22"/>
      <c r="AO29" s="22"/>
      <c r="AP29" s="22"/>
    </row>
    <row r="30" spans="1:42" hidden="1" x14ac:dyDescent="0.25">
      <c r="A30" s="16"/>
      <c r="B30" s="3" t="s">
        <v>17</v>
      </c>
      <c r="C30" s="3" t="s">
        <v>44</v>
      </c>
      <c r="D30" s="11" t="s">
        <v>19</v>
      </c>
      <c r="E30" s="45">
        <v>1653.4931277971157</v>
      </c>
      <c r="F30" s="8">
        <v>2408.4060517155644</v>
      </c>
      <c r="G30" s="46">
        <v>2894.548189955246</v>
      </c>
      <c r="H30" s="4"/>
      <c r="I30" s="47">
        <v>171.47285519713444</v>
      </c>
      <c r="J30" s="4">
        <v>226.58579525190814</v>
      </c>
      <c r="K30" s="46">
        <v>262.36287780277843</v>
      </c>
      <c r="L30" s="4"/>
      <c r="M30" s="47">
        <v>376.36260200361363</v>
      </c>
      <c r="N30" s="4">
        <v>384.98133284240015</v>
      </c>
      <c r="O30" s="4">
        <v>422.40865411333641</v>
      </c>
      <c r="P30" s="52"/>
      <c r="Q30" s="104">
        <v>0.08</v>
      </c>
      <c r="R30" s="104">
        <v>0.05</v>
      </c>
      <c r="S30" s="104">
        <v>0.03</v>
      </c>
      <c r="T30" s="104">
        <v>1.4999999999999999E-2</v>
      </c>
      <c r="U30" s="104">
        <v>0.02</v>
      </c>
      <c r="V30" s="105">
        <f t="shared" si="0"/>
        <v>0</v>
      </c>
      <c r="W30" s="52"/>
      <c r="X30" s="52">
        <f t="shared" si="3"/>
        <v>2201.3285849978638</v>
      </c>
      <c r="Y30" s="52">
        <f t="shared" si="1"/>
        <v>3019.9731798098728</v>
      </c>
      <c r="Z30" s="52">
        <f t="shared" si="2"/>
        <v>3579.3197218713608</v>
      </c>
      <c r="AA30" s="22"/>
      <c r="AJ30" s="22"/>
      <c r="AK30" s="22"/>
      <c r="AL30" s="22"/>
      <c r="AM30" s="22"/>
      <c r="AN30" s="22"/>
      <c r="AO30" s="22"/>
      <c r="AP30" s="22"/>
    </row>
    <row r="31" spans="1:42" hidden="1" x14ac:dyDescent="0.25">
      <c r="A31" s="16"/>
      <c r="B31" s="3" t="s">
        <v>17</v>
      </c>
      <c r="C31" s="3" t="s">
        <v>45</v>
      </c>
      <c r="D31" s="11" t="s">
        <v>19</v>
      </c>
      <c r="E31" s="45">
        <v>2086.4658677274988</v>
      </c>
      <c r="F31" s="8">
        <v>3042.0734510193934</v>
      </c>
      <c r="G31" s="46">
        <v>3657.4563053207357</v>
      </c>
      <c r="H31" s="4"/>
      <c r="I31" s="47">
        <v>216.37359937942219</v>
      </c>
      <c r="J31" s="4">
        <v>285.91804825632522</v>
      </c>
      <c r="K31" s="46">
        <v>331.06348027194548</v>
      </c>
      <c r="L31" s="4"/>
      <c r="M31" s="47">
        <v>474.91441589226946</v>
      </c>
      <c r="N31" s="4">
        <v>485.78999040537087</v>
      </c>
      <c r="O31" s="4">
        <v>533.01778170337116</v>
      </c>
      <c r="P31" s="52"/>
      <c r="Q31" s="104">
        <v>0.08</v>
      </c>
      <c r="R31" s="104">
        <v>0.05</v>
      </c>
      <c r="S31" s="104">
        <v>0.03</v>
      </c>
      <c r="T31" s="104">
        <v>1.4999999999999999E-2</v>
      </c>
      <c r="U31" s="104">
        <v>0.02</v>
      </c>
      <c r="V31" s="105">
        <f t="shared" si="0"/>
        <v>0</v>
      </c>
      <c r="W31" s="52"/>
      <c r="X31" s="52">
        <f t="shared" si="3"/>
        <v>2777.7538829991904</v>
      </c>
      <c r="Y31" s="52">
        <f t="shared" si="1"/>
        <v>3813.7814896810896</v>
      </c>
      <c r="Z31" s="52">
        <f t="shared" si="2"/>
        <v>4521.5375672960527</v>
      </c>
      <c r="AA31" s="22"/>
      <c r="AJ31" s="22"/>
      <c r="AK31" s="22"/>
      <c r="AL31" s="22"/>
      <c r="AM31" s="22"/>
      <c r="AN31" s="22"/>
      <c r="AO31" s="22"/>
      <c r="AP31" s="22"/>
    </row>
    <row r="32" spans="1:42" hidden="1" x14ac:dyDescent="0.25">
      <c r="A32" s="16"/>
      <c r="B32" s="3" t="s">
        <v>17</v>
      </c>
      <c r="C32" s="3" t="s">
        <v>46</v>
      </c>
      <c r="D32" s="11" t="s">
        <v>19</v>
      </c>
      <c r="E32" s="45">
        <v>1703.0870213823969</v>
      </c>
      <c r="F32" s="8">
        <v>2475.9413227250125</v>
      </c>
      <c r="G32" s="46">
        <v>2974.1611138736948</v>
      </c>
      <c r="H32" s="4"/>
      <c r="I32" s="47">
        <v>176.61591046023102</v>
      </c>
      <c r="J32" s="4">
        <v>233.38187539808351</v>
      </c>
      <c r="K32" s="46">
        <v>270.23203457382226</v>
      </c>
      <c r="L32" s="4"/>
      <c r="M32" s="47">
        <v>387.65099898541041</v>
      </c>
      <c r="N32" s="4">
        <v>396.52823493248758</v>
      </c>
      <c r="O32" s="4">
        <v>435.07812911109949</v>
      </c>
      <c r="P32" s="52"/>
      <c r="Q32" s="104">
        <v>0.08</v>
      </c>
      <c r="R32" s="104">
        <v>0.05</v>
      </c>
      <c r="S32" s="104">
        <v>0.03</v>
      </c>
      <c r="T32" s="104">
        <v>1.4999999999999999E-2</v>
      </c>
      <c r="U32" s="104">
        <v>0.02</v>
      </c>
      <c r="V32" s="105">
        <f t="shared" si="0"/>
        <v>0</v>
      </c>
      <c r="W32" s="52"/>
      <c r="X32" s="52">
        <f t="shared" si="3"/>
        <v>2267.3539308280383</v>
      </c>
      <c r="Y32" s="52">
        <f t="shared" si="1"/>
        <v>3105.8514330555836</v>
      </c>
      <c r="Z32" s="52">
        <f t="shared" si="2"/>
        <v>3679.4712775586163</v>
      </c>
      <c r="AA32" s="22"/>
      <c r="AJ32" s="22"/>
      <c r="AK32" s="22"/>
      <c r="AL32" s="22"/>
      <c r="AM32" s="22"/>
      <c r="AN32" s="22"/>
      <c r="AO32" s="22"/>
      <c r="AP32" s="22"/>
    </row>
    <row r="33" spans="1:42" hidden="1" x14ac:dyDescent="0.25">
      <c r="A33" s="16"/>
      <c r="B33" s="3" t="s">
        <v>17</v>
      </c>
      <c r="C33" s="3" t="s">
        <v>47</v>
      </c>
      <c r="D33" s="11" t="s">
        <v>19</v>
      </c>
      <c r="E33" s="45">
        <v>1791.1745748383889</v>
      </c>
      <c r="F33" s="8">
        <v>2609.9072998508204</v>
      </c>
      <c r="G33" s="46">
        <v>3137.1468622575831</v>
      </c>
      <c r="H33" s="4"/>
      <c r="I33" s="47">
        <v>185.75088903649669</v>
      </c>
      <c r="J33" s="4">
        <v>245.45291942970405</v>
      </c>
      <c r="K33" s="46">
        <v>284.20905306564379</v>
      </c>
      <c r="L33" s="4"/>
      <c r="M33" s="47">
        <v>407.7011946986504</v>
      </c>
      <c r="N33" s="4">
        <v>417.0375815794215</v>
      </c>
      <c r="O33" s="4">
        <v>457.58136439763149</v>
      </c>
      <c r="P33" s="52"/>
      <c r="Q33" s="104">
        <v>0.08</v>
      </c>
      <c r="R33" s="104">
        <v>0.05</v>
      </c>
      <c r="S33" s="104">
        <v>0.03</v>
      </c>
      <c r="T33" s="104">
        <v>1.4999999999999999E-2</v>
      </c>
      <c r="U33" s="104">
        <v>0.02</v>
      </c>
      <c r="V33" s="105">
        <f t="shared" si="0"/>
        <v>0</v>
      </c>
      <c r="W33" s="52"/>
      <c r="X33" s="52">
        <f t="shared" si="3"/>
        <v>2384.6266585735361</v>
      </c>
      <c r="Y33" s="52">
        <f t="shared" si="1"/>
        <v>3272.3978008599461</v>
      </c>
      <c r="Z33" s="52">
        <f t="shared" si="2"/>
        <v>3878.9372797208584</v>
      </c>
      <c r="AA33" s="22"/>
      <c r="AJ33" s="22"/>
      <c r="AK33" s="22"/>
      <c r="AL33" s="22"/>
      <c r="AM33" s="22"/>
      <c r="AN33" s="22"/>
      <c r="AO33" s="22"/>
      <c r="AP33" s="22"/>
    </row>
    <row r="34" spans="1:42" hidden="1" x14ac:dyDescent="0.25">
      <c r="A34" s="16"/>
      <c r="B34" s="3" t="s">
        <v>17</v>
      </c>
      <c r="C34" s="3" t="s">
        <v>48</v>
      </c>
      <c r="D34" s="11" t="s">
        <v>19</v>
      </c>
      <c r="E34" s="45">
        <v>2060.0770760815512</v>
      </c>
      <c r="F34" s="8">
        <v>2997.3336648433615</v>
      </c>
      <c r="G34" s="46">
        <v>3601.533565390353</v>
      </c>
      <c r="H34" s="4"/>
      <c r="I34" s="47">
        <v>213.63699202819518</v>
      </c>
      <c r="J34" s="4">
        <v>282.30187033558605</v>
      </c>
      <c r="K34" s="46">
        <v>326.87632085677905</v>
      </c>
      <c r="L34" s="4"/>
      <c r="M34" s="47">
        <v>468.90788697440712</v>
      </c>
      <c r="N34" s="4">
        <v>479.64591154034889</v>
      </c>
      <c r="O34" s="4">
        <v>526.27638449073652</v>
      </c>
      <c r="P34" s="52"/>
      <c r="Q34" s="104">
        <v>0.08</v>
      </c>
      <c r="R34" s="104">
        <v>0.05</v>
      </c>
      <c r="S34" s="104">
        <v>0.03</v>
      </c>
      <c r="T34" s="104">
        <v>1.4999999999999999E-2</v>
      </c>
      <c r="U34" s="104">
        <v>0.02</v>
      </c>
      <c r="V34" s="105">
        <f t="shared" si="0"/>
        <v>0</v>
      </c>
      <c r="W34" s="52"/>
      <c r="X34" s="52">
        <f t="shared" si="3"/>
        <v>2742.6219550841533</v>
      </c>
      <c r="Y34" s="52">
        <f t="shared" si="1"/>
        <v>3759.2814467192966</v>
      </c>
      <c r="Z34" s="52">
        <f t="shared" si="2"/>
        <v>4454.6862707378687</v>
      </c>
      <c r="AA34" s="22"/>
      <c r="AJ34" s="22"/>
      <c r="AK34" s="22"/>
      <c r="AL34" s="22"/>
      <c r="AM34" s="22"/>
      <c r="AN34" s="22"/>
      <c r="AO34" s="22"/>
      <c r="AP34" s="22"/>
    </row>
    <row r="35" spans="1:42" hidden="1" x14ac:dyDescent="0.25">
      <c r="A35" s="16"/>
      <c r="B35" s="3" t="s">
        <v>17</v>
      </c>
      <c r="C35" s="3" t="s">
        <v>241</v>
      </c>
      <c r="D35" s="11" t="s">
        <v>19</v>
      </c>
      <c r="E35" s="45">
        <v>2071.9733963202389</v>
      </c>
      <c r="F35" s="8">
        <v>3020.8626603679763</v>
      </c>
      <c r="G35" s="46">
        <v>3631.9197314768771</v>
      </c>
      <c r="H35" s="4"/>
      <c r="I35" s="47">
        <v>214.87068085542657</v>
      </c>
      <c r="J35" s="4">
        <v>283.93207800717488</v>
      </c>
      <c r="K35" s="46">
        <v>328.76393245952187</v>
      </c>
      <c r="L35" s="4"/>
      <c r="M35" s="47">
        <v>471.61568778956109</v>
      </c>
      <c r="N35" s="4">
        <v>482.41572119024528</v>
      </c>
      <c r="O35" s="4">
        <v>529.31547097766975</v>
      </c>
      <c r="P35" s="52"/>
      <c r="Q35" s="104">
        <v>0.08</v>
      </c>
      <c r="R35" s="104">
        <v>0.05</v>
      </c>
      <c r="S35" s="104">
        <v>0.03</v>
      </c>
      <c r="T35" s="104">
        <v>1.4999999999999999E-2</v>
      </c>
      <c r="U35" s="104">
        <v>0.02</v>
      </c>
      <c r="V35" s="105">
        <f t="shared" si="0"/>
        <v>0</v>
      </c>
      <c r="W35" s="52"/>
      <c r="X35" s="52">
        <f t="shared" si="3"/>
        <v>2758.4597649652264</v>
      </c>
      <c r="Y35" s="52">
        <f t="shared" si="1"/>
        <v>3787.2104595653964</v>
      </c>
      <c r="Z35" s="52">
        <f t="shared" si="2"/>
        <v>4489.9991349140691</v>
      </c>
      <c r="AA35" s="22"/>
      <c r="AJ35" s="22"/>
      <c r="AK35" s="22"/>
      <c r="AL35" s="22"/>
      <c r="AM35" s="22"/>
      <c r="AN35" s="22"/>
      <c r="AO35" s="22"/>
      <c r="AP35" s="22"/>
    </row>
    <row r="36" spans="1:42" hidden="1" x14ac:dyDescent="0.25">
      <c r="A36" s="16"/>
      <c r="B36" s="3" t="s">
        <v>17</v>
      </c>
      <c r="C36" s="3" t="s">
        <v>50</v>
      </c>
      <c r="D36" s="11" t="s">
        <v>19</v>
      </c>
      <c r="E36" s="45">
        <v>1689.7252958727004</v>
      </c>
      <c r="F36" s="8">
        <v>2461.4327747389361</v>
      </c>
      <c r="G36" s="46">
        <v>2958.3898657384384</v>
      </c>
      <c r="H36" s="4"/>
      <c r="I36" s="47">
        <v>175.23025412759148</v>
      </c>
      <c r="J36" s="4">
        <v>231.55085647840659</v>
      </c>
      <c r="K36" s="46">
        <v>268.11190434878455</v>
      </c>
      <c r="L36" s="4"/>
      <c r="M36" s="47">
        <v>384.6096475001537</v>
      </c>
      <c r="N36" s="4">
        <v>393.4172362779903</v>
      </c>
      <c r="O36" s="4">
        <v>431.66468372430063</v>
      </c>
      <c r="P36" s="52"/>
      <c r="Q36" s="104">
        <v>0.08</v>
      </c>
      <c r="R36" s="104">
        <v>0.05</v>
      </c>
      <c r="S36" s="104">
        <v>0.03</v>
      </c>
      <c r="T36" s="104">
        <v>1.4999999999999999E-2</v>
      </c>
      <c r="U36" s="104">
        <v>0.02</v>
      </c>
      <c r="V36" s="105">
        <f t="shared" si="0"/>
        <v>0</v>
      </c>
      <c r="W36" s="52"/>
      <c r="X36" s="52">
        <f t="shared" si="3"/>
        <v>2249.5651975004457</v>
      </c>
      <c r="Y36" s="52">
        <f t="shared" si="1"/>
        <v>3086.4008674953334</v>
      </c>
      <c r="Z36" s="52">
        <f t="shared" si="2"/>
        <v>3658.1664538115238</v>
      </c>
      <c r="AA36" s="22"/>
      <c r="AJ36" s="22"/>
      <c r="AK36" s="22"/>
      <c r="AL36" s="22"/>
      <c r="AM36" s="22"/>
      <c r="AN36" s="22"/>
      <c r="AO36" s="22"/>
      <c r="AP36" s="22"/>
    </row>
    <row r="37" spans="1:42" hidden="1" x14ac:dyDescent="0.25">
      <c r="A37" s="16"/>
      <c r="B37" s="3" t="s">
        <v>17</v>
      </c>
      <c r="C37" s="3" t="s">
        <v>51</v>
      </c>
      <c r="D37" s="11" t="s">
        <v>19</v>
      </c>
      <c r="E37" s="45">
        <v>2054.5569368473398</v>
      </c>
      <c r="F37" s="8">
        <v>2989.2710094480358</v>
      </c>
      <c r="G37" s="46">
        <v>3591.8319244157137</v>
      </c>
      <c r="H37" s="4"/>
      <c r="I37" s="47">
        <v>213.06453483459495</v>
      </c>
      <c r="J37" s="4">
        <v>281.54542017727692</v>
      </c>
      <c r="K37" s="46">
        <v>326.00042993772252</v>
      </c>
      <c r="L37" s="4"/>
      <c r="M37" s="47">
        <v>467.65141125601207</v>
      </c>
      <c r="N37" s="4">
        <v>478.36066243701958</v>
      </c>
      <c r="O37" s="4">
        <v>524.86618535217212</v>
      </c>
      <c r="P37" s="52"/>
      <c r="Q37" s="104">
        <v>0.08</v>
      </c>
      <c r="R37" s="104">
        <v>0.05</v>
      </c>
      <c r="S37" s="104">
        <v>0.03</v>
      </c>
      <c r="T37" s="104">
        <v>1.4999999999999999E-2</v>
      </c>
      <c r="U37" s="104">
        <v>0.02</v>
      </c>
      <c r="V37" s="105">
        <f t="shared" si="0"/>
        <v>0</v>
      </c>
      <c r="W37" s="52"/>
      <c r="X37" s="52">
        <f t="shared" si="3"/>
        <v>2735.2728829379471</v>
      </c>
      <c r="Y37" s="52">
        <f t="shared" si="1"/>
        <v>3749.1770920623321</v>
      </c>
      <c r="Z37" s="52">
        <f t="shared" si="2"/>
        <v>4442.6985397056087</v>
      </c>
      <c r="AA37" s="22"/>
      <c r="AJ37" s="22"/>
      <c r="AK37" s="22"/>
      <c r="AL37" s="22"/>
      <c r="AM37" s="22"/>
      <c r="AN37" s="22"/>
      <c r="AO37" s="22"/>
      <c r="AP37" s="22"/>
    </row>
    <row r="38" spans="1:42" hidden="1" x14ac:dyDescent="0.25">
      <c r="A38" s="16"/>
      <c r="B38" s="3" t="s">
        <v>17</v>
      </c>
      <c r="C38" s="3" t="s">
        <v>52</v>
      </c>
      <c r="D38" s="11" t="s">
        <v>19</v>
      </c>
      <c r="E38" s="45">
        <v>2294.8003480855295</v>
      </c>
      <c r="F38" s="8">
        <v>3346.975867727499</v>
      </c>
      <c r="G38" s="46">
        <v>4024.5463202386873</v>
      </c>
      <c r="H38" s="4"/>
      <c r="I38" s="47">
        <v>237.97859282175727</v>
      </c>
      <c r="J38" s="4">
        <v>314.46708369937397</v>
      </c>
      <c r="K38" s="46">
        <v>364.12030578479153</v>
      </c>
      <c r="L38" s="4"/>
      <c r="M38" s="47">
        <v>522.33481685824188</v>
      </c>
      <c r="N38" s="4">
        <v>534.29632198723675</v>
      </c>
      <c r="O38" s="4">
        <v>586.2398277911459</v>
      </c>
      <c r="P38" s="52"/>
      <c r="Q38" s="104">
        <v>0.08</v>
      </c>
      <c r="R38" s="104">
        <v>0.05</v>
      </c>
      <c r="S38" s="104">
        <v>0.03</v>
      </c>
      <c r="T38" s="104">
        <v>1.4999999999999999E-2</v>
      </c>
      <c r="U38" s="104">
        <v>0.02</v>
      </c>
      <c r="V38" s="105">
        <f t="shared" si="0"/>
        <v>0</v>
      </c>
      <c r="W38" s="52"/>
      <c r="X38" s="52">
        <f t="shared" si="3"/>
        <v>3055.1137577655286</v>
      </c>
      <c r="Y38" s="52">
        <f t="shared" si="1"/>
        <v>4195.7392734141104</v>
      </c>
      <c r="Z38" s="52">
        <f t="shared" si="2"/>
        <v>4974.9064538146249</v>
      </c>
      <c r="AA38" s="22"/>
      <c r="AJ38" s="22"/>
      <c r="AK38" s="22"/>
      <c r="AL38" s="22"/>
      <c r="AM38" s="22"/>
      <c r="AN38" s="22"/>
      <c r="AO38" s="22"/>
      <c r="AP38" s="22"/>
    </row>
    <row r="39" spans="1:42" hidden="1" x14ac:dyDescent="0.25">
      <c r="A39" s="16"/>
      <c r="B39" s="3" t="s">
        <v>17</v>
      </c>
      <c r="C39" s="3" t="s">
        <v>53</v>
      </c>
      <c r="D39" s="11" t="s">
        <v>19</v>
      </c>
      <c r="E39" s="45">
        <v>2280.8965688712083</v>
      </c>
      <c r="F39" s="8">
        <v>3319.8438587767282</v>
      </c>
      <c r="G39" s="46">
        <v>3989.5992043759325</v>
      </c>
      <c r="H39" s="4"/>
      <c r="I39" s="47">
        <v>236.53672367828736</v>
      </c>
      <c r="J39" s="4">
        <v>312.56178465862075</v>
      </c>
      <c r="K39" s="46">
        <v>361.91416687457809</v>
      </c>
      <c r="L39" s="4"/>
      <c r="M39" s="47">
        <v>519.17008491299509</v>
      </c>
      <c r="N39" s="4">
        <v>531.0591174512814</v>
      </c>
      <c r="O39" s="4">
        <v>582.68790697195584</v>
      </c>
      <c r="P39" s="52"/>
      <c r="Q39" s="104">
        <v>0.08</v>
      </c>
      <c r="R39" s="104">
        <v>0.05</v>
      </c>
      <c r="S39" s="104">
        <v>0.03</v>
      </c>
      <c r="T39" s="104">
        <v>1.4999999999999999E-2</v>
      </c>
      <c r="U39" s="104">
        <v>0.02</v>
      </c>
      <c r="V39" s="105">
        <f t="shared" si="0"/>
        <v>0</v>
      </c>
      <c r="W39" s="52"/>
      <c r="X39" s="52">
        <f t="shared" si="3"/>
        <v>3036.6033774624907</v>
      </c>
      <c r="Y39" s="52">
        <f t="shared" si="1"/>
        <v>4163.4647608866298</v>
      </c>
      <c r="Z39" s="52">
        <f t="shared" si="2"/>
        <v>4934.2012782224665</v>
      </c>
      <c r="AA39" s="22"/>
      <c r="AJ39" s="22"/>
      <c r="AK39" s="22"/>
      <c r="AL39" s="22"/>
      <c r="AM39" s="22"/>
      <c r="AN39" s="22"/>
      <c r="AO39" s="22"/>
      <c r="AP39" s="22"/>
    </row>
    <row r="40" spans="1:42" hidden="1" x14ac:dyDescent="0.25">
      <c r="A40" s="16"/>
      <c r="B40" s="3" t="s">
        <v>17</v>
      </c>
      <c r="C40" s="3" t="s">
        <v>54</v>
      </c>
      <c r="D40" s="11" t="s">
        <v>19</v>
      </c>
      <c r="E40" s="45">
        <v>1928.8565241173544</v>
      </c>
      <c r="F40" s="8">
        <v>2811.4080507210342</v>
      </c>
      <c r="G40" s="46">
        <v>3379.7445350571852</v>
      </c>
      <c r="H40" s="4"/>
      <c r="I40" s="47">
        <v>200.02897495961403</v>
      </c>
      <c r="J40" s="4">
        <v>264.3201124314491</v>
      </c>
      <c r="K40" s="46">
        <v>306.05530801951249</v>
      </c>
      <c r="L40" s="4"/>
      <c r="M40" s="47">
        <v>439.03990171135905</v>
      </c>
      <c r="N40" s="4">
        <v>449.09394725199752</v>
      </c>
      <c r="O40" s="4">
        <v>492.75420298578467</v>
      </c>
      <c r="P40" s="52"/>
      <c r="Q40" s="104">
        <v>0.08</v>
      </c>
      <c r="R40" s="104">
        <v>0.05</v>
      </c>
      <c r="S40" s="104">
        <v>0.03</v>
      </c>
      <c r="T40" s="104">
        <v>1.4999999999999999E-2</v>
      </c>
      <c r="U40" s="104">
        <v>0.02</v>
      </c>
      <c r="V40" s="105">
        <f t="shared" si="0"/>
        <v>0</v>
      </c>
      <c r="W40" s="52"/>
      <c r="X40" s="52">
        <f t="shared" si="3"/>
        <v>2567.9254007883274</v>
      </c>
      <c r="Y40" s="52">
        <f t="shared" si="1"/>
        <v>3524.822110404481</v>
      </c>
      <c r="Z40" s="52">
        <f t="shared" si="2"/>
        <v>4178.5540460624825</v>
      </c>
      <c r="AA40" s="22"/>
      <c r="AJ40" s="22"/>
      <c r="AK40" s="22"/>
      <c r="AL40" s="22"/>
      <c r="AM40" s="22"/>
      <c r="AN40" s="22"/>
      <c r="AO40" s="22"/>
      <c r="AP40" s="22"/>
    </row>
    <row r="41" spans="1:42" hidden="1" x14ac:dyDescent="0.25">
      <c r="A41" s="16"/>
      <c r="B41" s="3" t="s">
        <v>17</v>
      </c>
      <c r="C41" s="3" t="s">
        <v>55</v>
      </c>
      <c r="D41" s="11" t="s">
        <v>19</v>
      </c>
      <c r="E41" s="45">
        <v>1776.6821034311288</v>
      </c>
      <c r="F41" s="8">
        <v>2588.696509199403</v>
      </c>
      <c r="G41" s="46">
        <v>3111.6097911486822</v>
      </c>
      <c r="H41" s="4"/>
      <c r="I41" s="47">
        <v>184.24797051250107</v>
      </c>
      <c r="J41" s="4">
        <v>243.46694918055371</v>
      </c>
      <c r="K41" s="46">
        <v>281.90950525322023</v>
      </c>
      <c r="L41" s="4"/>
      <c r="M41" s="47">
        <v>404.40246659594203</v>
      </c>
      <c r="N41" s="4">
        <v>413.66331236429585</v>
      </c>
      <c r="O41" s="4">
        <v>453.87905367193002</v>
      </c>
      <c r="P41" s="52"/>
      <c r="Q41" s="104">
        <v>0.08</v>
      </c>
      <c r="R41" s="104">
        <v>0.05</v>
      </c>
      <c r="S41" s="104">
        <v>0.03</v>
      </c>
      <c r="T41" s="104">
        <v>1.4999999999999999E-2</v>
      </c>
      <c r="U41" s="104">
        <v>0.02</v>
      </c>
      <c r="V41" s="105">
        <f t="shared" si="0"/>
        <v>0</v>
      </c>
      <c r="W41" s="52"/>
      <c r="X41" s="52">
        <f t="shared" si="3"/>
        <v>2365.3325405395717</v>
      </c>
      <c r="Y41" s="52">
        <f t="shared" si="1"/>
        <v>3245.8267707442528</v>
      </c>
      <c r="Z41" s="52">
        <f t="shared" si="2"/>
        <v>3847.3983500738323</v>
      </c>
      <c r="AA41" s="22"/>
      <c r="AJ41" s="22"/>
      <c r="AK41" s="22"/>
      <c r="AL41" s="22"/>
      <c r="AM41" s="22"/>
      <c r="AN41" s="22"/>
      <c r="AO41" s="22"/>
      <c r="AP41" s="22"/>
    </row>
    <row r="42" spans="1:42" hidden="1" x14ac:dyDescent="0.25">
      <c r="A42" s="16"/>
      <c r="B42" s="3" t="s">
        <v>17</v>
      </c>
      <c r="C42" s="3" t="s">
        <v>242</v>
      </c>
      <c r="D42" s="11" t="s">
        <v>19</v>
      </c>
      <c r="E42" s="45">
        <v>2003.1321730482346</v>
      </c>
      <c r="F42" s="8">
        <v>2920.1122874191947</v>
      </c>
      <c r="G42" s="46">
        <v>3510.6203978120338</v>
      </c>
      <c r="H42" s="4"/>
      <c r="I42" s="47">
        <v>207.73161210983071</v>
      </c>
      <c r="J42" s="4">
        <v>274.49844743504036</v>
      </c>
      <c r="K42" s="46">
        <v>317.84076553159576</v>
      </c>
      <c r="L42" s="4"/>
      <c r="M42" s="47">
        <v>455.94627769029989</v>
      </c>
      <c r="N42" s="4">
        <v>466.38748046506868</v>
      </c>
      <c r="O42" s="4">
        <v>511.72898816683158</v>
      </c>
      <c r="P42" s="52"/>
      <c r="Q42" s="104">
        <v>0.08</v>
      </c>
      <c r="R42" s="104">
        <v>0.05</v>
      </c>
      <c r="S42" s="104">
        <v>0.03</v>
      </c>
      <c r="T42" s="104">
        <v>1.4999999999999999E-2</v>
      </c>
      <c r="U42" s="104">
        <v>0.02</v>
      </c>
      <c r="V42" s="105">
        <f t="shared" si="0"/>
        <v>0</v>
      </c>
      <c r="W42" s="52"/>
      <c r="X42" s="52">
        <f t="shared" si="3"/>
        <v>2666.8100628483653</v>
      </c>
      <c r="Y42" s="52">
        <f t="shared" si="1"/>
        <v>3660.9982153193037</v>
      </c>
      <c r="Z42" s="52">
        <f t="shared" si="2"/>
        <v>4340.190151510461</v>
      </c>
      <c r="AA42" s="22"/>
      <c r="AJ42" s="22"/>
      <c r="AK42" s="22"/>
      <c r="AL42" s="22"/>
      <c r="AM42" s="22"/>
      <c r="AN42" s="22"/>
      <c r="AO42" s="22"/>
      <c r="AP42" s="22"/>
    </row>
    <row r="43" spans="1:42" hidden="1" x14ac:dyDescent="0.25">
      <c r="A43" s="16"/>
      <c r="B43" s="3" t="s">
        <v>17</v>
      </c>
      <c r="C43" s="3" t="s">
        <v>57</v>
      </c>
      <c r="D43" s="11" t="s">
        <v>19</v>
      </c>
      <c r="E43" s="107">
        <v>1629.9426106414719</v>
      </c>
      <c r="F43" s="108">
        <v>2373.9388314271509</v>
      </c>
      <c r="G43" s="109">
        <v>2853.0510740924915</v>
      </c>
      <c r="H43" s="4"/>
      <c r="I43" s="47">
        <v>169.03058655376401</v>
      </c>
      <c r="J43" s="4">
        <v>223.35855918506425</v>
      </c>
      <c r="K43" s="46">
        <v>258.62607276208843</v>
      </c>
      <c r="L43" s="4"/>
      <c r="M43" s="47">
        <v>371.0021116778766</v>
      </c>
      <c r="N43" s="4">
        <v>379.49808690004375</v>
      </c>
      <c r="O43" s="4">
        <v>416.39233503214257</v>
      </c>
      <c r="P43" s="52"/>
      <c r="Q43" s="104">
        <v>0.08</v>
      </c>
      <c r="R43" s="104">
        <v>0.05</v>
      </c>
      <c r="S43" s="104">
        <v>0.03</v>
      </c>
      <c r="T43" s="104">
        <v>1.4999999999999999E-2</v>
      </c>
      <c r="U43" s="104">
        <v>0.02</v>
      </c>
      <c r="V43" s="105">
        <f t="shared" si="0"/>
        <v>0</v>
      </c>
      <c r="W43" s="52"/>
      <c r="X43" s="52">
        <f t="shared" si="3"/>
        <v>2169.9753088731127</v>
      </c>
      <c r="Y43" s="52">
        <f t="shared" si="1"/>
        <v>2976.7954775122589</v>
      </c>
      <c r="Z43" s="52">
        <f t="shared" si="2"/>
        <v>3528.0694818867223</v>
      </c>
      <c r="AA43" s="22"/>
      <c r="AJ43" s="22"/>
      <c r="AK43" s="22"/>
      <c r="AL43" s="22"/>
      <c r="AM43" s="22"/>
      <c r="AN43" s="22"/>
      <c r="AO43" s="22"/>
      <c r="AP43" s="22"/>
    </row>
    <row r="44" spans="1:42" hidden="1" x14ac:dyDescent="0.25">
      <c r="A44" s="16"/>
      <c r="B44" s="3" t="s">
        <v>17</v>
      </c>
      <c r="C44" s="3" t="s">
        <v>58</v>
      </c>
      <c r="D44" s="11" t="s">
        <v>19</v>
      </c>
      <c r="E44" s="107">
        <v>1800.2326156141223</v>
      </c>
      <c r="F44" s="108">
        <v>2623.1637294878169</v>
      </c>
      <c r="G44" s="109">
        <v>3153.1069070114372</v>
      </c>
      <c r="H44" s="4"/>
      <c r="I44" s="47">
        <v>186.69023864019076</v>
      </c>
      <c r="J44" s="4">
        <v>246.69418456597234</v>
      </c>
      <c r="K44" s="46">
        <v>285.64630950489038</v>
      </c>
      <c r="L44" s="4"/>
      <c r="M44" s="47">
        <v>409.76295578982081</v>
      </c>
      <c r="N44" s="4">
        <v>419.14655714887442</v>
      </c>
      <c r="O44" s="4">
        <v>459.89537148278862</v>
      </c>
      <c r="P44" s="52"/>
      <c r="Q44" s="104">
        <v>0.08</v>
      </c>
      <c r="R44" s="104">
        <v>0.05</v>
      </c>
      <c r="S44" s="104">
        <v>0.03</v>
      </c>
      <c r="T44" s="104">
        <v>1.4999999999999999E-2</v>
      </c>
      <c r="U44" s="104">
        <v>0.02</v>
      </c>
      <c r="V44" s="105">
        <f t="shared" si="0"/>
        <v>0</v>
      </c>
      <c r="W44" s="52"/>
      <c r="X44" s="52">
        <f t="shared" si="3"/>
        <v>2396.6858100441341</v>
      </c>
      <c r="Y44" s="52">
        <f t="shared" si="1"/>
        <v>3289.0044712026634</v>
      </c>
      <c r="Z44" s="52">
        <f t="shared" si="2"/>
        <v>3898.648587999116</v>
      </c>
      <c r="AA44" s="22"/>
      <c r="AJ44" s="22"/>
      <c r="AK44" s="22"/>
      <c r="AL44" s="22"/>
      <c r="AM44" s="22"/>
      <c r="AN44" s="22"/>
      <c r="AO44" s="22"/>
      <c r="AP44" s="22"/>
    </row>
    <row r="45" spans="1:42" hidden="1" x14ac:dyDescent="0.25">
      <c r="A45" s="16"/>
      <c r="B45" s="3" t="s">
        <v>17</v>
      </c>
      <c r="C45" s="3" t="s">
        <v>59</v>
      </c>
      <c r="D45" s="11" t="s">
        <v>19</v>
      </c>
      <c r="E45" s="107">
        <v>1571.9712381899553</v>
      </c>
      <c r="F45" s="108">
        <v>2289.0961710591746</v>
      </c>
      <c r="G45" s="109">
        <v>2750.9042963699653</v>
      </c>
      <c r="H45" s="4"/>
      <c r="I45" s="47">
        <v>163.01875826923924</v>
      </c>
      <c r="J45" s="4">
        <v>215.41447444231645</v>
      </c>
      <c r="K45" s="46">
        <v>249.42764559546356</v>
      </c>
      <c r="L45" s="4"/>
      <c r="M45" s="47">
        <v>357.80686084146043</v>
      </c>
      <c r="N45" s="4">
        <v>366.00066386398839</v>
      </c>
      <c r="O45" s="4">
        <v>401.58271229910349</v>
      </c>
      <c r="P45" s="52"/>
      <c r="Q45" s="104">
        <v>0.08</v>
      </c>
      <c r="R45" s="104">
        <v>0.05</v>
      </c>
      <c r="S45" s="104">
        <v>0.03</v>
      </c>
      <c r="T45" s="104">
        <v>1.4999999999999999E-2</v>
      </c>
      <c r="U45" s="104">
        <v>0.02</v>
      </c>
      <c r="V45" s="105">
        <f t="shared" si="0"/>
        <v>0</v>
      </c>
      <c r="W45" s="52"/>
      <c r="X45" s="52">
        <f t="shared" si="3"/>
        <v>2092.7968573006551</v>
      </c>
      <c r="Y45" s="52">
        <f t="shared" si="1"/>
        <v>2870.5113093654795</v>
      </c>
      <c r="Z45" s="52">
        <f t="shared" si="2"/>
        <v>3401.9146542645326</v>
      </c>
      <c r="AA45" s="22"/>
      <c r="AJ45" s="22"/>
      <c r="AK45" s="22"/>
      <c r="AL45" s="22"/>
      <c r="AM45" s="22"/>
      <c r="AN45" s="22"/>
      <c r="AO45" s="22"/>
      <c r="AP45" s="22"/>
    </row>
    <row r="46" spans="1:42" hidden="1" x14ac:dyDescent="0.25">
      <c r="A46" s="16"/>
      <c r="B46" s="3" t="s">
        <v>60</v>
      </c>
      <c r="C46" s="3" t="s">
        <v>61</v>
      </c>
      <c r="D46" s="11" t="s">
        <v>243</v>
      </c>
      <c r="E46" s="107">
        <v>1540.22</v>
      </c>
      <c r="F46" s="108">
        <v>2238.0500000000002</v>
      </c>
      <c r="G46" s="109">
        <v>2687.99</v>
      </c>
      <c r="H46" s="4"/>
      <c r="I46" s="47">
        <v>58.859105552531197</v>
      </c>
      <c r="J46" s="4">
        <v>77.776959065058819</v>
      </c>
      <c r="K46" s="46">
        <v>90.057661312667321</v>
      </c>
      <c r="L46" s="4"/>
      <c r="M46" s="47">
        <v>132.19315323320973</v>
      </c>
      <c r="N46" s="4">
        <v>135.22038601452778</v>
      </c>
      <c r="O46" s="4">
        <v>148.36631387648347</v>
      </c>
      <c r="P46" s="52"/>
      <c r="Q46" s="104">
        <v>0.08</v>
      </c>
      <c r="R46" s="104">
        <v>0.05</v>
      </c>
      <c r="S46" s="104">
        <v>0.03</v>
      </c>
      <c r="T46" s="104">
        <v>1.4999999999999999E-2</v>
      </c>
      <c r="U46" s="104">
        <v>0.02</v>
      </c>
      <c r="V46" s="105">
        <f t="shared" si="0"/>
        <v>0</v>
      </c>
      <c r="W46" s="52"/>
      <c r="X46" s="52">
        <f t="shared" si="3"/>
        <v>1731.2722587857411</v>
      </c>
      <c r="Y46" s="52">
        <f t="shared" si="1"/>
        <v>2451.0473450795866</v>
      </c>
      <c r="Z46" s="52">
        <f t="shared" si="2"/>
        <v>2926.4139751891507</v>
      </c>
      <c r="AA46" s="22"/>
      <c r="AJ46" s="22"/>
      <c r="AK46" s="22"/>
      <c r="AL46" s="22"/>
      <c r="AM46" s="22"/>
      <c r="AN46" s="22"/>
      <c r="AO46" s="22"/>
      <c r="AP46" s="22"/>
    </row>
    <row r="47" spans="1:42" hidden="1" x14ac:dyDescent="0.25">
      <c r="A47" s="16"/>
      <c r="B47" s="3" t="s">
        <v>62</v>
      </c>
      <c r="C47" s="3" t="s">
        <v>63</v>
      </c>
      <c r="D47" s="11" t="s">
        <v>243</v>
      </c>
      <c r="E47" s="107">
        <v>1684.14</v>
      </c>
      <c r="F47" s="108">
        <v>1677.7454002983591</v>
      </c>
      <c r="G47" s="109">
        <v>1677.7454002983591</v>
      </c>
      <c r="H47" s="4"/>
      <c r="I47" s="47">
        <v>173.99193954095281</v>
      </c>
      <c r="J47" s="4">
        <v>229.91453628613485</v>
      </c>
      <c r="K47" s="46">
        <v>266.21721508031601</v>
      </c>
      <c r="L47" s="4"/>
      <c r="M47" s="47">
        <v>390.77289586999876</v>
      </c>
      <c r="N47" s="4">
        <v>399.72162348179359</v>
      </c>
      <c r="O47" s="4">
        <v>438.58197421759849</v>
      </c>
      <c r="P47" s="52"/>
      <c r="Q47" s="104">
        <v>0.08</v>
      </c>
      <c r="R47" s="104">
        <v>0.05</v>
      </c>
      <c r="S47" s="104">
        <v>0.03</v>
      </c>
      <c r="T47" s="104">
        <v>1.4999999999999999E-2</v>
      </c>
      <c r="U47" s="104">
        <v>0.02</v>
      </c>
      <c r="V47" s="105">
        <f t="shared" si="0"/>
        <v>0</v>
      </c>
      <c r="W47" s="52"/>
      <c r="X47" s="52">
        <f t="shared" si="3"/>
        <v>2248.9048354109518</v>
      </c>
      <c r="Y47" s="52">
        <f t="shared" si="1"/>
        <v>2307.3815600662874</v>
      </c>
      <c r="Z47" s="52">
        <f t="shared" si="2"/>
        <v>2382.5445895962735</v>
      </c>
      <c r="AA47" s="22"/>
      <c r="AJ47" s="22"/>
      <c r="AK47" s="22"/>
      <c r="AL47" s="22"/>
      <c r="AM47" s="22"/>
      <c r="AN47" s="22"/>
      <c r="AO47" s="22"/>
      <c r="AP47" s="22"/>
    </row>
    <row r="48" spans="1:42" hidden="1" x14ac:dyDescent="0.25">
      <c r="A48" s="16"/>
      <c r="B48" s="3" t="s">
        <v>64</v>
      </c>
      <c r="C48" s="3" t="s">
        <v>65</v>
      </c>
      <c r="D48" s="11" t="s">
        <v>243</v>
      </c>
      <c r="E48" s="107">
        <v>1630.32</v>
      </c>
      <c r="F48" s="108">
        <v>812.01317752362013</v>
      </c>
      <c r="G48" s="109">
        <v>812.01317752362013</v>
      </c>
      <c r="H48" s="4"/>
      <c r="I48" s="47">
        <v>84.210893173602869</v>
      </c>
      <c r="J48" s="4">
        <v>111.27704251893252</v>
      </c>
      <c r="K48" s="46">
        <v>128.84728751946517</v>
      </c>
      <c r="L48" s="4"/>
      <c r="M48" s="47">
        <v>189.13137399392252</v>
      </c>
      <c r="N48" s="4">
        <v>193.46249615363126</v>
      </c>
      <c r="O48" s="4">
        <v>212.27063665218213</v>
      </c>
      <c r="P48" s="52"/>
      <c r="Q48" s="104">
        <v>0.08</v>
      </c>
      <c r="R48" s="104">
        <v>0.05</v>
      </c>
      <c r="S48" s="104">
        <v>0.03</v>
      </c>
      <c r="T48" s="104">
        <v>1.4999999999999999E-2</v>
      </c>
      <c r="U48" s="104">
        <v>0.02</v>
      </c>
      <c r="V48" s="105">
        <f t="shared" si="0"/>
        <v>0</v>
      </c>
      <c r="W48" s="52"/>
      <c r="X48" s="52">
        <f t="shared" si="3"/>
        <v>1903.6622671675254</v>
      </c>
      <c r="Y48" s="52">
        <f t="shared" si="1"/>
        <v>1116.7527161961839</v>
      </c>
      <c r="Z48" s="52">
        <f t="shared" si="2"/>
        <v>1153.1311016952673</v>
      </c>
      <c r="AA48" s="22"/>
      <c r="AJ48" s="22"/>
      <c r="AK48" s="22"/>
      <c r="AL48" s="22"/>
      <c r="AM48" s="22"/>
      <c r="AN48" s="22"/>
      <c r="AO48" s="22"/>
      <c r="AP48" s="22"/>
    </row>
    <row r="49" spans="1:42" hidden="1" x14ac:dyDescent="0.25">
      <c r="A49" s="16"/>
      <c r="B49" s="3" t="s">
        <v>66</v>
      </c>
      <c r="C49" s="3" t="s">
        <v>67</v>
      </c>
      <c r="D49" s="11" t="s">
        <v>243</v>
      </c>
      <c r="E49" s="107">
        <v>1630.32</v>
      </c>
      <c r="F49" s="108">
        <v>812.01317752362013</v>
      </c>
      <c r="G49" s="109">
        <v>812.01317752362013</v>
      </c>
      <c r="H49" s="4"/>
      <c r="I49" s="47">
        <v>84.210893173602869</v>
      </c>
      <c r="J49" s="4">
        <v>111.27704251893252</v>
      </c>
      <c r="K49" s="46">
        <v>128.84728751946517</v>
      </c>
      <c r="L49" s="4"/>
      <c r="M49" s="47">
        <v>189.13137399392252</v>
      </c>
      <c r="N49" s="4">
        <v>193.46249615363126</v>
      </c>
      <c r="O49" s="4">
        <v>212.27063665218213</v>
      </c>
      <c r="P49" s="52"/>
      <c r="Q49" s="104">
        <v>0.08</v>
      </c>
      <c r="R49" s="104">
        <v>0.05</v>
      </c>
      <c r="S49" s="104">
        <v>0.03</v>
      </c>
      <c r="T49" s="104">
        <v>1.4999999999999999E-2</v>
      </c>
      <c r="U49" s="104">
        <v>0.02</v>
      </c>
      <c r="V49" s="105">
        <f t="shared" si="0"/>
        <v>0</v>
      </c>
      <c r="W49" s="52"/>
      <c r="X49" s="52">
        <f t="shared" si="3"/>
        <v>1903.6622671675254</v>
      </c>
      <c r="Y49" s="52">
        <f t="shared" si="1"/>
        <v>1116.7527161961839</v>
      </c>
      <c r="Z49" s="52">
        <f t="shared" si="2"/>
        <v>1153.1311016952673</v>
      </c>
      <c r="AA49" s="22"/>
      <c r="AJ49" s="22"/>
      <c r="AK49" s="22"/>
      <c r="AL49" s="22"/>
      <c r="AM49" s="22"/>
      <c r="AN49" s="22"/>
      <c r="AO49" s="22"/>
      <c r="AP49" s="22"/>
    </row>
    <row r="50" spans="1:42" hidden="1" x14ac:dyDescent="0.25">
      <c r="A50" s="16"/>
      <c r="B50" s="3" t="s">
        <v>68</v>
      </c>
      <c r="C50" s="3" t="s">
        <v>69</v>
      </c>
      <c r="D50" s="11" t="s">
        <v>243</v>
      </c>
      <c r="E50" s="107">
        <v>2018.0347199999999</v>
      </c>
      <c r="F50" s="108">
        <v>2935.8809999999999</v>
      </c>
      <c r="G50" s="109">
        <v>3527.5780800000002</v>
      </c>
      <c r="H50" s="4"/>
      <c r="I50" s="47">
        <v>208.43982081530837</v>
      </c>
      <c r="J50" s="4">
        <v>275.43428087964304</v>
      </c>
      <c r="K50" s="46">
        <v>318.92436371301341</v>
      </c>
      <c r="L50" s="4"/>
      <c r="M50" s="47">
        <v>468.14026333357833</v>
      </c>
      <c r="N50" s="4">
        <v>478.86070926256048</v>
      </c>
      <c r="O50" s="4">
        <v>525.4148459976401</v>
      </c>
      <c r="P50" s="52"/>
      <c r="Q50" s="104">
        <v>0.08</v>
      </c>
      <c r="R50" s="104">
        <v>0.05</v>
      </c>
      <c r="S50" s="104">
        <v>0.03</v>
      </c>
      <c r="T50" s="104">
        <v>1.4999999999999999E-2</v>
      </c>
      <c r="U50" s="104">
        <v>0.02</v>
      </c>
      <c r="V50" s="105">
        <f t="shared" si="0"/>
        <v>0</v>
      </c>
      <c r="W50" s="52"/>
      <c r="X50" s="52">
        <f t="shared" si="3"/>
        <v>2694.6148041488864</v>
      </c>
      <c r="Y50" s="52">
        <f t="shared" si="1"/>
        <v>3690.1759901422038</v>
      </c>
      <c r="Z50" s="52">
        <f t="shared" si="2"/>
        <v>4371.9172897106537</v>
      </c>
      <c r="AA50" s="22"/>
      <c r="AJ50" s="22"/>
      <c r="AK50" s="22"/>
      <c r="AL50" s="22"/>
      <c r="AM50" s="22"/>
      <c r="AN50" s="22"/>
      <c r="AO50" s="22"/>
      <c r="AP50" s="22"/>
    </row>
    <row r="51" spans="1:42" hidden="1" x14ac:dyDescent="0.25">
      <c r="A51" s="16"/>
      <c r="B51" s="3" t="s">
        <v>70</v>
      </c>
      <c r="C51" s="3" t="s">
        <v>71</v>
      </c>
      <c r="D51" s="11" t="s">
        <v>243</v>
      </c>
      <c r="E51" s="107">
        <v>2020.7257199999997</v>
      </c>
      <c r="F51" s="108">
        <v>2939.9713199999997</v>
      </c>
      <c r="G51" s="109">
        <v>3532.4218799999999</v>
      </c>
      <c r="H51" s="4"/>
      <c r="I51" s="47">
        <v>173.21814591491963</v>
      </c>
      <c r="J51" s="4">
        <v>228.89203832916075</v>
      </c>
      <c r="K51" s="46">
        <v>265.03326837156072</v>
      </c>
      <c r="L51" s="4"/>
      <c r="M51" s="47">
        <v>389.03501320228145</v>
      </c>
      <c r="N51" s="4">
        <v>397.9439431751432</v>
      </c>
      <c r="O51" s="4">
        <v>436.63147043542324</v>
      </c>
      <c r="P51" s="52"/>
      <c r="Q51" s="104">
        <v>0.08</v>
      </c>
      <c r="R51" s="104">
        <v>0.05</v>
      </c>
      <c r="S51" s="104">
        <v>0.03</v>
      </c>
      <c r="T51" s="104">
        <v>1.4999999999999999E-2</v>
      </c>
      <c r="U51" s="104">
        <v>0.02</v>
      </c>
      <c r="V51" s="105">
        <f t="shared" si="0"/>
        <v>0</v>
      </c>
      <c r="W51" s="52"/>
      <c r="X51" s="52">
        <f t="shared" si="3"/>
        <v>2582.9788791172004</v>
      </c>
      <c r="Y51" s="52">
        <f t="shared" si="1"/>
        <v>3566.8073015043037</v>
      </c>
      <c r="Z51" s="52">
        <f t="shared" si="2"/>
        <v>4234.086618806984</v>
      </c>
      <c r="AA51" s="22"/>
      <c r="AJ51" s="22"/>
      <c r="AK51" s="22"/>
      <c r="AL51" s="22"/>
      <c r="AM51" s="22"/>
      <c r="AN51" s="22"/>
      <c r="AO51" s="22"/>
      <c r="AP51" s="22"/>
    </row>
    <row r="52" spans="1:42" hidden="1" x14ac:dyDescent="0.25">
      <c r="A52" s="16"/>
      <c r="B52" s="3" t="s">
        <v>72</v>
      </c>
      <c r="C52" s="3" t="s">
        <v>73</v>
      </c>
      <c r="D52" s="11" t="s">
        <v>243</v>
      </c>
      <c r="E52" s="107">
        <v>1073.6013599999999</v>
      </c>
      <c r="F52" s="108">
        <v>1556.4743999999998</v>
      </c>
      <c r="G52" s="109">
        <v>1867.8769199999999</v>
      </c>
      <c r="H52" s="4"/>
      <c r="I52" s="47">
        <v>41.037405990453294</v>
      </c>
      <c r="J52" s="4">
        <v>54.22720267142126</v>
      </c>
      <c r="K52" s="46">
        <v>62.789483039973511</v>
      </c>
      <c r="L52" s="4"/>
      <c r="M52" s="47">
        <v>92.166947619477355</v>
      </c>
      <c r="N52" s="4">
        <v>94.277577393891534</v>
      </c>
      <c r="O52" s="4">
        <v>103.44310537342923</v>
      </c>
      <c r="P52" s="52"/>
      <c r="Q52" s="104">
        <v>0.08</v>
      </c>
      <c r="R52" s="104">
        <v>0.05</v>
      </c>
      <c r="S52" s="104">
        <v>0.03</v>
      </c>
      <c r="T52" s="104">
        <v>1.4999999999999999E-2</v>
      </c>
      <c r="U52" s="104">
        <v>0.02</v>
      </c>
      <c r="V52" s="105">
        <f t="shared" si="0"/>
        <v>0</v>
      </c>
      <c r="W52" s="52"/>
      <c r="X52" s="52">
        <f t="shared" si="3"/>
        <v>1206.8057136099305</v>
      </c>
      <c r="Y52" s="52">
        <f t="shared" si="1"/>
        <v>1704.9791800653127</v>
      </c>
      <c r="Z52" s="52">
        <f t="shared" si="2"/>
        <v>2034.1095084134026</v>
      </c>
      <c r="AA52" s="22"/>
      <c r="AJ52" s="22"/>
      <c r="AK52" s="22"/>
      <c r="AL52" s="22"/>
      <c r="AM52" s="22"/>
      <c r="AN52" s="22"/>
      <c r="AO52" s="22"/>
      <c r="AP52" s="22"/>
    </row>
    <row r="53" spans="1:42" hidden="1" x14ac:dyDescent="0.25">
      <c r="A53" s="16"/>
      <c r="B53" s="3" t="s">
        <v>74</v>
      </c>
      <c r="C53" s="3" t="s">
        <v>75</v>
      </c>
      <c r="D53" s="11" t="s">
        <v>243</v>
      </c>
      <c r="E53" s="107">
        <v>2028.1528799999996</v>
      </c>
      <c r="F53" s="108">
        <v>2950.7353199999998</v>
      </c>
      <c r="G53" s="109">
        <v>3545.4463199999996</v>
      </c>
      <c r="H53" s="4"/>
      <c r="I53" s="47">
        <v>104.73339146359079</v>
      </c>
      <c r="J53" s="4">
        <v>138.39565899176623</v>
      </c>
      <c r="K53" s="46">
        <v>160.24783604869856</v>
      </c>
      <c r="L53" s="4"/>
      <c r="M53" s="47">
        <v>235.22337175211794</v>
      </c>
      <c r="N53" s="4">
        <v>240.61000399807068</v>
      </c>
      <c r="O53" s="4">
        <v>264.0017561491382</v>
      </c>
      <c r="P53" s="52"/>
      <c r="Q53" s="104">
        <v>0.08</v>
      </c>
      <c r="R53" s="104">
        <v>0.05</v>
      </c>
      <c r="S53" s="104">
        <v>0.03</v>
      </c>
      <c r="T53" s="104">
        <v>1.4999999999999999E-2</v>
      </c>
      <c r="U53" s="104">
        <v>0.02</v>
      </c>
      <c r="V53" s="105">
        <f t="shared" si="0"/>
        <v>0</v>
      </c>
      <c r="W53" s="52"/>
      <c r="X53" s="52">
        <f t="shared" si="3"/>
        <v>2368.1096432157083</v>
      </c>
      <c r="Y53" s="52">
        <f t="shared" si="1"/>
        <v>3329.7409829898365</v>
      </c>
      <c r="Z53" s="52">
        <f t="shared" si="2"/>
        <v>3969.6959121978362</v>
      </c>
      <c r="AA53" s="22"/>
      <c r="AJ53" s="22"/>
      <c r="AK53" s="22"/>
      <c r="AL53" s="22"/>
      <c r="AM53" s="22"/>
      <c r="AN53" s="22"/>
      <c r="AO53" s="22"/>
      <c r="AP53" s="22"/>
    </row>
    <row r="54" spans="1:42" hidden="1" x14ac:dyDescent="0.25">
      <c r="A54" s="16"/>
      <c r="B54" s="3" t="s">
        <v>76</v>
      </c>
      <c r="C54" s="3" t="s">
        <v>77</v>
      </c>
      <c r="D54" s="11" t="s">
        <v>243</v>
      </c>
      <c r="E54" s="107">
        <v>1693.1772000000001</v>
      </c>
      <c r="F54" s="108">
        <v>2461.51152</v>
      </c>
      <c r="G54" s="109">
        <v>2956.76316</v>
      </c>
      <c r="H54" s="4"/>
      <c r="I54" s="47">
        <v>97.910567745991443</v>
      </c>
      <c r="J54" s="4">
        <v>129.37991748481741</v>
      </c>
      <c r="K54" s="46">
        <v>149.80854136714402</v>
      </c>
      <c r="L54" s="4"/>
      <c r="M54" s="47">
        <v>219.89981947049475</v>
      </c>
      <c r="N54" s="4">
        <v>224.93554125960003</v>
      </c>
      <c r="O54" s="4">
        <v>246.80344510267122</v>
      </c>
      <c r="P54" s="52"/>
      <c r="Q54" s="104">
        <v>0.08</v>
      </c>
      <c r="R54" s="104">
        <v>0.05</v>
      </c>
      <c r="S54" s="104">
        <v>0.03</v>
      </c>
      <c r="T54" s="104">
        <v>1.4999999999999999E-2</v>
      </c>
      <c r="U54" s="104">
        <v>0.02</v>
      </c>
      <c r="V54" s="105">
        <f t="shared" si="0"/>
        <v>0</v>
      </c>
      <c r="W54" s="52"/>
      <c r="X54" s="52">
        <f t="shared" si="3"/>
        <v>2010.9875872164864</v>
      </c>
      <c r="Y54" s="52">
        <f t="shared" si="1"/>
        <v>2815.8269787444174</v>
      </c>
      <c r="Z54" s="52">
        <f t="shared" si="2"/>
        <v>3353.3751464698148</v>
      </c>
      <c r="AA54" s="22"/>
      <c r="AJ54" s="22"/>
      <c r="AK54" s="22"/>
      <c r="AL54" s="22"/>
      <c r="AM54" s="22"/>
      <c r="AN54" s="22"/>
      <c r="AO54" s="22"/>
      <c r="AP54" s="22"/>
    </row>
    <row r="55" spans="1:42" hidden="1" x14ac:dyDescent="0.25">
      <c r="A55" s="16"/>
      <c r="B55" s="3" t="s">
        <v>78</v>
      </c>
      <c r="C55" s="3" t="s">
        <v>79</v>
      </c>
      <c r="D55" s="11" t="s">
        <v>243</v>
      </c>
      <c r="E55" s="107">
        <v>1777.4593199999999</v>
      </c>
      <c r="F55" s="108">
        <v>2584.5440399999998</v>
      </c>
      <c r="G55" s="109">
        <v>3104.8757999999998</v>
      </c>
      <c r="H55" s="4"/>
      <c r="I55" s="47">
        <v>27.53877041409557</v>
      </c>
      <c r="J55" s="4">
        <v>36.389982469026044</v>
      </c>
      <c r="K55" s="46">
        <v>42.135829887976747</v>
      </c>
      <c r="L55" s="4"/>
      <c r="M55" s="47">
        <v>61.850020706747948</v>
      </c>
      <c r="N55" s="4">
        <v>63.266390659572643</v>
      </c>
      <c r="O55" s="4">
        <v>69.417056488966836</v>
      </c>
      <c r="P55" s="52"/>
      <c r="Q55" s="104">
        <v>0.08</v>
      </c>
      <c r="R55" s="104">
        <v>0.05</v>
      </c>
      <c r="S55" s="104">
        <v>0.03</v>
      </c>
      <c r="T55" s="104">
        <v>1.4999999999999999E-2</v>
      </c>
      <c r="U55" s="104">
        <v>0.02</v>
      </c>
      <c r="V55" s="105">
        <f t="shared" si="0"/>
        <v>0</v>
      </c>
      <c r="W55" s="52"/>
      <c r="X55" s="52">
        <f t="shared" si="3"/>
        <v>1866.8481111208434</v>
      </c>
      <c r="Y55" s="52">
        <f t="shared" si="1"/>
        <v>2684.2004131285985</v>
      </c>
      <c r="Z55" s="52">
        <f t="shared" si="2"/>
        <v>3216.4286863769435</v>
      </c>
      <c r="AA55" s="22"/>
      <c r="AJ55" s="22"/>
      <c r="AK55" s="22"/>
      <c r="AL55" s="22"/>
      <c r="AM55" s="22"/>
      <c r="AN55" s="22"/>
      <c r="AO55" s="22"/>
      <c r="AP55" s="22"/>
    </row>
    <row r="56" spans="1:42" hidden="1" x14ac:dyDescent="0.25">
      <c r="A56" s="16"/>
      <c r="B56" s="3" t="s">
        <v>80</v>
      </c>
      <c r="C56" s="3" t="s">
        <v>81</v>
      </c>
      <c r="D56" s="11" t="s">
        <v>243</v>
      </c>
      <c r="E56" s="107">
        <v>1844.7343199999998</v>
      </c>
      <c r="F56" s="108">
        <v>2682.81936</v>
      </c>
      <c r="G56" s="109">
        <v>3223.0645199999999</v>
      </c>
      <c r="H56" s="4"/>
      <c r="I56" s="47">
        <v>190.52379701578127</v>
      </c>
      <c r="J56" s="4">
        <v>251.75988357809391</v>
      </c>
      <c r="K56" s="46">
        <v>291.51186418110177</v>
      </c>
      <c r="L56" s="4"/>
      <c r="M56" s="47">
        <v>427.9022125302584</v>
      </c>
      <c r="N56" s="4">
        <v>437.70120418215515</v>
      </c>
      <c r="O56" s="4">
        <v>480.25387412240781</v>
      </c>
      <c r="P56" s="52"/>
      <c r="Q56" s="104">
        <v>0.08</v>
      </c>
      <c r="R56" s="104">
        <v>0.05</v>
      </c>
      <c r="S56" s="104">
        <v>0.03</v>
      </c>
      <c r="T56" s="104">
        <v>1.4999999999999999E-2</v>
      </c>
      <c r="U56" s="104">
        <v>0.02</v>
      </c>
      <c r="V56" s="105">
        <f t="shared" si="0"/>
        <v>0</v>
      </c>
      <c r="W56" s="52"/>
      <c r="X56" s="52">
        <f t="shared" si="3"/>
        <v>2463.1603295460395</v>
      </c>
      <c r="Y56" s="52">
        <f t="shared" si="1"/>
        <v>3372.2804477602494</v>
      </c>
      <c r="Z56" s="52">
        <f t="shared" si="2"/>
        <v>3994.8302583035097</v>
      </c>
      <c r="AA56" s="22"/>
      <c r="AJ56" s="22"/>
      <c r="AK56" s="22"/>
      <c r="AL56" s="22"/>
      <c r="AM56" s="22"/>
      <c r="AN56" s="22"/>
      <c r="AO56" s="22"/>
      <c r="AP56" s="22"/>
    </row>
    <row r="57" spans="1:42" hidden="1" x14ac:dyDescent="0.25">
      <c r="A57" s="16"/>
      <c r="B57" s="3" t="s">
        <v>82</v>
      </c>
      <c r="C57" s="3" t="s">
        <v>83</v>
      </c>
      <c r="D57" s="11" t="s">
        <v>243</v>
      </c>
      <c r="E57" s="107">
        <v>1455.18516</v>
      </c>
      <c r="F57" s="108">
        <v>2113.9419599999997</v>
      </c>
      <c r="G57" s="109">
        <v>2538.58176</v>
      </c>
      <c r="H57" s="4"/>
      <c r="I57" s="47">
        <v>185.12630493712987</v>
      </c>
      <c r="J57" s="4">
        <v>244.62758830254677</v>
      </c>
      <c r="K57" s="46">
        <v>283.25340512036792</v>
      </c>
      <c r="L57" s="4"/>
      <c r="M57" s="47">
        <v>415.77984861170717</v>
      </c>
      <c r="N57" s="4">
        <v>425.30123725207301</v>
      </c>
      <c r="O57" s="4">
        <v>466.64840057044705</v>
      </c>
      <c r="P57" s="52"/>
      <c r="Q57" s="104">
        <v>0.08</v>
      </c>
      <c r="R57" s="104">
        <v>0.05</v>
      </c>
      <c r="S57" s="104">
        <v>0.03</v>
      </c>
      <c r="T57" s="104">
        <v>1.4999999999999999E-2</v>
      </c>
      <c r="U57" s="104">
        <v>0.02</v>
      </c>
      <c r="V57" s="105">
        <f t="shared" si="0"/>
        <v>0</v>
      </c>
      <c r="W57" s="52"/>
      <c r="X57" s="52">
        <f t="shared" si="3"/>
        <v>2056.0913135488372</v>
      </c>
      <c r="Y57" s="52">
        <f t="shared" si="1"/>
        <v>2783.8707855546195</v>
      </c>
      <c r="Z57" s="52">
        <f t="shared" si="2"/>
        <v>3288.4835656908149</v>
      </c>
      <c r="AA57" s="22"/>
      <c r="AJ57" s="22"/>
      <c r="AK57" s="22"/>
      <c r="AL57" s="22"/>
      <c r="AM57" s="22"/>
      <c r="AN57" s="22"/>
      <c r="AO57" s="22"/>
      <c r="AP57" s="22"/>
    </row>
    <row r="58" spans="1:42" hidden="1" x14ac:dyDescent="0.25">
      <c r="A58" s="16"/>
      <c r="B58" s="3" t="s">
        <v>82</v>
      </c>
      <c r="C58" s="3" t="s">
        <v>84</v>
      </c>
      <c r="D58" s="11" t="s">
        <v>243</v>
      </c>
      <c r="E58" s="107">
        <v>1785.1517818146938</v>
      </c>
      <c r="F58" s="108">
        <v>2432.3803920661853</v>
      </c>
      <c r="G58" s="109">
        <v>3420.6233810476879</v>
      </c>
      <c r="H58" s="4"/>
      <c r="I58" s="47">
        <v>185.12630493712987</v>
      </c>
      <c r="J58" s="4">
        <v>244.62758830254677</v>
      </c>
      <c r="K58" s="46">
        <v>283.25340512036792</v>
      </c>
      <c r="L58" s="4"/>
      <c r="M58" s="47">
        <v>415.77984861170717</v>
      </c>
      <c r="N58" s="4">
        <v>425.30123725207301</v>
      </c>
      <c r="O58" s="4">
        <v>466.64840057044705</v>
      </c>
      <c r="P58" s="52"/>
      <c r="Q58" s="104">
        <v>0.08</v>
      </c>
      <c r="R58" s="104">
        <v>0.05</v>
      </c>
      <c r="S58" s="104">
        <v>0.03</v>
      </c>
      <c r="T58" s="104">
        <v>1.4999999999999999E-2</v>
      </c>
      <c r="U58" s="104">
        <v>0.02</v>
      </c>
      <c r="V58" s="105">
        <f>SUBTOTAL(9,Q58:U58)</f>
        <v>0</v>
      </c>
      <c r="W58" s="52"/>
      <c r="X58" s="52">
        <f t="shared" si="3"/>
        <v>2386.0579353635308</v>
      </c>
      <c r="Y58" s="52">
        <f t="shared" si="1"/>
        <v>3102.3092176208052</v>
      </c>
      <c r="Z58" s="52">
        <f t="shared" si="2"/>
        <v>4170.5251867385032</v>
      </c>
      <c r="AA58" s="22"/>
      <c r="AJ58" s="22"/>
      <c r="AK58" s="22"/>
      <c r="AL58" s="22"/>
      <c r="AM58" s="22"/>
      <c r="AN58" s="22"/>
      <c r="AO58" s="22"/>
      <c r="AP58" s="22"/>
    </row>
    <row r="59" spans="1:42" hidden="1" x14ac:dyDescent="0.25">
      <c r="A59" s="16"/>
      <c r="B59" s="3" t="s">
        <v>85</v>
      </c>
      <c r="C59" s="3" t="s">
        <v>86</v>
      </c>
      <c r="D59" s="11" t="s">
        <v>243</v>
      </c>
      <c r="E59" s="107">
        <v>1069.0142416708104</v>
      </c>
      <c r="F59" s="108">
        <v>1456.5984286424664</v>
      </c>
      <c r="G59" s="109">
        <v>2048.3945101939335</v>
      </c>
      <c r="H59" s="4"/>
      <c r="I59" s="47">
        <v>110.86040890288187</v>
      </c>
      <c r="J59" s="4">
        <v>146.49195573452482</v>
      </c>
      <c r="K59" s="46">
        <v>169.62250894297179</v>
      </c>
      <c r="L59" s="4"/>
      <c r="M59" s="47">
        <v>234.72419121951214</v>
      </c>
      <c r="N59" s="4">
        <v>240.09939219512191</v>
      </c>
      <c r="O59" s="4">
        <v>263.4415034146341</v>
      </c>
      <c r="P59" s="52"/>
      <c r="Q59" s="104">
        <v>0.08</v>
      </c>
      <c r="R59" s="104">
        <v>0.05</v>
      </c>
      <c r="S59" s="104">
        <v>0.03</v>
      </c>
      <c r="T59" s="104">
        <v>1.4999999999999999E-2</v>
      </c>
      <c r="U59" s="104">
        <v>0.02</v>
      </c>
      <c r="V59" s="105">
        <f t="shared" ref="V59:V69" si="4">SUBTOTAL(9,Q59:U59)</f>
        <v>0</v>
      </c>
      <c r="W59" s="52"/>
      <c r="X59" s="52">
        <f t="shared" si="3"/>
        <v>1414.5988417932044</v>
      </c>
      <c r="Y59" s="52">
        <f t="shared" si="1"/>
        <v>1843.189776572113</v>
      </c>
      <c r="Z59" s="52">
        <f t="shared" si="2"/>
        <v>2481.4585225515393</v>
      </c>
      <c r="AA59" s="22"/>
      <c r="AJ59" s="22"/>
      <c r="AK59" s="22"/>
      <c r="AL59" s="22"/>
      <c r="AM59" s="22"/>
      <c r="AN59" s="22"/>
      <c r="AO59" s="22"/>
      <c r="AP59" s="22"/>
    </row>
    <row r="60" spans="1:42" hidden="1" x14ac:dyDescent="0.25">
      <c r="A60" s="16"/>
      <c r="B60" s="3" t="s">
        <v>85</v>
      </c>
      <c r="C60" s="3" t="s">
        <v>87</v>
      </c>
      <c r="D60" s="11" t="s">
        <v>243</v>
      </c>
      <c r="E60" s="107">
        <v>1069.0142416708104</v>
      </c>
      <c r="F60" s="108">
        <v>1456.5984286424664</v>
      </c>
      <c r="G60" s="109">
        <v>2048.3945101939335</v>
      </c>
      <c r="H60" s="4"/>
      <c r="I60" s="47">
        <v>110.86040890288187</v>
      </c>
      <c r="J60" s="4">
        <v>146.49195573452482</v>
      </c>
      <c r="K60" s="46">
        <v>169.62250894297179</v>
      </c>
      <c r="L60" s="4"/>
      <c r="M60" s="47">
        <v>234.72419121951214</v>
      </c>
      <c r="N60" s="4">
        <v>240.09939219512191</v>
      </c>
      <c r="O60" s="4">
        <v>263.4415034146341</v>
      </c>
      <c r="P60" s="52"/>
      <c r="Q60" s="104">
        <v>0.08</v>
      </c>
      <c r="R60" s="104">
        <v>0.05</v>
      </c>
      <c r="S60" s="104">
        <v>0.03</v>
      </c>
      <c r="T60" s="104">
        <v>1.4999999999999999E-2</v>
      </c>
      <c r="U60" s="104">
        <v>0.02</v>
      </c>
      <c r="V60" s="105">
        <f t="shared" si="4"/>
        <v>0</v>
      </c>
      <c r="W60" s="52"/>
      <c r="X60" s="52">
        <f t="shared" si="3"/>
        <v>1414.5988417932044</v>
      </c>
      <c r="Y60" s="52">
        <f t="shared" si="1"/>
        <v>1843.189776572113</v>
      </c>
      <c r="Z60" s="52">
        <f t="shared" si="2"/>
        <v>2481.4585225515393</v>
      </c>
      <c r="AA60" s="22"/>
      <c r="AJ60" s="22"/>
      <c r="AK60" s="22"/>
      <c r="AL60" s="22"/>
      <c r="AM60" s="22"/>
      <c r="AN60" s="22"/>
      <c r="AO60" s="22"/>
      <c r="AP60" s="22"/>
    </row>
    <row r="61" spans="1:42" s="34" customFormat="1" hidden="1" x14ac:dyDescent="0.25">
      <c r="A61" s="35"/>
      <c r="B61" s="3" t="s">
        <v>85</v>
      </c>
      <c r="C61" s="3" t="s">
        <v>88</v>
      </c>
      <c r="D61" s="11" t="s">
        <v>243</v>
      </c>
      <c r="E61" s="107">
        <v>1069.0142416708104</v>
      </c>
      <c r="F61" s="108">
        <v>1456.5984286424664</v>
      </c>
      <c r="G61" s="109">
        <v>2048.3945101939335</v>
      </c>
      <c r="H61" s="4"/>
      <c r="I61" s="47">
        <v>132.00672703498213</v>
      </c>
      <c r="J61" s="4">
        <v>174.43489343800721</v>
      </c>
      <c r="K61" s="46">
        <v>201.97753606194411</v>
      </c>
      <c r="L61" s="4"/>
      <c r="M61" s="47">
        <v>234.72419121951214</v>
      </c>
      <c r="N61" s="4">
        <v>240.09939219512191</v>
      </c>
      <c r="O61" s="4">
        <v>263.4415034146341</v>
      </c>
      <c r="P61" s="52"/>
      <c r="Q61" s="104">
        <v>0.08</v>
      </c>
      <c r="R61" s="104">
        <v>0.05</v>
      </c>
      <c r="S61" s="104">
        <v>0.03</v>
      </c>
      <c r="T61" s="104">
        <v>1.4999999999999999E-2</v>
      </c>
      <c r="U61" s="104">
        <v>0.02</v>
      </c>
      <c r="V61" s="105">
        <f t="shared" si="4"/>
        <v>0</v>
      </c>
      <c r="W61" s="52"/>
      <c r="X61" s="52">
        <f t="shared" si="3"/>
        <v>1435.7451599253045</v>
      </c>
      <c r="Y61" s="52">
        <f t="shared" si="1"/>
        <v>1871.1327142755956</v>
      </c>
      <c r="Z61" s="52">
        <f t="shared" si="2"/>
        <v>2513.8135496705117</v>
      </c>
      <c r="AA61" s="33"/>
      <c r="AJ61" s="33"/>
      <c r="AK61" s="33"/>
      <c r="AL61" s="33"/>
      <c r="AM61" s="33"/>
      <c r="AN61" s="33"/>
      <c r="AO61" s="33"/>
      <c r="AP61" s="33"/>
    </row>
    <row r="62" spans="1:42" hidden="1" x14ac:dyDescent="0.25">
      <c r="A62" s="16"/>
      <c r="B62" s="3" t="s">
        <v>89</v>
      </c>
      <c r="C62" s="3" t="s">
        <v>90</v>
      </c>
      <c r="D62" s="11" t="s">
        <v>243</v>
      </c>
      <c r="E62" s="107">
        <v>1080.9208799999999</v>
      </c>
      <c r="F62" s="108">
        <v>1567.3460400000001</v>
      </c>
      <c r="G62" s="109">
        <v>1880.7937199999997</v>
      </c>
      <c r="H62" s="4"/>
      <c r="I62" s="47">
        <v>132.00672703498213</v>
      </c>
      <c r="J62" s="4">
        <v>174.43489343800721</v>
      </c>
      <c r="K62" s="46">
        <v>201.97753606194411</v>
      </c>
      <c r="L62" s="4"/>
      <c r="M62" s="47">
        <v>281.65338335318052</v>
      </c>
      <c r="N62" s="4">
        <v>288.10326622685488</v>
      </c>
      <c r="O62" s="4">
        <v>316.11224376523535</v>
      </c>
      <c r="P62" s="52"/>
      <c r="Q62" s="104">
        <v>0.08</v>
      </c>
      <c r="R62" s="104">
        <v>0.05</v>
      </c>
      <c r="S62" s="104">
        <v>0.03</v>
      </c>
      <c r="T62" s="104">
        <v>1.4999999999999999E-2</v>
      </c>
      <c r="U62" s="104">
        <v>0.02</v>
      </c>
      <c r="V62" s="105">
        <f t="shared" si="4"/>
        <v>0</v>
      </c>
      <c r="W62" s="52"/>
      <c r="X62" s="52">
        <f t="shared" si="3"/>
        <v>1494.5809903881625</v>
      </c>
      <c r="Y62" s="52">
        <f t="shared" si="1"/>
        <v>2029.8841996648623</v>
      </c>
      <c r="Z62" s="52">
        <f t="shared" si="2"/>
        <v>2398.8834998271791</v>
      </c>
      <c r="AA62" s="22"/>
      <c r="AJ62" s="22"/>
      <c r="AK62" s="22"/>
      <c r="AL62" s="22"/>
      <c r="AM62" s="22"/>
      <c r="AN62" s="22"/>
      <c r="AO62" s="22"/>
      <c r="AP62" s="22"/>
    </row>
    <row r="63" spans="1:42" hidden="1" x14ac:dyDescent="0.25">
      <c r="A63" s="16"/>
      <c r="B63" s="3" t="s">
        <v>91</v>
      </c>
      <c r="C63" s="3" t="s">
        <v>92</v>
      </c>
      <c r="D63" s="11" t="s">
        <v>243</v>
      </c>
      <c r="E63" s="107">
        <v>954.87443999999982</v>
      </c>
      <c r="F63" s="108">
        <v>1383.06636</v>
      </c>
      <c r="G63" s="109">
        <v>1659.1629599999997</v>
      </c>
      <c r="H63" s="4"/>
      <c r="I63" s="47">
        <v>132.00672703498213</v>
      </c>
      <c r="J63" s="4">
        <v>174.43489343800721</v>
      </c>
      <c r="K63" s="46">
        <v>201.97753606194411</v>
      </c>
      <c r="L63" s="4"/>
      <c r="M63" s="47">
        <v>259.76609999999994</v>
      </c>
      <c r="N63" s="4">
        <v>265.71476249999995</v>
      </c>
      <c r="O63" s="4">
        <v>291.54716250000001</v>
      </c>
      <c r="P63" s="52"/>
      <c r="Q63" s="104">
        <v>0.08</v>
      </c>
      <c r="R63" s="104">
        <v>0.05</v>
      </c>
      <c r="S63" s="104">
        <v>0.03</v>
      </c>
      <c r="T63" s="104">
        <v>1.4999999999999999E-2</v>
      </c>
      <c r="U63" s="104">
        <v>0.02</v>
      </c>
      <c r="V63" s="105">
        <f t="shared" si="4"/>
        <v>0</v>
      </c>
      <c r="W63" s="52"/>
      <c r="X63" s="52">
        <f t="shared" si="3"/>
        <v>1346.6472670349817</v>
      </c>
      <c r="Y63" s="52">
        <f t="shared" si="1"/>
        <v>1823.2160159380073</v>
      </c>
      <c r="Z63" s="52">
        <f t="shared" si="2"/>
        <v>2152.6876585619439</v>
      </c>
      <c r="AA63" s="22"/>
      <c r="AJ63" s="22"/>
      <c r="AK63" s="22"/>
      <c r="AL63" s="22"/>
      <c r="AM63" s="22"/>
      <c r="AN63" s="22"/>
      <c r="AO63" s="22"/>
      <c r="AP63" s="22"/>
    </row>
    <row r="64" spans="1:42" hidden="1" x14ac:dyDescent="0.25">
      <c r="A64" s="16"/>
      <c r="B64" s="3" t="s">
        <v>93</v>
      </c>
      <c r="C64" s="3" t="s">
        <v>53</v>
      </c>
      <c r="D64" s="11" t="s">
        <v>243</v>
      </c>
      <c r="E64" s="107">
        <v>900.19331999999986</v>
      </c>
      <c r="F64" s="108">
        <v>1303.30512</v>
      </c>
      <c r="G64" s="109">
        <v>1563.2557199999999</v>
      </c>
      <c r="H64" s="4"/>
      <c r="I64" s="47">
        <v>159.59130036758683</v>
      </c>
      <c r="J64" s="4">
        <v>210.88540030142397</v>
      </c>
      <c r="K64" s="46">
        <v>244.18344692861578</v>
      </c>
      <c r="L64" s="4"/>
      <c r="M64" s="47">
        <v>299.29031999999995</v>
      </c>
      <c r="N64" s="4">
        <v>306.14409000000001</v>
      </c>
      <c r="O64" s="4">
        <v>335.90697</v>
      </c>
      <c r="P64" s="52"/>
      <c r="Q64" s="104">
        <v>0.08</v>
      </c>
      <c r="R64" s="104">
        <v>0.05</v>
      </c>
      <c r="S64" s="104">
        <v>0.03</v>
      </c>
      <c r="T64" s="104">
        <v>1.4999999999999999E-2</v>
      </c>
      <c r="U64" s="104">
        <v>0.02</v>
      </c>
      <c r="V64" s="105">
        <f t="shared" si="4"/>
        <v>0</v>
      </c>
      <c r="W64" s="52"/>
      <c r="X64" s="52">
        <f t="shared" si="3"/>
        <v>1359.0749403675868</v>
      </c>
      <c r="Y64" s="52">
        <f t="shared" si="1"/>
        <v>1820.3346103014239</v>
      </c>
      <c r="Z64" s="52">
        <f t="shared" si="2"/>
        <v>2143.3461369286156</v>
      </c>
      <c r="AA64" s="22"/>
      <c r="AJ64" s="22"/>
      <c r="AK64" s="22"/>
      <c r="AL64" s="22"/>
      <c r="AM64" s="22"/>
      <c r="AN64" s="22"/>
      <c r="AO64" s="22"/>
      <c r="AP64" s="22"/>
    </row>
    <row r="65" spans="1:42" hidden="1" x14ac:dyDescent="0.25">
      <c r="A65" s="16"/>
      <c r="B65" s="3" t="s">
        <v>94</v>
      </c>
      <c r="C65" s="3" t="s">
        <v>95</v>
      </c>
      <c r="D65" s="11" t="s">
        <v>243</v>
      </c>
      <c r="E65" s="107">
        <v>1115.0524853607656</v>
      </c>
      <c r="F65" s="108">
        <v>1519.3284006131278</v>
      </c>
      <c r="G65" s="109">
        <v>2136.610814483839</v>
      </c>
      <c r="H65" s="4"/>
      <c r="I65" s="47">
        <v>115.63473119129402</v>
      </c>
      <c r="J65" s="4">
        <v>152.80078876389902</v>
      </c>
      <c r="K65" s="46">
        <v>176.92748402900335</v>
      </c>
      <c r="L65" s="4"/>
      <c r="M65" s="47">
        <v>246.72161794097559</v>
      </c>
      <c r="N65" s="4">
        <v>252.37156085725607</v>
      </c>
      <c r="O65" s="4">
        <v>276.90675433823168</v>
      </c>
      <c r="P65" s="52"/>
      <c r="Q65" s="104">
        <v>0.08</v>
      </c>
      <c r="R65" s="104">
        <v>0.05</v>
      </c>
      <c r="S65" s="104">
        <v>0.03</v>
      </c>
      <c r="T65" s="104">
        <v>1.4999999999999999E-2</v>
      </c>
      <c r="U65" s="104">
        <v>0.02</v>
      </c>
      <c r="V65" s="105">
        <f t="shared" si="4"/>
        <v>0</v>
      </c>
      <c r="W65" s="52"/>
      <c r="X65" s="52">
        <f t="shared" si="3"/>
        <v>1477.4088344930353</v>
      </c>
      <c r="Y65" s="52">
        <f t="shared" si="1"/>
        <v>1924.5007502342828</v>
      </c>
      <c r="Z65" s="52">
        <f t="shared" si="2"/>
        <v>2590.4450528510738</v>
      </c>
      <c r="AA65" s="22"/>
      <c r="AJ65" s="22"/>
      <c r="AK65" s="22"/>
      <c r="AL65" s="22"/>
      <c r="AM65" s="22"/>
      <c r="AN65" s="22"/>
      <c r="AO65" s="22"/>
      <c r="AP65" s="22"/>
    </row>
    <row r="66" spans="1:42" hidden="1" x14ac:dyDescent="0.25">
      <c r="A66" s="16"/>
      <c r="B66" s="3" t="s">
        <v>94</v>
      </c>
      <c r="C66" s="3" t="s">
        <v>96</v>
      </c>
      <c r="D66" s="11" t="s">
        <v>243</v>
      </c>
      <c r="E66" s="107">
        <v>1115.0524853607656</v>
      </c>
      <c r="F66" s="108">
        <v>1519.3284006131278</v>
      </c>
      <c r="G66" s="109">
        <v>2136.610814483839</v>
      </c>
      <c r="H66" s="4"/>
      <c r="I66" s="47">
        <v>115.63473119129402</v>
      </c>
      <c r="J66" s="4">
        <v>152.80078876389902</v>
      </c>
      <c r="K66" s="46">
        <v>176.92748402900335</v>
      </c>
      <c r="L66" s="4"/>
      <c r="M66" s="47">
        <v>246.72161794097559</v>
      </c>
      <c r="N66" s="4">
        <v>252.37156085725607</v>
      </c>
      <c r="O66" s="4">
        <v>276.90675433823168</v>
      </c>
      <c r="P66" s="52"/>
      <c r="Q66" s="104">
        <v>0.08</v>
      </c>
      <c r="R66" s="104">
        <v>0.05</v>
      </c>
      <c r="S66" s="104">
        <v>0.03</v>
      </c>
      <c r="T66" s="104">
        <v>1.4999999999999999E-2</v>
      </c>
      <c r="U66" s="104">
        <v>0.02</v>
      </c>
      <c r="V66" s="105">
        <f t="shared" si="4"/>
        <v>0</v>
      </c>
      <c r="W66" s="52"/>
      <c r="X66" s="52">
        <f t="shared" si="3"/>
        <v>1477.4088344930353</v>
      </c>
      <c r="Y66" s="52">
        <f t="shared" si="1"/>
        <v>1924.5007502342828</v>
      </c>
      <c r="Z66" s="52">
        <f t="shared" si="2"/>
        <v>2590.4450528510738</v>
      </c>
      <c r="AA66" s="22"/>
      <c r="AJ66" s="22"/>
      <c r="AK66" s="22"/>
      <c r="AL66" s="22"/>
      <c r="AM66" s="22"/>
      <c r="AN66" s="22"/>
      <c r="AO66" s="22"/>
      <c r="AP66" s="22"/>
    </row>
    <row r="67" spans="1:42" hidden="1" x14ac:dyDescent="0.25">
      <c r="A67" s="16"/>
      <c r="B67" s="3" t="s">
        <v>94</v>
      </c>
      <c r="C67" s="3" t="s">
        <v>97</v>
      </c>
      <c r="D67" s="11" t="s">
        <v>243</v>
      </c>
      <c r="E67" s="107">
        <v>1115.0524853607656</v>
      </c>
      <c r="F67" s="108">
        <v>1519.3284006131278</v>
      </c>
      <c r="G67" s="109">
        <v>2136.610814483839</v>
      </c>
      <c r="H67" s="4"/>
      <c r="I67" s="47">
        <v>115.63473119129402</v>
      </c>
      <c r="J67" s="4">
        <v>152.80078876389902</v>
      </c>
      <c r="K67" s="46">
        <v>176.92748402900335</v>
      </c>
      <c r="L67" s="4"/>
      <c r="M67" s="47">
        <v>246.72161794097559</v>
      </c>
      <c r="N67" s="4">
        <v>252.37156085725607</v>
      </c>
      <c r="O67" s="4">
        <v>276.90675433823168</v>
      </c>
      <c r="P67" s="52"/>
      <c r="Q67" s="104">
        <v>0.08</v>
      </c>
      <c r="R67" s="104">
        <v>0.05</v>
      </c>
      <c r="S67" s="104">
        <v>0.03</v>
      </c>
      <c r="T67" s="104">
        <v>1.4999999999999999E-2</v>
      </c>
      <c r="U67" s="104">
        <v>0.02</v>
      </c>
      <c r="V67" s="105">
        <f t="shared" si="4"/>
        <v>0</v>
      </c>
      <c r="W67" s="52"/>
      <c r="X67" s="52">
        <f t="shared" si="3"/>
        <v>1477.4088344930353</v>
      </c>
      <c r="Y67" s="52">
        <f t="shared" si="1"/>
        <v>1924.5007502342828</v>
      </c>
      <c r="Z67" s="52">
        <f t="shared" si="2"/>
        <v>2590.4450528510738</v>
      </c>
      <c r="AA67" s="22"/>
      <c r="AJ67" s="22"/>
      <c r="AK67" s="22"/>
      <c r="AL67" s="22"/>
      <c r="AM67" s="22"/>
      <c r="AN67" s="22"/>
      <c r="AO67" s="22"/>
      <c r="AP67" s="22"/>
    </row>
    <row r="68" spans="1:42" hidden="1" x14ac:dyDescent="0.25">
      <c r="A68" s="16"/>
      <c r="B68" s="3" t="s">
        <v>94</v>
      </c>
      <c r="C68" s="3" t="s">
        <v>98</v>
      </c>
      <c r="D68" s="11" t="s">
        <v>243</v>
      </c>
      <c r="E68" s="110">
        <v>1115.0524853607656</v>
      </c>
      <c r="F68" s="111">
        <v>1519.3284006131278</v>
      </c>
      <c r="G68" s="112">
        <v>2136.610814483839</v>
      </c>
      <c r="H68" s="4"/>
      <c r="I68" s="47">
        <v>115.63473119129402</v>
      </c>
      <c r="J68" s="4">
        <v>152.80078876389902</v>
      </c>
      <c r="K68" s="46">
        <v>176.92748402900335</v>
      </c>
      <c r="L68" s="4"/>
      <c r="M68" s="47">
        <v>246.72161794097559</v>
      </c>
      <c r="N68" s="4">
        <v>252.37156085725607</v>
      </c>
      <c r="O68" s="4">
        <v>276.90675433823168</v>
      </c>
      <c r="P68" s="52"/>
      <c r="Q68" s="104">
        <v>0.08</v>
      </c>
      <c r="R68" s="104">
        <v>0.05</v>
      </c>
      <c r="S68" s="104">
        <v>0.03</v>
      </c>
      <c r="T68" s="104">
        <v>1.4999999999999999E-2</v>
      </c>
      <c r="U68" s="104">
        <v>0.02</v>
      </c>
      <c r="V68" s="105">
        <f t="shared" si="4"/>
        <v>0</v>
      </c>
      <c r="W68" s="52"/>
      <c r="X68" s="52">
        <f t="shared" si="3"/>
        <v>1477.4088344930353</v>
      </c>
      <c r="Y68" s="52">
        <f t="shared" si="1"/>
        <v>1924.5007502342828</v>
      </c>
      <c r="Z68" s="52">
        <f t="shared" si="2"/>
        <v>2590.4450528510738</v>
      </c>
      <c r="AA68" s="22"/>
      <c r="AJ68" s="22"/>
      <c r="AK68" s="22"/>
      <c r="AL68" s="22"/>
      <c r="AM68" s="22"/>
      <c r="AN68" s="22"/>
      <c r="AO68" s="22"/>
      <c r="AP68" s="22"/>
    </row>
    <row r="69" spans="1:42" hidden="1" x14ac:dyDescent="0.25">
      <c r="A69" s="16"/>
      <c r="B69" s="3" t="s">
        <v>99</v>
      </c>
      <c r="C69" s="3" t="s">
        <v>100</v>
      </c>
      <c r="D69" s="11" t="s">
        <v>243</v>
      </c>
      <c r="E69" s="107">
        <v>1292.1105600000001</v>
      </c>
      <c r="F69" s="108">
        <v>1875.7346399999999</v>
      </c>
      <c r="G69" s="109">
        <v>2251.9364399999999</v>
      </c>
      <c r="H69" s="4"/>
      <c r="I69" s="47">
        <v>267.83037307317068</v>
      </c>
      <c r="J69" s="4">
        <v>375.74449112195117</v>
      </c>
      <c r="K69" s="46">
        <v>441.66712565853652</v>
      </c>
      <c r="L69" s="4"/>
      <c r="M69" s="47">
        <v>390.0563765853658</v>
      </c>
      <c r="N69" s="4">
        <v>398.98869585365844</v>
      </c>
      <c r="O69" s="4">
        <v>437.77779243902438</v>
      </c>
      <c r="P69" s="52"/>
      <c r="Q69" s="104">
        <v>0.08</v>
      </c>
      <c r="R69" s="104">
        <v>0.05</v>
      </c>
      <c r="S69" s="104">
        <v>0.03</v>
      </c>
      <c r="T69" s="104">
        <v>1.4999999999999999E-2</v>
      </c>
      <c r="U69" s="104">
        <v>0.02</v>
      </c>
      <c r="V69" s="105">
        <f t="shared" si="4"/>
        <v>0</v>
      </c>
      <c r="W69" s="52"/>
      <c r="X69" s="52">
        <f t="shared" si="3"/>
        <v>1949.9973096585366</v>
      </c>
      <c r="Y69" s="52">
        <f t="shared" si="1"/>
        <v>2650.4678269756096</v>
      </c>
      <c r="Z69" s="52">
        <f t="shared" si="2"/>
        <v>3131.3813580975607</v>
      </c>
      <c r="AA69" s="22"/>
      <c r="AJ69" s="22"/>
      <c r="AK69" s="22"/>
      <c r="AL69" s="22"/>
      <c r="AM69" s="22"/>
      <c r="AN69" s="22"/>
      <c r="AO69" s="22"/>
      <c r="AP69" s="22"/>
    </row>
    <row r="70" spans="1:42" s="126" customFormat="1" hidden="1" x14ac:dyDescent="0.25">
      <c r="A70" s="124"/>
      <c r="B70" s="3" t="s">
        <v>244</v>
      </c>
      <c r="C70" s="3" t="s">
        <v>245</v>
      </c>
      <c r="D70" s="11" t="s">
        <v>19</v>
      </c>
      <c r="E70" s="110">
        <v>1377.8799999999999</v>
      </c>
      <c r="F70" s="111">
        <v>2181.52</v>
      </c>
      <c r="G70" s="112">
        <v>2931.88</v>
      </c>
      <c r="H70" s="4"/>
      <c r="I70" s="47">
        <v>143.238</v>
      </c>
      <c r="J70" s="4">
        <v>189.27599999999998</v>
      </c>
      <c r="K70" s="46">
        <v>219.16199999999998</v>
      </c>
      <c r="L70" s="4"/>
      <c r="M70" s="47">
        <v>301.58388479999996</v>
      </c>
      <c r="N70" s="4">
        <v>308.49017759999998</v>
      </c>
      <c r="O70" s="4">
        <v>338.48114079999999</v>
      </c>
      <c r="P70" s="52"/>
      <c r="Q70" s="104">
        <v>0.08</v>
      </c>
      <c r="R70" s="104">
        <v>0.05</v>
      </c>
      <c r="S70" s="104">
        <v>0.03</v>
      </c>
      <c r="T70" s="104">
        <v>1.4999999999999999E-2</v>
      </c>
      <c r="U70" s="104">
        <v>0.02</v>
      </c>
      <c r="V70" s="105">
        <f t="shared" ref="V70:V73" si="5">SUBTOTAL(9,Q70:U70)</f>
        <v>0</v>
      </c>
      <c r="W70" s="52"/>
      <c r="X70" s="52">
        <f t="shared" ref="X70:X73" si="6">(E70+I70+M70)*(1+V70)</f>
        <v>1822.7018847999998</v>
      </c>
      <c r="Y70" s="52">
        <f t="shared" ref="Y70:Y73" si="7">(F70+J70+N70)*(1+V70)</f>
        <v>2679.2861776</v>
      </c>
      <c r="Z70" s="52">
        <f t="shared" ref="Z70:Z73" si="8">(G70+K70+O70)*(1+V70)</f>
        <v>3489.5231408</v>
      </c>
      <c r="AA70" s="125"/>
      <c r="AJ70" s="125"/>
      <c r="AK70" s="125"/>
      <c r="AL70" s="125"/>
      <c r="AM70" s="125"/>
      <c r="AN70" s="125"/>
      <c r="AO70" s="125"/>
      <c r="AP70" s="125"/>
    </row>
    <row r="71" spans="1:42" s="126" customFormat="1" hidden="1" x14ac:dyDescent="0.25">
      <c r="A71" s="124"/>
      <c r="B71" s="3" t="s">
        <v>244</v>
      </c>
      <c r="C71" s="3" t="s">
        <v>246</v>
      </c>
      <c r="D71" s="11" t="s">
        <v>19</v>
      </c>
      <c r="E71" s="110">
        <f>E$25*0.58</f>
        <v>960.04103431128783</v>
      </c>
      <c r="F71" s="111">
        <f t="shared" ref="F71:G72" si="9">F$25*0.58</f>
        <v>1395.5172053704623</v>
      </c>
      <c r="G71" s="112">
        <f t="shared" si="9"/>
        <v>1676.2467230233713</v>
      </c>
      <c r="H71" s="4"/>
      <c r="I71" s="47">
        <v>138.46339999999998</v>
      </c>
      <c r="J71" s="4">
        <v>182.96679999999998</v>
      </c>
      <c r="K71" s="46">
        <v>211.85659999999999</v>
      </c>
      <c r="L71" s="4"/>
      <c r="M71" s="47">
        <v>292.31974364326396</v>
      </c>
      <c r="N71" s="4">
        <v>299.01388693994619</v>
      </c>
      <c r="O71" s="4">
        <v>328.08357904253489</v>
      </c>
      <c r="P71" s="52"/>
      <c r="Q71" s="104">
        <v>0.08</v>
      </c>
      <c r="R71" s="104">
        <v>0.05</v>
      </c>
      <c r="S71" s="104">
        <v>0.03</v>
      </c>
      <c r="T71" s="104">
        <v>1.4999999999999999E-2</v>
      </c>
      <c r="U71" s="104">
        <v>0.02</v>
      </c>
      <c r="V71" s="105">
        <f t="shared" si="5"/>
        <v>0</v>
      </c>
      <c r="W71" s="52"/>
      <c r="X71" s="52">
        <f t="shared" si="6"/>
        <v>1390.8241779545517</v>
      </c>
      <c r="Y71" s="52">
        <f t="shared" si="7"/>
        <v>1877.4978923104084</v>
      </c>
      <c r="Z71" s="52">
        <f t="shared" si="8"/>
        <v>2216.186902065906</v>
      </c>
      <c r="AA71" s="125"/>
      <c r="AJ71" s="125"/>
      <c r="AK71" s="125"/>
      <c r="AL71" s="125"/>
      <c r="AM71" s="125"/>
      <c r="AN71" s="125"/>
      <c r="AO71" s="125"/>
      <c r="AP71" s="125"/>
    </row>
    <row r="72" spans="1:42" s="126" customFormat="1" hidden="1" x14ac:dyDescent="0.25">
      <c r="A72" s="124"/>
      <c r="B72" s="3" t="s">
        <v>244</v>
      </c>
      <c r="C72" s="3" t="s">
        <v>247</v>
      </c>
      <c r="D72" s="11" t="s">
        <v>19</v>
      </c>
      <c r="E72" s="110">
        <f>E$25*0.58</f>
        <v>960.04103431128783</v>
      </c>
      <c r="F72" s="111">
        <f t="shared" si="9"/>
        <v>1395.5172053704623</v>
      </c>
      <c r="G72" s="112">
        <f t="shared" si="9"/>
        <v>1676.2467230233713</v>
      </c>
      <c r="H72" s="4"/>
      <c r="I72" s="47">
        <v>138.46339999999998</v>
      </c>
      <c r="J72" s="4">
        <v>182.96679999999998</v>
      </c>
      <c r="K72" s="46">
        <v>211.85659999999999</v>
      </c>
      <c r="L72" s="4"/>
      <c r="M72" s="47">
        <v>292.31974364326396</v>
      </c>
      <c r="N72" s="4">
        <v>299.01388693994619</v>
      </c>
      <c r="O72" s="4">
        <v>328.08357904253489</v>
      </c>
      <c r="P72" s="52"/>
      <c r="Q72" s="104">
        <v>0.08</v>
      </c>
      <c r="R72" s="104">
        <v>0.05</v>
      </c>
      <c r="S72" s="104">
        <v>0.03</v>
      </c>
      <c r="T72" s="104">
        <v>1.4999999999999999E-2</v>
      </c>
      <c r="U72" s="104">
        <v>0.02</v>
      </c>
      <c r="V72" s="105">
        <f t="shared" si="5"/>
        <v>0</v>
      </c>
      <c r="W72" s="52"/>
      <c r="X72" s="52">
        <f t="shared" si="6"/>
        <v>1390.8241779545517</v>
      </c>
      <c r="Y72" s="52">
        <f t="shared" si="7"/>
        <v>1877.4978923104084</v>
      </c>
      <c r="Z72" s="52">
        <f t="shared" si="8"/>
        <v>2216.186902065906</v>
      </c>
      <c r="AA72" s="125"/>
      <c r="AJ72" s="125"/>
      <c r="AK72" s="125"/>
      <c r="AL72" s="125"/>
      <c r="AM72" s="125"/>
      <c r="AN72" s="125"/>
      <c r="AO72" s="125"/>
      <c r="AP72" s="125"/>
    </row>
    <row r="73" spans="1:42" s="126" customFormat="1" hidden="1" x14ac:dyDescent="0.25">
      <c r="A73" s="124"/>
      <c r="B73" s="3" t="s">
        <v>244</v>
      </c>
      <c r="C73" s="3" t="s">
        <v>248</v>
      </c>
      <c r="D73" s="11" t="s">
        <v>19</v>
      </c>
      <c r="E73" s="110">
        <f>E$25*0.59</f>
        <v>976.5934659373446</v>
      </c>
      <c r="F73" s="111">
        <f t="shared" ref="F73:G73" si="10">F$25*0.59</f>
        <v>1419.5778468423669</v>
      </c>
      <c r="G73" s="112">
        <f t="shared" si="10"/>
        <v>1705.1475285927397</v>
      </c>
      <c r="H73" s="4"/>
      <c r="I73" s="47">
        <v>140.85069999999999</v>
      </c>
      <c r="J73" s="4">
        <v>186.12139999999997</v>
      </c>
      <c r="K73" s="46">
        <v>215.50929999999997</v>
      </c>
      <c r="L73" s="4"/>
      <c r="M73" s="47">
        <v>297.35973922332028</v>
      </c>
      <c r="N73" s="4">
        <v>304.16929878373844</v>
      </c>
      <c r="O73" s="4">
        <v>333.74019247430272</v>
      </c>
      <c r="P73" s="52"/>
      <c r="Q73" s="104">
        <v>0.08</v>
      </c>
      <c r="R73" s="104">
        <v>0.05</v>
      </c>
      <c r="S73" s="104">
        <v>0.03</v>
      </c>
      <c r="T73" s="104">
        <v>1.4999999999999999E-2</v>
      </c>
      <c r="U73" s="104">
        <v>0.02</v>
      </c>
      <c r="V73" s="105">
        <f t="shared" si="5"/>
        <v>0</v>
      </c>
      <c r="W73" s="52"/>
      <c r="X73" s="52">
        <f t="shared" si="6"/>
        <v>1414.803905160665</v>
      </c>
      <c r="Y73" s="52">
        <f t="shared" si="7"/>
        <v>1909.8685456261053</v>
      </c>
      <c r="Z73" s="52">
        <f t="shared" si="8"/>
        <v>2254.3970210670423</v>
      </c>
      <c r="AA73" s="125"/>
      <c r="AJ73" s="125"/>
      <c r="AK73" s="125"/>
      <c r="AL73" s="125"/>
      <c r="AM73" s="125"/>
      <c r="AN73" s="125"/>
      <c r="AO73" s="125"/>
      <c r="AP73" s="125"/>
    </row>
    <row r="74" spans="1:42" hidden="1" x14ac:dyDescent="0.25">
      <c r="A74" s="16"/>
      <c r="B74" s="3" t="s">
        <v>101</v>
      </c>
      <c r="C74" s="3" t="s">
        <v>102</v>
      </c>
      <c r="D74" s="11" t="s">
        <v>6</v>
      </c>
      <c r="E74" s="107">
        <v>873.74731476877184</v>
      </c>
      <c r="F74" s="108">
        <v>1173.3920089507708</v>
      </c>
      <c r="G74" s="109">
        <v>1411.0910989557435</v>
      </c>
      <c r="H74" s="4"/>
      <c r="I74" s="47">
        <v>133.38383539264544</v>
      </c>
      <c r="J74" s="4">
        <v>187.12680260431648</v>
      </c>
      <c r="K74" s="46">
        <v>219.95733535078432</v>
      </c>
      <c r="L74" s="4"/>
      <c r="M74" s="47">
        <v>197.95443474710518</v>
      </c>
      <c r="N74" s="4">
        <v>202.48760563695106</v>
      </c>
      <c r="O74" s="4">
        <v>222.17315405978655</v>
      </c>
      <c r="P74" s="52"/>
      <c r="Q74" s="104">
        <v>0.05</v>
      </c>
      <c r="R74" s="104">
        <v>0.08</v>
      </c>
      <c r="S74" s="104">
        <v>0.08</v>
      </c>
      <c r="T74" s="104">
        <v>1.2E-2</v>
      </c>
      <c r="U74" s="104">
        <v>0.02</v>
      </c>
      <c r="V74" s="105">
        <f>SUBTOTAL(9,Q74:U74)</f>
        <v>0</v>
      </c>
      <c r="W74" s="52"/>
      <c r="X74" s="52">
        <f t="shared" si="3"/>
        <v>1205.0855849085224</v>
      </c>
      <c r="Y74" s="52">
        <f t="shared" si="1"/>
        <v>1563.0064171920383</v>
      </c>
      <c r="Z74" s="52">
        <f t="shared" si="2"/>
        <v>1853.2215883663143</v>
      </c>
      <c r="AA74" s="22"/>
      <c r="AJ74" s="22"/>
      <c r="AK74" s="22"/>
      <c r="AL74" s="22"/>
      <c r="AM74" s="22"/>
      <c r="AN74" s="22"/>
      <c r="AO74" s="22"/>
      <c r="AP74" s="22"/>
    </row>
    <row r="75" spans="1:42" hidden="1" x14ac:dyDescent="0.25">
      <c r="A75" s="16"/>
      <c r="B75" s="3" t="s">
        <v>103</v>
      </c>
      <c r="C75" s="3" t="s">
        <v>104</v>
      </c>
      <c r="D75" s="11" t="s">
        <v>6</v>
      </c>
      <c r="E75" s="107">
        <v>913.27346593734467</v>
      </c>
      <c r="F75" s="108">
        <v>1302.7311188463452</v>
      </c>
      <c r="G75" s="109">
        <v>1620.4620586772751</v>
      </c>
      <c r="H75" s="4"/>
      <c r="I75" s="47">
        <v>139.41778771737316</v>
      </c>
      <c r="J75" s="4">
        <v>195.59195283987074</v>
      </c>
      <c r="K75" s="46">
        <v>229.90765707510593</v>
      </c>
      <c r="L75" s="4"/>
      <c r="M75" s="47">
        <v>207.8762664341792</v>
      </c>
      <c r="N75" s="4">
        <v>212.6366479881118</v>
      </c>
      <c r="O75" s="4">
        <v>233.3088714423435</v>
      </c>
      <c r="P75" s="52"/>
      <c r="Q75" s="104" t="s">
        <v>249</v>
      </c>
      <c r="R75" s="104">
        <v>0.05</v>
      </c>
      <c r="S75" s="104">
        <v>0.09</v>
      </c>
      <c r="T75" s="104">
        <v>7.0000000000000007E-2</v>
      </c>
      <c r="U75" s="104">
        <v>0.05</v>
      </c>
      <c r="V75" s="105">
        <f t="shared" ref="V75:V81" si="11">SUBTOTAL(9,Q75:U75)</f>
        <v>0</v>
      </c>
      <c r="W75" s="52"/>
      <c r="X75" s="52">
        <f t="shared" si="3"/>
        <v>1260.567520088897</v>
      </c>
      <c r="Y75" s="52">
        <f t="shared" si="1"/>
        <v>1710.959719674328</v>
      </c>
      <c r="Z75" s="52">
        <f t="shared" si="2"/>
        <v>2083.6785871947245</v>
      </c>
      <c r="AA75" s="22"/>
      <c r="AJ75" s="22"/>
      <c r="AK75" s="22"/>
      <c r="AL75" s="22"/>
      <c r="AM75" s="22"/>
      <c r="AN75" s="22"/>
      <c r="AO75" s="22"/>
      <c r="AP75" s="22"/>
    </row>
    <row r="76" spans="1:42" hidden="1" x14ac:dyDescent="0.25">
      <c r="A76" s="16"/>
      <c r="B76" s="3" t="s">
        <v>105</v>
      </c>
      <c r="C76" s="3" t="s">
        <v>106</v>
      </c>
      <c r="D76" s="11" t="s">
        <v>6</v>
      </c>
      <c r="E76" s="107">
        <v>860.94069169567365</v>
      </c>
      <c r="F76" s="108">
        <v>1268.7336111387367</v>
      </c>
      <c r="G76" s="109">
        <v>1716.5761964196915</v>
      </c>
      <c r="H76" s="4"/>
      <c r="I76" s="47">
        <v>131.4288119264275</v>
      </c>
      <c r="J76" s="4">
        <v>184.38406178289054</v>
      </c>
      <c r="K76" s="46">
        <v>216.73339332728736</v>
      </c>
      <c r="L76" s="4"/>
      <c r="M76" s="47">
        <v>191.40714165729227</v>
      </c>
      <c r="N76" s="4">
        <v>195.79037906128349</v>
      </c>
      <c r="O76" s="4">
        <v>214.82483292630991</v>
      </c>
      <c r="P76" s="52"/>
      <c r="Q76" s="104">
        <v>0.05</v>
      </c>
      <c r="R76" s="104">
        <v>0.02</v>
      </c>
      <c r="S76" s="104">
        <v>0.04</v>
      </c>
      <c r="T76" s="104">
        <v>0.03</v>
      </c>
      <c r="U76" s="104">
        <v>0.02</v>
      </c>
      <c r="V76" s="105">
        <f t="shared" si="11"/>
        <v>0</v>
      </c>
      <c r="W76" s="52"/>
      <c r="X76" s="52">
        <f t="shared" si="3"/>
        <v>1183.7766452793933</v>
      </c>
      <c r="Y76" s="52">
        <f t="shared" ref="Y76:Y139" si="12">(F76+J76+N76)*(1+V76)</f>
        <v>1648.9080519829108</v>
      </c>
      <c r="Z76" s="52">
        <f t="shared" ref="Z76:Z139" si="13">(G76+K76+O76)*(1+V76)</f>
        <v>2148.134422673289</v>
      </c>
      <c r="AA76" s="22"/>
      <c r="AJ76" s="22"/>
      <c r="AK76" s="22"/>
      <c r="AL76" s="22"/>
      <c r="AM76" s="22"/>
      <c r="AN76" s="22"/>
      <c r="AO76" s="22"/>
      <c r="AP76" s="22"/>
    </row>
    <row r="77" spans="1:42" hidden="1" x14ac:dyDescent="0.25">
      <c r="A77" s="16"/>
      <c r="B77" s="3" t="s">
        <v>107</v>
      </c>
      <c r="C77" s="3" t="s">
        <v>108</v>
      </c>
      <c r="D77" s="11" t="s">
        <v>6</v>
      </c>
      <c r="E77" s="107">
        <v>967.29903033316759</v>
      </c>
      <c r="F77" s="108">
        <v>967.29903033316759</v>
      </c>
      <c r="G77" s="109">
        <v>967.29903033316759</v>
      </c>
      <c r="H77" s="4"/>
      <c r="I77" s="47">
        <v>147.66552651317227</v>
      </c>
      <c r="J77" s="4">
        <v>207.1628675989958</v>
      </c>
      <c r="K77" s="46">
        <v>243.50863535596659</v>
      </c>
      <c r="L77" s="4"/>
      <c r="M77" s="47">
        <v>215.05357871626691</v>
      </c>
      <c r="N77" s="4">
        <v>219.97832124117778</v>
      </c>
      <c r="O77" s="4">
        <v>241.36429141523087</v>
      </c>
      <c r="P77" s="52"/>
      <c r="Q77" s="104">
        <v>4.4999999999999998E-2</v>
      </c>
      <c r="R77" s="104">
        <v>5.0000000000000001E-3</v>
      </c>
      <c r="S77" s="104">
        <v>7.0000000000000007E-2</v>
      </c>
      <c r="T77" s="104">
        <v>0.03</v>
      </c>
      <c r="U77" s="104">
        <v>0</v>
      </c>
      <c r="V77" s="105">
        <f t="shared" si="11"/>
        <v>0</v>
      </c>
      <c r="W77" s="52"/>
      <c r="X77" s="52">
        <f t="shared" ref="X77:X139" si="14">(E77+I77+M77)*(1+V77)</f>
        <v>1330.0181355626066</v>
      </c>
      <c r="Y77" s="52">
        <f t="shared" si="12"/>
        <v>1394.4402191733411</v>
      </c>
      <c r="Z77" s="52">
        <f t="shared" si="13"/>
        <v>1452.171957104365</v>
      </c>
      <c r="AA77" s="22"/>
      <c r="AJ77" s="22"/>
      <c r="AK77" s="22"/>
      <c r="AL77" s="22"/>
      <c r="AM77" s="22"/>
      <c r="AN77" s="22"/>
      <c r="AO77" s="22"/>
      <c r="AP77" s="22"/>
    </row>
    <row r="78" spans="1:42" hidden="1" x14ac:dyDescent="0.25">
      <c r="A78" s="16"/>
      <c r="B78" s="3" t="s">
        <v>109</v>
      </c>
      <c r="C78" s="3" t="s">
        <v>110</v>
      </c>
      <c r="D78" s="11" t="s">
        <v>6</v>
      </c>
      <c r="E78" s="107">
        <v>1058.3843013426156</v>
      </c>
      <c r="F78" s="108">
        <v>1058.3843013426156</v>
      </c>
      <c r="G78" s="109">
        <v>1058.3843013426156</v>
      </c>
      <c r="H78" s="4"/>
      <c r="I78" s="47">
        <v>161.56340042492951</v>
      </c>
      <c r="J78" s="4">
        <v>226.66046789253537</v>
      </c>
      <c r="K78" s="46">
        <v>266.42699951660506</v>
      </c>
      <c r="L78" s="4"/>
      <c r="M78" s="47">
        <v>235.29383107472259</v>
      </c>
      <c r="N78" s="4">
        <v>240.68207684426503</v>
      </c>
      <c r="O78" s="4">
        <v>264.08083581186963</v>
      </c>
      <c r="P78" s="52"/>
      <c r="Q78" s="104">
        <v>4.4999999999999998E-2</v>
      </c>
      <c r="R78" s="104">
        <v>5.0000000000000001E-3</v>
      </c>
      <c r="S78" s="104">
        <v>7.0000000000000007E-2</v>
      </c>
      <c r="T78" s="104">
        <v>0.03</v>
      </c>
      <c r="U78" s="104" t="s">
        <v>250</v>
      </c>
      <c r="V78" s="105">
        <f t="shared" si="11"/>
        <v>0</v>
      </c>
      <c r="W78" s="52"/>
      <c r="X78" s="52">
        <f t="shared" si="14"/>
        <v>1455.2415328422678</v>
      </c>
      <c r="Y78" s="52">
        <f t="shared" si="12"/>
        <v>1525.726846079416</v>
      </c>
      <c r="Z78" s="52">
        <f t="shared" si="13"/>
        <v>1588.8921366710902</v>
      </c>
      <c r="AA78" s="22"/>
      <c r="AJ78" s="22"/>
      <c r="AK78" s="22"/>
      <c r="AL78" s="22"/>
      <c r="AM78" s="22"/>
      <c r="AN78" s="22"/>
      <c r="AO78" s="22"/>
      <c r="AP78" s="22"/>
    </row>
    <row r="79" spans="1:42" hidden="1" x14ac:dyDescent="0.25">
      <c r="A79" s="16"/>
      <c r="B79" s="3" t="s">
        <v>111</v>
      </c>
      <c r="C79" s="3" t="s">
        <v>112</v>
      </c>
      <c r="D79" s="11" t="s">
        <v>6</v>
      </c>
      <c r="E79" s="107">
        <v>504.76085629040273</v>
      </c>
      <c r="F79" s="108">
        <v>844.20454549975136</v>
      </c>
      <c r="G79" s="109">
        <v>1154.8402232720039</v>
      </c>
      <c r="H79" s="4"/>
      <c r="I79" s="47">
        <v>77.055388703434417</v>
      </c>
      <c r="J79" s="4">
        <v>108.10251833785175</v>
      </c>
      <c r="K79" s="46">
        <v>127.06860560527033</v>
      </c>
      <c r="L79" s="4"/>
      <c r="M79" s="47">
        <v>114.8919859837106</v>
      </c>
      <c r="N79" s="4">
        <v>117.52302078221518</v>
      </c>
      <c r="O79" s="4">
        <v>128.94843671880432</v>
      </c>
      <c r="P79" s="52"/>
      <c r="Q79" s="104">
        <v>3.1E-2</v>
      </c>
      <c r="R79" s="104">
        <v>5.3999999999999999E-2</v>
      </c>
      <c r="S79" s="104">
        <v>8.5999999999999993E-2</v>
      </c>
      <c r="T79" s="104">
        <v>1.6E-2</v>
      </c>
      <c r="U79" s="104">
        <v>5.0000000000000001E-3</v>
      </c>
      <c r="V79" s="105">
        <f t="shared" si="11"/>
        <v>0</v>
      </c>
      <c r="W79" s="52"/>
      <c r="X79" s="52">
        <f t="shared" si="14"/>
        <v>696.70823097754771</v>
      </c>
      <c r="Y79" s="52">
        <f t="shared" si="12"/>
        <v>1069.8300846198183</v>
      </c>
      <c r="Z79" s="52">
        <f t="shared" si="13"/>
        <v>1410.8572655960784</v>
      </c>
      <c r="AA79" s="22"/>
      <c r="AJ79" s="22"/>
      <c r="AK79" s="22"/>
      <c r="AL79" s="22"/>
      <c r="AM79" s="22"/>
      <c r="AN79" s="22"/>
      <c r="AO79" s="22"/>
      <c r="AP79" s="22"/>
    </row>
    <row r="80" spans="1:42" hidden="1" x14ac:dyDescent="0.25">
      <c r="A80" s="16"/>
      <c r="B80" s="3" t="s">
        <v>113</v>
      </c>
      <c r="C80" s="3" t="s">
        <v>114</v>
      </c>
      <c r="D80" s="11" t="s">
        <v>6</v>
      </c>
      <c r="E80" s="107">
        <v>1346.741596384883</v>
      </c>
      <c r="F80" s="108">
        <v>1835.0192323122824</v>
      </c>
      <c r="G80" s="109">
        <v>2580.5625268125318</v>
      </c>
      <c r="H80" s="4"/>
      <c r="I80" s="47">
        <v>205.58982714146342</v>
      </c>
      <c r="J80" s="4">
        <v>288.42600670243905</v>
      </c>
      <c r="K80" s="46">
        <v>339.02901667317076</v>
      </c>
      <c r="L80" s="4"/>
      <c r="M80" s="47">
        <v>299.41198273170727</v>
      </c>
      <c r="N80" s="4">
        <v>306.26853881707314</v>
      </c>
      <c r="O80" s="4">
        <v>336.04351754878047</v>
      </c>
      <c r="P80" s="52"/>
      <c r="Q80" s="104"/>
      <c r="R80" s="104"/>
      <c r="S80" s="104"/>
      <c r="T80" s="104"/>
      <c r="U80" s="104"/>
      <c r="V80" s="105">
        <v>0.24</v>
      </c>
      <c r="W80" s="52"/>
      <c r="X80" s="52">
        <f t="shared" si="14"/>
        <v>2296.1618237599864</v>
      </c>
      <c r="Y80" s="52">
        <f t="shared" si="12"/>
        <v>3012.8450845114253</v>
      </c>
      <c r="Z80" s="52">
        <f t="shared" si="13"/>
        <v>4036.9874756827589</v>
      </c>
      <c r="AA80" s="22"/>
      <c r="AJ80" s="22"/>
      <c r="AK80" s="22"/>
      <c r="AL80" s="22"/>
      <c r="AM80" s="22"/>
      <c r="AN80" s="22"/>
      <c r="AO80" s="22"/>
      <c r="AP80" s="22"/>
    </row>
    <row r="81" spans="1:42" hidden="1" x14ac:dyDescent="0.25">
      <c r="A81" s="16"/>
      <c r="B81" s="3" t="s">
        <v>115</v>
      </c>
      <c r="C81" s="3" t="s">
        <v>116</v>
      </c>
      <c r="D81" s="11" t="s">
        <v>6</v>
      </c>
      <c r="E81" s="107">
        <v>828.67683043262048</v>
      </c>
      <c r="F81" s="108">
        <v>1147.6344226752858</v>
      </c>
      <c r="G81" s="109">
        <v>1833.9745211337643</v>
      </c>
      <c r="H81" s="4"/>
      <c r="I81" s="47">
        <v>126.50350058400454</v>
      </c>
      <c r="J81" s="4">
        <v>177.47424575739333</v>
      </c>
      <c r="K81" s="46">
        <v>208.61128201249994</v>
      </c>
      <c r="L81" s="4"/>
      <c r="M81" s="47">
        <v>182.4795240177676</v>
      </c>
      <c r="N81" s="4">
        <v>186.65831833135331</v>
      </c>
      <c r="O81" s="4">
        <v>204.80496662855833</v>
      </c>
      <c r="P81" s="52"/>
      <c r="Q81" s="104">
        <v>0.05</v>
      </c>
      <c r="R81" s="104">
        <v>0.02</v>
      </c>
      <c r="S81" s="104">
        <v>0.04</v>
      </c>
      <c r="T81" s="104">
        <v>0.03</v>
      </c>
      <c r="U81" s="104">
        <v>0.02</v>
      </c>
      <c r="V81" s="105">
        <f t="shared" si="11"/>
        <v>0</v>
      </c>
      <c r="W81" s="52"/>
      <c r="X81" s="52">
        <f t="shared" si="14"/>
        <v>1137.6598550343926</v>
      </c>
      <c r="Y81" s="52">
        <f t="shared" si="12"/>
        <v>1511.7669867640325</v>
      </c>
      <c r="Z81" s="52">
        <f t="shared" si="13"/>
        <v>2247.3907697748227</v>
      </c>
      <c r="AA81" s="22"/>
      <c r="AJ81" s="22"/>
      <c r="AK81" s="22"/>
      <c r="AL81" s="22"/>
      <c r="AM81" s="22"/>
      <c r="AN81" s="22"/>
      <c r="AO81" s="22"/>
      <c r="AP81" s="22"/>
    </row>
    <row r="82" spans="1:42" hidden="1" x14ac:dyDescent="0.25">
      <c r="A82" s="16"/>
      <c r="B82" s="3" t="s">
        <v>117</v>
      </c>
      <c r="C82" s="3" t="s">
        <v>118</v>
      </c>
      <c r="D82" s="11" t="s">
        <v>6</v>
      </c>
      <c r="E82" s="107">
        <v>1237.1230943535554</v>
      </c>
      <c r="F82" s="108">
        <v>1685.6572017752362</v>
      </c>
      <c r="G82" s="109">
        <v>2370.5167397463952</v>
      </c>
      <c r="H82" s="4"/>
      <c r="I82" s="47">
        <v>188.8557714439024</v>
      </c>
      <c r="J82" s="4">
        <v>264.94947127317073</v>
      </c>
      <c r="K82" s="46">
        <v>311.43363159512188</v>
      </c>
      <c r="L82" s="4"/>
      <c r="M82" s="47">
        <v>275.04123995121955</v>
      </c>
      <c r="N82" s="4">
        <v>281.33970426219514</v>
      </c>
      <c r="O82" s="4">
        <v>308.69113821341466</v>
      </c>
      <c r="P82" s="52"/>
      <c r="Q82" s="104">
        <v>0.04</v>
      </c>
      <c r="R82" s="104">
        <v>0.04</v>
      </c>
      <c r="S82" s="104">
        <v>0.08</v>
      </c>
      <c r="T82" s="104">
        <v>5.0000000000000001E-3</v>
      </c>
      <c r="U82" s="104">
        <v>0.02</v>
      </c>
      <c r="V82" s="105">
        <f t="shared" ref="V82:V90" si="15">SUBTOTAL(9,Q82:U82)</f>
        <v>0</v>
      </c>
      <c r="W82" s="52"/>
      <c r="X82" s="52">
        <f t="shared" si="14"/>
        <v>1701.0201057486772</v>
      </c>
      <c r="Y82" s="52">
        <f t="shared" si="12"/>
        <v>2231.9463773106022</v>
      </c>
      <c r="Z82" s="52">
        <f t="shared" si="13"/>
        <v>2990.6415095549319</v>
      </c>
      <c r="AA82" s="22"/>
      <c r="AJ82" s="22"/>
      <c r="AK82" s="22"/>
      <c r="AL82" s="22"/>
      <c r="AM82" s="22"/>
      <c r="AN82" s="22"/>
      <c r="AO82" s="22"/>
      <c r="AP82" s="22"/>
    </row>
    <row r="83" spans="1:42" hidden="1" x14ac:dyDescent="0.25">
      <c r="A83" s="21"/>
      <c r="B83" s="3" t="s">
        <v>119</v>
      </c>
      <c r="C83" s="3" t="s">
        <v>120</v>
      </c>
      <c r="D83" s="11" t="s">
        <v>6</v>
      </c>
      <c r="E83" s="107">
        <v>1315.4220243759321</v>
      </c>
      <c r="F83" s="108">
        <v>1792.3443664445549</v>
      </c>
      <c r="G83" s="109">
        <v>2520.5494447936353</v>
      </c>
      <c r="H83" s="4"/>
      <c r="I83" s="47">
        <v>200.80866837073174</v>
      </c>
      <c r="J83" s="4">
        <v>281.71842515121961</v>
      </c>
      <c r="K83" s="46">
        <v>331.14462093658545</v>
      </c>
      <c r="L83" s="4"/>
      <c r="M83" s="47">
        <v>292.44891336585368</v>
      </c>
      <c r="N83" s="4">
        <v>299.14601465853656</v>
      </c>
      <c r="O83" s="4">
        <v>328.2285520243903</v>
      </c>
      <c r="P83" s="52"/>
      <c r="Q83" s="104">
        <v>0.1</v>
      </c>
      <c r="R83" s="104">
        <v>0.04</v>
      </c>
      <c r="S83" s="104">
        <v>0.03</v>
      </c>
      <c r="T83" s="104">
        <v>0.02</v>
      </c>
      <c r="U83" s="104" t="s">
        <v>250</v>
      </c>
      <c r="V83" s="105">
        <f t="shared" si="15"/>
        <v>0</v>
      </c>
      <c r="W83" s="52"/>
      <c r="X83" s="52">
        <f t="shared" si="14"/>
        <v>1808.6796061125176</v>
      </c>
      <c r="Y83" s="52">
        <f t="shared" si="12"/>
        <v>2373.2088062543107</v>
      </c>
      <c r="Z83" s="52">
        <f t="shared" si="13"/>
        <v>3179.9226177546111</v>
      </c>
      <c r="AA83" s="22"/>
      <c r="AJ83" s="22"/>
      <c r="AK83" s="22"/>
      <c r="AL83" s="22"/>
      <c r="AM83" s="22"/>
      <c r="AN83" s="22"/>
      <c r="AO83" s="22"/>
      <c r="AP83" s="22"/>
    </row>
    <row r="84" spans="1:42" hidden="1" x14ac:dyDescent="0.25">
      <c r="A84" s="21"/>
      <c r="B84" s="3" t="s">
        <v>122</v>
      </c>
      <c r="C84" s="3" t="s">
        <v>124</v>
      </c>
      <c r="D84" s="11" t="s">
        <v>6</v>
      </c>
      <c r="E84" s="107">
        <v>1218.5937891596222</v>
      </c>
      <c r="F84" s="108">
        <v>1429.124669318747</v>
      </c>
      <c r="G84" s="109">
        <v>1720.9361760318252</v>
      </c>
      <c r="H84" s="4"/>
      <c r="I84" s="47">
        <v>186.02713923851277</v>
      </c>
      <c r="J84" s="4">
        <v>260.9811275920942</v>
      </c>
      <c r="K84" s="46">
        <v>306.76906035413617</v>
      </c>
      <c r="L84" s="4"/>
      <c r="M84" s="47">
        <v>277.37226213003811</v>
      </c>
      <c r="N84" s="4">
        <v>283.72410701770104</v>
      </c>
      <c r="O84" s="4">
        <v>311.30734911221612</v>
      </c>
      <c r="P84" s="52"/>
      <c r="Q84" s="104">
        <v>0.12</v>
      </c>
      <c r="R84" s="104">
        <v>0.06</v>
      </c>
      <c r="S84" s="104">
        <v>0.05</v>
      </c>
      <c r="T84" s="104">
        <v>0.03</v>
      </c>
      <c r="U84" s="104" t="s">
        <v>250</v>
      </c>
      <c r="V84" s="105">
        <f t="shared" si="15"/>
        <v>0</v>
      </c>
      <c r="W84" s="52"/>
      <c r="X84" s="52">
        <f t="shared" si="14"/>
        <v>1681.993190528173</v>
      </c>
      <c r="Y84" s="52">
        <f t="shared" si="12"/>
        <v>1973.8299039285423</v>
      </c>
      <c r="Z84" s="52">
        <f t="shared" si="13"/>
        <v>2339.0125854981775</v>
      </c>
      <c r="AA84" s="22"/>
      <c r="AJ84" s="22"/>
      <c r="AK84" s="22"/>
      <c r="AL84" s="22"/>
      <c r="AM84" s="22"/>
      <c r="AN84" s="22"/>
      <c r="AO84" s="22"/>
      <c r="AP84" s="22"/>
    </row>
    <row r="85" spans="1:42" hidden="1" x14ac:dyDescent="0.25">
      <c r="A85" s="21"/>
      <c r="B85" s="3" t="s">
        <v>129</v>
      </c>
      <c r="C85" s="3" t="s">
        <v>130</v>
      </c>
      <c r="D85" s="11" t="s">
        <v>6</v>
      </c>
      <c r="E85" s="107">
        <v>954.49575932371965</v>
      </c>
      <c r="F85" s="108">
        <v>1403.1196260566883</v>
      </c>
      <c r="G85" s="109">
        <v>1891.0941720537048</v>
      </c>
      <c r="H85" s="4"/>
      <c r="I85" s="47">
        <v>145.71066839650936</v>
      </c>
      <c r="J85" s="4">
        <v>204.42035874970841</v>
      </c>
      <c r="K85" s="46">
        <v>240.28496600304791</v>
      </c>
      <c r="L85" s="4"/>
      <c r="M85" s="47">
        <v>210.18559399982186</v>
      </c>
      <c r="N85" s="4">
        <v>214.99885932222904</v>
      </c>
      <c r="O85" s="4">
        <v>235.90073350227414</v>
      </c>
      <c r="P85" s="52"/>
      <c r="Q85" s="104">
        <v>0.05</v>
      </c>
      <c r="R85" s="104">
        <v>0.02</v>
      </c>
      <c r="S85" s="104">
        <v>0.04</v>
      </c>
      <c r="T85" s="104">
        <v>0.03</v>
      </c>
      <c r="U85" s="104">
        <v>0.02</v>
      </c>
      <c r="V85" s="105">
        <f t="shared" si="15"/>
        <v>0</v>
      </c>
      <c r="W85" s="52"/>
      <c r="X85" s="52">
        <f t="shared" si="14"/>
        <v>1310.3920217200507</v>
      </c>
      <c r="Y85" s="52">
        <f t="shared" si="12"/>
        <v>1822.5388441286257</v>
      </c>
      <c r="Z85" s="52">
        <f t="shared" si="13"/>
        <v>2367.279871559027</v>
      </c>
      <c r="AA85" s="22"/>
      <c r="AJ85" s="22"/>
      <c r="AK85" s="22"/>
      <c r="AL85" s="22"/>
      <c r="AM85" s="22"/>
      <c r="AN85" s="22"/>
      <c r="AO85" s="22"/>
      <c r="AP85" s="22"/>
    </row>
    <row r="86" spans="1:42" hidden="1" x14ac:dyDescent="0.25">
      <c r="A86" s="21"/>
      <c r="B86" s="3" t="s">
        <v>131</v>
      </c>
      <c r="C86" s="3" t="s">
        <v>132</v>
      </c>
      <c r="D86" s="11" t="s">
        <v>6</v>
      </c>
      <c r="E86" s="107">
        <v>971.50637056190953</v>
      </c>
      <c r="F86" s="108">
        <v>1262.3664107409249</v>
      </c>
      <c r="G86" s="109">
        <v>1412.3895224266535</v>
      </c>
      <c r="H86" s="4"/>
      <c r="I86" s="47">
        <v>148.30746100573583</v>
      </c>
      <c r="J86" s="4">
        <v>208.06345010752264</v>
      </c>
      <c r="K86" s="46">
        <v>244.56722090374598</v>
      </c>
      <c r="L86" s="4"/>
      <c r="M86" s="47">
        <v>215.9884638799675</v>
      </c>
      <c r="N86" s="4">
        <v>220.93461534282338</v>
      </c>
      <c r="O86" s="4">
        <v>242.41355502869033</v>
      </c>
      <c r="P86" s="52"/>
      <c r="Q86" s="104">
        <v>0.06</v>
      </c>
      <c r="R86" s="104">
        <v>0.04</v>
      </c>
      <c r="S86" s="104">
        <v>7.0000000000000007E-2</v>
      </c>
      <c r="T86" s="104">
        <v>0.03</v>
      </c>
      <c r="U86" s="104">
        <v>0.03</v>
      </c>
      <c r="V86" s="105">
        <f t="shared" si="15"/>
        <v>0</v>
      </c>
      <c r="W86" s="52"/>
      <c r="X86" s="52">
        <f t="shared" si="14"/>
        <v>1335.8022954476128</v>
      </c>
      <c r="Y86" s="52">
        <f t="shared" si="12"/>
        <v>1691.364476191271</v>
      </c>
      <c r="Z86" s="52">
        <f t="shared" si="13"/>
        <v>1899.3702983590897</v>
      </c>
      <c r="AA86" s="22"/>
      <c r="AJ86" s="22"/>
      <c r="AK86" s="22"/>
      <c r="AL86" s="22"/>
      <c r="AM86" s="22"/>
      <c r="AN86" s="22"/>
      <c r="AO86" s="22"/>
      <c r="AP86" s="22"/>
    </row>
    <row r="87" spans="1:42" hidden="1" x14ac:dyDescent="0.25">
      <c r="A87" s="21"/>
      <c r="B87" s="3" t="s">
        <v>133</v>
      </c>
      <c r="C87" s="3" t="s">
        <v>134</v>
      </c>
      <c r="D87" s="11" t="s">
        <v>6</v>
      </c>
      <c r="E87" s="107">
        <v>1152.6033615116858</v>
      </c>
      <c r="F87" s="108">
        <v>1576.4909646941821</v>
      </c>
      <c r="G87" s="109">
        <v>2005.5599005469915</v>
      </c>
      <c r="H87" s="4"/>
      <c r="I87" s="47">
        <v>175.95322405719745</v>
      </c>
      <c r="J87" s="4">
        <v>246.84823411188046</v>
      </c>
      <c r="K87" s="46">
        <v>290.15661602526279</v>
      </c>
      <c r="L87" s="4"/>
      <c r="M87" s="47">
        <v>261.13149998754506</v>
      </c>
      <c r="N87" s="4">
        <v>267.11143024613017</v>
      </c>
      <c r="O87" s="4">
        <v>293.07961223861599</v>
      </c>
      <c r="P87" s="52"/>
      <c r="Q87" s="104">
        <v>3.3000000000000002E-2</v>
      </c>
      <c r="R87" s="104">
        <v>1.4999999999999999E-2</v>
      </c>
      <c r="S87" s="104">
        <v>2.5000000000000001E-2</v>
      </c>
      <c r="T87" s="104" t="s">
        <v>251</v>
      </c>
      <c r="U87" s="104">
        <v>1.7999999999999999E-2</v>
      </c>
      <c r="V87" s="105">
        <f>SUBTOTAL(9,Q87:U87)</f>
        <v>0</v>
      </c>
      <c r="W87" s="52"/>
      <c r="X87" s="52">
        <f t="shared" si="14"/>
        <v>1589.6880855564284</v>
      </c>
      <c r="Y87" s="52">
        <f t="shared" si="12"/>
        <v>2090.4506290521927</v>
      </c>
      <c r="Z87" s="52">
        <f t="shared" si="13"/>
        <v>2588.7961288108704</v>
      </c>
      <c r="AA87" s="22"/>
      <c r="AJ87" s="22"/>
      <c r="AK87" s="22"/>
      <c r="AL87" s="22"/>
      <c r="AM87" s="22"/>
      <c r="AN87" s="22"/>
      <c r="AO87" s="22"/>
      <c r="AP87" s="22"/>
    </row>
    <row r="88" spans="1:42" x14ac:dyDescent="0.25">
      <c r="A88" s="21"/>
      <c r="B88" s="3" t="s">
        <v>135</v>
      </c>
      <c r="C88" s="3" t="s">
        <v>136</v>
      </c>
      <c r="D88" s="11" t="s">
        <v>6</v>
      </c>
      <c r="E88" s="107">
        <v>1170.9677274987569</v>
      </c>
      <c r="F88" s="108">
        <v>1170.9677274987569</v>
      </c>
      <c r="G88" s="109">
        <v>1170.9677274987569</v>
      </c>
      <c r="H88" s="4"/>
      <c r="I88" s="47">
        <v>178.75835915826457</v>
      </c>
      <c r="J88" s="4">
        <v>250.78361324377167</v>
      </c>
      <c r="K88" s="46">
        <v>294.78243923924794</v>
      </c>
      <c r="L88" s="4"/>
      <c r="M88" s="47">
        <v>269.26161206158048</v>
      </c>
      <c r="N88" s="4">
        <v>275.427722475373</v>
      </c>
      <c r="O88" s="4">
        <v>302.20440221695429</v>
      </c>
      <c r="P88" s="52"/>
      <c r="Q88" s="104">
        <v>0.05</v>
      </c>
      <c r="R88" s="104">
        <v>0.02</v>
      </c>
      <c r="S88" s="104">
        <v>0.05</v>
      </c>
      <c r="T88" s="104">
        <v>0.02</v>
      </c>
      <c r="U88" s="104">
        <v>0.03</v>
      </c>
      <c r="V88" s="105">
        <f t="shared" si="15"/>
        <v>0.17</v>
      </c>
      <c r="W88" s="52"/>
      <c r="X88" s="52">
        <f t="shared" si="14"/>
        <v>1894.215607500764</v>
      </c>
      <c r="Y88" s="52">
        <f t="shared" si="12"/>
        <v>1985.6995039649446</v>
      </c>
      <c r="Z88" s="52">
        <f t="shared" si="13"/>
        <v>2068.506845677302</v>
      </c>
      <c r="AA88" s="22"/>
      <c r="AJ88" s="22"/>
      <c r="AK88" s="22"/>
      <c r="AL88" s="22"/>
      <c r="AM88" s="22"/>
      <c r="AN88" s="22"/>
      <c r="AO88" s="22"/>
      <c r="AP88" s="22"/>
    </row>
    <row r="89" spans="1:42" hidden="1" x14ac:dyDescent="0.25">
      <c r="A89" s="16"/>
      <c r="B89" s="3" t="s">
        <v>137</v>
      </c>
      <c r="C89" s="3" t="s">
        <v>138</v>
      </c>
      <c r="D89" s="11" t="s">
        <v>6</v>
      </c>
      <c r="E89" s="107">
        <v>686.05941819990062</v>
      </c>
      <c r="F89" s="108">
        <v>1162.8963252113376</v>
      </c>
      <c r="G89" s="109">
        <v>1660.5452909000498</v>
      </c>
      <c r="H89" s="4"/>
      <c r="I89" s="47">
        <v>116.90696327729988</v>
      </c>
      <c r="J89" s="4">
        <v>164.01107507415105</v>
      </c>
      <c r="K89" s="46">
        <v>192.78606025033179</v>
      </c>
      <c r="L89" s="4"/>
      <c r="M89" s="47">
        <v>174.31192564544222</v>
      </c>
      <c r="N89" s="4">
        <v>178.3036813648753</v>
      </c>
      <c r="O89" s="4">
        <v>195.63810409379693</v>
      </c>
      <c r="P89" s="52"/>
      <c r="Q89" s="104">
        <v>0.05</v>
      </c>
      <c r="R89" s="104">
        <v>0.04</v>
      </c>
      <c r="S89" s="104">
        <v>0.02</v>
      </c>
      <c r="T89" s="104">
        <v>0.01</v>
      </c>
      <c r="U89" s="104">
        <v>0.02</v>
      </c>
      <c r="V89" s="105">
        <f t="shared" si="15"/>
        <v>0</v>
      </c>
      <c r="W89" s="52"/>
      <c r="X89" s="52">
        <f t="shared" si="14"/>
        <v>977.27830712264267</v>
      </c>
      <c r="Y89" s="52">
        <f t="shared" si="12"/>
        <v>1505.2110816503639</v>
      </c>
      <c r="Z89" s="52">
        <f t="shared" si="13"/>
        <v>2048.9694552441783</v>
      </c>
      <c r="AA89" s="22"/>
      <c r="AJ89" s="22"/>
      <c r="AK89" s="22"/>
      <c r="AL89" s="22"/>
      <c r="AM89" s="22"/>
      <c r="AN89" s="22"/>
      <c r="AO89" s="22"/>
      <c r="AP89" s="22"/>
    </row>
    <row r="90" spans="1:42" hidden="1" x14ac:dyDescent="0.25">
      <c r="A90" s="16"/>
      <c r="B90" s="3" t="s">
        <v>139</v>
      </c>
      <c r="C90" s="3" t="s">
        <v>140</v>
      </c>
      <c r="D90" s="11" t="s">
        <v>6</v>
      </c>
      <c r="E90" s="107">
        <v>746.2023440079563</v>
      </c>
      <c r="F90" s="108">
        <v>1095.9434756837395</v>
      </c>
      <c r="G90" s="109">
        <v>1467.9147628045748</v>
      </c>
      <c r="H90" s="4"/>
      <c r="I90" s="47">
        <v>113.91317482801449</v>
      </c>
      <c r="J90" s="4">
        <v>159.81103045450593</v>
      </c>
      <c r="K90" s="46">
        <v>187.84913721186683</v>
      </c>
      <c r="L90" s="4"/>
      <c r="M90" s="47">
        <v>164.3181558297303</v>
      </c>
      <c r="N90" s="4">
        <v>168.08105349672175</v>
      </c>
      <c r="O90" s="4">
        <v>184.42164731807074</v>
      </c>
      <c r="P90" s="52"/>
      <c r="Q90" s="106">
        <v>0.05</v>
      </c>
      <c r="R90" s="106">
        <v>0.02</v>
      </c>
      <c r="S90" s="106">
        <v>0.04</v>
      </c>
      <c r="T90" s="106">
        <v>0.03</v>
      </c>
      <c r="U90" s="106">
        <v>0.02</v>
      </c>
      <c r="V90" s="105">
        <f t="shared" si="15"/>
        <v>0</v>
      </c>
      <c r="W90" s="52"/>
      <c r="X90" s="52">
        <f t="shared" si="14"/>
        <v>1024.4336746657011</v>
      </c>
      <c r="Y90" s="52">
        <f t="shared" si="12"/>
        <v>1423.8355596349672</v>
      </c>
      <c r="Z90" s="52">
        <f t="shared" si="13"/>
        <v>1840.1855473345124</v>
      </c>
      <c r="AA90" s="22"/>
      <c r="AJ90" s="22"/>
      <c r="AK90" s="22"/>
      <c r="AL90" s="22"/>
      <c r="AM90" s="22"/>
      <c r="AN90" s="22"/>
      <c r="AO90" s="22"/>
      <c r="AP90" s="22"/>
    </row>
    <row r="91" spans="1:42" hidden="1" x14ac:dyDescent="0.25">
      <c r="A91" s="16"/>
      <c r="B91" s="3" t="s">
        <v>141</v>
      </c>
      <c r="C91" s="3" t="s">
        <v>141</v>
      </c>
      <c r="D91" s="11" t="s">
        <v>6</v>
      </c>
      <c r="E91" s="107">
        <v>1009.3823968175037</v>
      </c>
      <c r="F91" s="108">
        <v>1402.8199900546992</v>
      </c>
      <c r="G91" s="109">
        <v>1669.17105917454</v>
      </c>
      <c r="H91" s="4"/>
      <c r="I91" s="47">
        <v>154.08950984984662</v>
      </c>
      <c r="J91" s="4">
        <v>216.17520000221862</v>
      </c>
      <c r="K91" s="46">
        <v>254.1021398305773</v>
      </c>
      <c r="L91" s="4"/>
      <c r="M91" s="47">
        <v>224.40918553111982</v>
      </c>
      <c r="N91" s="4">
        <v>229.54817212954245</v>
      </c>
      <c r="O91" s="4">
        <v>251.86450918935935</v>
      </c>
      <c r="P91" s="52"/>
      <c r="Q91" s="104"/>
      <c r="R91" s="104"/>
      <c r="S91" s="104"/>
      <c r="T91" s="104"/>
      <c r="U91" s="104"/>
      <c r="V91" s="105">
        <v>0.22</v>
      </c>
      <c r="W91" s="52"/>
      <c r="X91" s="52">
        <f t="shared" si="14"/>
        <v>1693.2149324821337</v>
      </c>
      <c r="Y91" s="52">
        <f t="shared" si="12"/>
        <v>2255.2229018674816</v>
      </c>
      <c r="Z91" s="52">
        <f t="shared" si="13"/>
        <v>2653.6680039972612</v>
      </c>
      <c r="AA91" s="22"/>
      <c r="AJ91" s="22"/>
      <c r="AK91" s="22"/>
      <c r="AL91" s="22"/>
      <c r="AM91" s="22"/>
      <c r="AN91" s="22"/>
      <c r="AO91" s="22"/>
      <c r="AP91" s="22"/>
    </row>
    <row r="92" spans="1:42" hidden="1" x14ac:dyDescent="0.25">
      <c r="A92" s="16"/>
      <c r="B92" s="3" t="s">
        <v>142</v>
      </c>
      <c r="C92" s="3" t="s">
        <v>143</v>
      </c>
      <c r="D92" s="11" t="s">
        <v>6</v>
      </c>
      <c r="E92" s="107">
        <v>1234.5493153031327</v>
      </c>
      <c r="F92" s="108">
        <v>1682.1502676537048</v>
      </c>
      <c r="G92" s="109">
        <v>2365.584986106614</v>
      </c>
      <c r="H92" s="4"/>
      <c r="I92" s="47">
        <v>188.46286549112196</v>
      </c>
      <c r="J92" s="4">
        <v>264.39825579453662</v>
      </c>
      <c r="K92" s="46">
        <v>310.78570790809761</v>
      </c>
      <c r="L92" s="4"/>
      <c r="M92" s="47">
        <v>271.8550382485854</v>
      </c>
      <c r="N92" s="4">
        <v>278.08053830985369</v>
      </c>
      <c r="O92" s="4">
        <v>305.11512092110576</v>
      </c>
      <c r="P92" s="52"/>
      <c r="Q92" s="104">
        <v>0.05</v>
      </c>
      <c r="R92" s="104">
        <v>0.02</v>
      </c>
      <c r="S92" s="104">
        <v>0.04</v>
      </c>
      <c r="T92" s="104">
        <v>0.03</v>
      </c>
      <c r="U92" s="104">
        <v>0.02</v>
      </c>
      <c r="V92" s="105">
        <f t="shared" ref="V92" si="16">SUBTOTAL(9,Q92:U92)</f>
        <v>0</v>
      </c>
      <c r="W92" s="52"/>
      <c r="X92" s="52">
        <f t="shared" si="14"/>
        <v>1694.8672190428401</v>
      </c>
      <c r="Y92" s="52">
        <f t="shared" si="12"/>
        <v>2224.6290617580953</v>
      </c>
      <c r="Z92" s="52">
        <f t="shared" si="13"/>
        <v>2981.4858149358174</v>
      </c>
      <c r="AA92" s="22"/>
      <c r="AJ92" s="22"/>
      <c r="AK92" s="22"/>
      <c r="AL92" s="22"/>
      <c r="AM92" s="22"/>
      <c r="AN92" s="22"/>
      <c r="AO92" s="22"/>
      <c r="AP92" s="22"/>
    </row>
    <row r="93" spans="1:42" hidden="1" x14ac:dyDescent="0.25">
      <c r="A93" s="16"/>
      <c r="B93" s="3" t="s">
        <v>144</v>
      </c>
      <c r="C93" s="3" t="s">
        <v>145</v>
      </c>
      <c r="D93" s="11" t="s">
        <v>6</v>
      </c>
      <c r="E93" s="107">
        <v>752.06740427647935</v>
      </c>
      <c r="F93" s="108">
        <v>1066.1323570363004</v>
      </c>
      <c r="G93" s="109">
        <v>1396.1472799602188</v>
      </c>
      <c r="H93" s="4"/>
      <c r="I93" s="47">
        <v>114.80851861929318</v>
      </c>
      <c r="J93" s="4">
        <v>161.06712584567842</v>
      </c>
      <c r="K93" s="46">
        <v>189.32560873461767</v>
      </c>
      <c r="L93" s="4"/>
      <c r="M93" s="47">
        <v>167.99827778779343</v>
      </c>
      <c r="N93" s="4">
        <v>171.84545051410694</v>
      </c>
      <c r="O93" s="4">
        <v>188.55201349952114</v>
      </c>
      <c r="P93" s="52"/>
      <c r="Q93" s="104">
        <v>0.04</v>
      </c>
      <c r="R93" s="104">
        <v>0.03</v>
      </c>
      <c r="S93" s="104">
        <v>0.06</v>
      </c>
      <c r="T93" s="104">
        <v>2.5000000000000001E-2</v>
      </c>
      <c r="U93" s="104">
        <v>0.02</v>
      </c>
      <c r="V93" s="105">
        <f t="shared" ref="V93:V95" si="17">SUBTOTAL(9,Q93:U93)</f>
        <v>0</v>
      </c>
      <c r="W93" s="52"/>
      <c r="X93" s="52">
        <f t="shared" si="14"/>
        <v>1034.874200683566</v>
      </c>
      <c r="Y93" s="52">
        <f t="shared" si="12"/>
        <v>1399.0449333960858</v>
      </c>
      <c r="Z93" s="52">
        <f t="shared" si="13"/>
        <v>1774.0249021943575</v>
      </c>
      <c r="AA93" s="22"/>
      <c r="AJ93" s="22"/>
      <c r="AK93" s="22"/>
      <c r="AL93" s="22"/>
      <c r="AM93" s="22"/>
      <c r="AN93" s="22"/>
      <c r="AO93" s="22"/>
      <c r="AP93" s="22"/>
    </row>
    <row r="94" spans="1:42" hidden="1" x14ac:dyDescent="0.25">
      <c r="A94" s="16"/>
      <c r="B94" s="3" t="s">
        <v>146</v>
      </c>
      <c r="C94" s="3" t="s">
        <v>147</v>
      </c>
      <c r="D94" s="11" t="s">
        <v>6</v>
      </c>
      <c r="E94" s="107">
        <v>963.33580009945297</v>
      </c>
      <c r="F94" s="108">
        <v>1403.5290337145698</v>
      </c>
      <c r="G94" s="109">
        <v>1992.8350245648928</v>
      </c>
      <c r="H94" s="4"/>
      <c r="I94" s="47">
        <v>147.0601644393175</v>
      </c>
      <c r="J94" s="4">
        <v>206.31359325503277</v>
      </c>
      <c r="K94" s="46">
        <v>242.51035975311299</v>
      </c>
      <c r="L94" s="4"/>
      <c r="M94" s="47">
        <v>212.1322231003499</v>
      </c>
      <c r="N94" s="4">
        <v>216.99006637011715</v>
      </c>
      <c r="O94" s="4">
        <v>238.08552278270324</v>
      </c>
      <c r="P94" s="52"/>
      <c r="Q94" s="104">
        <v>0.05</v>
      </c>
      <c r="R94" s="104">
        <v>0.02</v>
      </c>
      <c r="S94" s="104">
        <v>0.04</v>
      </c>
      <c r="T94" s="104">
        <v>0.03</v>
      </c>
      <c r="U94" s="104">
        <v>0.02</v>
      </c>
      <c r="V94" s="105">
        <f t="shared" si="17"/>
        <v>0</v>
      </c>
      <c r="W94" s="52"/>
      <c r="X94" s="52">
        <f t="shared" si="14"/>
        <v>1322.5281876391202</v>
      </c>
      <c r="Y94" s="52">
        <f t="shared" si="12"/>
        <v>1826.8326933397198</v>
      </c>
      <c r="Z94" s="52">
        <f t="shared" si="13"/>
        <v>2473.4309071007092</v>
      </c>
      <c r="AA94" s="22"/>
      <c r="AJ94" s="22"/>
      <c r="AK94" s="22"/>
      <c r="AL94" s="22"/>
      <c r="AM94" s="22"/>
      <c r="AN94" s="22"/>
      <c r="AO94" s="22"/>
      <c r="AP94" s="22"/>
    </row>
    <row r="95" spans="1:42" hidden="1" x14ac:dyDescent="0.25">
      <c r="A95" s="16"/>
      <c r="B95" s="3" t="s">
        <v>148</v>
      </c>
      <c r="C95" s="3" t="s">
        <v>149</v>
      </c>
      <c r="D95" s="11" t="s">
        <v>6</v>
      </c>
      <c r="E95" s="113">
        <v>1248.914066911984</v>
      </c>
      <c r="F95" s="114">
        <v>1701.723135634013</v>
      </c>
      <c r="G95" s="109">
        <v>2393.1100434808554</v>
      </c>
      <c r="H95" s="4"/>
      <c r="I95" s="47">
        <v>190.65574852682929</v>
      </c>
      <c r="J95" s="4">
        <v>267.47469447804883</v>
      </c>
      <c r="K95" s="46">
        <v>314.40189354146349</v>
      </c>
      <c r="L95" s="4"/>
      <c r="M95" s="47">
        <v>277.66264741463419</v>
      </c>
      <c r="N95" s="4">
        <v>284.02114214634145</v>
      </c>
      <c r="O95" s="4">
        <v>311.63326156097565</v>
      </c>
      <c r="P95" s="52"/>
      <c r="Q95" s="104">
        <v>0.04</v>
      </c>
      <c r="R95" s="104">
        <v>0.04</v>
      </c>
      <c r="S95" s="104">
        <v>0.08</v>
      </c>
      <c r="T95" s="104">
        <v>5.0000000000000001E-3</v>
      </c>
      <c r="U95" s="104">
        <v>0.02</v>
      </c>
      <c r="V95" s="105">
        <f t="shared" si="17"/>
        <v>0</v>
      </c>
      <c r="W95" s="52"/>
      <c r="X95" s="52">
        <f t="shared" si="14"/>
        <v>1717.2324628534475</v>
      </c>
      <c r="Y95" s="52">
        <f t="shared" si="12"/>
        <v>2253.2189722584035</v>
      </c>
      <c r="Z95" s="52">
        <f t="shared" si="13"/>
        <v>3019.1451985832946</v>
      </c>
      <c r="AA95" s="22"/>
      <c r="AJ95" s="22"/>
      <c r="AK95" s="22"/>
      <c r="AL95" s="22"/>
      <c r="AM95" s="22"/>
      <c r="AN95" s="22"/>
      <c r="AO95" s="22"/>
      <c r="AP95" s="22"/>
    </row>
    <row r="96" spans="1:42" hidden="1" x14ac:dyDescent="0.25">
      <c r="A96" s="16"/>
      <c r="B96" s="3" t="s">
        <v>150</v>
      </c>
      <c r="C96" s="3" t="s">
        <v>151</v>
      </c>
      <c r="D96" s="11" t="s">
        <v>6</v>
      </c>
      <c r="E96" s="107">
        <v>1002.5789358528094</v>
      </c>
      <c r="F96" s="108">
        <v>1381.4179214321232</v>
      </c>
      <c r="G96" s="109">
        <v>1639.8664147190452</v>
      </c>
      <c r="H96" s="4"/>
      <c r="I96" s="47">
        <v>153.05091241775582</v>
      </c>
      <c r="J96" s="4">
        <v>214.71813126455572</v>
      </c>
      <c r="K96" s="46">
        <v>252.38943511645383</v>
      </c>
      <c r="L96" s="4"/>
      <c r="M96" s="47">
        <v>228.20368023802047</v>
      </c>
      <c r="N96" s="4">
        <v>233.42956103999541</v>
      </c>
      <c r="O96" s="4">
        <v>256.12324104435567</v>
      </c>
      <c r="P96" s="52"/>
      <c r="Q96" s="104"/>
      <c r="R96" s="104"/>
      <c r="S96" s="104"/>
      <c r="T96" s="104"/>
      <c r="U96" s="104"/>
      <c r="V96" s="105">
        <v>0.14000000000000001</v>
      </c>
      <c r="W96" s="52"/>
      <c r="X96" s="52">
        <f t="shared" si="14"/>
        <v>1577.5702224997879</v>
      </c>
      <c r="Y96" s="52">
        <f t="shared" si="12"/>
        <v>2085.7047996598089</v>
      </c>
      <c r="Z96" s="52">
        <f t="shared" si="13"/>
        <v>2449.1521636030348</v>
      </c>
      <c r="AA96" s="22"/>
      <c r="AJ96" s="22"/>
      <c r="AK96" s="22"/>
      <c r="AL96" s="22"/>
      <c r="AM96" s="22"/>
      <c r="AN96" s="22"/>
      <c r="AO96" s="22"/>
      <c r="AP96" s="22"/>
    </row>
    <row r="97" spans="1:42" hidden="1" x14ac:dyDescent="0.25">
      <c r="A97" s="16"/>
      <c r="B97" s="3" t="s">
        <v>152</v>
      </c>
      <c r="C97" s="3" t="s">
        <v>153</v>
      </c>
      <c r="D97" s="11" t="s">
        <v>6</v>
      </c>
      <c r="E97" s="107">
        <v>791.21266036797613</v>
      </c>
      <c r="F97" s="108">
        <v>1361.37093983093</v>
      </c>
      <c r="G97" s="109">
        <v>1695.3626653406266</v>
      </c>
      <c r="H97" s="4"/>
      <c r="I97" s="47">
        <v>120.78432456073168</v>
      </c>
      <c r="J97" s="4">
        <v>169.45070137800198</v>
      </c>
      <c r="K97" s="46">
        <v>199.18004385100861</v>
      </c>
      <c r="L97" s="4"/>
      <c r="M97" s="47">
        <v>176.74262113991662</v>
      </c>
      <c r="N97" s="4">
        <v>180.79003996218299</v>
      </c>
      <c r="O97" s="4">
        <v>198.36618283199851</v>
      </c>
      <c r="P97" s="52"/>
      <c r="Q97" s="104">
        <v>0.04</v>
      </c>
      <c r="R97" s="104">
        <v>0.03</v>
      </c>
      <c r="S97" s="104">
        <v>0.06</v>
      </c>
      <c r="T97" s="104">
        <v>0.04</v>
      </c>
      <c r="U97" s="104">
        <v>0.02</v>
      </c>
      <c r="V97" s="105">
        <f t="shared" ref="V97:V104" si="18">SUBTOTAL(9,Q97:U97)</f>
        <v>0</v>
      </c>
      <c r="W97" s="52"/>
      <c r="X97" s="52">
        <f t="shared" si="14"/>
        <v>1088.7396060686244</v>
      </c>
      <c r="Y97" s="52">
        <f t="shared" si="12"/>
        <v>1711.6116811711149</v>
      </c>
      <c r="Z97" s="52">
        <f t="shared" si="13"/>
        <v>2092.9088920236336</v>
      </c>
      <c r="AA97" s="22"/>
      <c r="AJ97" s="22"/>
      <c r="AK97" s="22"/>
      <c r="AL97" s="22"/>
      <c r="AM97" s="22"/>
      <c r="AN97" s="22"/>
      <c r="AO97" s="22"/>
      <c r="AP97" s="22"/>
    </row>
    <row r="98" spans="1:42" hidden="1" x14ac:dyDescent="0.25">
      <c r="A98" s="16"/>
      <c r="B98" s="3" t="s">
        <v>154</v>
      </c>
      <c r="C98" s="3" t="s">
        <v>155</v>
      </c>
      <c r="D98" s="11" t="s">
        <v>6</v>
      </c>
      <c r="E98" s="107">
        <v>825.60973717056186</v>
      </c>
      <c r="F98" s="108">
        <v>1270.6612336051714</v>
      </c>
      <c r="G98" s="109">
        <v>1716.0124070810539</v>
      </c>
      <c r="H98" s="4"/>
      <c r="I98" s="47">
        <v>126.03528665546318</v>
      </c>
      <c r="J98" s="4">
        <v>176.81737924036128</v>
      </c>
      <c r="K98" s="46">
        <v>207.83917130063659</v>
      </c>
      <c r="L98" s="4"/>
      <c r="M98" s="47">
        <v>181.80413199759201</v>
      </c>
      <c r="N98" s="4">
        <v>185.96745978500968</v>
      </c>
      <c r="O98" s="4">
        <v>204.04694382628605</v>
      </c>
      <c r="P98" s="52"/>
      <c r="Q98" s="104">
        <v>0.05</v>
      </c>
      <c r="R98" s="104">
        <v>0.02</v>
      </c>
      <c r="S98" s="104">
        <v>0.04</v>
      </c>
      <c r="T98" s="104">
        <v>0.03</v>
      </c>
      <c r="U98" s="104">
        <v>0.02</v>
      </c>
      <c r="V98" s="105">
        <f t="shared" si="18"/>
        <v>0</v>
      </c>
      <c r="W98" s="52"/>
      <c r="X98" s="52">
        <f t="shared" si="14"/>
        <v>1133.449155823617</v>
      </c>
      <c r="Y98" s="52">
        <f t="shared" si="12"/>
        <v>1633.4460726305424</v>
      </c>
      <c r="Z98" s="52">
        <f t="shared" si="13"/>
        <v>2127.8985222079764</v>
      </c>
      <c r="AA98" s="22"/>
      <c r="AJ98" s="22"/>
      <c r="AK98" s="22"/>
      <c r="AL98" s="22"/>
      <c r="AM98" s="22"/>
      <c r="AN98" s="22"/>
      <c r="AO98" s="22"/>
      <c r="AP98" s="22"/>
    </row>
    <row r="99" spans="1:42" hidden="1" x14ac:dyDescent="0.25">
      <c r="A99" s="16"/>
      <c r="B99" s="3" t="s">
        <v>156</v>
      </c>
      <c r="C99" s="3" t="s">
        <v>157</v>
      </c>
      <c r="D99" s="11" t="s">
        <v>6</v>
      </c>
      <c r="E99" s="107">
        <v>960.78473754351069</v>
      </c>
      <c r="F99" s="108">
        <v>1330.5906227747391</v>
      </c>
      <c r="G99" s="109">
        <v>2126.3472731974143</v>
      </c>
      <c r="H99" s="4"/>
      <c r="I99" s="47">
        <v>146.67072632341532</v>
      </c>
      <c r="J99" s="4">
        <v>205.76724287287067</v>
      </c>
      <c r="K99" s="46">
        <v>241.86815472125352</v>
      </c>
      <c r="L99" s="4"/>
      <c r="M99" s="47">
        <v>211.57046408422676</v>
      </c>
      <c r="N99" s="4">
        <v>216.41544303184705</v>
      </c>
      <c r="O99" s="4">
        <v>237.45503540517592</v>
      </c>
      <c r="P99" s="52"/>
      <c r="Q99" s="104">
        <v>0.05</v>
      </c>
      <c r="R99" s="104">
        <v>0.02</v>
      </c>
      <c r="S99" s="104">
        <v>0.04</v>
      </c>
      <c r="T99" s="104">
        <v>0.03</v>
      </c>
      <c r="U99" s="104">
        <v>0.02</v>
      </c>
      <c r="V99" s="105">
        <f t="shared" si="18"/>
        <v>0</v>
      </c>
      <c r="W99" s="52"/>
      <c r="X99" s="52">
        <f t="shared" si="14"/>
        <v>1319.0259279511529</v>
      </c>
      <c r="Y99" s="52">
        <f t="shared" si="12"/>
        <v>1752.7733086794567</v>
      </c>
      <c r="Z99" s="52">
        <f t="shared" si="13"/>
        <v>2605.6704633238437</v>
      </c>
      <c r="AA99" s="22"/>
      <c r="AJ99" s="22"/>
      <c r="AK99" s="22"/>
      <c r="AL99" s="22"/>
      <c r="AM99" s="22"/>
      <c r="AN99" s="22"/>
      <c r="AO99" s="22"/>
      <c r="AP99" s="22"/>
    </row>
    <row r="100" spans="1:42" hidden="1" x14ac:dyDescent="0.25">
      <c r="A100" s="16"/>
      <c r="B100" s="3" t="s">
        <v>158</v>
      </c>
      <c r="C100" s="3" t="s">
        <v>159</v>
      </c>
      <c r="D100" s="11" t="s">
        <v>6</v>
      </c>
      <c r="E100" s="107">
        <v>925.81870059671814</v>
      </c>
      <c r="F100" s="108">
        <v>925.81870059671814</v>
      </c>
      <c r="G100" s="109">
        <v>925.81870059671814</v>
      </c>
      <c r="H100" s="4"/>
      <c r="I100" s="47">
        <v>141.33287575540098</v>
      </c>
      <c r="J100" s="4">
        <v>198.27866746467515</v>
      </c>
      <c r="K100" s="46">
        <v>233.06574336469833</v>
      </c>
      <c r="L100" s="4"/>
      <c r="M100" s="47">
        <v>205.83098465266522</v>
      </c>
      <c r="N100" s="4">
        <v>210.54452910569967</v>
      </c>
      <c r="O100" s="4">
        <v>231.0133598266502</v>
      </c>
      <c r="P100" s="52"/>
      <c r="Q100" s="104">
        <v>4.4999999999999998E-2</v>
      </c>
      <c r="R100" s="104">
        <v>5.0000000000000001E-3</v>
      </c>
      <c r="S100" s="104">
        <v>7.0000000000000007E-2</v>
      </c>
      <c r="T100" s="104">
        <v>0.03</v>
      </c>
      <c r="U100" s="104" t="s">
        <v>250</v>
      </c>
      <c r="V100" s="105">
        <f t="shared" si="18"/>
        <v>0</v>
      </c>
      <c r="W100" s="52"/>
      <c r="X100" s="52">
        <f t="shared" si="14"/>
        <v>1272.9825610047842</v>
      </c>
      <c r="Y100" s="52">
        <f t="shared" si="12"/>
        <v>1334.641897167093</v>
      </c>
      <c r="Z100" s="52">
        <f t="shared" si="13"/>
        <v>1389.8978037880668</v>
      </c>
      <c r="AA100" s="22"/>
      <c r="AJ100" s="22"/>
      <c r="AK100" s="22"/>
      <c r="AL100" s="22"/>
      <c r="AM100" s="22"/>
      <c r="AN100" s="22"/>
      <c r="AO100" s="22"/>
      <c r="AP100" s="22"/>
    </row>
    <row r="101" spans="1:42" hidden="1" x14ac:dyDescent="0.25">
      <c r="A101" s="16"/>
      <c r="B101" s="3" t="s">
        <v>160</v>
      </c>
      <c r="C101" s="3" t="s">
        <v>161</v>
      </c>
      <c r="D101" s="11" t="s">
        <v>6</v>
      </c>
      <c r="E101" s="107">
        <v>1442.5164296369965</v>
      </c>
      <c r="F101" s="108">
        <v>1664.3682396817503</v>
      </c>
      <c r="G101" s="109">
        <v>1801.1297762307311</v>
      </c>
      <c r="H101" s="4"/>
      <c r="I101" s="47">
        <v>220.21054685908413</v>
      </c>
      <c r="J101" s="4">
        <v>308.93770157519805</v>
      </c>
      <c r="K101" s="46">
        <v>363.13939362050996</v>
      </c>
      <c r="L101" s="4"/>
      <c r="M101" s="47">
        <v>354.30261798224149</v>
      </c>
      <c r="N101" s="4">
        <v>362.41617358954664</v>
      </c>
      <c r="O101" s="4">
        <v>397.64974313062407</v>
      </c>
      <c r="P101" s="52"/>
      <c r="V101" s="105">
        <v>0.192</v>
      </c>
      <c r="W101" s="52"/>
      <c r="X101" s="52">
        <f t="shared" si="14"/>
        <v>2404.2992766181596</v>
      </c>
      <c r="Y101" s="52">
        <f t="shared" si="12"/>
        <v>2784.1807608970221</v>
      </c>
      <c r="Z101" s="52">
        <f t="shared" si="13"/>
        <v>3053.807344274383</v>
      </c>
      <c r="AA101" s="22"/>
      <c r="AJ101" s="22"/>
      <c r="AK101" s="22"/>
      <c r="AL101" s="22"/>
      <c r="AM101" s="22"/>
      <c r="AN101" s="22"/>
      <c r="AO101" s="22"/>
      <c r="AP101" s="22"/>
    </row>
    <row r="102" spans="1:42" hidden="1" x14ac:dyDescent="0.25">
      <c r="A102" s="16"/>
      <c r="B102" s="3" t="s">
        <v>162</v>
      </c>
      <c r="C102" s="3" t="s">
        <v>163</v>
      </c>
      <c r="D102" s="11" t="s">
        <v>6</v>
      </c>
      <c r="E102" s="107">
        <v>1137.7632968672301</v>
      </c>
      <c r="F102" s="108">
        <v>1137.7632968672301</v>
      </c>
      <c r="G102" s="109">
        <v>1137.7632968672301</v>
      </c>
      <c r="H102" s="4"/>
      <c r="I102" s="47">
        <v>173.69516082249194</v>
      </c>
      <c r="J102" s="4">
        <v>243.68035284692098</v>
      </c>
      <c r="K102" s="46">
        <v>286.43294463211896</v>
      </c>
      <c r="L102" s="4"/>
      <c r="M102" s="47">
        <v>252.96199338199852</v>
      </c>
      <c r="N102" s="4">
        <v>258.75484134775212</v>
      </c>
      <c r="O102" s="4">
        <v>283.91060800799431</v>
      </c>
      <c r="P102" s="52"/>
      <c r="Q102" s="104">
        <v>4.4999999999999998E-2</v>
      </c>
      <c r="R102" s="104">
        <v>5.0000000000000001E-3</v>
      </c>
      <c r="S102" s="104">
        <v>7.0000000000000007E-2</v>
      </c>
      <c r="T102" s="104">
        <v>0.03</v>
      </c>
      <c r="U102" s="104" t="s">
        <v>250</v>
      </c>
      <c r="V102" s="105">
        <f t="shared" si="18"/>
        <v>0</v>
      </c>
      <c r="W102" s="52"/>
      <c r="X102" s="52">
        <f t="shared" si="14"/>
        <v>1564.4204510717207</v>
      </c>
      <c r="Y102" s="52">
        <f t="shared" si="12"/>
        <v>1640.198491061903</v>
      </c>
      <c r="Z102" s="52">
        <f t="shared" si="13"/>
        <v>1708.1068495073434</v>
      </c>
      <c r="AA102" s="22"/>
      <c r="AJ102" s="22"/>
      <c r="AK102" s="22"/>
      <c r="AL102" s="22"/>
      <c r="AM102" s="22"/>
      <c r="AN102" s="22"/>
      <c r="AO102" s="22"/>
      <c r="AP102" s="22"/>
    </row>
    <row r="103" spans="1:42" hidden="1" x14ac:dyDescent="0.25">
      <c r="A103" s="16"/>
      <c r="B103" s="3" t="s">
        <v>164</v>
      </c>
      <c r="C103" s="3" t="s">
        <v>165</v>
      </c>
      <c r="D103" s="11" t="s">
        <v>6</v>
      </c>
      <c r="E103" s="107">
        <v>767.68974042764796</v>
      </c>
      <c r="F103" s="108">
        <v>1088.4362526106415</v>
      </c>
      <c r="G103" s="109">
        <v>1356.5160243659871</v>
      </c>
      <c r="H103" s="4"/>
      <c r="I103" s="47">
        <v>117.19338101419218</v>
      </c>
      <c r="J103" s="4">
        <v>164.41289614306876</v>
      </c>
      <c r="K103" s="46">
        <v>193.2583789688525</v>
      </c>
      <c r="L103" s="4"/>
      <c r="M103" s="47">
        <v>169.04980721305591</v>
      </c>
      <c r="N103" s="4">
        <v>172.92106003935055</v>
      </c>
      <c r="O103" s="4">
        <v>189.73219220729143</v>
      </c>
      <c r="P103" s="52"/>
      <c r="Q103" s="104">
        <v>0.05</v>
      </c>
      <c r="R103" s="104">
        <v>0.02</v>
      </c>
      <c r="S103" s="104">
        <v>0.04</v>
      </c>
      <c r="T103" s="104">
        <v>0.03</v>
      </c>
      <c r="U103" s="104">
        <v>0.02</v>
      </c>
      <c r="V103" s="105">
        <f t="shared" si="18"/>
        <v>0</v>
      </c>
      <c r="W103" s="52"/>
      <c r="X103" s="52">
        <f t="shared" si="14"/>
        <v>1053.9329286548959</v>
      </c>
      <c r="Y103" s="52">
        <f t="shared" si="12"/>
        <v>1425.7702087930609</v>
      </c>
      <c r="Z103" s="52">
        <f t="shared" si="13"/>
        <v>1739.506595542131</v>
      </c>
      <c r="AA103" s="22"/>
      <c r="AJ103" s="22"/>
      <c r="AK103" s="22"/>
      <c r="AL103" s="22"/>
      <c r="AM103" s="22"/>
      <c r="AN103" s="22"/>
      <c r="AO103" s="22"/>
      <c r="AP103" s="22"/>
    </row>
    <row r="104" spans="1:42" hidden="1" x14ac:dyDescent="0.25">
      <c r="A104" s="16"/>
      <c r="B104" s="3" t="s">
        <v>166</v>
      </c>
      <c r="C104" s="3" t="s">
        <v>167</v>
      </c>
      <c r="D104" s="11" t="s">
        <v>6</v>
      </c>
      <c r="E104" s="107">
        <v>686.05941819990062</v>
      </c>
      <c r="F104" s="108">
        <v>1162.8963252113376</v>
      </c>
      <c r="G104" s="109">
        <v>1660.5452909000498</v>
      </c>
      <c r="H104" s="4"/>
      <c r="I104" s="47">
        <v>104.73192301708707</v>
      </c>
      <c r="J104" s="4">
        <v>146.93047195034799</v>
      </c>
      <c r="K104" s="46">
        <v>172.70874424317344</v>
      </c>
      <c r="L104" s="4"/>
      <c r="M104" s="47">
        <v>168.50598229981094</v>
      </c>
      <c r="N104" s="4">
        <v>172.3647814962132</v>
      </c>
      <c r="O104" s="4">
        <v>189.12183307900881</v>
      </c>
      <c r="P104" s="52"/>
      <c r="Q104" s="104">
        <v>0.05</v>
      </c>
      <c r="R104" s="104">
        <v>0.03</v>
      </c>
      <c r="S104" s="104">
        <v>0.03</v>
      </c>
      <c r="T104" s="104">
        <v>0.02</v>
      </c>
      <c r="U104" s="104">
        <v>0.05</v>
      </c>
      <c r="V104" s="105">
        <f t="shared" si="18"/>
        <v>0</v>
      </c>
      <c r="W104" s="52"/>
      <c r="X104" s="52">
        <f t="shared" si="14"/>
        <v>959.29732351679866</v>
      </c>
      <c r="Y104" s="52">
        <f t="shared" si="12"/>
        <v>1482.1915786578988</v>
      </c>
      <c r="Z104" s="52">
        <f t="shared" si="13"/>
        <v>2022.3758682222322</v>
      </c>
      <c r="AA104" s="22"/>
      <c r="AJ104" s="22"/>
      <c r="AK104" s="22"/>
      <c r="AL104" s="22"/>
      <c r="AM104" s="22"/>
      <c r="AN104" s="22"/>
      <c r="AO104" s="22"/>
      <c r="AP104" s="22"/>
    </row>
    <row r="105" spans="1:42" hidden="1" x14ac:dyDescent="0.25">
      <c r="A105" s="16"/>
      <c r="B105" s="3" t="s">
        <v>168</v>
      </c>
      <c r="C105" s="3" t="s">
        <v>169</v>
      </c>
      <c r="D105" s="11" t="s">
        <v>6</v>
      </c>
      <c r="E105" s="107">
        <v>1247.6312498219791</v>
      </c>
      <c r="F105" s="108">
        <v>1699.975217519642</v>
      </c>
      <c r="G105" s="109">
        <v>2390.6519700686231</v>
      </c>
      <c r="H105" s="4"/>
      <c r="I105" s="47">
        <v>190.45991723707317</v>
      </c>
      <c r="J105" s="4">
        <v>267.19995891512195</v>
      </c>
      <c r="K105" s="46">
        <v>314.07895689365853</v>
      </c>
      <c r="L105" s="4"/>
      <c r="M105" s="47">
        <v>283.98167227317072</v>
      </c>
      <c r="N105" s="4">
        <v>290.48487313170727</v>
      </c>
      <c r="O105" s="4">
        <v>318.72538700487803</v>
      </c>
      <c r="P105" s="52"/>
      <c r="Q105" s="104"/>
      <c r="R105" s="104"/>
      <c r="S105" s="104"/>
      <c r="T105" s="104"/>
      <c r="U105" s="104"/>
      <c r="V105" s="105">
        <v>0.16</v>
      </c>
      <c r="W105" s="52"/>
      <c r="X105" s="52">
        <f t="shared" si="14"/>
        <v>1997.6044936253784</v>
      </c>
      <c r="Y105" s="52">
        <f t="shared" si="12"/>
        <v>2618.8856574971064</v>
      </c>
      <c r="Z105" s="52">
        <f t="shared" si="13"/>
        <v>3507.209324201905</v>
      </c>
      <c r="AA105" s="22"/>
      <c r="AJ105" s="22"/>
      <c r="AK105" s="22"/>
      <c r="AL105" s="22"/>
      <c r="AM105" s="22"/>
      <c r="AN105" s="22"/>
      <c r="AO105" s="22"/>
      <c r="AP105" s="22"/>
    </row>
    <row r="106" spans="1:42" hidden="1" x14ac:dyDescent="0.25">
      <c r="A106" s="16"/>
      <c r="B106" s="3" t="s">
        <v>170</v>
      </c>
      <c r="C106" s="3" t="s">
        <v>171</v>
      </c>
      <c r="D106" s="11" t="s">
        <v>6</v>
      </c>
      <c r="E106" s="107">
        <v>1298.5023968175039</v>
      </c>
      <c r="F106" s="108">
        <v>1781.9915713575338</v>
      </c>
      <c r="G106" s="109">
        <v>2194.8238090502241</v>
      </c>
      <c r="H106" s="4"/>
      <c r="I106" s="47">
        <v>198.22576507705401</v>
      </c>
      <c r="J106" s="4">
        <v>278.09481938700327</v>
      </c>
      <c r="K106" s="46">
        <v>326.88527028683319</v>
      </c>
      <c r="L106" s="4"/>
      <c r="M106" s="47">
        <v>283.18848114189836</v>
      </c>
      <c r="N106" s="4">
        <v>289.67351786609282</v>
      </c>
      <c r="O106" s="4">
        <v>317.83515296878704</v>
      </c>
      <c r="P106" s="52"/>
      <c r="Q106" s="104">
        <v>0.14000000000000001</v>
      </c>
      <c r="R106" s="104">
        <v>0.08</v>
      </c>
      <c r="S106" s="104">
        <v>0.04</v>
      </c>
      <c r="T106" s="104">
        <v>0.02</v>
      </c>
      <c r="U106" s="104">
        <v>0.01</v>
      </c>
      <c r="V106" s="105">
        <f t="shared" ref="V106:V108" si="19">SUBTOTAL(9,Q106:U106)</f>
        <v>0</v>
      </c>
      <c r="W106" s="52"/>
      <c r="X106" s="52">
        <f t="shared" si="14"/>
        <v>1779.9166430364564</v>
      </c>
      <c r="Y106" s="52">
        <f t="shared" si="12"/>
        <v>2349.7599086106297</v>
      </c>
      <c r="Z106" s="52">
        <f t="shared" si="13"/>
        <v>2839.5442323058442</v>
      </c>
      <c r="AA106" s="22"/>
      <c r="AJ106" s="22"/>
      <c r="AK106" s="22"/>
      <c r="AL106" s="22"/>
      <c r="AM106" s="22"/>
      <c r="AN106" s="22"/>
      <c r="AO106" s="22"/>
      <c r="AP106" s="22"/>
    </row>
    <row r="107" spans="1:42" hidden="1" x14ac:dyDescent="0.25">
      <c r="A107" s="16"/>
      <c r="B107" s="3" t="s">
        <v>170</v>
      </c>
      <c r="C107" s="3" t="s">
        <v>172</v>
      </c>
      <c r="D107" s="11" t="s">
        <v>6</v>
      </c>
      <c r="E107" s="107">
        <v>2004.5162403729491</v>
      </c>
      <c r="F107" s="108">
        <v>2731.2781178219798</v>
      </c>
      <c r="G107" s="109">
        <v>3840.959177454004</v>
      </c>
      <c r="H107" s="4"/>
      <c r="I107" s="47">
        <v>306.0038751804878</v>
      </c>
      <c r="J107" s="4">
        <v>429.29884703414649</v>
      </c>
      <c r="K107" s="46">
        <v>504.61734582439038</v>
      </c>
      <c r="L107" s="4"/>
      <c r="M107" s="47">
        <v>437.16200364878057</v>
      </c>
      <c r="N107" s="4">
        <v>447.17304518780492</v>
      </c>
      <c r="O107" s="4">
        <v>490.64655363658545</v>
      </c>
      <c r="P107" s="52"/>
      <c r="Q107" s="104">
        <v>0.14000000000000001</v>
      </c>
      <c r="R107" s="104">
        <v>0.08</v>
      </c>
      <c r="S107" s="104">
        <v>0.04</v>
      </c>
      <c r="T107" s="104">
        <v>0.02</v>
      </c>
      <c r="U107" s="104">
        <v>0.01</v>
      </c>
      <c r="V107" s="105">
        <f t="shared" si="19"/>
        <v>0</v>
      </c>
      <c r="W107" s="52"/>
      <c r="X107" s="52">
        <f t="shared" si="14"/>
        <v>2747.6821192022176</v>
      </c>
      <c r="Y107" s="52">
        <f t="shared" si="12"/>
        <v>3607.7500100439311</v>
      </c>
      <c r="Z107" s="52">
        <f t="shared" si="13"/>
        <v>4836.2230769149801</v>
      </c>
      <c r="AA107" s="22"/>
      <c r="AJ107" s="22"/>
      <c r="AK107" s="22"/>
      <c r="AL107" s="22"/>
      <c r="AM107" s="22"/>
      <c r="AN107" s="22"/>
      <c r="AO107" s="22"/>
      <c r="AP107" s="22"/>
    </row>
    <row r="108" spans="1:42" ht="14.15" hidden="1" customHeight="1" x14ac:dyDescent="0.25">
      <c r="A108" s="16"/>
      <c r="B108" s="3" t="s">
        <v>173</v>
      </c>
      <c r="C108" s="3" t="s">
        <v>174</v>
      </c>
      <c r="D108" s="11" t="s">
        <v>6</v>
      </c>
      <c r="E108" s="107">
        <v>1091.5971675261062</v>
      </c>
      <c r="F108" s="108">
        <v>1487.3690704475384</v>
      </c>
      <c r="G108" s="109">
        <v>2091.6668442217801</v>
      </c>
      <c r="H108" s="4"/>
      <c r="I108" s="47">
        <v>166.64018812682926</v>
      </c>
      <c r="J108" s="4">
        <v>233.78279307804883</v>
      </c>
      <c r="K108" s="46">
        <v>274.79890374146345</v>
      </c>
      <c r="L108" s="4"/>
      <c r="M108" s="47">
        <v>346.69634487804876</v>
      </c>
      <c r="N108" s="4">
        <v>354.63571628048777</v>
      </c>
      <c r="O108" s="4">
        <v>389.11288115853665</v>
      </c>
      <c r="P108" s="52"/>
      <c r="Q108" s="104">
        <v>0.05</v>
      </c>
      <c r="R108" s="104">
        <v>0.01</v>
      </c>
      <c r="S108" s="104">
        <v>0.03</v>
      </c>
      <c r="T108" s="104">
        <v>0.01</v>
      </c>
      <c r="U108" s="104">
        <v>0.01</v>
      </c>
      <c r="V108" s="105">
        <f t="shared" si="19"/>
        <v>0</v>
      </c>
      <c r="W108" s="52"/>
      <c r="X108" s="52">
        <f t="shared" si="14"/>
        <v>1604.9337005309844</v>
      </c>
      <c r="Y108" s="52">
        <f t="shared" si="12"/>
        <v>2075.787579806075</v>
      </c>
      <c r="Z108" s="52">
        <f t="shared" si="13"/>
        <v>2755.5786291217805</v>
      </c>
      <c r="AA108" s="22"/>
      <c r="AJ108" s="22"/>
      <c r="AK108" s="22"/>
      <c r="AL108" s="22"/>
      <c r="AM108" s="22"/>
      <c r="AN108" s="22"/>
      <c r="AO108" s="22"/>
      <c r="AP108" s="22"/>
    </row>
    <row r="109" spans="1:42" hidden="1" x14ac:dyDescent="0.25">
      <c r="A109" s="16"/>
      <c r="B109" s="3" t="s">
        <v>175</v>
      </c>
      <c r="C109" s="3" t="s">
        <v>176</v>
      </c>
      <c r="D109" s="11" t="s">
        <v>6</v>
      </c>
      <c r="E109" s="107">
        <v>1499.8651601442068</v>
      </c>
      <c r="F109" s="108">
        <v>2043.6596167578318</v>
      </c>
      <c r="G109" s="109">
        <v>2873.9706547488813</v>
      </c>
      <c r="H109" s="4"/>
      <c r="I109" s="113">
        <v>133.24316664438598</v>
      </c>
      <c r="J109" s="114">
        <v>183.22862465458508</v>
      </c>
      <c r="K109" s="109">
        <v>192.6961170643543</v>
      </c>
      <c r="L109" s="4"/>
      <c r="M109" s="113">
        <v>322.3397489268292</v>
      </c>
      <c r="N109" s="114">
        <v>329.72135251829258</v>
      </c>
      <c r="O109" s="109">
        <v>361.77637944512185</v>
      </c>
      <c r="P109" s="52"/>
      <c r="Q109" s="104" t="s">
        <v>252</v>
      </c>
      <c r="R109" s="104" t="s">
        <v>252</v>
      </c>
      <c r="S109" s="104" t="s">
        <v>252</v>
      </c>
      <c r="T109" s="104" t="s">
        <v>252</v>
      </c>
      <c r="U109" s="104">
        <v>0.12</v>
      </c>
      <c r="V109" s="105">
        <f t="shared" ref="V109:V111" si="20">SUBTOTAL(9,Q109:U109)</f>
        <v>0</v>
      </c>
      <c r="W109" s="52"/>
      <c r="X109" s="52">
        <f t="shared" si="14"/>
        <v>1955.448075715422</v>
      </c>
      <c r="Y109" s="52">
        <f t="shared" si="12"/>
        <v>2556.6095939307093</v>
      </c>
      <c r="Z109" s="52">
        <f t="shared" si="13"/>
        <v>3428.4431512583578</v>
      </c>
      <c r="AA109" s="22"/>
      <c r="AJ109" s="22"/>
      <c r="AK109" s="22"/>
      <c r="AL109" s="22"/>
      <c r="AM109" s="22"/>
      <c r="AN109" s="22"/>
      <c r="AO109" s="22"/>
      <c r="AP109" s="22"/>
    </row>
    <row r="110" spans="1:42" hidden="1" x14ac:dyDescent="0.25">
      <c r="A110" s="16"/>
      <c r="B110" s="3" t="s">
        <v>175</v>
      </c>
      <c r="C110" s="3" t="s">
        <v>177</v>
      </c>
      <c r="D110" s="11" t="s">
        <v>6</v>
      </c>
      <c r="E110" s="107">
        <v>1499.8651601442068</v>
      </c>
      <c r="F110" s="108">
        <v>2043.6596167578318</v>
      </c>
      <c r="G110" s="109">
        <v>2873.9706547488813</v>
      </c>
      <c r="H110" s="4"/>
      <c r="I110" s="113">
        <v>133.24316664438598</v>
      </c>
      <c r="J110" s="114">
        <v>183.22862465458508</v>
      </c>
      <c r="K110" s="114">
        <v>192.6961170643543</v>
      </c>
      <c r="L110" s="52"/>
      <c r="M110" s="113">
        <v>322.3397489268292</v>
      </c>
      <c r="N110" s="114">
        <v>329.72135251829258</v>
      </c>
      <c r="O110" s="114">
        <v>361.77637944512185</v>
      </c>
      <c r="P110" s="52"/>
      <c r="Q110" s="104" t="s">
        <v>252</v>
      </c>
      <c r="R110" s="104" t="s">
        <v>252</v>
      </c>
      <c r="S110" s="104" t="s">
        <v>252</v>
      </c>
      <c r="T110" s="104" t="s">
        <v>252</v>
      </c>
      <c r="U110" s="104">
        <v>0.12</v>
      </c>
      <c r="V110" s="105">
        <f t="shared" si="20"/>
        <v>0</v>
      </c>
      <c r="W110" s="52"/>
      <c r="X110" s="52">
        <f t="shared" si="14"/>
        <v>1955.448075715422</v>
      </c>
      <c r="Y110" s="52">
        <f t="shared" si="12"/>
        <v>2556.6095939307093</v>
      </c>
      <c r="Z110" s="52">
        <f t="shared" si="13"/>
        <v>3428.4431512583578</v>
      </c>
      <c r="AA110" s="22"/>
      <c r="AJ110" s="22"/>
      <c r="AK110" s="22"/>
      <c r="AL110" s="22"/>
      <c r="AM110" s="22"/>
      <c r="AN110" s="22"/>
      <c r="AO110" s="22"/>
      <c r="AP110" s="22"/>
    </row>
    <row r="111" spans="1:42" hidden="1" x14ac:dyDescent="0.25">
      <c r="A111" s="16"/>
      <c r="B111" s="3" t="s">
        <v>178</v>
      </c>
      <c r="C111" s="3" t="s">
        <v>179</v>
      </c>
      <c r="D111" s="11" t="s">
        <v>6</v>
      </c>
      <c r="E111" s="107">
        <v>945.77247523620088</v>
      </c>
      <c r="F111" s="108">
        <v>1309.8001442715067</v>
      </c>
      <c r="G111" s="109">
        <v>2093.1230970313277</v>
      </c>
      <c r="H111" s="4"/>
      <c r="I111" s="113">
        <v>144.37899610505198</v>
      </c>
      <c r="J111" s="114">
        <v>202.55212953524901</v>
      </c>
      <c r="K111" s="114">
        <v>238.08896460657292</v>
      </c>
      <c r="L111" s="52"/>
      <c r="M111" s="113">
        <v>208.2646754104471</v>
      </c>
      <c r="N111" s="114">
        <v>213.0339515580614</v>
      </c>
      <c r="O111" s="114">
        <v>233.74480028340642</v>
      </c>
      <c r="P111" s="52"/>
      <c r="Q111" s="104">
        <v>0.05</v>
      </c>
      <c r="R111" s="104">
        <v>0.02</v>
      </c>
      <c r="S111" s="104">
        <v>0.04</v>
      </c>
      <c r="T111" s="104">
        <v>0.03</v>
      </c>
      <c r="U111" s="104">
        <v>0.02</v>
      </c>
      <c r="V111" s="105">
        <f t="shared" si="20"/>
        <v>0</v>
      </c>
      <c r="W111" s="52"/>
      <c r="X111" s="52">
        <f t="shared" si="14"/>
        <v>1298.4161467516999</v>
      </c>
      <c r="Y111" s="52">
        <f t="shared" si="12"/>
        <v>1725.3862253648172</v>
      </c>
      <c r="Z111" s="52">
        <f t="shared" si="13"/>
        <v>2564.9568619213069</v>
      </c>
      <c r="AA111" s="22"/>
      <c r="AJ111" s="22"/>
      <c r="AK111" s="22"/>
      <c r="AL111" s="22"/>
      <c r="AM111" s="22"/>
      <c r="AN111" s="22"/>
      <c r="AO111" s="22"/>
      <c r="AP111" s="22"/>
    </row>
    <row r="112" spans="1:42" hidden="1" x14ac:dyDescent="0.25">
      <c r="A112" s="16"/>
      <c r="B112" s="3" t="s">
        <v>180</v>
      </c>
      <c r="C112" s="3" t="s">
        <v>181</v>
      </c>
      <c r="D112" s="11" t="s">
        <v>8</v>
      </c>
      <c r="E112" s="107">
        <v>987.46489582297363</v>
      </c>
      <c r="F112" s="108">
        <v>1487.1147856787666</v>
      </c>
      <c r="G112" s="114">
        <v>1927.5031282943808</v>
      </c>
      <c r="H112" s="52"/>
      <c r="I112" s="108">
        <v>95.504500000000007</v>
      </c>
      <c r="J112" s="108">
        <v>131.33250000000001</v>
      </c>
      <c r="K112" s="114">
        <v>138.11850000000001</v>
      </c>
      <c r="L112" s="52"/>
      <c r="M112" s="108">
        <v>204.82992000000002</v>
      </c>
      <c r="N112" s="108">
        <v>209.52053999999998</v>
      </c>
      <c r="O112" s="114">
        <v>229.88981999999999</v>
      </c>
      <c r="P112" s="52"/>
      <c r="Q112" s="104">
        <v>0.04</v>
      </c>
      <c r="R112" s="104">
        <v>0.02</v>
      </c>
      <c r="S112" s="104">
        <v>0.04</v>
      </c>
      <c r="T112" s="104">
        <v>0.02</v>
      </c>
      <c r="U112" s="104">
        <v>0.02</v>
      </c>
      <c r="V112" s="105">
        <f>SUBTOTAL(9,Q112:U112)</f>
        <v>0</v>
      </c>
      <c r="W112" s="52"/>
      <c r="X112" s="52">
        <f t="shared" si="14"/>
        <v>1287.7993158229738</v>
      </c>
      <c r="Y112" s="52">
        <f t="shared" si="12"/>
        <v>1827.9678256787665</v>
      </c>
      <c r="Z112" s="52">
        <f t="shared" si="13"/>
        <v>2295.5114482943804</v>
      </c>
      <c r="AA112" s="22"/>
      <c r="AJ112" s="22"/>
      <c r="AK112" s="22"/>
      <c r="AL112" s="22"/>
      <c r="AM112" s="22"/>
      <c r="AN112" s="22"/>
      <c r="AO112" s="22"/>
      <c r="AP112" s="22"/>
    </row>
    <row r="113" spans="1:42" hidden="1" x14ac:dyDescent="0.25">
      <c r="A113" s="16"/>
      <c r="B113" s="3" t="s">
        <v>182</v>
      </c>
      <c r="C113" s="3" t="s">
        <v>183</v>
      </c>
      <c r="D113" s="11" t="s">
        <v>8</v>
      </c>
      <c r="E113" s="107">
        <v>1240.5316360019892</v>
      </c>
      <c r="F113" s="108">
        <v>1794.1551864743908</v>
      </c>
      <c r="G113" s="114">
        <v>2201.2012332173049</v>
      </c>
      <c r="H113" s="52"/>
      <c r="I113" s="108">
        <v>110.2048156699323</v>
      </c>
      <c r="J113" s="108">
        <v>151.54756010419806</v>
      </c>
      <c r="K113" s="114">
        <v>159.37807991359091</v>
      </c>
      <c r="L113" s="52"/>
      <c r="M113" s="108">
        <v>276.5005056</v>
      </c>
      <c r="N113" s="108">
        <v>282.83238719999997</v>
      </c>
      <c r="O113" s="114">
        <v>310.32893760000007</v>
      </c>
      <c r="P113" s="52"/>
      <c r="Q113" s="104">
        <v>0.05</v>
      </c>
      <c r="R113" s="104">
        <v>0.05</v>
      </c>
      <c r="S113" s="104">
        <v>0.03</v>
      </c>
      <c r="T113" s="104">
        <v>0.05</v>
      </c>
      <c r="U113" s="104">
        <v>5.0000000000000001E-3</v>
      </c>
      <c r="V113" s="105">
        <f t="shared" ref="V113:V135" si="21">SUBTOTAL(9,Q113:U113)</f>
        <v>0</v>
      </c>
      <c r="W113" s="52"/>
      <c r="X113" s="52">
        <f t="shared" si="14"/>
        <v>1627.2369572719215</v>
      </c>
      <c r="Y113" s="52">
        <f t="shared" si="12"/>
        <v>2228.5351337785887</v>
      </c>
      <c r="Z113" s="52">
        <f t="shared" si="13"/>
        <v>2670.9082507308958</v>
      </c>
      <c r="AA113" s="22"/>
      <c r="AJ113" s="22"/>
      <c r="AK113" s="22"/>
      <c r="AL113" s="22"/>
      <c r="AM113" s="22"/>
      <c r="AN113" s="22"/>
      <c r="AO113" s="22"/>
      <c r="AP113" s="22"/>
    </row>
    <row r="114" spans="1:42" hidden="1" x14ac:dyDescent="0.25">
      <c r="A114" s="21"/>
      <c r="B114" s="3" t="s">
        <v>182</v>
      </c>
      <c r="C114" s="3" t="s">
        <v>184</v>
      </c>
      <c r="D114" s="11" t="s">
        <v>8</v>
      </c>
      <c r="E114" s="107">
        <v>1265.3422687220291</v>
      </c>
      <c r="F114" s="108">
        <v>1830.0382902038787</v>
      </c>
      <c r="G114" s="114">
        <v>2245.225257881651</v>
      </c>
      <c r="H114" s="52"/>
      <c r="I114" s="108">
        <v>112.40891198333095</v>
      </c>
      <c r="J114" s="108">
        <v>154.57851130628202</v>
      </c>
      <c r="K114" s="114">
        <v>162.56564151186274</v>
      </c>
      <c r="L114" s="52"/>
      <c r="M114" s="108">
        <v>282.03051571200001</v>
      </c>
      <c r="N114" s="108">
        <v>288.48903494399997</v>
      </c>
      <c r="O114" s="114">
        <v>316.53551635200006</v>
      </c>
      <c r="P114" s="102"/>
      <c r="Q114" s="104">
        <v>0.05</v>
      </c>
      <c r="R114" s="104">
        <v>0.05</v>
      </c>
      <c r="S114" s="104">
        <v>0.03</v>
      </c>
      <c r="T114" s="104">
        <v>0.05</v>
      </c>
      <c r="U114" s="104">
        <v>5.0000000000000001E-3</v>
      </c>
      <c r="V114" s="105">
        <f t="shared" si="21"/>
        <v>0</v>
      </c>
      <c r="W114" s="102"/>
      <c r="X114" s="52">
        <f t="shared" si="14"/>
        <v>1659.7816964173599</v>
      </c>
      <c r="Y114" s="52">
        <f t="shared" si="12"/>
        <v>2273.1058364541605</v>
      </c>
      <c r="Z114" s="52">
        <f t="shared" si="13"/>
        <v>2724.3264157455142</v>
      </c>
      <c r="AA114" s="22"/>
      <c r="AJ114" s="22"/>
      <c r="AK114" s="22"/>
      <c r="AL114" s="22"/>
      <c r="AM114" s="22"/>
      <c r="AN114" s="22"/>
      <c r="AO114" s="22"/>
      <c r="AP114" s="22"/>
    </row>
    <row r="115" spans="1:42" hidden="1" x14ac:dyDescent="0.25">
      <c r="A115" s="21"/>
      <c r="B115" s="3" t="s">
        <v>182</v>
      </c>
      <c r="C115" s="3" t="s">
        <v>185</v>
      </c>
      <c r="D115" s="11" t="s">
        <v>8</v>
      </c>
      <c r="E115" s="107">
        <v>1290.1529014420689</v>
      </c>
      <c r="F115" s="108">
        <v>1865.9213939333665</v>
      </c>
      <c r="G115" s="114">
        <v>2289.2492825459972</v>
      </c>
      <c r="H115" s="52"/>
      <c r="I115" s="108">
        <v>114.6130082967296</v>
      </c>
      <c r="J115" s="108">
        <v>157.60946250836599</v>
      </c>
      <c r="K115" s="114">
        <v>165.75320311013456</v>
      </c>
      <c r="L115" s="52"/>
      <c r="M115" s="108">
        <v>287.56052582400002</v>
      </c>
      <c r="N115" s="108">
        <v>294.14568268799997</v>
      </c>
      <c r="O115" s="114">
        <v>322.7420951040001</v>
      </c>
      <c r="P115" s="102"/>
      <c r="Q115" s="104">
        <v>0.05</v>
      </c>
      <c r="R115" s="104">
        <v>0.05</v>
      </c>
      <c r="S115" s="104">
        <v>0.03</v>
      </c>
      <c r="T115" s="104">
        <v>0.05</v>
      </c>
      <c r="U115" s="104">
        <v>5.0000000000000001E-3</v>
      </c>
      <c r="V115" s="105">
        <f t="shared" si="21"/>
        <v>0</v>
      </c>
      <c r="W115" s="102"/>
      <c r="X115" s="52">
        <f t="shared" si="14"/>
        <v>1692.3264355627985</v>
      </c>
      <c r="Y115" s="52">
        <f t="shared" si="12"/>
        <v>2317.6765391297326</v>
      </c>
      <c r="Z115" s="52">
        <f t="shared" si="13"/>
        <v>2777.7445807601316</v>
      </c>
      <c r="AA115" s="22"/>
      <c r="AJ115" s="22"/>
      <c r="AK115" s="22"/>
      <c r="AL115" s="22"/>
      <c r="AM115" s="22"/>
      <c r="AN115" s="22"/>
      <c r="AO115" s="22"/>
      <c r="AP115" s="22"/>
    </row>
    <row r="116" spans="1:42" hidden="1" x14ac:dyDescent="0.25">
      <c r="A116" s="21"/>
      <c r="B116" s="3" t="s">
        <v>182</v>
      </c>
      <c r="C116" s="3" t="s">
        <v>186</v>
      </c>
      <c r="D116" s="11" t="s">
        <v>8</v>
      </c>
      <c r="E116" s="107">
        <v>1277.747585082049</v>
      </c>
      <c r="F116" s="108">
        <v>1847.9798420686225</v>
      </c>
      <c r="G116" s="114">
        <v>2267.2372702138241</v>
      </c>
      <c r="H116" s="52"/>
      <c r="I116" s="108">
        <v>113.51096014003028</v>
      </c>
      <c r="J116" s="108">
        <v>156.09398690732399</v>
      </c>
      <c r="K116" s="114">
        <v>164.15942231099865</v>
      </c>
      <c r="L116" s="52"/>
      <c r="M116" s="108">
        <v>284.79552076800002</v>
      </c>
      <c r="N116" s="108">
        <v>291.31735881599997</v>
      </c>
      <c r="O116" s="114">
        <v>319.63880572800008</v>
      </c>
      <c r="P116" s="102"/>
      <c r="Q116" s="104">
        <v>0.05</v>
      </c>
      <c r="R116" s="104">
        <v>0.05</v>
      </c>
      <c r="S116" s="104">
        <v>0.03</v>
      </c>
      <c r="T116" s="104">
        <v>0.05</v>
      </c>
      <c r="U116" s="104">
        <v>5.0000000000000001E-3</v>
      </c>
      <c r="V116" s="105">
        <f t="shared" si="21"/>
        <v>0</v>
      </c>
      <c r="W116" s="102"/>
      <c r="X116" s="52">
        <f t="shared" si="14"/>
        <v>1676.0540659900792</v>
      </c>
      <c r="Y116" s="52">
        <f t="shared" si="12"/>
        <v>2295.3911877919463</v>
      </c>
      <c r="Z116" s="52">
        <f t="shared" si="13"/>
        <v>2751.0354982528229</v>
      </c>
      <c r="AA116" s="22"/>
      <c r="AJ116" s="22"/>
      <c r="AK116" s="22"/>
      <c r="AL116" s="22"/>
      <c r="AM116" s="22"/>
      <c r="AN116" s="22"/>
      <c r="AO116" s="22"/>
      <c r="AP116" s="22"/>
    </row>
    <row r="117" spans="1:42" hidden="1" x14ac:dyDescent="0.25">
      <c r="A117" s="16"/>
      <c r="B117" s="3" t="s">
        <v>180</v>
      </c>
      <c r="C117" s="3" t="s">
        <v>187</v>
      </c>
      <c r="D117" s="11" t="s">
        <v>8</v>
      </c>
      <c r="E117" s="107">
        <v>812.25928464694186</v>
      </c>
      <c r="F117" s="108">
        <v>1219.4384362133269</v>
      </c>
      <c r="G117" s="114">
        <v>1658.157023033317</v>
      </c>
      <c r="H117" s="52"/>
      <c r="I117" s="108">
        <v>91.096600000000009</v>
      </c>
      <c r="J117" s="108">
        <v>125.271</v>
      </c>
      <c r="K117" s="114">
        <v>131.74379999999999</v>
      </c>
      <c r="L117" s="52"/>
      <c r="M117" s="108">
        <v>196.079904</v>
      </c>
      <c r="N117" s="108">
        <v>200.57014799999996</v>
      </c>
      <c r="O117" s="114">
        <v>220.06928400000001</v>
      </c>
      <c r="P117" s="52"/>
      <c r="Q117" s="104">
        <v>0.05</v>
      </c>
      <c r="R117" s="104">
        <v>0.02</v>
      </c>
      <c r="S117" s="104">
        <v>0.04</v>
      </c>
      <c r="T117" s="104">
        <v>0.02</v>
      </c>
      <c r="U117" s="104">
        <v>0.02</v>
      </c>
      <c r="V117" s="105">
        <f t="shared" si="21"/>
        <v>0</v>
      </c>
      <c r="W117" s="52"/>
      <c r="X117" s="52">
        <f t="shared" si="14"/>
        <v>1099.4357886469418</v>
      </c>
      <c r="Y117" s="52">
        <f t="shared" si="12"/>
        <v>1545.2795842133269</v>
      </c>
      <c r="Z117" s="52">
        <f t="shared" si="13"/>
        <v>2009.9701070333169</v>
      </c>
      <c r="AA117" s="22"/>
      <c r="AJ117" s="22"/>
      <c r="AK117" s="22"/>
      <c r="AL117" s="22"/>
      <c r="AM117" s="22"/>
      <c r="AN117" s="22"/>
      <c r="AO117" s="22"/>
      <c r="AP117" s="22"/>
    </row>
    <row r="118" spans="1:42" hidden="1" x14ac:dyDescent="0.25">
      <c r="A118" s="16"/>
      <c r="B118" s="3" t="s">
        <v>180</v>
      </c>
      <c r="C118" s="3" t="s">
        <v>188</v>
      </c>
      <c r="D118" s="11" t="s">
        <v>8</v>
      </c>
      <c r="E118" s="107">
        <v>771.93229005967191</v>
      </c>
      <c r="F118" s="108">
        <v>1160.7155672153158</v>
      </c>
      <c r="G118" s="114">
        <v>1578.9137613326704</v>
      </c>
      <c r="H118" s="52"/>
      <c r="I118" s="108">
        <v>88.158000000000001</v>
      </c>
      <c r="J118" s="108">
        <v>121.23</v>
      </c>
      <c r="K118" s="114">
        <v>127.494</v>
      </c>
      <c r="L118" s="52"/>
      <c r="M118" s="108">
        <v>192.69921599999998</v>
      </c>
      <c r="N118" s="108">
        <v>197.11204199999997</v>
      </c>
      <c r="O118" s="114">
        <v>216.27498599999998</v>
      </c>
      <c r="P118" s="52"/>
      <c r="Q118" s="104">
        <v>0.05</v>
      </c>
      <c r="R118" s="104">
        <v>0.02</v>
      </c>
      <c r="S118" s="104">
        <v>0.04</v>
      </c>
      <c r="T118" s="104">
        <v>0.02</v>
      </c>
      <c r="U118" s="104">
        <v>0.02</v>
      </c>
      <c r="V118" s="105">
        <f t="shared" si="21"/>
        <v>0</v>
      </c>
      <c r="W118" s="52"/>
      <c r="X118" s="52">
        <f t="shared" si="14"/>
        <v>1052.789506059672</v>
      </c>
      <c r="Y118" s="52">
        <f t="shared" si="12"/>
        <v>1479.0576092153158</v>
      </c>
      <c r="Z118" s="52">
        <f t="shared" si="13"/>
        <v>1922.6827473326703</v>
      </c>
      <c r="AA118" s="22"/>
      <c r="AJ118" s="22"/>
      <c r="AK118" s="22"/>
      <c r="AL118" s="22"/>
      <c r="AM118" s="22"/>
      <c r="AN118" s="22"/>
      <c r="AO118" s="22"/>
      <c r="AP118" s="22"/>
    </row>
    <row r="119" spans="1:42" hidden="1" x14ac:dyDescent="0.25">
      <c r="A119" s="16"/>
      <c r="B119" s="3" t="s">
        <v>180</v>
      </c>
      <c r="C119" s="3" t="s">
        <v>189</v>
      </c>
      <c r="D119" s="11" t="s">
        <v>8</v>
      </c>
      <c r="E119" s="107">
        <v>809.38724199403293</v>
      </c>
      <c r="F119" s="108">
        <v>1216.6627533814024</v>
      </c>
      <c r="G119" s="114">
        <v>1655.7329346593738</v>
      </c>
      <c r="H119" s="52"/>
      <c r="I119" s="108">
        <v>91.096600000000009</v>
      </c>
      <c r="J119" s="108">
        <v>125.271</v>
      </c>
      <c r="K119" s="114">
        <v>131.74379999999999</v>
      </c>
      <c r="L119" s="52"/>
      <c r="M119" s="108">
        <v>189.31852800000001</v>
      </c>
      <c r="N119" s="108">
        <v>193.65393599999999</v>
      </c>
      <c r="O119" s="114">
        <v>212.48068800000004</v>
      </c>
      <c r="P119" s="52"/>
      <c r="Q119" s="104">
        <v>0.05</v>
      </c>
      <c r="R119" s="104">
        <v>0.02</v>
      </c>
      <c r="S119" s="104">
        <v>0.04</v>
      </c>
      <c r="T119" s="104">
        <v>0.02</v>
      </c>
      <c r="U119" s="104">
        <v>0.02</v>
      </c>
      <c r="V119" s="105">
        <f t="shared" si="21"/>
        <v>0</v>
      </c>
      <c r="W119" s="52"/>
      <c r="X119" s="52">
        <f t="shared" si="14"/>
        <v>1089.8023699940329</v>
      </c>
      <c r="Y119" s="52">
        <f t="shared" si="12"/>
        <v>1535.5876893814022</v>
      </c>
      <c r="Z119" s="52">
        <f t="shared" si="13"/>
        <v>1999.9574226593738</v>
      </c>
      <c r="AA119" s="22"/>
      <c r="AJ119" s="22"/>
      <c r="AK119" s="22"/>
      <c r="AL119" s="22"/>
      <c r="AM119" s="22"/>
      <c r="AN119" s="22"/>
      <c r="AO119" s="22"/>
      <c r="AP119" s="22"/>
    </row>
    <row r="120" spans="1:42" hidden="1" x14ac:dyDescent="0.25">
      <c r="A120" s="16"/>
      <c r="B120" s="3" t="s">
        <v>190</v>
      </c>
      <c r="C120" s="3" t="s">
        <v>191</v>
      </c>
      <c r="D120" s="11" t="s">
        <v>8</v>
      </c>
      <c r="E120" s="107">
        <v>453.57549875683736</v>
      </c>
      <c r="F120" s="108">
        <v>562.75089010442571</v>
      </c>
      <c r="G120" s="114">
        <v>758.58851516658387</v>
      </c>
      <c r="H120" s="52"/>
      <c r="I120" s="108">
        <v>39.671100000000003</v>
      </c>
      <c r="J120" s="108">
        <v>54.553500000000007</v>
      </c>
      <c r="K120" s="114">
        <v>57.372300000000003</v>
      </c>
      <c r="L120" s="52"/>
      <c r="M120" s="108">
        <v>99.39980684643551</v>
      </c>
      <c r="N120" s="108">
        <v>101.67606962088773</v>
      </c>
      <c r="O120" s="114">
        <v>111.5608681776658</v>
      </c>
      <c r="P120" s="52"/>
      <c r="Q120" s="104">
        <v>0.03</v>
      </c>
      <c r="R120" s="104">
        <v>1.4999999999999999E-2</v>
      </c>
      <c r="S120" s="104">
        <v>0.05</v>
      </c>
      <c r="T120" s="104">
        <v>2.5000000000000001E-2</v>
      </c>
      <c r="U120" s="104">
        <v>0.03</v>
      </c>
      <c r="V120" s="105">
        <f t="shared" si="21"/>
        <v>0</v>
      </c>
      <c r="W120" s="52"/>
      <c r="X120" s="52">
        <f t="shared" si="14"/>
        <v>592.64640560327291</v>
      </c>
      <c r="Y120" s="52">
        <f t="shared" si="12"/>
        <v>718.98045972531338</v>
      </c>
      <c r="Z120" s="52">
        <f t="shared" si="13"/>
        <v>927.52168334424971</v>
      </c>
      <c r="AA120" s="22"/>
      <c r="AJ120" s="22"/>
      <c r="AK120" s="22"/>
      <c r="AL120" s="22"/>
      <c r="AM120" s="22"/>
      <c r="AN120" s="22"/>
      <c r="AO120" s="22"/>
      <c r="AP120" s="22"/>
    </row>
    <row r="121" spans="1:42" hidden="1" x14ac:dyDescent="0.25">
      <c r="A121" s="21"/>
      <c r="B121" s="3" t="s">
        <v>190</v>
      </c>
      <c r="C121" s="3" t="s">
        <v>192</v>
      </c>
      <c r="D121" s="11" t="s">
        <v>8</v>
      </c>
      <c r="E121" s="107">
        <v>449.08465223449241</v>
      </c>
      <c r="F121" s="108">
        <v>557.17909911329275</v>
      </c>
      <c r="G121" s="114">
        <v>751.07773778869694</v>
      </c>
      <c r="H121" s="52"/>
      <c r="I121" s="108">
        <v>39.278316831683171</v>
      </c>
      <c r="J121" s="108">
        <v>54.013366336633666</v>
      </c>
      <c r="K121" s="114">
        <v>56.804257425742577</v>
      </c>
      <c r="L121" s="52"/>
      <c r="M121" s="108">
        <v>98.415650343005453</v>
      </c>
      <c r="N121" s="108">
        <v>100.66937586226508</v>
      </c>
      <c r="O121" s="114">
        <v>110.45630512640177</v>
      </c>
      <c r="P121" s="102"/>
      <c r="Q121" s="104">
        <v>0.03</v>
      </c>
      <c r="R121" s="104">
        <v>1.4999999999999999E-2</v>
      </c>
      <c r="S121" s="104">
        <v>0.05</v>
      </c>
      <c r="T121" s="104">
        <v>2.5000000000000001E-2</v>
      </c>
      <c r="U121" s="104">
        <v>0.03</v>
      </c>
      <c r="V121" s="105">
        <f t="shared" si="21"/>
        <v>0</v>
      </c>
      <c r="W121" s="102"/>
      <c r="X121" s="52">
        <f t="shared" si="14"/>
        <v>586.77861940918103</v>
      </c>
      <c r="Y121" s="52">
        <f t="shared" si="12"/>
        <v>711.86184131219147</v>
      </c>
      <c r="Z121" s="52">
        <f t="shared" si="13"/>
        <v>918.33830034084122</v>
      </c>
      <c r="AA121" s="22"/>
      <c r="AJ121" s="22"/>
      <c r="AK121" s="22"/>
      <c r="AL121" s="22"/>
      <c r="AM121" s="22"/>
      <c r="AN121" s="22"/>
      <c r="AO121" s="22"/>
      <c r="AP121" s="22"/>
    </row>
    <row r="122" spans="1:42" hidden="1" x14ac:dyDescent="0.25">
      <c r="A122" s="21"/>
      <c r="B122" s="3" t="s">
        <v>190</v>
      </c>
      <c r="C122" s="3" t="s">
        <v>193</v>
      </c>
      <c r="D122" s="11" t="s">
        <v>8</v>
      </c>
      <c r="E122" s="107">
        <v>449.08465223449241</v>
      </c>
      <c r="F122" s="108">
        <v>557.17909911329275</v>
      </c>
      <c r="G122" s="114">
        <v>751.07773778869694</v>
      </c>
      <c r="H122" s="52"/>
      <c r="I122" s="108">
        <v>39.278316831683171</v>
      </c>
      <c r="J122" s="108">
        <v>54.013366336633666</v>
      </c>
      <c r="K122" s="114">
        <v>56.804257425742577</v>
      </c>
      <c r="L122" s="52"/>
      <c r="M122" s="108">
        <v>98.415650343005453</v>
      </c>
      <c r="N122" s="108">
        <v>100.66937586226508</v>
      </c>
      <c r="O122" s="114">
        <v>110.45630512640177</v>
      </c>
      <c r="P122" s="102"/>
      <c r="Q122" s="104">
        <v>0.03</v>
      </c>
      <c r="R122" s="104">
        <v>1.4999999999999999E-2</v>
      </c>
      <c r="S122" s="104">
        <v>0.05</v>
      </c>
      <c r="T122" s="104">
        <v>2.5000000000000001E-2</v>
      </c>
      <c r="U122" s="104">
        <v>0.03</v>
      </c>
      <c r="V122" s="105">
        <f t="shared" si="21"/>
        <v>0</v>
      </c>
      <c r="W122" s="102"/>
      <c r="X122" s="52">
        <f t="shared" si="14"/>
        <v>586.77861940918103</v>
      </c>
      <c r="Y122" s="52">
        <f t="shared" si="12"/>
        <v>711.86184131219147</v>
      </c>
      <c r="Z122" s="52">
        <f t="shared" si="13"/>
        <v>918.33830034084122</v>
      </c>
      <c r="AA122" s="22"/>
      <c r="AJ122" s="22"/>
      <c r="AK122" s="22"/>
      <c r="AL122" s="22"/>
      <c r="AM122" s="22"/>
      <c r="AN122" s="22"/>
      <c r="AO122" s="22"/>
      <c r="AP122" s="22"/>
    </row>
    <row r="123" spans="1:42" hidden="1" x14ac:dyDescent="0.25">
      <c r="A123" s="21"/>
      <c r="B123" s="3" t="s">
        <v>190</v>
      </c>
      <c r="C123" s="3" t="s">
        <v>194</v>
      </c>
      <c r="D123" s="11" t="s">
        <v>8</v>
      </c>
      <c r="E123" s="107">
        <v>444.68186152631114</v>
      </c>
      <c r="F123" s="108">
        <v>551.71655892590752</v>
      </c>
      <c r="G123" s="114">
        <v>743.71423055547439</v>
      </c>
      <c r="H123" s="52"/>
      <c r="I123" s="108">
        <v>38.893235294117652</v>
      </c>
      <c r="J123" s="108">
        <v>53.483823529411772</v>
      </c>
      <c r="K123" s="114">
        <v>56.247352941176473</v>
      </c>
      <c r="L123" s="52"/>
      <c r="M123" s="108">
        <v>97.450791025917169</v>
      </c>
      <c r="N123" s="108">
        <v>99.682421196948752</v>
      </c>
      <c r="O123" s="114">
        <v>109.37340017418215</v>
      </c>
      <c r="P123" s="102"/>
      <c r="Q123" s="104">
        <v>0.03</v>
      </c>
      <c r="R123" s="104">
        <v>1.4999999999999999E-2</v>
      </c>
      <c r="S123" s="104">
        <v>0.05</v>
      </c>
      <c r="T123" s="104">
        <v>2.5000000000000001E-2</v>
      </c>
      <c r="U123" s="104">
        <v>0.03</v>
      </c>
      <c r="V123" s="105">
        <f t="shared" si="21"/>
        <v>0</v>
      </c>
      <c r="W123" s="102"/>
      <c r="X123" s="52">
        <f t="shared" si="14"/>
        <v>581.025887846346</v>
      </c>
      <c r="Y123" s="52">
        <f t="shared" si="12"/>
        <v>704.88280365226808</v>
      </c>
      <c r="Z123" s="52">
        <f t="shared" si="13"/>
        <v>909.33498367083303</v>
      </c>
      <c r="AA123" s="22"/>
      <c r="AJ123" s="22"/>
      <c r="AK123" s="22"/>
      <c r="AL123" s="22"/>
      <c r="AM123" s="22"/>
      <c r="AN123" s="22"/>
      <c r="AO123" s="22"/>
      <c r="AP123" s="22"/>
    </row>
    <row r="124" spans="1:42" hidden="1" x14ac:dyDescent="0.25">
      <c r="A124" s="21"/>
      <c r="B124" s="3" t="s">
        <v>190</v>
      </c>
      <c r="C124" s="3" t="s">
        <v>195</v>
      </c>
      <c r="D124" s="11" t="s">
        <v>8</v>
      </c>
      <c r="E124" s="107">
        <v>489.86153865738436</v>
      </c>
      <c r="F124" s="108">
        <v>607.77096131277983</v>
      </c>
      <c r="G124" s="114">
        <v>819.27559637991067</v>
      </c>
      <c r="H124" s="52"/>
      <c r="I124" s="108">
        <v>42.844788000000008</v>
      </c>
      <c r="J124" s="108">
        <v>58.917780000000015</v>
      </c>
      <c r="K124" s="114">
        <v>61.962084000000004</v>
      </c>
      <c r="L124" s="52"/>
      <c r="M124" s="108">
        <v>107.35179139415035</v>
      </c>
      <c r="N124" s="108">
        <v>109.81015519055876</v>
      </c>
      <c r="O124" s="114">
        <v>120.48573763187906</v>
      </c>
      <c r="P124" s="102"/>
      <c r="Q124" s="104">
        <v>0.03</v>
      </c>
      <c r="R124" s="104">
        <v>1.4999999999999999E-2</v>
      </c>
      <c r="S124" s="104">
        <v>0.05</v>
      </c>
      <c r="T124" s="104">
        <v>2.5000000000000001E-2</v>
      </c>
      <c r="U124" s="104">
        <v>0.03</v>
      </c>
      <c r="V124" s="105">
        <f t="shared" si="21"/>
        <v>0</v>
      </c>
      <c r="W124" s="102"/>
      <c r="X124" s="52">
        <f t="shared" si="14"/>
        <v>640.05811805153473</v>
      </c>
      <c r="Y124" s="52">
        <f t="shared" si="12"/>
        <v>776.49889650333853</v>
      </c>
      <c r="Z124" s="52">
        <f t="shared" si="13"/>
        <v>1001.7234180117897</v>
      </c>
      <c r="AA124" s="22"/>
      <c r="AJ124" s="22"/>
      <c r="AK124" s="22"/>
      <c r="AL124" s="22"/>
      <c r="AM124" s="22"/>
      <c r="AN124" s="22"/>
      <c r="AO124" s="22"/>
      <c r="AP124" s="22"/>
    </row>
    <row r="125" spans="1:42" hidden="1" x14ac:dyDescent="0.25">
      <c r="A125" s="21"/>
      <c r="B125" s="3" t="s">
        <v>190</v>
      </c>
      <c r="C125" s="3" t="s">
        <v>196</v>
      </c>
      <c r="D125" s="11" t="s">
        <v>8</v>
      </c>
      <c r="E125" s="107">
        <v>476.25427369467923</v>
      </c>
      <c r="F125" s="108">
        <v>590.88843460964699</v>
      </c>
      <c r="G125" s="114">
        <v>796.51794092491309</v>
      </c>
      <c r="H125" s="52"/>
      <c r="I125" s="108">
        <v>41.654655000000005</v>
      </c>
      <c r="J125" s="108">
        <v>57.281175000000012</v>
      </c>
      <c r="K125" s="114">
        <v>60.240915000000008</v>
      </c>
      <c r="L125" s="52"/>
      <c r="M125" s="108">
        <v>104.36979718875729</v>
      </c>
      <c r="N125" s="108">
        <v>106.75987310193211</v>
      </c>
      <c r="O125" s="114">
        <v>117.13891158654909</v>
      </c>
      <c r="P125" s="102"/>
      <c r="Q125" s="104">
        <v>0.03</v>
      </c>
      <c r="R125" s="104">
        <v>1.4999999999999999E-2</v>
      </c>
      <c r="S125" s="104">
        <v>0.05</v>
      </c>
      <c r="T125" s="104">
        <v>2.5000000000000001E-2</v>
      </c>
      <c r="U125" s="104">
        <v>0.03</v>
      </c>
      <c r="V125" s="105">
        <f t="shared" si="21"/>
        <v>0</v>
      </c>
      <c r="W125" s="102"/>
      <c r="X125" s="52">
        <f t="shared" si="14"/>
        <v>622.27872588343655</v>
      </c>
      <c r="Y125" s="52">
        <f t="shared" si="12"/>
        <v>754.92948271157911</v>
      </c>
      <c r="Z125" s="52">
        <f t="shared" si="13"/>
        <v>973.89776751146212</v>
      </c>
      <c r="AA125" s="22"/>
      <c r="AJ125" s="22"/>
      <c r="AK125" s="22"/>
      <c r="AL125" s="22"/>
      <c r="AM125" s="22"/>
      <c r="AN125" s="22"/>
      <c r="AO125" s="22"/>
      <c r="AP125" s="22"/>
    </row>
    <row r="126" spans="1:42" hidden="1" x14ac:dyDescent="0.25">
      <c r="A126" s="21"/>
      <c r="B126" s="3" t="s">
        <v>190</v>
      </c>
      <c r="C126" s="3" t="s">
        <v>197</v>
      </c>
      <c r="D126" s="11" t="s">
        <v>8</v>
      </c>
      <c r="E126" s="107">
        <v>449.08465223449241</v>
      </c>
      <c r="F126" s="108">
        <v>557.17909911329275</v>
      </c>
      <c r="G126" s="114">
        <v>751.07773778869694</v>
      </c>
      <c r="H126" s="52"/>
      <c r="I126" s="108">
        <v>39.278316831683171</v>
      </c>
      <c r="J126" s="108">
        <v>54.013366336633666</v>
      </c>
      <c r="K126" s="114">
        <v>56.804257425742577</v>
      </c>
      <c r="L126" s="52"/>
      <c r="M126" s="108">
        <v>98.415650343005453</v>
      </c>
      <c r="N126" s="108">
        <v>100.66937586226508</v>
      </c>
      <c r="O126" s="114">
        <v>110.45630512640177</v>
      </c>
      <c r="P126" s="102"/>
      <c r="Q126" s="104">
        <v>0.03</v>
      </c>
      <c r="R126" s="104">
        <v>1.4999999999999999E-2</v>
      </c>
      <c r="S126" s="104">
        <v>0.05</v>
      </c>
      <c r="T126" s="104">
        <v>2.5000000000000001E-2</v>
      </c>
      <c r="U126" s="104">
        <v>0.03</v>
      </c>
      <c r="V126" s="105">
        <f t="shared" si="21"/>
        <v>0</v>
      </c>
      <c r="W126" s="102"/>
      <c r="X126" s="52">
        <f t="shared" si="14"/>
        <v>586.77861940918103</v>
      </c>
      <c r="Y126" s="52">
        <f t="shared" si="12"/>
        <v>711.86184131219147</v>
      </c>
      <c r="Z126" s="52">
        <f t="shared" si="13"/>
        <v>918.33830034084122</v>
      </c>
      <c r="AA126" s="22"/>
      <c r="AJ126" s="22"/>
      <c r="AK126" s="22"/>
      <c r="AL126" s="22"/>
      <c r="AM126" s="22"/>
      <c r="AN126" s="22"/>
      <c r="AO126" s="22"/>
      <c r="AP126" s="22"/>
    </row>
    <row r="127" spans="1:42" hidden="1" x14ac:dyDescent="0.25">
      <c r="A127" s="16"/>
      <c r="B127" s="3" t="s">
        <v>198</v>
      </c>
      <c r="C127" s="3" t="s">
        <v>199</v>
      </c>
      <c r="D127" s="1" t="s">
        <v>8</v>
      </c>
      <c r="E127" s="107">
        <v>782.91969863669817</v>
      </c>
      <c r="F127" s="108">
        <v>998.33313265742413</v>
      </c>
      <c r="G127" s="114">
        <v>1254.9884853987865</v>
      </c>
      <c r="H127" s="52"/>
      <c r="I127" s="108">
        <v>69.057100000000005</v>
      </c>
      <c r="J127" s="108">
        <v>94.963499999999996</v>
      </c>
      <c r="K127" s="114">
        <v>99.8703</v>
      </c>
      <c r="L127" s="52"/>
      <c r="M127" s="108">
        <v>167.04576</v>
      </c>
      <c r="N127" s="108">
        <v>170.87111999999999</v>
      </c>
      <c r="O127" s="114">
        <v>187.48295999999999</v>
      </c>
      <c r="P127" s="52"/>
      <c r="Q127" s="104">
        <v>2.1000000000000001E-2</v>
      </c>
      <c r="R127" s="104">
        <v>1.4E-2</v>
      </c>
      <c r="S127" s="104">
        <v>2.1000000000000001E-2</v>
      </c>
      <c r="T127" s="104">
        <v>1.4E-2</v>
      </c>
      <c r="U127" s="104">
        <v>3.5000000000000003E-2</v>
      </c>
      <c r="V127" s="105">
        <f>SUBTOTAL(9,Q127:U127)</f>
        <v>0</v>
      </c>
      <c r="W127" s="52"/>
      <c r="X127" s="52">
        <f t="shared" si="14"/>
        <v>1019.0225586366981</v>
      </c>
      <c r="Y127" s="52">
        <f t="shared" si="12"/>
        <v>1264.1677526574242</v>
      </c>
      <c r="Z127" s="52">
        <f t="shared" si="13"/>
        <v>1542.3417453987865</v>
      </c>
      <c r="AA127" s="22"/>
      <c r="AJ127" s="22"/>
      <c r="AK127" s="22"/>
      <c r="AL127" s="22"/>
      <c r="AM127" s="22"/>
      <c r="AN127" s="22"/>
      <c r="AO127" s="22"/>
      <c r="AP127" s="22"/>
    </row>
    <row r="128" spans="1:42" hidden="1" x14ac:dyDescent="0.25">
      <c r="A128" s="16"/>
      <c r="B128" s="3" t="s">
        <v>200</v>
      </c>
      <c r="C128" s="3" t="s">
        <v>201</v>
      </c>
      <c r="D128" s="1" t="s">
        <v>8</v>
      </c>
      <c r="E128" s="107">
        <v>1776.8153242168075</v>
      </c>
      <c r="F128" s="108">
        <v>2284.4697821979116</v>
      </c>
      <c r="G128" s="114">
        <v>2721.0351150671308</v>
      </c>
      <c r="H128" s="52"/>
      <c r="I128" s="108">
        <v>157.84652289553566</v>
      </c>
      <c r="J128" s="108">
        <v>217.0617978019668</v>
      </c>
      <c r="K128" s="114">
        <v>228.2774630781486</v>
      </c>
      <c r="L128" s="52"/>
      <c r="M128" s="108">
        <v>378.09763145775258</v>
      </c>
      <c r="N128" s="108">
        <v>386.7560945966747</v>
      </c>
      <c r="O128" s="114">
        <v>424.35595560574887</v>
      </c>
      <c r="P128" s="52"/>
      <c r="Q128" s="104">
        <v>0.1</v>
      </c>
      <c r="R128" s="104">
        <v>0.02</v>
      </c>
      <c r="S128" s="104">
        <v>0.1</v>
      </c>
      <c r="T128" s="104">
        <v>0.02</v>
      </c>
      <c r="U128" s="104">
        <v>2.5000000000000001E-2</v>
      </c>
      <c r="V128" s="105">
        <f t="shared" si="21"/>
        <v>0</v>
      </c>
      <c r="W128" s="52"/>
      <c r="X128" s="52">
        <f t="shared" si="14"/>
        <v>2312.7594785700958</v>
      </c>
      <c r="Y128" s="52">
        <f t="shared" si="12"/>
        <v>2888.2876745965532</v>
      </c>
      <c r="Z128" s="52">
        <f t="shared" si="13"/>
        <v>3373.6685337510285</v>
      </c>
      <c r="AA128" s="22"/>
      <c r="AJ128" s="22"/>
      <c r="AK128" s="22"/>
      <c r="AL128" s="22"/>
      <c r="AM128" s="22"/>
      <c r="AN128" s="22"/>
      <c r="AO128" s="22"/>
      <c r="AP128" s="22"/>
    </row>
    <row r="129" spans="1:42" ht="14.15" hidden="1" customHeight="1" x14ac:dyDescent="0.25">
      <c r="A129" s="16"/>
      <c r="B129" s="3" t="s">
        <v>202</v>
      </c>
      <c r="C129" s="3" t="s">
        <v>203</v>
      </c>
      <c r="D129" s="1" t="s">
        <v>8</v>
      </c>
      <c r="E129" s="107">
        <v>775.03335156638479</v>
      </c>
      <c r="F129" s="108">
        <v>1050.0586872202884</v>
      </c>
      <c r="G129" s="114">
        <v>1484.9770412729983</v>
      </c>
      <c r="H129" s="52"/>
      <c r="I129" s="108">
        <v>68.851454625286422</v>
      </c>
      <c r="J129" s="108">
        <v>94.680707867958347</v>
      </c>
      <c r="K129" s="114">
        <v>99.572895891425233</v>
      </c>
      <c r="L129" s="52"/>
      <c r="M129" s="108">
        <v>167.38485765203467</v>
      </c>
      <c r="N129" s="108">
        <v>171.21798301282078</v>
      </c>
      <c r="O129" s="114">
        <v>187.86354452685367</v>
      </c>
      <c r="P129" s="52"/>
      <c r="Q129" s="104">
        <v>0.03</v>
      </c>
      <c r="R129" s="104">
        <v>1.4999999999999999E-2</v>
      </c>
      <c r="S129" s="104">
        <v>0.02</v>
      </c>
      <c r="T129" s="104">
        <v>0.01</v>
      </c>
      <c r="U129" s="104">
        <v>5.0000000000000001E-3</v>
      </c>
      <c r="V129" s="105">
        <f>SUBTOTAL(9,Q129:U129)</f>
        <v>0</v>
      </c>
      <c r="W129" s="52"/>
      <c r="X129" s="52">
        <f t="shared" si="14"/>
        <v>1011.269663843706</v>
      </c>
      <c r="Y129" s="52">
        <f t="shared" si="12"/>
        <v>1315.9573781010674</v>
      </c>
      <c r="Z129" s="52">
        <f t="shared" si="13"/>
        <v>1772.4134816912774</v>
      </c>
      <c r="AA129" s="22"/>
      <c r="AJ129" s="22"/>
      <c r="AK129" s="22"/>
      <c r="AL129" s="22"/>
      <c r="AM129" s="22"/>
      <c r="AN129" s="22"/>
      <c r="AO129" s="22"/>
      <c r="AP129" s="22"/>
    </row>
    <row r="130" spans="1:42" hidden="1" x14ac:dyDescent="0.25">
      <c r="A130" s="16"/>
      <c r="B130" s="3" t="s">
        <v>204</v>
      </c>
      <c r="C130" s="3" t="s">
        <v>205</v>
      </c>
      <c r="D130" s="1" t="s">
        <v>8</v>
      </c>
      <c r="E130" s="107">
        <v>1048.590775733466</v>
      </c>
      <c r="F130" s="108">
        <v>1495.5901491795128</v>
      </c>
      <c r="G130" s="114">
        <v>1911.2608453505718</v>
      </c>
      <c r="H130" s="52"/>
      <c r="I130" s="108">
        <v>93.153410843536633</v>
      </c>
      <c r="J130" s="108">
        <v>128.09941237961326</v>
      </c>
      <c r="K130" s="114">
        <v>134.71835751815897</v>
      </c>
      <c r="L130" s="52"/>
      <c r="M130" s="108">
        <v>234.23624455159489</v>
      </c>
      <c r="N130" s="108">
        <v>239.60027151317649</v>
      </c>
      <c r="O130" s="114">
        <v>262.89385895108552</v>
      </c>
      <c r="P130" s="52"/>
      <c r="Q130" s="104">
        <v>0.04</v>
      </c>
      <c r="R130" s="104">
        <v>0.03</v>
      </c>
      <c r="S130" s="104">
        <v>0.04</v>
      </c>
      <c r="T130" s="104">
        <v>0.02</v>
      </c>
      <c r="U130" s="104">
        <v>0.02</v>
      </c>
      <c r="V130" s="105">
        <f t="shared" si="21"/>
        <v>0</v>
      </c>
      <c r="W130" s="52"/>
      <c r="X130" s="52">
        <f t="shared" si="14"/>
        <v>1375.9804311285975</v>
      </c>
      <c r="Y130" s="52">
        <f t="shared" si="12"/>
        <v>1863.2898330723026</v>
      </c>
      <c r="Z130" s="52">
        <f t="shared" si="13"/>
        <v>2308.873061819816</v>
      </c>
      <c r="AA130" s="22"/>
      <c r="AJ130" s="22"/>
      <c r="AK130" s="22"/>
      <c r="AL130" s="22"/>
      <c r="AM130" s="22"/>
      <c r="AN130" s="22"/>
      <c r="AO130" s="22"/>
      <c r="AP130" s="22"/>
    </row>
    <row r="131" spans="1:42" hidden="1" x14ac:dyDescent="0.25">
      <c r="A131" s="16"/>
      <c r="B131" s="3" t="s">
        <v>206</v>
      </c>
      <c r="C131" s="3" t="s">
        <v>207</v>
      </c>
      <c r="D131" s="1" t="s">
        <v>8</v>
      </c>
      <c r="E131" s="107">
        <v>781.64635573097951</v>
      </c>
      <c r="F131" s="108">
        <v>837.30437823222269</v>
      </c>
      <c r="G131" s="114">
        <v>891.45326199651902</v>
      </c>
      <c r="H131" s="52"/>
      <c r="I131" s="108">
        <v>51.4255</v>
      </c>
      <c r="J131" s="108">
        <v>70.717500000000001</v>
      </c>
      <c r="K131" s="114">
        <v>74.371499999999997</v>
      </c>
      <c r="L131" s="52"/>
      <c r="M131" s="108">
        <v>127.6044</v>
      </c>
      <c r="N131" s="108">
        <v>130.52654999999999</v>
      </c>
      <c r="O131" s="114">
        <v>143.21615</v>
      </c>
      <c r="P131" s="52"/>
      <c r="Q131" s="104">
        <v>0.02</v>
      </c>
      <c r="R131" s="104">
        <v>1.4999999999999999E-2</v>
      </c>
      <c r="S131" s="104">
        <v>1.4999999999999999E-2</v>
      </c>
      <c r="T131" t="s">
        <v>251</v>
      </c>
      <c r="U131" t="s">
        <v>250</v>
      </c>
      <c r="V131" s="105">
        <f>SUBTOTAL(9,Q131:U131)</f>
        <v>0</v>
      </c>
      <c r="W131" s="52"/>
      <c r="X131" s="52">
        <f t="shared" si="14"/>
        <v>960.67625573097939</v>
      </c>
      <c r="Y131" s="52">
        <f t="shared" si="12"/>
        <v>1038.5484282322227</v>
      </c>
      <c r="Z131" s="52">
        <f t="shared" si="13"/>
        <v>1109.0409119965191</v>
      </c>
      <c r="AA131" s="22"/>
      <c r="AJ131" s="22"/>
      <c r="AK131" s="22"/>
      <c r="AL131" s="22"/>
      <c r="AM131" s="22"/>
      <c r="AN131" s="22"/>
      <c r="AO131" s="22"/>
      <c r="AP131" s="22"/>
    </row>
    <row r="132" spans="1:42" hidden="1" x14ac:dyDescent="0.25">
      <c r="A132" s="16"/>
      <c r="B132" s="3" t="s">
        <v>208</v>
      </c>
      <c r="C132" s="3" t="s">
        <v>209</v>
      </c>
      <c r="D132" s="1" t="s">
        <v>8</v>
      </c>
      <c r="E132" s="107">
        <v>828.97673316757823</v>
      </c>
      <c r="F132" s="108">
        <v>1204.377152759821</v>
      </c>
      <c r="G132" s="114">
        <v>1547.1323937344603</v>
      </c>
      <c r="H132" s="52"/>
      <c r="I132" s="108">
        <v>73.465000000000003</v>
      </c>
      <c r="J132" s="108">
        <v>101.02500000000001</v>
      </c>
      <c r="K132" s="114">
        <v>106.245</v>
      </c>
      <c r="L132" s="52"/>
      <c r="M132" s="108">
        <v>180.93309600000003</v>
      </c>
      <c r="N132" s="108">
        <v>185.07647700000001</v>
      </c>
      <c r="O132" s="114">
        <v>203.06934100000004</v>
      </c>
      <c r="P132" s="52"/>
      <c r="Q132" s="104">
        <v>0.03</v>
      </c>
      <c r="R132" s="104">
        <v>0.03</v>
      </c>
      <c r="S132" s="104">
        <v>0.03</v>
      </c>
      <c r="T132" s="104">
        <v>0.01</v>
      </c>
      <c r="U132" s="104">
        <v>0.01</v>
      </c>
      <c r="V132" s="105">
        <f t="shared" si="21"/>
        <v>0</v>
      </c>
      <c r="W132" s="52"/>
      <c r="X132" s="52">
        <f t="shared" si="14"/>
        <v>1083.3748291675784</v>
      </c>
      <c r="Y132" s="52">
        <f t="shared" si="12"/>
        <v>1490.4786297598212</v>
      </c>
      <c r="Z132" s="52">
        <f t="shared" si="13"/>
        <v>1856.4467347344605</v>
      </c>
      <c r="AA132" s="22"/>
      <c r="AJ132" s="22"/>
      <c r="AK132" s="22"/>
      <c r="AL132" s="22"/>
      <c r="AM132" s="22"/>
      <c r="AN132" s="22"/>
      <c r="AO132" s="22"/>
      <c r="AP132" s="22"/>
    </row>
    <row r="133" spans="1:42" hidden="1" x14ac:dyDescent="0.25">
      <c r="A133" s="16"/>
      <c r="B133" s="3" t="s">
        <v>210</v>
      </c>
      <c r="C133" s="3" t="s">
        <v>210</v>
      </c>
      <c r="D133" s="1" t="s">
        <v>8</v>
      </c>
      <c r="E133" s="107">
        <v>1323.1459055196422</v>
      </c>
      <c r="F133" s="108">
        <v>2024.6085012431624</v>
      </c>
      <c r="G133" s="114">
        <v>2400.2929965191447</v>
      </c>
      <c r="H133" s="52"/>
      <c r="I133" s="108">
        <v>132.23700000000002</v>
      </c>
      <c r="J133" s="108">
        <v>181.84500000000003</v>
      </c>
      <c r="K133" s="114">
        <v>191.24100000000001</v>
      </c>
      <c r="L133" s="52"/>
      <c r="M133" s="108">
        <v>319.17671999999999</v>
      </c>
      <c r="N133" s="108">
        <v>326.48589000000004</v>
      </c>
      <c r="O133" s="114">
        <v>358.22637000000003</v>
      </c>
      <c r="P133" s="52"/>
      <c r="Q133" s="104">
        <v>7.0000000000000007E-2</v>
      </c>
      <c r="R133" s="104">
        <v>7.0000000000000007E-2</v>
      </c>
      <c r="S133" s="104">
        <v>0.1</v>
      </c>
      <c r="T133" s="104" t="s">
        <v>251</v>
      </c>
      <c r="U133" s="104" t="s">
        <v>250</v>
      </c>
      <c r="V133" s="105">
        <f t="shared" si="21"/>
        <v>0</v>
      </c>
      <c r="W133" s="52"/>
      <c r="X133" s="52">
        <f t="shared" si="14"/>
        <v>1774.5596255196422</v>
      </c>
      <c r="Y133" s="52">
        <f t="shared" si="12"/>
        <v>2532.9393912431624</v>
      </c>
      <c r="Z133" s="52">
        <f t="shared" si="13"/>
        <v>2949.7603665191446</v>
      </c>
      <c r="AA133" s="22"/>
      <c r="AJ133" s="22"/>
      <c r="AK133" s="22"/>
      <c r="AL133" s="22"/>
      <c r="AM133" s="22"/>
      <c r="AN133" s="22"/>
      <c r="AO133" s="22"/>
      <c r="AP133" s="22"/>
    </row>
    <row r="134" spans="1:42" hidden="1" x14ac:dyDescent="0.25">
      <c r="A134" s="16"/>
      <c r="B134" s="3" t="s">
        <v>211</v>
      </c>
      <c r="C134" s="3" t="s">
        <v>212</v>
      </c>
      <c r="D134" s="1" t="s">
        <v>8</v>
      </c>
      <c r="E134" s="107">
        <v>850.50802821979119</v>
      </c>
      <c r="F134" s="108">
        <v>1451.4087023122827</v>
      </c>
      <c r="G134" s="114">
        <v>1585.8698882705121</v>
      </c>
      <c r="H134" s="52"/>
      <c r="I134" s="108">
        <v>88.158000000000001</v>
      </c>
      <c r="J134" s="108">
        <v>121.23</v>
      </c>
      <c r="K134" s="114">
        <v>127.494</v>
      </c>
      <c r="L134" s="52"/>
      <c r="M134" s="108">
        <v>191.77118400000001</v>
      </c>
      <c r="N134" s="108">
        <v>196.162758</v>
      </c>
      <c r="O134" s="114">
        <v>215.23341400000001</v>
      </c>
      <c r="P134" s="52"/>
      <c r="Q134" s="104">
        <v>0.03</v>
      </c>
      <c r="R134" s="104">
        <v>0.02</v>
      </c>
      <c r="S134" s="104">
        <v>0.04</v>
      </c>
      <c r="T134" s="104">
        <v>1.4999999999999999E-2</v>
      </c>
      <c r="U134" s="104">
        <v>1.4999999999999999E-2</v>
      </c>
      <c r="V134" s="105">
        <f t="shared" si="21"/>
        <v>0</v>
      </c>
      <c r="W134" s="52"/>
      <c r="X134" s="52">
        <f t="shared" si="14"/>
        <v>1130.4372122197913</v>
      </c>
      <c r="Y134" s="52">
        <f t="shared" si="12"/>
        <v>1768.8014603122826</v>
      </c>
      <c r="Z134" s="52">
        <f t="shared" si="13"/>
        <v>1928.597302270512</v>
      </c>
      <c r="AA134" s="22"/>
      <c r="AJ134" s="22"/>
      <c r="AK134" s="22"/>
      <c r="AL134" s="22"/>
      <c r="AM134" s="22"/>
      <c r="AN134" s="22"/>
      <c r="AO134" s="22"/>
      <c r="AP134" s="22"/>
    </row>
    <row r="135" spans="1:42" hidden="1" x14ac:dyDescent="0.25">
      <c r="A135" s="16"/>
      <c r="B135" s="3" t="s">
        <v>213</v>
      </c>
      <c r="C135" s="3" t="s">
        <v>214</v>
      </c>
      <c r="D135" s="1" t="s">
        <v>8</v>
      </c>
      <c r="E135" s="107">
        <v>835.39582815514666</v>
      </c>
      <c r="F135" s="108">
        <v>1257.1376777424166</v>
      </c>
      <c r="G135" s="114">
        <v>1731.7612144604673</v>
      </c>
      <c r="H135" s="52"/>
      <c r="I135" s="108">
        <v>76.403600000000012</v>
      </c>
      <c r="J135" s="108">
        <v>105.066</v>
      </c>
      <c r="K135" s="114">
        <v>110.49480000000001</v>
      </c>
      <c r="L135" s="52"/>
      <c r="M135" s="108">
        <v>183.78220319467542</v>
      </c>
      <c r="N135" s="108">
        <v>187.99082895574099</v>
      </c>
      <c r="O135" s="114">
        <v>206.26702198403123</v>
      </c>
      <c r="P135" s="52"/>
      <c r="Q135" s="104">
        <v>0.04</v>
      </c>
      <c r="R135" s="104">
        <v>0.02</v>
      </c>
      <c r="S135" s="104">
        <v>0.04</v>
      </c>
      <c r="T135" s="104">
        <v>0.02</v>
      </c>
      <c r="U135" s="104">
        <v>0.02</v>
      </c>
      <c r="V135" s="105">
        <f t="shared" si="21"/>
        <v>0</v>
      </c>
      <c r="W135" s="52"/>
      <c r="X135" s="52">
        <f t="shared" si="14"/>
        <v>1095.5816313498221</v>
      </c>
      <c r="Y135" s="52">
        <f t="shared" si="12"/>
        <v>1550.1945066981575</v>
      </c>
      <c r="Z135" s="52">
        <f t="shared" si="13"/>
        <v>2048.5230364444983</v>
      </c>
      <c r="AA135" s="22"/>
      <c r="AJ135" s="22"/>
      <c r="AK135" s="22"/>
      <c r="AL135" s="22"/>
      <c r="AM135" s="22"/>
      <c r="AN135" s="22"/>
      <c r="AO135" s="22"/>
      <c r="AP135" s="22"/>
    </row>
    <row r="136" spans="1:42" hidden="1" x14ac:dyDescent="0.25">
      <c r="A136" s="16"/>
      <c r="B136" s="3" t="s">
        <v>215</v>
      </c>
      <c r="C136" s="3" t="s">
        <v>216</v>
      </c>
      <c r="D136" s="1" t="s">
        <v>8</v>
      </c>
      <c r="E136" s="107">
        <v>520.38490104425659</v>
      </c>
      <c r="F136" s="108">
        <v>830.9091059174541</v>
      </c>
      <c r="G136" s="114">
        <v>1167.4521193436103</v>
      </c>
      <c r="H136" s="52"/>
      <c r="I136" s="108">
        <v>46.229310428409178</v>
      </c>
      <c r="J136" s="108">
        <v>63.571987831348771</v>
      </c>
      <c r="K136" s="114">
        <v>66.856776512166789</v>
      </c>
      <c r="L136" s="52"/>
      <c r="M136" s="108">
        <v>110.73536785143243</v>
      </c>
      <c r="N136" s="108">
        <v>113.27121579372175</v>
      </c>
      <c r="O136" s="114">
        <v>124.28327747723374</v>
      </c>
      <c r="P136" s="52"/>
      <c r="Q136" s="104">
        <v>0.03</v>
      </c>
      <c r="R136" s="104">
        <v>1.4999999999999999E-2</v>
      </c>
      <c r="S136" s="104">
        <v>0.03</v>
      </c>
      <c r="T136" s="104" t="s">
        <v>250</v>
      </c>
      <c r="U136" s="104">
        <v>1.4999999999999999E-2</v>
      </c>
      <c r="V136" s="105">
        <f>SUBTOTAL(9,Q136:U136)</f>
        <v>0</v>
      </c>
      <c r="W136" s="52"/>
      <c r="X136" s="52">
        <f t="shared" si="14"/>
        <v>677.34957932409827</v>
      </c>
      <c r="Y136" s="52">
        <f t="shared" si="12"/>
        <v>1007.7523095425247</v>
      </c>
      <c r="Z136" s="52">
        <f t="shared" si="13"/>
        <v>1358.5921733330108</v>
      </c>
      <c r="AA136" s="22"/>
      <c r="AJ136" s="22"/>
      <c r="AK136" s="22"/>
      <c r="AL136" s="22"/>
      <c r="AM136" s="22"/>
      <c r="AN136" s="22"/>
      <c r="AO136" s="22"/>
      <c r="AP136" s="22"/>
    </row>
    <row r="137" spans="1:42" hidden="1" x14ac:dyDescent="0.25">
      <c r="A137" s="16"/>
      <c r="B137" s="3" t="s">
        <v>217</v>
      </c>
      <c r="C137" s="3" t="s">
        <v>218</v>
      </c>
      <c r="D137" s="1" t="s">
        <v>8</v>
      </c>
      <c r="E137" s="107">
        <v>612.14130537792141</v>
      </c>
      <c r="F137" s="108">
        <v>768.30720191645946</v>
      </c>
      <c r="G137" s="114">
        <v>986.16239814619598</v>
      </c>
      <c r="H137" s="52"/>
      <c r="I137" s="8">
        <v>54.380652427809096</v>
      </c>
      <c r="J137" s="8">
        <v>74.781261982160402</v>
      </c>
      <c r="K137" s="4">
        <v>78.64523810239676</v>
      </c>
      <c r="L137" s="52"/>
      <c r="M137" s="7">
        <v>134.14906158745211</v>
      </c>
      <c r="N137" s="7">
        <v>137.22108481171216</v>
      </c>
      <c r="O137" s="103">
        <v>150.5615176801723</v>
      </c>
      <c r="P137" s="52"/>
      <c r="Q137" s="104">
        <v>0.03</v>
      </c>
      <c r="R137" s="104">
        <v>0.03</v>
      </c>
      <c r="S137" s="104">
        <v>0.04</v>
      </c>
      <c r="T137" s="104">
        <v>0.03</v>
      </c>
      <c r="U137" s="104">
        <v>1.4999999999999999E-2</v>
      </c>
      <c r="V137" s="105">
        <f>SUBTOTAL(9,Q137:U137)</f>
        <v>0</v>
      </c>
      <c r="W137" s="52"/>
      <c r="X137" s="52">
        <f t="shared" si="14"/>
        <v>800.67101939318263</v>
      </c>
      <c r="Y137" s="52">
        <f t="shared" si="12"/>
        <v>980.30954871033214</v>
      </c>
      <c r="Z137" s="52">
        <f t="shared" si="13"/>
        <v>1215.3691539287649</v>
      </c>
      <c r="AA137" s="22"/>
      <c r="AJ137" s="22"/>
      <c r="AK137" s="22"/>
      <c r="AL137" s="22"/>
      <c r="AM137" s="22"/>
      <c r="AN137" s="22"/>
      <c r="AO137" s="22"/>
      <c r="AP137" s="22"/>
    </row>
    <row r="138" spans="1:42" x14ac:dyDescent="0.25">
      <c r="A138" s="16"/>
      <c r="B138" s="3" t="s">
        <v>219</v>
      </c>
      <c r="C138" s="3" t="s">
        <v>220</v>
      </c>
      <c r="D138" s="11" t="s">
        <v>6</v>
      </c>
      <c r="E138" s="107">
        <v>1565.342282446544</v>
      </c>
      <c r="F138" s="108">
        <v>2132.8762705121831</v>
      </c>
      <c r="G138" s="114">
        <v>2999.4348184982596</v>
      </c>
      <c r="H138" s="52"/>
      <c r="I138" s="4">
        <v>238.96080000000001</v>
      </c>
      <c r="J138" s="4">
        <v>335.24280000000005</v>
      </c>
      <c r="K138" s="4">
        <v>394.05960000000005</v>
      </c>
      <c r="L138" s="52"/>
      <c r="M138" s="4">
        <v>353.64648</v>
      </c>
      <c r="N138" s="4">
        <v>361.74500999999998</v>
      </c>
      <c r="O138" s="4">
        <v>396.91332999999997</v>
      </c>
      <c r="P138" s="52"/>
      <c r="Q138" s="104">
        <v>0.05</v>
      </c>
      <c r="R138" s="104">
        <v>0.01</v>
      </c>
      <c r="S138" s="104">
        <v>0.05</v>
      </c>
      <c r="T138" s="104">
        <v>0.02</v>
      </c>
      <c r="U138" s="104">
        <v>0.02</v>
      </c>
      <c r="V138" s="105">
        <f t="shared" ref="V138:V139" si="22">SUBTOTAL(9,Q138:U138)</f>
        <v>0.15</v>
      </c>
      <c r="W138" s="52"/>
      <c r="X138" s="52">
        <f t="shared" si="14"/>
        <v>2481.6419968135256</v>
      </c>
      <c r="Y138" s="52">
        <f t="shared" si="12"/>
        <v>3254.3436925890105</v>
      </c>
      <c r="Z138" s="52">
        <f t="shared" si="13"/>
        <v>4358.9689107729982</v>
      </c>
      <c r="AA138" s="22"/>
      <c r="AJ138" s="22"/>
      <c r="AK138" s="22"/>
      <c r="AL138" s="22"/>
      <c r="AM138" s="22"/>
      <c r="AN138" s="22"/>
      <c r="AO138" s="22"/>
      <c r="AP138" s="22"/>
    </row>
    <row r="139" spans="1:42" hidden="1" x14ac:dyDescent="0.25">
      <c r="A139" s="16"/>
      <c r="B139" s="3" t="s">
        <v>221</v>
      </c>
      <c r="C139" s="3" t="s">
        <v>222</v>
      </c>
      <c r="D139" s="11" t="s">
        <v>6</v>
      </c>
      <c r="E139" s="45">
        <v>945.77247523620099</v>
      </c>
      <c r="F139" s="8">
        <v>1309.8001444057684</v>
      </c>
      <c r="G139" s="4">
        <v>2093.1230985082052</v>
      </c>
      <c r="H139" s="52"/>
      <c r="I139" s="4">
        <v>144.37899610505198</v>
      </c>
      <c r="J139" s="4">
        <v>202.55212953524901</v>
      </c>
      <c r="K139" s="4">
        <v>238.08896460657292</v>
      </c>
      <c r="L139" s="52"/>
      <c r="M139" s="4">
        <v>206.81856000000002</v>
      </c>
      <c r="N139" s="4">
        <v>211.55471999999997</v>
      </c>
      <c r="O139" s="4">
        <v>232.12175999999999</v>
      </c>
      <c r="P139" s="52"/>
      <c r="Q139" s="104">
        <v>0.05</v>
      </c>
      <c r="R139" s="104">
        <v>0.02</v>
      </c>
      <c r="S139" s="104">
        <v>0.04</v>
      </c>
      <c r="T139" s="104">
        <v>0.03</v>
      </c>
      <c r="U139" s="104">
        <v>0.02</v>
      </c>
      <c r="V139" s="105">
        <f t="shared" si="22"/>
        <v>0</v>
      </c>
      <c r="W139" s="52"/>
      <c r="X139" s="52">
        <f t="shared" si="14"/>
        <v>1296.9700313412529</v>
      </c>
      <c r="Y139" s="52">
        <f t="shared" si="12"/>
        <v>1723.9069939410174</v>
      </c>
      <c r="Z139" s="52">
        <f t="shared" si="13"/>
        <v>2563.3338231147782</v>
      </c>
      <c r="AA139" s="22"/>
      <c r="AJ139" s="22"/>
      <c r="AK139" s="22"/>
      <c r="AL139" s="22"/>
      <c r="AM139" s="22"/>
      <c r="AN139" s="22"/>
      <c r="AO139" s="22"/>
      <c r="AP139" s="22"/>
    </row>
    <row r="140" spans="1:42" x14ac:dyDescent="0.25">
      <c r="A140" s="16"/>
      <c r="B140" s="17"/>
      <c r="C140" s="3"/>
      <c r="D140" s="1"/>
      <c r="F140" s="4"/>
      <c r="G140" s="4"/>
      <c r="H140" s="4"/>
      <c r="I140" s="4"/>
      <c r="J140" s="4"/>
      <c r="K140" s="4"/>
      <c r="L140" s="4"/>
      <c r="M140" s="4"/>
      <c r="N140" s="4"/>
      <c r="O140" s="4"/>
      <c r="P140" s="4"/>
      <c r="Q140" s="4"/>
      <c r="R140" s="4"/>
      <c r="S140" s="4"/>
      <c r="T140" s="4"/>
      <c r="U140" s="4"/>
      <c r="V140" s="4"/>
      <c r="W140" s="4"/>
      <c r="X140" s="4"/>
      <c r="Y140" s="4"/>
      <c r="Z140" s="4"/>
    </row>
    <row r="141" spans="1:42" x14ac:dyDescent="0.25">
      <c r="A141" s="16"/>
      <c r="B141" s="17"/>
      <c r="C141" s="3"/>
      <c r="D141" s="1"/>
      <c r="F141" s="4"/>
      <c r="G141" s="4"/>
      <c r="H141" s="4"/>
      <c r="I141" s="4"/>
      <c r="J141" s="4"/>
      <c r="K141" s="4"/>
      <c r="L141" s="4"/>
      <c r="M141" s="4"/>
      <c r="N141" s="4"/>
      <c r="O141" s="4"/>
      <c r="P141" s="4"/>
      <c r="Q141" s="4"/>
      <c r="R141" s="4"/>
      <c r="S141" s="4"/>
      <c r="T141" s="4"/>
      <c r="U141" s="4"/>
      <c r="V141" s="4"/>
      <c r="W141" s="4"/>
      <c r="X141" s="4"/>
      <c r="Y141" s="4"/>
      <c r="Z141" s="4"/>
    </row>
    <row r="142" spans="1:42" x14ac:dyDescent="0.25">
      <c r="A142" s="16"/>
      <c r="B142" s="17"/>
      <c r="C142" s="3"/>
      <c r="D142" s="1"/>
      <c r="F142" s="4"/>
      <c r="G142" s="4"/>
      <c r="H142" s="4"/>
      <c r="I142" s="4"/>
      <c r="J142" s="4"/>
      <c r="K142" s="4"/>
      <c r="L142" s="4"/>
      <c r="M142" s="4"/>
      <c r="N142" s="4"/>
      <c r="O142" s="4"/>
      <c r="P142" s="4"/>
      <c r="Q142" s="4"/>
      <c r="R142" s="4"/>
      <c r="S142" s="4"/>
      <c r="T142" s="4"/>
      <c r="U142" s="4"/>
      <c r="V142" s="4"/>
      <c r="W142" s="4"/>
      <c r="X142" s="4"/>
      <c r="Y142" s="4"/>
      <c r="Z142" s="4"/>
    </row>
    <row r="143" spans="1:42" x14ac:dyDescent="0.25">
      <c r="A143" s="16"/>
      <c r="B143" s="17"/>
      <c r="C143" s="3"/>
      <c r="D143" s="1"/>
      <c r="F143" s="4"/>
      <c r="G143" s="4"/>
      <c r="H143" s="4"/>
      <c r="I143" s="4"/>
      <c r="J143" s="4"/>
      <c r="K143" s="4"/>
      <c r="L143" s="4"/>
      <c r="M143" s="4"/>
      <c r="N143" s="4"/>
      <c r="O143" s="4"/>
      <c r="P143" s="4"/>
      <c r="Q143" s="4"/>
      <c r="R143" s="4"/>
      <c r="S143" s="4"/>
      <c r="T143" s="4"/>
      <c r="U143" s="4"/>
      <c r="V143" s="4"/>
      <c r="W143" s="4"/>
      <c r="X143" s="4"/>
      <c r="Y143" s="4"/>
      <c r="Z143" s="4"/>
    </row>
    <row r="144" spans="1:42" x14ac:dyDescent="0.25">
      <c r="A144" s="16"/>
      <c r="B144" s="17"/>
      <c r="C144" s="3"/>
      <c r="D144" s="1"/>
      <c r="F144" s="4"/>
      <c r="G144" s="4"/>
      <c r="H144" s="4"/>
      <c r="I144" s="4"/>
      <c r="J144" s="4"/>
      <c r="K144" s="4"/>
      <c r="L144" s="4"/>
      <c r="M144" s="4"/>
      <c r="N144" s="4"/>
      <c r="O144" s="4"/>
      <c r="P144" s="4"/>
      <c r="Q144" s="4"/>
      <c r="R144" s="4"/>
      <c r="S144" s="4"/>
      <c r="T144" s="4"/>
      <c r="U144" s="4"/>
      <c r="V144" s="4"/>
      <c r="W144" s="4"/>
      <c r="X144" s="4"/>
      <c r="Y144" s="4"/>
      <c r="Z144" s="4"/>
    </row>
    <row r="145" spans="1:26" x14ac:dyDescent="0.25">
      <c r="A145" s="16"/>
      <c r="B145" s="17"/>
      <c r="C145" s="3"/>
      <c r="D145" s="1"/>
      <c r="F145" s="4"/>
      <c r="G145" s="4"/>
      <c r="H145" s="4"/>
      <c r="I145" s="4"/>
      <c r="J145" s="4"/>
      <c r="K145" s="4"/>
      <c r="L145" s="4"/>
      <c r="M145" s="4"/>
      <c r="N145" s="4"/>
      <c r="O145" s="4"/>
      <c r="P145" s="4"/>
      <c r="Q145" s="4"/>
      <c r="R145" s="4"/>
      <c r="S145" s="4"/>
      <c r="T145" s="4"/>
      <c r="U145" s="4"/>
      <c r="V145" s="4"/>
      <c r="W145" s="4"/>
      <c r="X145" s="4"/>
      <c r="Y145" s="4"/>
      <c r="Z145" s="4"/>
    </row>
    <row r="146" spans="1:26" x14ac:dyDescent="0.25">
      <c r="A146" s="16"/>
      <c r="B146" s="17"/>
      <c r="C146" s="3"/>
      <c r="D146" s="1"/>
      <c r="F146" s="4"/>
      <c r="G146" s="4"/>
      <c r="H146" s="4"/>
      <c r="I146" s="4"/>
      <c r="J146" s="4"/>
      <c r="K146" s="4"/>
      <c r="L146" s="4"/>
      <c r="M146" s="4"/>
      <c r="N146" s="4"/>
      <c r="O146" s="4"/>
      <c r="P146" s="4"/>
      <c r="Q146" s="4"/>
      <c r="R146" s="4"/>
      <c r="S146" s="4"/>
      <c r="T146" s="4"/>
      <c r="U146" s="4"/>
      <c r="V146" s="4"/>
      <c r="W146" s="4"/>
      <c r="X146" s="4"/>
      <c r="Y146" s="4"/>
      <c r="Z146" s="4"/>
    </row>
    <row r="147" spans="1:26" x14ac:dyDescent="0.25">
      <c r="A147" s="16"/>
      <c r="B147" s="17"/>
      <c r="C147" s="3"/>
      <c r="D147" s="1"/>
      <c r="F147" s="4"/>
      <c r="G147" s="4"/>
      <c r="H147" s="4"/>
      <c r="I147" s="4"/>
      <c r="J147" s="4"/>
      <c r="K147" s="4"/>
      <c r="L147" s="4"/>
      <c r="M147" s="4"/>
      <c r="N147" s="4"/>
      <c r="O147" s="4"/>
      <c r="P147" s="4"/>
      <c r="Q147" s="4"/>
      <c r="R147" s="4"/>
      <c r="S147" s="4"/>
      <c r="T147" s="4"/>
      <c r="U147" s="4"/>
      <c r="V147" s="4"/>
      <c r="W147" s="4"/>
      <c r="X147" s="4"/>
      <c r="Y147" s="4"/>
      <c r="Z147" s="4"/>
    </row>
    <row r="148" spans="1:26" x14ac:dyDescent="0.25">
      <c r="A148" s="16"/>
      <c r="B148" s="17"/>
      <c r="C148" s="3"/>
      <c r="D148" s="1"/>
      <c r="F148" s="4"/>
      <c r="G148" s="4"/>
      <c r="H148" s="4"/>
      <c r="I148" s="4"/>
      <c r="J148" s="4"/>
      <c r="K148" s="4"/>
      <c r="L148" s="4"/>
      <c r="M148" s="4"/>
      <c r="N148" s="4"/>
      <c r="O148" s="4"/>
      <c r="P148" s="4"/>
      <c r="Q148" s="4"/>
      <c r="R148" s="4"/>
      <c r="S148" s="4"/>
      <c r="T148" s="4"/>
      <c r="U148" s="4"/>
      <c r="V148" s="4"/>
      <c r="W148" s="4"/>
      <c r="X148" s="4"/>
      <c r="Y148" s="4"/>
      <c r="Z148" s="4"/>
    </row>
    <row r="149" spans="1:26" x14ac:dyDescent="0.25">
      <c r="A149" s="16"/>
      <c r="B149" s="17"/>
      <c r="C149" s="3"/>
      <c r="D149" s="1"/>
      <c r="F149" s="4"/>
      <c r="G149" s="4"/>
      <c r="H149" s="4"/>
      <c r="I149" s="4"/>
      <c r="J149" s="4"/>
      <c r="K149" s="4"/>
      <c r="L149" s="4"/>
      <c r="M149" s="4"/>
      <c r="N149" s="4"/>
      <c r="O149" s="4"/>
      <c r="P149" s="4"/>
      <c r="Q149" s="4"/>
      <c r="R149" s="4"/>
      <c r="S149" s="4"/>
      <c r="T149" s="4"/>
      <c r="U149" s="4"/>
      <c r="V149" s="4"/>
      <c r="W149" s="4"/>
      <c r="X149" s="4"/>
      <c r="Y149" s="4"/>
      <c r="Z149" s="4"/>
    </row>
    <row r="150" spans="1:26" x14ac:dyDescent="0.25">
      <c r="A150" s="16"/>
      <c r="B150" s="17"/>
      <c r="C150" s="3"/>
      <c r="D150" s="1"/>
      <c r="F150" s="4"/>
      <c r="G150" s="4"/>
      <c r="H150" s="4"/>
      <c r="I150" s="4"/>
      <c r="J150" s="4"/>
      <c r="K150" s="4"/>
      <c r="L150" s="4"/>
      <c r="M150" s="4"/>
      <c r="N150" s="4"/>
      <c r="O150" s="4"/>
      <c r="P150" s="4"/>
      <c r="Q150" s="4"/>
      <c r="R150" s="4"/>
      <c r="S150" s="4"/>
      <c r="T150" s="4"/>
      <c r="U150" s="4"/>
      <c r="V150" s="4"/>
      <c r="W150" s="4"/>
      <c r="X150" s="4"/>
      <c r="Y150" s="4"/>
      <c r="Z150" s="4"/>
    </row>
    <row r="151" spans="1:26" x14ac:dyDescent="0.25">
      <c r="A151" s="16"/>
      <c r="B151" s="17"/>
      <c r="C151" s="3"/>
      <c r="D151" s="1"/>
      <c r="F151" s="4"/>
      <c r="G151" s="4"/>
      <c r="H151" s="4"/>
      <c r="I151" s="4"/>
      <c r="J151" s="4"/>
      <c r="K151" s="4"/>
      <c r="L151" s="4"/>
      <c r="M151" s="4"/>
      <c r="N151" s="4"/>
      <c r="O151" s="4"/>
      <c r="P151" s="4"/>
      <c r="Q151" s="4"/>
      <c r="R151" s="4"/>
      <c r="S151" s="4"/>
      <c r="T151" s="4"/>
      <c r="U151" s="4"/>
      <c r="V151" s="4"/>
      <c r="W151" s="4"/>
      <c r="X151" s="4"/>
      <c r="Y151" s="4"/>
      <c r="Z151" s="4"/>
    </row>
    <row r="152" spans="1:26" x14ac:dyDescent="0.25">
      <c r="A152" s="16"/>
      <c r="B152" s="17"/>
      <c r="C152" s="3"/>
      <c r="D152" s="1"/>
      <c r="F152" s="4"/>
      <c r="G152" s="4"/>
      <c r="H152" s="4"/>
      <c r="I152" s="4"/>
      <c r="J152" s="4"/>
      <c r="K152" s="4"/>
      <c r="L152" s="4"/>
      <c r="M152" s="4"/>
      <c r="N152" s="4"/>
      <c r="O152" s="4"/>
      <c r="P152" s="4"/>
      <c r="Q152" s="4"/>
      <c r="R152" s="4"/>
      <c r="S152" s="4"/>
      <c r="T152" s="4"/>
      <c r="U152" s="4"/>
      <c r="V152" s="4"/>
      <c r="W152" s="4"/>
      <c r="X152" s="4"/>
      <c r="Y152" s="4"/>
      <c r="Z152" s="4"/>
    </row>
    <row r="153" spans="1:26" x14ac:dyDescent="0.25">
      <c r="A153" s="16"/>
      <c r="B153" s="17"/>
      <c r="C153" s="3"/>
      <c r="D153" s="1"/>
      <c r="F153" s="4"/>
      <c r="G153" s="4"/>
      <c r="H153" s="4"/>
      <c r="I153" s="4"/>
      <c r="J153" s="4"/>
      <c r="K153" s="4"/>
      <c r="L153" s="4"/>
      <c r="M153" s="4"/>
      <c r="N153" s="4"/>
      <c r="O153" s="4"/>
      <c r="P153" s="4"/>
      <c r="Q153" s="4"/>
      <c r="R153" s="4"/>
      <c r="S153" s="4"/>
      <c r="T153" s="4"/>
      <c r="U153" s="4"/>
      <c r="V153" s="4"/>
      <c r="W153" s="4"/>
      <c r="X153" s="4"/>
      <c r="Y153" s="4"/>
      <c r="Z153" s="4"/>
    </row>
    <row r="154" spans="1:26" x14ac:dyDescent="0.25">
      <c r="A154" s="16"/>
      <c r="B154" s="17"/>
      <c r="C154" s="3"/>
      <c r="D154" s="1"/>
      <c r="F154" s="4"/>
      <c r="G154" s="4"/>
      <c r="H154" s="4"/>
      <c r="I154" s="4"/>
      <c r="J154" s="4"/>
      <c r="K154" s="4"/>
      <c r="L154" s="4"/>
      <c r="M154" s="4"/>
      <c r="N154" s="4"/>
      <c r="O154" s="4"/>
      <c r="P154" s="4"/>
      <c r="Q154" s="4"/>
      <c r="R154" s="4"/>
      <c r="S154" s="4"/>
      <c r="T154" s="4"/>
      <c r="U154" s="4"/>
      <c r="V154" s="4"/>
      <c r="W154" s="4"/>
      <c r="X154" s="4"/>
      <c r="Y154" s="4"/>
      <c r="Z154" s="4"/>
    </row>
    <row r="155" spans="1:26" x14ac:dyDescent="0.25">
      <c r="A155" s="16"/>
      <c r="B155" s="17"/>
      <c r="C155" s="3"/>
      <c r="D155" s="1"/>
      <c r="F155" s="4"/>
      <c r="G155" s="4"/>
      <c r="H155" s="4"/>
      <c r="I155" s="4"/>
      <c r="J155" s="4"/>
      <c r="K155" s="4"/>
      <c r="L155" s="4"/>
      <c r="M155" s="4"/>
      <c r="N155" s="4"/>
      <c r="O155" s="4"/>
      <c r="P155" s="4"/>
      <c r="Q155" s="4"/>
      <c r="R155" s="4"/>
      <c r="S155" s="4"/>
      <c r="T155" s="4"/>
      <c r="U155" s="4"/>
      <c r="V155" s="4"/>
      <c r="W155" s="4"/>
      <c r="X155" s="4"/>
      <c r="Y155" s="4"/>
      <c r="Z155" s="4"/>
    </row>
    <row r="156" spans="1:26" x14ac:dyDescent="0.25">
      <c r="A156" s="16"/>
      <c r="B156" s="17"/>
      <c r="C156" s="3"/>
      <c r="D156" s="1"/>
      <c r="F156" s="4"/>
      <c r="G156" s="4"/>
      <c r="H156" s="4"/>
      <c r="I156" s="4"/>
      <c r="J156" s="4"/>
      <c r="K156" s="4"/>
      <c r="L156" s="4"/>
      <c r="M156" s="4"/>
      <c r="N156" s="4"/>
      <c r="O156" s="4"/>
      <c r="P156" s="4"/>
      <c r="Q156" s="4"/>
      <c r="R156" s="4"/>
      <c r="S156" s="4"/>
      <c r="T156" s="4"/>
      <c r="U156" s="4"/>
      <c r="V156" s="4"/>
      <c r="W156" s="4"/>
      <c r="X156" s="4"/>
      <c r="Y156" s="4"/>
      <c r="Z156" s="4"/>
    </row>
    <row r="157" spans="1:26" x14ac:dyDescent="0.25">
      <c r="A157" s="16"/>
      <c r="B157" s="17"/>
      <c r="C157" s="3"/>
      <c r="D157" s="1"/>
      <c r="F157" s="4"/>
      <c r="G157" s="4"/>
      <c r="H157" s="4"/>
      <c r="I157" s="4"/>
      <c r="J157" s="4"/>
      <c r="K157" s="4"/>
      <c r="L157" s="4"/>
      <c r="M157" s="4"/>
      <c r="N157" s="4"/>
      <c r="O157" s="4"/>
      <c r="P157" s="4"/>
      <c r="Q157" s="4"/>
      <c r="R157" s="4"/>
      <c r="S157" s="4"/>
      <c r="T157" s="4"/>
      <c r="U157" s="4"/>
      <c r="V157" s="4"/>
      <c r="W157" s="4"/>
      <c r="X157" s="4"/>
      <c r="Y157" s="4"/>
      <c r="Z157" s="4"/>
    </row>
    <row r="158" spans="1:26" x14ac:dyDescent="0.25">
      <c r="A158" s="16"/>
      <c r="B158" s="17"/>
      <c r="C158" s="3"/>
      <c r="D158" s="1"/>
      <c r="F158" s="4"/>
      <c r="G158" s="4"/>
      <c r="H158" s="4"/>
      <c r="I158" s="4"/>
      <c r="J158" s="4"/>
      <c r="K158" s="4"/>
      <c r="L158" s="4"/>
      <c r="M158" s="4"/>
      <c r="N158" s="4"/>
      <c r="O158" s="4"/>
      <c r="P158" s="4"/>
      <c r="Q158" s="4"/>
      <c r="R158" s="4"/>
      <c r="S158" s="4"/>
      <c r="T158" s="4"/>
      <c r="U158" s="4"/>
      <c r="V158" s="4"/>
      <c r="W158" s="4"/>
      <c r="X158" s="4"/>
      <c r="Y158" s="4"/>
      <c r="Z158" s="4"/>
    </row>
    <row r="159" spans="1:26" x14ac:dyDescent="0.25">
      <c r="A159" s="16"/>
      <c r="B159" s="17"/>
      <c r="C159" s="3"/>
      <c r="D159" s="1"/>
      <c r="F159" s="4"/>
      <c r="G159" s="4"/>
      <c r="H159" s="4"/>
      <c r="I159" s="4"/>
      <c r="J159" s="4"/>
      <c r="K159" s="4"/>
      <c r="L159" s="4"/>
      <c r="M159" s="4"/>
      <c r="N159" s="4"/>
      <c r="O159" s="4"/>
      <c r="P159" s="4"/>
      <c r="Q159" s="4"/>
      <c r="R159" s="4"/>
      <c r="S159" s="4"/>
      <c r="T159" s="4"/>
      <c r="U159" s="4"/>
      <c r="V159" s="4"/>
      <c r="W159" s="4"/>
      <c r="X159" s="4"/>
      <c r="Y159" s="4"/>
      <c r="Z159" s="4"/>
    </row>
  </sheetData>
  <autoFilter ref="B5:D139" xr:uid="{B593B8AD-AE04-4543-B232-6D3D3239B900}">
    <filterColumn colId="0">
      <filters>
        <filter val="Israel"/>
        <filter val="United Kingdom"/>
      </filters>
    </filterColumn>
    <sortState xmlns:xlrd2="http://schemas.microsoft.com/office/spreadsheetml/2017/richdata2" ref="B69:D139">
      <sortCondition ref="B5:B139"/>
    </sortState>
  </autoFilter>
  <mergeCells count="10">
    <mergeCell ref="E1:Z1"/>
    <mergeCell ref="I2:K2"/>
    <mergeCell ref="I3:K3"/>
    <mergeCell ref="M3:O3"/>
    <mergeCell ref="M2:O2"/>
    <mergeCell ref="X3:Z3"/>
    <mergeCell ref="X2:Z2"/>
    <mergeCell ref="E2:G2"/>
    <mergeCell ref="E3:G3"/>
    <mergeCell ref="Q2:V4"/>
  </mergeCells>
  <pageMargins left="0.70866141732283472" right="0.70866141732283472" top="0.74803149606299213" bottom="0.74803149606299213" header="0.31496062992125984" footer="0.31496062992125984"/>
  <pageSetup paperSize="8" scale="70" orientation="landscape" horizontalDpi="1200" verticalDpi="1200" r:id="rId1"/>
  <colBreaks count="1" manualBreakCount="1">
    <brk id="26"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45F5D-804D-425F-A3F3-7168E3FB54A8}">
  <sheetPr filterMode="1">
    <tabColor theme="6" tint="0.39997558519241921"/>
  </sheetPr>
  <dimension ref="A1:AR159"/>
  <sheetViews>
    <sheetView view="pageBreakPreview" zoomScaleNormal="100" zoomScaleSheetLayoutView="100" workbookViewId="0">
      <selection activeCell="C75" sqref="C75"/>
    </sheetView>
  </sheetViews>
  <sheetFormatPr defaultColWidth="8.83203125" defaultRowHeight="13.5" x14ac:dyDescent="0.25"/>
  <cols>
    <col min="1" max="1" width="4.58203125" customWidth="1"/>
    <col min="2" max="2" width="21" customWidth="1"/>
    <col min="3" max="3" width="14.58203125" customWidth="1"/>
    <col min="4" max="4" width="10.08203125" bestFit="1" customWidth="1"/>
    <col min="5" max="5" width="11" style="4" bestFit="1" customWidth="1"/>
    <col min="6" max="6" width="11" bestFit="1" customWidth="1"/>
    <col min="7" max="7" width="8.83203125" bestFit="1" customWidth="1"/>
    <col min="8" max="8" width="2.83203125" customWidth="1"/>
    <col min="9" max="11" width="11" customWidth="1"/>
    <col min="12" max="12" width="4" customWidth="1"/>
    <col min="13" max="15" width="10.83203125" customWidth="1"/>
    <col min="16" max="16" width="4.83203125" customWidth="1"/>
    <col min="17" max="17" width="7.83203125" hidden="1" customWidth="1"/>
    <col min="18" max="18" width="7" hidden="1" customWidth="1"/>
    <col min="19" max="19" width="5" hidden="1" customWidth="1"/>
    <col min="20" max="20" width="7.5" hidden="1" customWidth="1"/>
    <col min="21" max="21" width="5" hidden="1" customWidth="1"/>
    <col min="22" max="22" width="12" customWidth="1"/>
    <col min="23" max="23" width="5" customWidth="1"/>
    <col min="24" max="24" width="11" customWidth="1"/>
    <col min="25" max="25" width="9.5" customWidth="1"/>
    <col min="26" max="26" width="11" customWidth="1"/>
    <col min="27" max="44" width="6" customWidth="1"/>
  </cols>
  <sheetData>
    <row r="1" spans="1:44" ht="18.5" thickBot="1" x14ac:dyDescent="0.35">
      <c r="E1" s="136" t="s">
        <v>230</v>
      </c>
      <c r="F1" s="137"/>
      <c r="G1" s="137"/>
      <c r="H1" s="138"/>
      <c r="I1" s="138"/>
      <c r="J1" s="138"/>
      <c r="K1" s="138"/>
      <c r="L1" s="138"/>
      <c r="M1" s="138"/>
      <c r="N1" s="138"/>
      <c r="O1" s="138"/>
      <c r="P1" s="138"/>
      <c r="Q1" s="138"/>
      <c r="R1" s="138"/>
      <c r="S1" s="138"/>
      <c r="T1" s="138"/>
      <c r="U1" s="138"/>
      <c r="V1" s="138"/>
      <c r="W1" s="138"/>
      <c r="X1" s="138"/>
      <c r="Y1" s="138"/>
      <c r="Z1" s="138"/>
      <c r="AA1" s="53"/>
    </row>
    <row r="2" spans="1:44" ht="17.5" customHeight="1" x14ac:dyDescent="0.25">
      <c r="A2" s="20"/>
      <c r="B2" s="15"/>
      <c r="C2" s="2"/>
      <c r="D2" s="38"/>
      <c r="E2" s="150" t="s">
        <v>253</v>
      </c>
      <c r="F2" s="151"/>
      <c r="G2" s="152"/>
      <c r="H2" s="54"/>
      <c r="I2" s="139" t="s">
        <v>254</v>
      </c>
      <c r="J2" s="140"/>
      <c r="K2" s="141"/>
      <c r="L2" s="54"/>
      <c r="M2" s="145" t="s">
        <v>255</v>
      </c>
      <c r="N2" s="146"/>
      <c r="O2" s="160"/>
      <c r="P2" s="100"/>
      <c r="Q2" s="153" t="s">
        <v>232</v>
      </c>
      <c r="R2" s="140"/>
      <c r="S2" s="140"/>
      <c r="T2" s="140"/>
      <c r="U2" s="140"/>
      <c r="V2" s="141"/>
      <c r="W2" s="100"/>
      <c r="X2" s="147" t="s">
        <v>256</v>
      </c>
      <c r="Y2" s="148"/>
      <c r="Z2" s="149"/>
      <c r="AA2" s="22"/>
      <c r="AB2" s="22"/>
      <c r="AC2" s="22"/>
      <c r="AD2" s="22"/>
      <c r="AE2" s="22"/>
      <c r="AF2" s="22"/>
      <c r="AG2" s="22"/>
      <c r="AH2" s="22"/>
      <c r="AI2" s="22"/>
      <c r="AJ2" s="22"/>
      <c r="AK2" s="22"/>
      <c r="AL2" s="22"/>
      <c r="AM2" s="22"/>
      <c r="AN2" s="22"/>
      <c r="AO2" s="22"/>
      <c r="AP2" s="22"/>
      <c r="AQ2" s="22"/>
      <c r="AR2" s="22"/>
    </row>
    <row r="3" spans="1:44" ht="13.5" customHeight="1" x14ac:dyDescent="0.25">
      <c r="A3" s="16"/>
      <c r="B3" s="16"/>
      <c r="C3" s="1"/>
      <c r="D3" s="1"/>
      <c r="E3" s="142"/>
      <c r="F3" s="133"/>
      <c r="G3" s="143"/>
      <c r="H3" s="36"/>
      <c r="I3" s="142"/>
      <c r="J3" s="133"/>
      <c r="K3" s="143"/>
      <c r="L3" s="36"/>
      <c r="M3" s="142"/>
      <c r="N3" s="133"/>
      <c r="O3" s="143"/>
      <c r="P3" s="101"/>
      <c r="Q3" s="161"/>
      <c r="R3" s="162"/>
      <c r="S3" s="162"/>
      <c r="T3" s="162"/>
      <c r="U3" s="162"/>
      <c r="V3" s="163"/>
      <c r="W3" s="101"/>
      <c r="X3" s="142"/>
      <c r="Y3" s="133"/>
      <c r="Z3" s="143"/>
      <c r="AA3" s="22"/>
      <c r="AB3" s="22"/>
      <c r="AC3" s="22"/>
      <c r="AD3" s="22"/>
      <c r="AE3" s="22"/>
      <c r="AF3" s="22"/>
      <c r="AG3" s="22"/>
      <c r="AH3" s="22"/>
      <c r="AI3" s="22"/>
      <c r="AJ3" s="22"/>
      <c r="AK3" s="22"/>
      <c r="AL3" s="22"/>
      <c r="AM3" s="22"/>
      <c r="AN3" s="22"/>
      <c r="AO3" s="22"/>
      <c r="AP3" s="22"/>
      <c r="AQ3" s="22"/>
      <c r="AR3" s="22"/>
    </row>
    <row r="4" spans="1:44" ht="13.5" customHeight="1" x14ac:dyDescent="0.25">
      <c r="A4" s="16"/>
      <c r="B4" s="16"/>
      <c r="C4" s="1"/>
      <c r="D4" s="1"/>
      <c r="E4" s="39" t="s">
        <v>9</v>
      </c>
      <c r="F4" s="6" t="s">
        <v>10</v>
      </c>
      <c r="G4" s="40" t="s">
        <v>11</v>
      </c>
      <c r="H4" s="36"/>
      <c r="I4" s="48" t="s">
        <v>9</v>
      </c>
      <c r="J4" s="36" t="s">
        <v>10</v>
      </c>
      <c r="K4" s="49" t="s">
        <v>11</v>
      </c>
      <c r="L4" s="36"/>
      <c r="M4" s="48" t="s">
        <v>9</v>
      </c>
      <c r="N4" s="36" t="s">
        <v>10</v>
      </c>
      <c r="O4" s="49" t="s">
        <v>11</v>
      </c>
      <c r="P4" s="101"/>
      <c r="Q4" s="161"/>
      <c r="R4" s="162"/>
      <c r="S4" s="162"/>
      <c r="T4" s="162"/>
      <c r="U4" s="162"/>
      <c r="V4" s="163"/>
      <c r="W4" s="101"/>
      <c r="X4" s="48" t="s">
        <v>9</v>
      </c>
      <c r="Y4" s="36" t="s">
        <v>10</v>
      </c>
      <c r="Z4" s="49" t="s">
        <v>11</v>
      </c>
      <c r="AA4" s="22"/>
      <c r="AB4" s="22"/>
      <c r="AC4" s="22"/>
      <c r="AD4" s="22"/>
      <c r="AE4" s="22"/>
      <c r="AF4" s="22"/>
      <c r="AG4" s="22"/>
      <c r="AH4" s="22"/>
      <c r="AI4" s="22"/>
      <c r="AJ4" s="22"/>
      <c r="AK4" s="22"/>
      <c r="AL4" s="22"/>
      <c r="AM4" s="22"/>
      <c r="AN4" s="22"/>
      <c r="AO4" s="22"/>
      <c r="AP4" s="22"/>
      <c r="AQ4" s="22"/>
      <c r="AR4" s="22"/>
    </row>
    <row r="5" spans="1:44" ht="13.5" customHeight="1" x14ac:dyDescent="0.25">
      <c r="A5" s="16"/>
      <c r="B5" s="12" t="s">
        <v>14</v>
      </c>
      <c r="C5" s="12" t="s">
        <v>15</v>
      </c>
      <c r="D5" s="37" t="s">
        <v>16</v>
      </c>
      <c r="E5" s="41"/>
      <c r="F5" s="14"/>
      <c r="G5" s="42"/>
      <c r="H5" s="37"/>
      <c r="I5" s="50"/>
      <c r="J5" s="37"/>
      <c r="K5" s="51"/>
      <c r="L5" s="37"/>
      <c r="M5" s="50"/>
      <c r="N5" s="37"/>
      <c r="O5" s="51"/>
      <c r="P5" s="115"/>
      <c r="Q5" s="36" t="s">
        <v>234</v>
      </c>
      <c r="R5" s="36" t="s">
        <v>235</v>
      </c>
      <c r="S5" s="36" t="s">
        <v>236</v>
      </c>
      <c r="T5" s="36" t="s">
        <v>237</v>
      </c>
      <c r="U5" s="36" t="s">
        <v>238</v>
      </c>
      <c r="V5" s="36" t="s">
        <v>239</v>
      </c>
      <c r="W5" s="115"/>
      <c r="X5" s="50"/>
      <c r="Y5" s="37"/>
      <c r="Z5" s="51"/>
      <c r="AA5" s="22"/>
      <c r="AB5" s="22"/>
      <c r="AC5" s="22"/>
      <c r="AD5" s="22"/>
      <c r="AE5" s="22"/>
      <c r="AF5" s="22"/>
      <c r="AG5" s="22"/>
      <c r="AH5" s="22"/>
      <c r="AI5" s="22"/>
      <c r="AJ5" s="22"/>
      <c r="AK5" s="22"/>
      <c r="AL5" s="22"/>
      <c r="AM5" s="22"/>
      <c r="AN5" s="22"/>
      <c r="AO5" s="22"/>
      <c r="AP5" s="22"/>
      <c r="AQ5" s="22"/>
      <c r="AR5" s="22"/>
    </row>
    <row r="6" spans="1:44" hidden="1" x14ac:dyDescent="0.25">
      <c r="A6" s="16"/>
      <c r="B6" s="3" t="s">
        <v>17</v>
      </c>
      <c r="C6" s="3" t="s">
        <v>18</v>
      </c>
      <c r="D6" s="1" t="s">
        <v>19</v>
      </c>
      <c r="E6" s="116">
        <v>168.4092966959864</v>
      </c>
      <c r="F6" s="117">
        <v>245.3482334244955</v>
      </c>
      <c r="G6" s="118">
        <v>293.56133121442826</v>
      </c>
      <c r="H6" s="114"/>
      <c r="I6" s="113">
        <v>17.465748407454715</v>
      </c>
      <c r="J6" s="114">
        <v>23.080301434738399</v>
      </c>
      <c r="K6" s="109">
        <v>26.718342807256018</v>
      </c>
      <c r="L6" s="114"/>
      <c r="M6" s="113">
        <v>38.343304224021395</v>
      </c>
      <c r="N6" s="114">
        <v>39.214742956385514</v>
      </c>
      <c r="O6" s="109">
        <v>43.073971628283772</v>
      </c>
      <c r="P6" s="119"/>
      <c r="Q6" s="120">
        <v>0.08</v>
      </c>
      <c r="R6" s="120">
        <v>0.05</v>
      </c>
      <c r="S6" s="120">
        <v>0.03</v>
      </c>
      <c r="T6" s="120">
        <v>1.4999999999999999E-2</v>
      </c>
      <c r="U6" s="120">
        <v>0.02</v>
      </c>
      <c r="V6" s="121">
        <f t="shared" ref="V6:V57" si="0">SUBTOTAL(9,Q6:U6)</f>
        <v>0</v>
      </c>
      <c r="W6" s="119"/>
      <c r="X6" s="113">
        <f>(E6+I6+M6)*(1+V6)</f>
        <v>224.21834932746253</v>
      </c>
      <c r="Y6" s="113">
        <f>(F6+J6+N6)*(1+V6)</f>
        <v>307.6432778156194</v>
      </c>
      <c r="Z6" s="113">
        <f>(G6+K6+O6)*(1+V6)</f>
        <v>363.35364564996803</v>
      </c>
      <c r="AA6" s="22"/>
      <c r="AB6" s="22"/>
      <c r="AC6" s="22"/>
      <c r="AD6" s="22"/>
      <c r="AE6" s="22"/>
      <c r="AF6" s="22"/>
      <c r="AG6" s="22"/>
      <c r="AH6" s="22"/>
      <c r="AI6" s="22"/>
      <c r="AJ6" s="22"/>
      <c r="AK6" s="22"/>
      <c r="AL6" s="22"/>
      <c r="AM6" s="22"/>
      <c r="AN6" s="22"/>
      <c r="AO6" s="22"/>
      <c r="AP6" s="22"/>
      <c r="AQ6" s="22"/>
      <c r="AR6" s="22"/>
    </row>
    <row r="7" spans="1:44" hidden="1" x14ac:dyDescent="0.25">
      <c r="A7" s="16"/>
      <c r="B7" s="3" t="s">
        <v>17</v>
      </c>
      <c r="C7" s="3" t="s">
        <v>20</v>
      </c>
      <c r="D7" s="1" t="s">
        <v>19</v>
      </c>
      <c r="E7" s="107">
        <v>157.31248614088253</v>
      </c>
      <c r="F7" s="108">
        <v>229.11135338901616</v>
      </c>
      <c r="G7" s="109">
        <v>274.10340749501069</v>
      </c>
      <c r="H7" s="114"/>
      <c r="I7" s="113">
        <v>16.314896850663843</v>
      </c>
      <c r="J7" s="114">
        <v>21.559496244046763</v>
      </c>
      <c r="K7" s="109">
        <v>24.957820114653931</v>
      </c>
      <c r="L7" s="114"/>
      <c r="M7" s="113">
        <v>35.8167905969336</v>
      </c>
      <c r="N7" s="114">
        <v>36.630808565045733</v>
      </c>
      <c r="O7" s="109">
        <v>40.235745280970868</v>
      </c>
      <c r="P7" s="119"/>
      <c r="Q7" s="120">
        <v>0.08</v>
      </c>
      <c r="R7" s="120">
        <v>0.05</v>
      </c>
      <c r="S7" s="120">
        <v>0.03</v>
      </c>
      <c r="T7" s="120">
        <v>1.4999999999999999E-2</v>
      </c>
      <c r="U7" s="120">
        <v>0.02</v>
      </c>
      <c r="V7" s="121">
        <f t="shared" si="0"/>
        <v>0</v>
      </c>
      <c r="W7" s="119"/>
      <c r="X7" s="113">
        <f t="shared" ref="X7:X74" si="1">(E7+I7+M7)*(1+V7)</f>
        <v>209.44417358847997</v>
      </c>
      <c r="Y7" s="113">
        <f t="shared" ref="Y7:Y74" si="2">(F7+J7+N7)*(1+V7)</f>
        <v>287.30165819810867</v>
      </c>
      <c r="Z7" s="113">
        <f t="shared" ref="Z7:Z74" si="3">(G7+K7+O7)*(1+V7)</f>
        <v>339.29697289063552</v>
      </c>
      <c r="AA7" s="22"/>
      <c r="AB7" s="22"/>
      <c r="AC7" s="22"/>
      <c r="AD7" s="22"/>
      <c r="AE7" s="22"/>
      <c r="AF7" s="22"/>
      <c r="AG7" s="22"/>
      <c r="AH7" s="22"/>
      <c r="AI7" s="22"/>
      <c r="AJ7" s="22"/>
      <c r="AK7" s="22"/>
      <c r="AL7" s="22"/>
      <c r="AM7" s="22"/>
      <c r="AN7" s="22"/>
      <c r="AO7" s="22"/>
      <c r="AP7" s="22"/>
      <c r="AQ7" s="22"/>
      <c r="AR7" s="22"/>
    </row>
    <row r="8" spans="1:44" hidden="1" x14ac:dyDescent="0.25">
      <c r="A8" s="16"/>
      <c r="B8" s="3" t="s">
        <v>17</v>
      </c>
      <c r="C8" s="3" t="s">
        <v>240</v>
      </c>
      <c r="D8" s="1" t="s">
        <v>19</v>
      </c>
      <c r="E8" s="107">
        <v>157.31248614088253</v>
      </c>
      <c r="F8" s="108">
        <v>229.11135338901616</v>
      </c>
      <c r="G8" s="109">
        <v>274.10340749501069</v>
      </c>
      <c r="H8" s="114"/>
      <c r="I8" s="113">
        <v>16.314896850663843</v>
      </c>
      <c r="J8" s="114">
        <v>21.559496244046763</v>
      </c>
      <c r="K8" s="109">
        <v>24.957820114653931</v>
      </c>
      <c r="L8" s="114"/>
      <c r="M8" s="113">
        <v>35.8167905969336</v>
      </c>
      <c r="N8" s="114">
        <v>36.630808565045733</v>
      </c>
      <c r="O8" s="109">
        <v>40.235745280970868</v>
      </c>
      <c r="P8" s="119"/>
      <c r="Q8" s="120">
        <v>0.08</v>
      </c>
      <c r="R8" s="120">
        <v>0.05</v>
      </c>
      <c r="S8" s="120">
        <v>0.03</v>
      </c>
      <c r="T8" s="120">
        <v>1.4999999999999999E-2</v>
      </c>
      <c r="U8" s="120">
        <v>0.02</v>
      </c>
      <c r="V8" s="121">
        <f t="shared" si="0"/>
        <v>0</v>
      </c>
      <c r="W8" s="119"/>
      <c r="X8" s="113">
        <f t="shared" si="1"/>
        <v>209.44417358847997</v>
      </c>
      <c r="Y8" s="113">
        <f t="shared" si="2"/>
        <v>287.30165819810867</v>
      </c>
      <c r="Z8" s="113">
        <f t="shared" si="3"/>
        <v>339.29697289063552</v>
      </c>
      <c r="AA8" s="22"/>
      <c r="AB8" s="22"/>
      <c r="AC8" s="22"/>
      <c r="AD8" s="22"/>
      <c r="AE8" s="22"/>
      <c r="AF8" s="22"/>
      <c r="AG8" s="22"/>
      <c r="AH8" s="22"/>
      <c r="AI8" s="22"/>
      <c r="AJ8" s="22"/>
      <c r="AK8" s="22"/>
      <c r="AL8" s="22"/>
      <c r="AM8" s="22"/>
      <c r="AN8" s="22"/>
      <c r="AO8" s="22"/>
      <c r="AP8" s="22"/>
      <c r="AQ8" s="22"/>
      <c r="AR8" s="22"/>
    </row>
    <row r="9" spans="1:44" hidden="1" x14ac:dyDescent="0.25">
      <c r="A9" s="16"/>
      <c r="B9" s="3" t="s">
        <v>17</v>
      </c>
      <c r="C9" s="3" t="s">
        <v>22</v>
      </c>
      <c r="D9" s="1" t="s">
        <v>19</v>
      </c>
      <c r="E9" s="107">
        <v>206.10304715795698</v>
      </c>
      <c r="F9" s="108">
        <v>300.50225441643875</v>
      </c>
      <c r="G9" s="109">
        <v>359.65657106955427</v>
      </c>
      <c r="H9" s="114"/>
      <c r="I9" s="113">
        <v>21.374971799620621</v>
      </c>
      <c r="J9" s="114">
        <v>28.246186810048709</v>
      </c>
      <c r="K9" s="109">
        <v>32.698502847661302</v>
      </c>
      <c r="L9" s="114"/>
      <c r="M9" s="113">
        <v>46.925389475031949</v>
      </c>
      <c r="N9" s="114">
        <v>47.991875599464485</v>
      </c>
      <c r="O9" s="109">
        <v>52.714885579094329</v>
      </c>
      <c r="P9" s="119"/>
      <c r="Q9" s="120">
        <v>0.08</v>
      </c>
      <c r="R9" s="120">
        <v>0.05</v>
      </c>
      <c r="S9" s="120">
        <v>0.03</v>
      </c>
      <c r="T9" s="120">
        <v>1.4999999999999999E-2</v>
      </c>
      <c r="U9" s="120">
        <v>0.02</v>
      </c>
      <c r="V9" s="121">
        <f t="shared" si="0"/>
        <v>0</v>
      </c>
      <c r="W9" s="119"/>
      <c r="X9" s="113">
        <f t="shared" si="1"/>
        <v>274.40340843260958</v>
      </c>
      <c r="Y9" s="113">
        <f t="shared" si="2"/>
        <v>376.74031682595194</v>
      </c>
      <c r="Z9" s="113">
        <f t="shared" si="3"/>
        <v>445.06995949630993</v>
      </c>
      <c r="AA9" s="22"/>
      <c r="AB9" s="22"/>
      <c r="AC9" s="22"/>
      <c r="AD9" s="22"/>
      <c r="AE9" s="22"/>
      <c r="AF9" s="22"/>
      <c r="AG9" s="22"/>
      <c r="AH9" s="22"/>
      <c r="AI9" s="22"/>
      <c r="AJ9" s="22"/>
      <c r="AK9" s="22"/>
      <c r="AL9" s="22"/>
      <c r="AM9" s="22"/>
      <c r="AN9" s="22"/>
      <c r="AO9" s="22"/>
      <c r="AP9" s="22"/>
      <c r="AQ9" s="22"/>
      <c r="AR9" s="22"/>
    </row>
    <row r="10" spans="1:44" hidden="1" x14ac:dyDescent="0.25">
      <c r="A10" s="16"/>
      <c r="B10" s="3" t="s">
        <v>17</v>
      </c>
      <c r="C10" s="3" t="s">
        <v>23</v>
      </c>
      <c r="D10" s="1" t="s">
        <v>19</v>
      </c>
      <c r="E10" s="107">
        <v>163.34928671742182</v>
      </c>
      <c r="F10" s="108">
        <v>237.51113349101928</v>
      </c>
      <c r="G10" s="109">
        <v>285.31936026313844</v>
      </c>
      <c r="H10" s="114"/>
      <c r="I10" s="113">
        <v>16.940974164234891</v>
      </c>
      <c r="J10" s="114">
        <v>22.386832856344661</v>
      </c>
      <c r="K10" s="109">
        <v>25.915565978020279</v>
      </c>
      <c r="L10" s="114"/>
      <c r="M10" s="113">
        <v>37.191244891246384</v>
      </c>
      <c r="N10" s="114">
        <v>38.036500456956531</v>
      </c>
      <c r="O10" s="109">
        <v>41.779775105101457</v>
      </c>
      <c r="P10" s="119"/>
      <c r="Q10" s="120">
        <v>0.08</v>
      </c>
      <c r="R10" s="120">
        <v>0.05</v>
      </c>
      <c r="S10" s="120">
        <v>0.03</v>
      </c>
      <c r="T10" s="120">
        <v>1.4999999999999999E-2</v>
      </c>
      <c r="U10" s="120">
        <v>0.02</v>
      </c>
      <c r="V10" s="121">
        <f t="shared" si="0"/>
        <v>0</v>
      </c>
      <c r="W10" s="119"/>
      <c r="X10" s="113">
        <f t="shared" si="1"/>
        <v>217.48150577290309</v>
      </c>
      <c r="Y10" s="113">
        <f t="shared" si="2"/>
        <v>297.93446680432044</v>
      </c>
      <c r="Z10" s="113">
        <f t="shared" si="3"/>
        <v>353.01470134626015</v>
      </c>
      <c r="AA10" s="22"/>
      <c r="AB10" s="22"/>
      <c r="AC10" s="22"/>
      <c r="AD10" s="22"/>
      <c r="AE10" s="22"/>
      <c r="AF10" s="22"/>
      <c r="AG10" s="22"/>
      <c r="AH10" s="22"/>
      <c r="AI10" s="22"/>
      <c r="AJ10" s="22"/>
      <c r="AK10" s="22"/>
      <c r="AL10" s="22"/>
      <c r="AM10" s="22"/>
      <c r="AN10" s="22"/>
      <c r="AO10" s="22"/>
      <c r="AP10" s="22"/>
      <c r="AQ10" s="22"/>
      <c r="AR10" s="22"/>
    </row>
    <row r="11" spans="1:44" hidden="1" x14ac:dyDescent="0.25">
      <c r="A11" s="16"/>
      <c r="B11" s="3" t="s">
        <v>17</v>
      </c>
      <c r="C11" s="3" t="s">
        <v>24</v>
      </c>
      <c r="D11" s="1" t="s">
        <v>19</v>
      </c>
      <c r="E11" s="107">
        <v>200.64273967033779</v>
      </c>
      <c r="F11" s="108">
        <v>292.51265799393894</v>
      </c>
      <c r="G11" s="109">
        <v>350.0819997782541</v>
      </c>
      <c r="H11" s="114"/>
      <c r="I11" s="113">
        <v>20.80868265361072</v>
      </c>
      <c r="J11" s="114">
        <v>27.497857916020298</v>
      </c>
      <c r="K11" s="109">
        <v>31.832218324482046</v>
      </c>
      <c r="L11" s="114"/>
      <c r="M11" s="113">
        <v>45.682190701199204</v>
      </c>
      <c r="N11" s="114">
        <v>46.72042230804464</v>
      </c>
      <c r="O11" s="109">
        <v>51.318305138360145</v>
      </c>
      <c r="P11" s="119"/>
      <c r="Q11" s="120">
        <v>0.08</v>
      </c>
      <c r="R11" s="120">
        <v>0.05</v>
      </c>
      <c r="S11" s="120">
        <v>0.03</v>
      </c>
      <c r="T11" s="120">
        <v>1.4999999999999999E-2</v>
      </c>
      <c r="U11" s="120">
        <v>0.02</v>
      </c>
      <c r="V11" s="121">
        <f t="shared" si="0"/>
        <v>0</v>
      </c>
      <c r="W11" s="119"/>
      <c r="X11" s="113">
        <f t="shared" si="1"/>
        <v>267.13361302514772</v>
      </c>
      <c r="Y11" s="113">
        <f t="shared" si="2"/>
        <v>366.73093821800387</v>
      </c>
      <c r="Z11" s="113">
        <f t="shared" si="3"/>
        <v>433.23252324109626</v>
      </c>
      <c r="AA11" s="22"/>
      <c r="AB11" s="22"/>
      <c r="AC11" s="22"/>
      <c r="AD11" s="22"/>
      <c r="AE11" s="22"/>
      <c r="AF11" s="22"/>
      <c r="AG11" s="22"/>
      <c r="AH11" s="22"/>
      <c r="AI11" s="22"/>
      <c r="AJ11" s="22"/>
      <c r="AK11" s="22"/>
      <c r="AL11" s="22"/>
      <c r="AM11" s="22"/>
      <c r="AN11" s="22"/>
      <c r="AO11" s="22"/>
      <c r="AP11" s="22"/>
      <c r="AQ11" s="22"/>
      <c r="AR11" s="22"/>
    </row>
    <row r="12" spans="1:44" hidden="1" x14ac:dyDescent="0.25">
      <c r="A12" s="16"/>
      <c r="B12" s="3" t="s">
        <v>17</v>
      </c>
      <c r="C12" s="3" t="s">
        <v>25</v>
      </c>
      <c r="D12" s="1" t="s">
        <v>19</v>
      </c>
      <c r="E12" s="107">
        <v>164.0479710252051</v>
      </c>
      <c r="F12" s="108">
        <v>239.01789674033557</v>
      </c>
      <c r="G12" s="109">
        <v>287.29636336758074</v>
      </c>
      <c r="H12" s="114"/>
      <c r="I12" s="113">
        <v>17.013434797794858</v>
      </c>
      <c r="J12" s="114">
        <v>22.482586741360112</v>
      </c>
      <c r="K12" s="109">
        <v>26.026413105914315</v>
      </c>
      <c r="L12" s="114"/>
      <c r="M12" s="113">
        <v>37.350320818142784</v>
      </c>
      <c r="N12" s="114">
        <v>38.199191745827846</v>
      </c>
      <c r="O12" s="109">
        <v>41.958477282718839</v>
      </c>
      <c r="P12" s="119"/>
      <c r="Q12" s="120">
        <v>0.08</v>
      </c>
      <c r="R12" s="120">
        <v>0.05</v>
      </c>
      <c r="S12" s="120">
        <v>0.03</v>
      </c>
      <c r="T12" s="120">
        <v>1.4999999999999999E-2</v>
      </c>
      <c r="U12" s="120">
        <v>0.02</v>
      </c>
      <c r="V12" s="121">
        <f t="shared" si="0"/>
        <v>0</v>
      </c>
      <c r="W12" s="119"/>
      <c r="X12" s="113">
        <f t="shared" si="1"/>
        <v>218.41172664114276</v>
      </c>
      <c r="Y12" s="113">
        <f t="shared" si="2"/>
        <v>299.69967522752358</v>
      </c>
      <c r="Z12" s="113">
        <f t="shared" si="3"/>
        <v>355.28125375621391</v>
      </c>
      <c r="AA12" s="22"/>
      <c r="AB12" s="22"/>
      <c r="AC12" s="22"/>
      <c r="AD12" s="22"/>
      <c r="AE12" s="22"/>
      <c r="AF12" s="22"/>
      <c r="AG12" s="22"/>
      <c r="AH12" s="22"/>
      <c r="AI12" s="22"/>
      <c r="AJ12" s="22"/>
      <c r="AK12" s="22"/>
      <c r="AL12" s="22"/>
      <c r="AM12" s="22"/>
      <c r="AN12" s="22"/>
      <c r="AO12" s="22"/>
      <c r="AP12" s="22"/>
      <c r="AQ12" s="22"/>
      <c r="AR12" s="22"/>
    </row>
    <row r="13" spans="1:44" hidden="1" x14ac:dyDescent="0.25">
      <c r="A13" s="16"/>
      <c r="B13" s="3" t="s">
        <v>17</v>
      </c>
      <c r="C13" s="3" t="s">
        <v>26</v>
      </c>
      <c r="D13" s="1" t="s">
        <v>19</v>
      </c>
      <c r="E13" s="107">
        <v>159.58829181757704</v>
      </c>
      <c r="F13" s="108">
        <v>232.01811848621477</v>
      </c>
      <c r="G13" s="109">
        <v>278.70980855939092</v>
      </c>
      <c r="H13" s="114"/>
      <c r="I13" s="113">
        <v>16.550920931004004</v>
      </c>
      <c r="J13" s="114">
        <v>21.871392808283467</v>
      </c>
      <c r="K13" s="109">
        <v>25.318879494543094</v>
      </c>
      <c r="L13" s="114"/>
      <c r="M13" s="113">
        <v>36.334944351674224</v>
      </c>
      <c r="N13" s="114">
        <v>37.160738541485003</v>
      </c>
      <c r="O13" s="109">
        <v>40.817827096361313</v>
      </c>
      <c r="P13" s="119"/>
      <c r="Q13" s="120">
        <v>0.08</v>
      </c>
      <c r="R13" s="120">
        <v>0.05</v>
      </c>
      <c r="S13" s="120">
        <v>0.03</v>
      </c>
      <c r="T13" s="120">
        <v>1.4999999999999999E-2</v>
      </c>
      <c r="U13" s="120">
        <v>0.02</v>
      </c>
      <c r="V13" s="121">
        <f t="shared" si="0"/>
        <v>0</v>
      </c>
      <c r="W13" s="119"/>
      <c r="X13" s="113">
        <f t="shared" si="1"/>
        <v>212.4741571002553</v>
      </c>
      <c r="Y13" s="113">
        <f t="shared" si="2"/>
        <v>291.05024983598327</v>
      </c>
      <c r="Z13" s="113">
        <f t="shared" si="3"/>
        <v>344.84651515029532</v>
      </c>
      <c r="AA13" s="22"/>
      <c r="AB13" s="22"/>
      <c r="AC13" s="22"/>
      <c r="AD13" s="22"/>
      <c r="AE13" s="22"/>
      <c r="AF13" s="22"/>
      <c r="AG13" s="22"/>
      <c r="AH13" s="22"/>
      <c r="AI13" s="22"/>
      <c r="AJ13" s="22"/>
      <c r="AK13" s="22"/>
      <c r="AL13" s="22"/>
      <c r="AM13" s="22"/>
      <c r="AN13" s="22"/>
      <c r="AO13" s="22"/>
      <c r="AP13" s="22"/>
      <c r="AQ13" s="22"/>
      <c r="AR13" s="22"/>
    </row>
    <row r="14" spans="1:44" hidden="1" x14ac:dyDescent="0.25">
      <c r="A14" s="16"/>
      <c r="B14" s="3" t="s">
        <v>17</v>
      </c>
      <c r="C14" s="3" t="s">
        <v>27</v>
      </c>
      <c r="D14" s="1" t="s">
        <v>19</v>
      </c>
      <c r="E14" s="107">
        <v>149.78324340306008</v>
      </c>
      <c r="F14" s="108">
        <v>215.79648347993199</v>
      </c>
      <c r="G14" s="109">
        <v>259.74762547120997</v>
      </c>
      <c r="H14" s="114"/>
      <c r="I14" s="113">
        <v>15.534038181116317</v>
      </c>
      <c r="J14" s="114">
        <v>20.527622141051364</v>
      </c>
      <c r="K14" s="109">
        <v>23.763296460111661</v>
      </c>
      <c r="L14" s="114"/>
      <c r="M14" s="113">
        <v>34.102538174194827</v>
      </c>
      <c r="N14" s="114">
        <v>34.877595859971976</v>
      </c>
      <c r="O14" s="109">
        <v>38.309994182699377</v>
      </c>
      <c r="P14" s="119"/>
      <c r="Q14" s="120">
        <v>0.08</v>
      </c>
      <c r="R14" s="120">
        <v>0.05</v>
      </c>
      <c r="S14" s="120">
        <v>0.03</v>
      </c>
      <c r="T14" s="120">
        <v>1.4999999999999999E-2</v>
      </c>
      <c r="U14" s="120">
        <v>0.02</v>
      </c>
      <c r="V14" s="121">
        <f t="shared" si="0"/>
        <v>0</v>
      </c>
      <c r="W14" s="119"/>
      <c r="X14" s="113">
        <f t="shared" si="1"/>
        <v>199.41981975837123</v>
      </c>
      <c r="Y14" s="113">
        <f t="shared" si="2"/>
        <v>271.20170148095531</v>
      </c>
      <c r="Z14" s="113">
        <f t="shared" si="3"/>
        <v>321.82091611402097</v>
      </c>
      <c r="AA14" s="22"/>
      <c r="AB14" s="22"/>
      <c r="AC14" s="22"/>
      <c r="AD14" s="22"/>
      <c r="AE14" s="22"/>
      <c r="AF14" s="22"/>
      <c r="AG14" s="22"/>
      <c r="AH14" s="22"/>
      <c r="AI14" s="22"/>
      <c r="AJ14" s="22"/>
      <c r="AK14" s="22"/>
      <c r="AL14" s="22"/>
      <c r="AM14" s="22"/>
      <c r="AN14" s="22"/>
      <c r="AO14" s="22"/>
      <c r="AP14" s="22"/>
      <c r="AQ14" s="22"/>
      <c r="AR14" s="22"/>
    </row>
    <row r="15" spans="1:44" hidden="1" x14ac:dyDescent="0.25">
      <c r="A15" s="16"/>
      <c r="B15" s="3" t="s">
        <v>17</v>
      </c>
      <c r="C15" s="3" t="s">
        <v>28</v>
      </c>
      <c r="D15" s="1" t="s">
        <v>19</v>
      </c>
      <c r="E15" s="107">
        <v>158.04969879518072</v>
      </c>
      <c r="F15" s="108">
        <v>234.00320607583708</v>
      </c>
      <c r="G15" s="109">
        <v>280.56817761844923</v>
      </c>
      <c r="H15" s="114"/>
      <c r="I15" s="113">
        <v>16.391353263672965</v>
      </c>
      <c r="J15" s="114">
        <v>21.660530394871714</v>
      </c>
      <c r="K15" s="109">
        <v>25.074779812282404</v>
      </c>
      <c r="L15" s="114"/>
      <c r="M15" s="113">
        <v>35.984638629293606</v>
      </c>
      <c r="N15" s="114">
        <v>36.802471325413919</v>
      </c>
      <c r="O15" s="109">
        <v>40.424301836803863</v>
      </c>
      <c r="P15" s="119"/>
      <c r="Q15" s="120">
        <v>0.08</v>
      </c>
      <c r="R15" s="120">
        <v>0.05</v>
      </c>
      <c r="S15" s="120">
        <v>0.03</v>
      </c>
      <c r="T15" s="120">
        <v>1.4999999999999999E-2</v>
      </c>
      <c r="U15" s="120">
        <v>0.02</v>
      </c>
      <c r="V15" s="121">
        <f t="shared" si="0"/>
        <v>0</v>
      </c>
      <c r="W15" s="119"/>
      <c r="X15" s="113">
        <f t="shared" si="1"/>
        <v>210.42569068814728</v>
      </c>
      <c r="Y15" s="113">
        <f t="shared" si="2"/>
        <v>292.46620779612272</v>
      </c>
      <c r="Z15" s="113">
        <f t="shared" si="3"/>
        <v>346.06725926753552</v>
      </c>
      <c r="AA15" s="22"/>
      <c r="AB15" s="22"/>
      <c r="AC15" s="22"/>
      <c r="AD15" s="22"/>
      <c r="AE15" s="22"/>
      <c r="AF15" s="22"/>
      <c r="AG15" s="22"/>
      <c r="AH15" s="22"/>
      <c r="AI15" s="22"/>
      <c r="AJ15" s="22"/>
      <c r="AK15" s="22"/>
      <c r="AL15" s="22"/>
      <c r="AM15" s="22"/>
      <c r="AN15" s="22"/>
      <c r="AO15" s="22"/>
      <c r="AP15" s="22"/>
      <c r="AQ15" s="22"/>
      <c r="AR15" s="22"/>
    </row>
    <row r="16" spans="1:44" hidden="1" x14ac:dyDescent="0.25">
      <c r="A16" s="16"/>
      <c r="B16" s="3" t="s">
        <v>17</v>
      </c>
      <c r="C16" s="3" t="s">
        <v>29</v>
      </c>
      <c r="D16" s="1" t="s">
        <v>19</v>
      </c>
      <c r="E16" s="107">
        <v>150.527662798433</v>
      </c>
      <c r="F16" s="108">
        <v>218.78487877891934</v>
      </c>
      <c r="G16" s="109">
        <v>262.78679133712762</v>
      </c>
      <c r="H16" s="114"/>
      <c r="I16" s="113">
        <v>15.611242006108734</v>
      </c>
      <c r="J16" s="114">
        <v>20.629643967495355</v>
      </c>
      <c r="K16" s="109">
        <v>23.881399516107724</v>
      </c>
      <c r="L16" s="114"/>
      <c r="M16" s="113">
        <v>34.272027032037229</v>
      </c>
      <c r="N16" s="114">
        <v>35.050936737310799</v>
      </c>
      <c r="O16" s="109">
        <v>38.500394003522338</v>
      </c>
      <c r="P16" s="119"/>
      <c r="Q16" s="120">
        <v>0.08</v>
      </c>
      <c r="R16" s="120">
        <v>0.05</v>
      </c>
      <c r="S16" s="120">
        <v>0.03</v>
      </c>
      <c r="T16" s="120">
        <v>1.4999999999999999E-2</v>
      </c>
      <c r="U16" s="120">
        <v>0.02</v>
      </c>
      <c r="V16" s="121">
        <f t="shared" si="0"/>
        <v>0</v>
      </c>
      <c r="W16" s="119"/>
      <c r="X16" s="113">
        <f t="shared" si="1"/>
        <v>200.41093183657898</v>
      </c>
      <c r="Y16" s="113">
        <f t="shared" si="2"/>
        <v>274.46545948372551</v>
      </c>
      <c r="Z16" s="113">
        <f t="shared" si="3"/>
        <v>325.16858485675766</v>
      </c>
      <c r="AA16" s="22"/>
      <c r="AB16" s="22"/>
      <c r="AC16" s="22"/>
      <c r="AD16" s="22"/>
      <c r="AE16" s="22"/>
      <c r="AF16" s="22"/>
      <c r="AG16" s="22"/>
      <c r="AH16" s="22"/>
      <c r="AI16" s="22"/>
      <c r="AJ16" s="22"/>
      <c r="AK16" s="22"/>
      <c r="AL16" s="22"/>
      <c r="AM16" s="22"/>
      <c r="AN16" s="22"/>
      <c r="AO16" s="22"/>
      <c r="AP16" s="22"/>
      <c r="AQ16" s="22"/>
      <c r="AR16" s="22"/>
    </row>
    <row r="17" spans="1:44" hidden="1" x14ac:dyDescent="0.25">
      <c r="A17" s="16"/>
      <c r="B17" s="3" t="s">
        <v>17</v>
      </c>
      <c r="C17" s="3" t="s">
        <v>30</v>
      </c>
      <c r="D17" s="1" t="s">
        <v>19</v>
      </c>
      <c r="E17" s="107">
        <v>160.78498041244731</v>
      </c>
      <c r="F17" s="108">
        <v>233.76589178801092</v>
      </c>
      <c r="G17" s="109">
        <v>280.81283723852465</v>
      </c>
      <c r="H17" s="114"/>
      <c r="I17" s="113">
        <v>16.675029649050639</v>
      </c>
      <c r="J17" s="114">
        <v>22.035397611076387</v>
      </c>
      <c r="K17" s="109">
        <v>25.50873561732589</v>
      </c>
      <c r="L17" s="114"/>
      <c r="M17" s="113">
        <v>36.60740552664938</v>
      </c>
      <c r="N17" s="114">
        <v>37.439392015891407</v>
      </c>
      <c r="O17" s="109">
        <v>41.12390361110613</v>
      </c>
      <c r="P17" s="119"/>
      <c r="Q17" s="120">
        <v>0.08</v>
      </c>
      <c r="R17" s="120">
        <v>0.05</v>
      </c>
      <c r="S17" s="120">
        <v>0.03</v>
      </c>
      <c r="T17" s="120">
        <v>1.4999999999999999E-2</v>
      </c>
      <c r="U17" s="120">
        <v>0.02</v>
      </c>
      <c r="V17" s="121">
        <f t="shared" si="0"/>
        <v>0</v>
      </c>
      <c r="W17" s="119"/>
      <c r="X17" s="113">
        <f t="shared" si="1"/>
        <v>214.06741558814733</v>
      </c>
      <c r="Y17" s="113">
        <f t="shared" si="2"/>
        <v>293.24068141497872</v>
      </c>
      <c r="Z17" s="113">
        <f t="shared" si="3"/>
        <v>347.44547646695668</v>
      </c>
      <c r="AA17" s="22"/>
      <c r="AB17" s="22"/>
      <c r="AC17" s="22"/>
      <c r="AD17" s="22"/>
      <c r="AE17" s="22"/>
      <c r="AF17" s="22"/>
      <c r="AG17" s="22"/>
      <c r="AH17" s="22"/>
      <c r="AI17" s="22"/>
      <c r="AJ17" s="22"/>
      <c r="AK17" s="22"/>
      <c r="AL17" s="22"/>
      <c r="AM17" s="22"/>
      <c r="AN17" s="22"/>
      <c r="AO17" s="22"/>
      <c r="AP17" s="22"/>
      <c r="AQ17" s="22"/>
      <c r="AR17" s="22"/>
    </row>
    <row r="18" spans="1:44" hidden="1" x14ac:dyDescent="0.25">
      <c r="A18" s="16"/>
      <c r="B18" s="3" t="s">
        <v>17</v>
      </c>
      <c r="C18" s="3" t="s">
        <v>32</v>
      </c>
      <c r="D18" s="1" t="s">
        <v>19</v>
      </c>
      <c r="E18" s="107">
        <v>168.81989614901323</v>
      </c>
      <c r="F18" s="108">
        <v>245.50100709586812</v>
      </c>
      <c r="G18" s="109">
        <v>294.93329144800055</v>
      </c>
      <c r="H18" s="114"/>
      <c r="I18" s="113">
        <v>17.508331726092706</v>
      </c>
      <c r="J18" s="114">
        <v>23.13657362000799</v>
      </c>
      <c r="K18" s="109">
        <v>26.78348491732757</v>
      </c>
      <c r="L18" s="114"/>
      <c r="M18" s="113">
        <v>38.436789204070003</v>
      </c>
      <c r="N18" s="114">
        <v>39.310352595071599</v>
      </c>
      <c r="O18" s="109">
        <v>43.178990469507212</v>
      </c>
      <c r="P18" s="119"/>
      <c r="Q18" s="120">
        <v>0.08</v>
      </c>
      <c r="R18" s="120">
        <v>0.05</v>
      </c>
      <c r="S18" s="120">
        <v>0.03</v>
      </c>
      <c r="T18" s="120">
        <v>1.4999999999999999E-2</v>
      </c>
      <c r="U18" s="120">
        <v>0.02</v>
      </c>
      <c r="V18" s="121">
        <f t="shared" si="0"/>
        <v>0</v>
      </c>
      <c r="W18" s="119"/>
      <c r="X18" s="113">
        <f t="shared" si="1"/>
        <v>224.76501707917595</v>
      </c>
      <c r="Y18" s="113">
        <f t="shared" si="2"/>
        <v>307.94793331094769</v>
      </c>
      <c r="Z18" s="113">
        <f t="shared" si="3"/>
        <v>364.89576683483529</v>
      </c>
      <c r="AA18" s="22"/>
      <c r="AB18" s="22"/>
      <c r="AC18" s="22"/>
      <c r="AD18" s="22"/>
      <c r="AE18" s="22"/>
      <c r="AF18" s="22"/>
      <c r="AG18" s="22"/>
      <c r="AH18" s="22"/>
      <c r="AI18" s="22"/>
      <c r="AJ18" s="22"/>
      <c r="AK18" s="22"/>
      <c r="AL18" s="22"/>
      <c r="AM18" s="22"/>
      <c r="AN18" s="22"/>
      <c r="AO18" s="22"/>
      <c r="AP18" s="22"/>
      <c r="AQ18" s="22"/>
      <c r="AR18" s="22"/>
    </row>
    <row r="19" spans="1:44" hidden="1" x14ac:dyDescent="0.25">
      <c r="A19" s="16"/>
      <c r="B19" s="3" t="s">
        <v>17</v>
      </c>
      <c r="C19" s="3" t="s">
        <v>33</v>
      </c>
      <c r="D19" s="1" t="s">
        <v>19</v>
      </c>
      <c r="E19" s="107">
        <v>149.50199571291299</v>
      </c>
      <c r="F19" s="108">
        <v>217.28684677359743</v>
      </c>
      <c r="G19" s="109">
        <v>260.98413593022394</v>
      </c>
      <c r="H19" s="114"/>
      <c r="I19" s="113">
        <v>15.504869949357982</v>
      </c>
      <c r="J19" s="114">
        <v>20.489077466892805</v>
      </c>
      <c r="K19" s="109">
        <v>23.718676166894333</v>
      </c>
      <c r="L19" s="114"/>
      <c r="M19" s="113">
        <v>34.038503907932899</v>
      </c>
      <c r="N19" s="114">
        <v>34.812106269476836</v>
      </c>
      <c r="O19" s="109">
        <v>38.238059584885661</v>
      </c>
      <c r="P19" s="119"/>
      <c r="Q19" s="120">
        <v>0.08</v>
      </c>
      <c r="R19" s="120">
        <v>0.05</v>
      </c>
      <c r="S19" s="120">
        <v>0.03</v>
      </c>
      <c r="T19" s="120">
        <v>1.4999999999999999E-2</v>
      </c>
      <c r="U19" s="120">
        <v>0.02</v>
      </c>
      <c r="V19" s="121">
        <f t="shared" si="0"/>
        <v>0</v>
      </c>
      <c r="W19" s="119"/>
      <c r="X19" s="113">
        <f t="shared" si="1"/>
        <v>199.04536957020386</v>
      </c>
      <c r="Y19" s="113">
        <f t="shared" si="2"/>
        <v>272.5880305099671</v>
      </c>
      <c r="Z19" s="113">
        <f t="shared" si="3"/>
        <v>322.94087168200394</v>
      </c>
      <c r="AA19" s="22"/>
      <c r="AB19" s="22"/>
      <c r="AC19" s="22"/>
      <c r="AD19" s="22"/>
      <c r="AE19" s="22"/>
      <c r="AF19" s="22"/>
      <c r="AG19" s="22"/>
      <c r="AH19" s="22"/>
      <c r="AI19" s="22"/>
      <c r="AJ19" s="22"/>
      <c r="AK19" s="22"/>
      <c r="AL19" s="22"/>
      <c r="AM19" s="22"/>
      <c r="AN19" s="22"/>
      <c r="AO19" s="22"/>
      <c r="AP19" s="22"/>
      <c r="AQ19" s="22"/>
      <c r="AR19" s="22"/>
    </row>
    <row r="20" spans="1:44" hidden="1" x14ac:dyDescent="0.25">
      <c r="A20" s="16"/>
      <c r="B20" s="3" t="s">
        <v>17</v>
      </c>
      <c r="C20" s="3" t="s">
        <v>34</v>
      </c>
      <c r="D20" s="1" t="s">
        <v>19</v>
      </c>
      <c r="E20" s="107">
        <v>158.90448296252492</v>
      </c>
      <c r="F20" s="108">
        <v>231.01938428560868</v>
      </c>
      <c r="G20" s="109">
        <v>277.50808448517995</v>
      </c>
      <c r="H20" s="114"/>
      <c r="I20" s="113">
        <v>16.480003032435199</v>
      </c>
      <c r="J20" s="114">
        <v>21.77767758704579</v>
      </c>
      <c r="K20" s="109">
        <v>25.210392375587297</v>
      </c>
      <c r="L20" s="114"/>
      <c r="M20" s="113">
        <v>36.179255256863293</v>
      </c>
      <c r="N20" s="114">
        <v>37.001511058155643</v>
      </c>
      <c r="O20" s="109">
        <v>40.64292960673604</v>
      </c>
      <c r="P20" s="119"/>
      <c r="Q20" s="120">
        <v>0.08</v>
      </c>
      <c r="R20" s="120">
        <v>0.05</v>
      </c>
      <c r="S20" s="120">
        <v>0.03</v>
      </c>
      <c r="T20" s="120">
        <v>1.4999999999999999E-2</v>
      </c>
      <c r="U20" s="120">
        <v>0.02</v>
      </c>
      <c r="V20" s="121">
        <f t="shared" si="0"/>
        <v>0</v>
      </c>
      <c r="W20" s="119"/>
      <c r="X20" s="113">
        <f t="shared" si="1"/>
        <v>211.56374125182342</v>
      </c>
      <c r="Y20" s="113">
        <f t="shared" si="2"/>
        <v>289.79857293081011</v>
      </c>
      <c r="Z20" s="113">
        <f t="shared" si="3"/>
        <v>343.36140646750329</v>
      </c>
      <c r="AA20" s="22"/>
      <c r="AB20" s="22"/>
      <c r="AC20" s="22"/>
      <c r="AD20" s="22"/>
      <c r="AE20" s="22"/>
      <c r="AF20" s="22"/>
      <c r="AG20" s="22"/>
      <c r="AH20" s="22"/>
      <c r="AI20" s="22"/>
      <c r="AJ20" s="22"/>
      <c r="AK20" s="22"/>
      <c r="AL20" s="22"/>
      <c r="AM20" s="22"/>
      <c r="AN20" s="22"/>
      <c r="AO20" s="22"/>
      <c r="AP20" s="22"/>
      <c r="AQ20" s="22"/>
      <c r="AR20" s="22"/>
    </row>
    <row r="21" spans="1:44" hidden="1" x14ac:dyDescent="0.25">
      <c r="A21" s="16"/>
      <c r="B21" s="3" t="s">
        <v>17</v>
      </c>
      <c r="C21" s="3" t="s">
        <v>35</v>
      </c>
      <c r="D21" s="1" t="s">
        <v>19</v>
      </c>
      <c r="E21" s="107">
        <v>166.93939869909084</v>
      </c>
      <c r="F21" s="108">
        <v>242.75445339640771</v>
      </c>
      <c r="G21" s="109">
        <v>291.6285386946559</v>
      </c>
      <c r="H21" s="114"/>
      <c r="I21" s="113">
        <v>17.313305109477263</v>
      </c>
      <c r="J21" s="114">
        <v>22.878853595977393</v>
      </c>
      <c r="K21" s="109">
        <v>26.485141675588981</v>
      </c>
      <c r="L21" s="114"/>
      <c r="M21" s="113">
        <v>38.008638934283915</v>
      </c>
      <c r="N21" s="114">
        <v>38.872471637335821</v>
      </c>
      <c r="O21" s="109">
        <v>42.698016465137137</v>
      </c>
      <c r="P21" s="119"/>
      <c r="Q21" s="120">
        <v>0.08</v>
      </c>
      <c r="R21" s="120">
        <v>0.05</v>
      </c>
      <c r="S21" s="120">
        <v>0.03</v>
      </c>
      <c r="T21" s="120">
        <v>1.4999999999999999E-2</v>
      </c>
      <c r="U21" s="120">
        <v>0.02</v>
      </c>
      <c r="V21" s="121">
        <f t="shared" si="0"/>
        <v>0</v>
      </c>
      <c r="W21" s="119"/>
      <c r="X21" s="113">
        <f t="shared" si="1"/>
        <v>222.26134274285201</v>
      </c>
      <c r="Y21" s="113">
        <f t="shared" si="2"/>
        <v>304.50577862972091</v>
      </c>
      <c r="Z21" s="113">
        <f t="shared" si="3"/>
        <v>360.81169683538201</v>
      </c>
      <c r="AA21" s="22"/>
      <c r="AB21" s="22"/>
      <c r="AC21" s="22"/>
      <c r="AD21" s="22"/>
      <c r="AE21" s="22"/>
      <c r="AF21" s="22"/>
      <c r="AG21" s="22"/>
      <c r="AH21" s="22"/>
      <c r="AI21" s="22"/>
      <c r="AJ21" s="22"/>
      <c r="AK21" s="22"/>
      <c r="AL21" s="22"/>
      <c r="AM21" s="22"/>
      <c r="AN21" s="22"/>
      <c r="AO21" s="22"/>
      <c r="AP21" s="22"/>
      <c r="AQ21" s="22"/>
      <c r="AR21" s="22"/>
    </row>
    <row r="22" spans="1:44" hidden="1" x14ac:dyDescent="0.25">
      <c r="A22" s="16"/>
      <c r="B22" s="3" t="s">
        <v>17</v>
      </c>
      <c r="C22" s="3" t="s">
        <v>36</v>
      </c>
      <c r="D22" s="1" t="s">
        <v>19</v>
      </c>
      <c r="E22" s="107">
        <v>197.02740409490721</v>
      </c>
      <c r="F22" s="108">
        <v>286.69861963190181</v>
      </c>
      <c r="G22" s="109">
        <v>344.50504471875229</v>
      </c>
      <c r="H22" s="114"/>
      <c r="I22" s="113">
        <v>20.433735766426814</v>
      </c>
      <c r="J22" s="114">
        <v>27.002380311720916</v>
      </c>
      <c r="K22" s="109">
        <v>31.258640872626771</v>
      </c>
      <c r="L22" s="114"/>
      <c r="M22" s="113">
        <v>44.859053768973261</v>
      </c>
      <c r="N22" s="114">
        <v>45.878577718268112</v>
      </c>
      <c r="O22" s="109">
        <v>50.393612350859577</v>
      </c>
      <c r="P22" s="119"/>
      <c r="Q22" s="120">
        <v>0.08</v>
      </c>
      <c r="R22" s="120">
        <v>0.05</v>
      </c>
      <c r="S22" s="120">
        <v>0.03</v>
      </c>
      <c r="T22" s="120">
        <v>1.4999999999999999E-2</v>
      </c>
      <c r="U22" s="120">
        <v>0.02</v>
      </c>
      <c r="V22" s="121">
        <f t="shared" si="0"/>
        <v>0</v>
      </c>
      <c r="W22" s="119"/>
      <c r="X22" s="113">
        <f t="shared" si="1"/>
        <v>262.3201936303073</v>
      </c>
      <c r="Y22" s="113">
        <f t="shared" si="2"/>
        <v>359.57957766189082</v>
      </c>
      <c r="Z22" s="113">
        <f t="shared" si="3"/>
        <v>426.15729794223864</v>
      </c>
      <c r="AA22" s="22"/>
      <c r="AB22" s="22"/>
      <c r="AC22" s="22"/>
      <c r="AD22" s="22"/>
      <c r="AE22" s="22"/>
      <c r="AF22" s="22"/>
      <c r="AG22" s="22"/>
      <c r="AH22" s="22"/>
      <c r="AI22" s="22"/>
      <c r="AJ22" s="22"/>
      <c r="AK22" s="22"/>
      <c r="AL22" s="22"/>
      <c r="AM22" s="22"/>
      <c r="AN22" s="22"/>
      <c r="AO22" s="22"/>
      <c r="AP22" s="22"/>
      <c r="AQ22" s="22"/>
      <c r="AR22" s="22"/>
    </row>
    <row r="23" spans="1:44" hidden="1" x14ac:dyDescent="0.25">
      <c r="A23" s="16"/>
      <c r="B23" s="3" t="s">
        <v>17</v>
      </c>
      <c r="C23" s="3" t="s">
        <v>37</v>
      </c>
      <c r="D23" s="1" t="s">
        <v>19</v>
      </c>
      <c r="E23" s="107">
        <v>154.28870389533594</v>
      </c>
      <c r="F23" s="108">
        <v>224.27789378372384</v>
      </c>
      <c r="G23" s="109">
        <v>269.39634304087514</v>
      </c>
      <c r="H23" s="114"/>
      <c r="I23" s="113">
        <v>16.001300030442078</v>
      </c>
      <c r="J23" s="114">
        <v>21.14509034681052</v>
      </c>
      <c r="K23" s="109">
        <v>24.478093328805215</v>
      </c>
      <c r="L23" s="114"/>
      <c r="M23" s="113">
        <v>35.128338089721446</v>
      </c>
      <c r="N23" s="114">
        <v>35.92670940994239</v>
      </c>
      <c r="O23" s="109">
        <v>39.462353828063712</v>
      </c>
      <c r="P23" s="119"/>
      <c r="Q23" s="120">
        <v>0.08</v>
      </c>
      <c r="R23" s="120">
        <v>0.05</v>
      </c>
      <c r="S23" s="120">
        <v>0.03</v>
      </c>
      <c r="T23" s="120">
        <v>1.4999999999999999E-2</v>
      </c>
      <c r="U23" s="120">
        <v>0.02</v>
      </c>
      <c r="V23" s="121">
        <f t="shared" si="0"/>
        <v>0</v>
      </c>
      <c r="W23" s="119"/>
      <c r="X23" s="113">
        <f t="shared" si="1"/>
        <v>205.41834201549946</v>
      </c>
      <c r="Y23" s="113">
        <f t="shared" si="2"/>
        <v>281.34969354047678</v>
      </c>
      <c r="Z23" s="113">
        <f t="shared" si="3"/>
        <v>333.33679019774405</v>
      </c>
      <c r="AA23" s="22"/>
      <c r="AB23" s="22"/>
      <c r="AC23" s="22"/>
      <c r="AD23" s="22"/>
      <c r="AE23" s="22"/>
      <c r="AF23" s="22"/>
      <c r="AG23" s="22"/>
      <c r="AH23" s="22"/>
      <c r="AI23" s="22"/>
      <c r="AJ23" s="22"/>
      <c r="AK23" s="22"/>
      <c r="AL23" s="22"/>
      <c r="AM23" s="22"/>
      <c r="AN23" s="22"/>
      <c r="AO23" s="22"/>
      <c r="AP23" s="22"/>
      <c r="AQ23" s="22"/>
      <c r="AR23" s="22"/>
    </row>
    <row r="24" spans="1:44" hidden="1" x14ac:dyDescent="0.25">
      <c r="A24" s="16"/>
      <c r="B24" s="3" t="s">
        <v>17</v>
      </c>
      <c r="C24" s="3" t="s">
        <v>38</v>
      </c>
      <c r="D24" s="1" t="s">
        <v>19</v>
      </c>
      <c r="E24" s="107">
        <v>181.29952324635966</v>
      </c>
      <c r="F24" s="108">
        <v>263.72782541207772</v>
      </c>
      <c r="G24" s="109">
        <v>316.86506763249315</v>
      </c>
      <c r="H24" s="114"/>
      <c r="I24" s="113">
        <v>18.802595352729547</v>
      </c>
      <c r="J24" s="114">
        <v>24.846892235730525</v>
      </c>
      <c r="K24" s="109">
        <v>28.763393161321623</v>
      </c>
      <c r="L24" s="114"/>
      <c r="M24" s="113">
        <v>41.27814147964957</v>
      </c>
      <c r="N24" s="114">
        <v>42.216281058732513</v>
      </c>
      <c r="O24" s="109">
        <v>46.370899194671267</v>
      </c>
      <c r="P24" s="119"/>
      <c r="Q24" s="120">
        <v>0.08</v>
      </c>
      <c r="R24" s="120">
        <v>0.05</v>
      </c>
      <c r="S24" s="120">
        <v>0.03</v>
      </c>
      <c r="T24" s="120">
        <v>1.4999999999999999E-2</v>
      </c>
      <c r="U24" s="120">
        <v>0.02</v>
      </c>
      <c r="V24" s="121">
        <f t="shared" si="0"/>
        <v>0</v>
      </c>
      <c r="W24" s="119"/>
      <c r="X24" s="113">
        <f t="shared" si="1"/>
        <v>241.38026007873879</v>
      </c>
      <c r="Y24" s="113">
        <f t="shared" si="2"/>
        <v>330.79099870654079</v>
      </c>
      <c r="Z24" s="113">
        <f t="shared" si="3"/>
        <v>391.99935998848605</v>
      </c>
      <c r="AA24" s="22"/>
      <c r="AB24" s="22"/>
      <c r="AC24" s="22"/>
      <c r="AD24" s="22"/>
      <c r="AE24" s="22"/>
      <c r="AF24" s="22"/>
      <c r="AG24" s="22"/>
      <c r="AH24" s="22"/>
      <c r="AI24" s="22"/>
      <c r="AJ24" s="22"/>
      <c r="AK24" s="22"/>
      <c r="AL24" s="22"/>
      <c r="AM24" s="22"/>
      <c r="AN24" s="22"/>
      <c r="AO24" s="22"/>
      <c r="AP24" s="22"/>
      <c r="AQ24" s="22"/>
      <c r="AR24" s="22"/>
    </row>
    <row r="25" spans="1:44" hidden="1" x14ac:dyDescent="0.25">
      <c r="A25" s="16"/>
      <c r="B25" s="3" t="s">
        <v>17</v>
      </c>
      <c r="C25" s="3" t="s">
        <v>39</v>
      </c>
      <c r="D25" s="1" t="s">
        <v>19</v>
      </c>
      <c r="E25" s="107">
        <v>153.77587035257594</v>
      </c>
      <c r="F25" s="108">
        <v>223.52885468253379</v>
      </c>
      <c r="G25" s="109">
        <v>268.49508463301055</v>
      </c>
      <c r="H25" s="114"/>
      <c r="I25" s="113">
        <v>15.948114002066699</v>
      </c>
      <c r="J25" s="114">
        <v>21.07480709650924</v>
      </c>
      <c r="K25" s="109">
        <v>24.396731654198518</v>
      </c>
      <c r="L25" s="114"/>
      <c r="M25" s="113">
        <v>35.011576527669291</v>
      </c>
      <c r="N25" s="114">
        <v>35.807294176025408</v>
      </c>
      <c r="O25" s="109">
        <v>39.331186618745377</v>
      </c>
      <c r="P25" s="119"/>
      <c r="Q25" s="120">
        <v>0.08</v>
      </c>
      <c r="R25" s="120">
        <v>0.05</v>
      </c>
      <c r="S25" s="120">
        <v>0.03</v>
      </c>
      <c r="T25" s="120">
        <v>1.4999999999999999E-2</v>
      </c>
      <c r="U25" s="120">
        <v>0.02</v>
      </c>
      <c r="V25" s="121">
        <f t="shared" si="0"/>
        <v>0</v>
      </c>
      <c r="W25" s="119"/>
      <c r="X25" s="113">
        <f t="shared" si="1"/>
        <v>204.73556088231192</v>
      </c>
      <c r="Y25" s="113">
        <f t="shared" si="2"/>
        <v>280.4109559550684</v>
      </c>
      <c r="Z25" s="113">
        <f t="shared" si="3"/>
        <v>332.22300290595444</v>
      </c>
      <c r="AA25" s="22"/>
      <c r="AB25" s="22"/>
      <c r="AC25" s="22"/>
      <c r="AD25" s="22"/>
      <c r="AE25" s="22"/>
      <c r="AF25" s="22"/>
      <c r="AG25" s="22"/>
      <c r="AH25" s="22"/>
      <c r="AI25" s="22"/>
      <c r="AJ25" s="22"/>
      <c r="AK25" s="22"/>
      <c r="AL25" s="22"/>
      <c r="AM25" s="22"/>
      <c r="AN25" s="22"/>
      <c r="AO25" s="22"/>
      <c r="AP25" s="22"/>
      <c r="AQ25" s="22"/>
      <c r="AR25" s="22"/>
    </row>
    <row r="26" spans="1:44" hidden="1" x14ac:dyDescent="0.25">
      <c r="A26" s="16"/>
      <c r="B26" s="3" t="s">
        <v>17</v>
      </c>
      <c r="C26" s="3" t="s">
        <v>40</v>
      </c>
      <c r="D26" s="1" t="s">
        <v>19</v>
      </c>
      <c r="E26" s="107">
        <v>213.86533880922462</v>
      </c>
      <c r="F26" s="108">
        <v>311.92699063123661</v>
      </c>
      <c r="G26" s="109">
        <v>375.07572483184271</v>
      </c>
      <c r="H26" s="114"/>
      <c r="I26" s="113">
        <v>22.18</v>
      </c>
      <c r="J26" s="114">
        <v>29.31</v>
      </c>
      <c r="K26" s="109">
        <v>33.93</v>
      </c>
      <c r="L26" s="114"/>
      <c r="M26" s="113">
        <v>48.692702302170133</v>
      </c>
      <c r="N26" s="114">
        <v>49.799354627219451</v>
      </c>
      <c r="O26" s="109">
        <v>54.700243495295013</v>
      </c>
      <c r="P26" s="119"/>
      <c r="Q26" s="120">
        <v>0.08</v>
      </c>
      <c r="R26" s="120">
        <v>0.05</v>
      </c>
      <c r="S26" s="120">
        <v>0.03</v>
      </c>
      <c r="T26" s="120">
        <v>1.4999999999999999E-2</v>
      </c>
      <c r="U26" s="120">
        <v>0.02</v>
      </c>
      <c r="V26" s="121">
        <f t="shared" si="0"/>
        <v>0</v>
      </c>
      <c r="W26" s="119"/>
      <c r="X26" s="113">
        <f t="shared" si="1"/>
        <v>284.73804111139475</v>
      </c>
      <c r="Y26" s="113">
        <f t="shared" si="2"/>
        <v>391.03634525845604</v>
      </c>
      <c r="Z26" s="113">
        <f t="shared" si="3"/>
        <v>463.70596832713773</v>
      </c>
      <c r="AA26" s="22"/>
      <c r="AB26" s="22"/>
      <c r="AC26" s="22"/>
      <c r="AD26" s="22"/>
      <c r="AE26" s="22"/>
      <c r="AF26" s="22"/>
      <c r="AG26" s="22"/>
      <c r="AH26" s="22"/>
      <c r="AI26" s="22"/>
      <c r="AJ26" s="22"/>
      <c r="AK26" s="22"/>
      <c r="AL26" s="22"/>
      <c r="AM26" s="22"/>
      <c r="AN26" s="22"/>
      <c r="AO26" s="22"/>
      <c r="AP26" s="22"/>
      <c r="AQ26" s="22"/>
      <c r="AR26" s="22"/>
    </row>
    <row r="27" spans="1:44" hidden="1" x14ac:dyDescent="0.25">
      <c r="A27" s="16"/>
      <c r="B27" s="3" t="s">
        <v>17</v>
      </c>
      <c r="C27" s="3" t="s">
        <v>41</v>
      </c>
      <c r="D27" s="1" t="s">
        <v>19</v>
      </c>
      <c r="E27" s="107">
        <v>197.88218826225145</v>
      </c>
      <c r="F27" s="108">
        <v>287.94709512898214</v>
      </c>
      <c r="G27" s="109">
        <v>346.00718826225142</v>
      </c>
      <c r="H27" s="114"/>
      <c r="I27" s="113">
        <v>20.522385535189049</v>
      </c>
      <c r="J27" s="114">
        <v>27.119527503894997</v>
      </c>
      <c r="K27" s="109">
        <v>31.39425343593167</v>
      </c>
      <c r="L27" s="114"/>
      <c r="M27" s="113">
        <v>45.053670396542955</v>
      </c>
      <c r="N27" s="114">
        <v>46.077617451009843</v>
      </c>
      <c r="O27" s="109">
        <v>50.612240120791768</v>
      </c>
      <c r="P27" s="119"/>
      <c r="Q27" s="120">
        <v>0.08</v>
      </c>
      <c r="R27" s="120">
        <v>0.05</v>
      </c>
      <c r="S27" s="120">
        <v>0.03</v>
      </c>
      <c r="T27" s="120">
        <v>1.4999999999999999E-2</v>
      </c>
      <c r="U27" s="120">
        <v>0.02</v>
      </c>
      <c r="V27" s="121">
        <f t="shared" si="0"/>
        <v>0</v>
      </c>
      <c r="W27" s="119"/>
      <c r="X27" s="113">
        <f t="shared" si="1"/>
        <v>263.45824419398343</v>
      </c>
      <c r="Y27" s="113">
        <f t="shared" si="2"/>
        <v>361.14424008388698</v>
      </c>
      <c r="Z27" s="113">
        <f t="shared" si="3"/>
        <v>428.01368181897487</v>
      </c>
      <c r="AA27" s="22"/>
      <c r="AB27" s="22"/>
      <c r="AC27" s="22"/>
      <c r="AD27" s="22"/>
      <c r="AE27" s="22"/>
      <c r="AF27" s="22"/>
      <c r="AG27" s="22"/>
      <c r="AH27" s="22"/>
      <c r="AI27" s="22"/>
      <c r="AJ27" s="22"/>
      <c r="AK27" s="22"/>
      <c r="AL27" s="22"/>
      <c r="AM27" s="22"/>
      <c r="AN27" s="22"/>
      <c r="AO27" s="22"/>
      <c r="AP27" s="22"/>
      <c r="AQ27" s="22"/>
      <c r="AR27" s="22"/>
    </row>
    <row r="28" spans="1:44" hidden="1" x14ac:dyDescent="0.25">
      <c r="A28" s="16"/>
      <c r="B28" s="3" t="s">
        <v>17</v>
      </c>
      <c r="C28" s="3" t="s">
        <v>42</v>
      </c>
      <c r="D28" s="1" t="s">
        <v>19</v>
      </c>
      <c r="E28" s="107">
        <v>205.404178061941</v>
      </c>
      <c r="F28" s="108">
        <v>298.93312513859115</v>
      </c>
      <c r="G28" s="109">
        <v>359.22633786680461</v>
      </c>
      <c r="H28" s="114"/>
      <c r="I28" s="113">
        <v>21.302492001650826</v>
      </c>
      <c r="J28" s="114">
        <v>28.150407600017388</v>
      </c>
      <c r="K28" s="109">
        <v>32.587626402886045</v>
      </c>
      <c r="L28" s="114"/>
      <c r="M28" s="113">
        <v>46.766271475687269</v>
      </c>
      <c r="N28" s="114">
        <v>47.829141281952893</v>
      </c>
      <c r="O28" s="109">
        <v>52.53613613827207</v>
      </c>
      <c r="P28" s="119"/>
      <c r="Q28" s="120">
        <v>0.08</v>
      </c>
      <c r="R28" s="120">
        <v>0.05</v>
      </c>
      <c r="S28" s="120">
        <v>0.03</v>
      </c>
      <c r="T28" s="120">
        <v>1.4999999999999999E-2</v>
      </c>
      <c r="U28" s="120">
        <v>0.02</v>
      </c>
      <c r="V28" s="121">
        <f t="shared" si="0"/>
        <v>0</v>
      </c>
      <c r="W28" s="119"/>
      <c r="X28" s="113">
        <f t="shared" si="1"/>
        <v>273.47294153927908</v>
      </c>
      <c r="Y28" s="113">
        <f t="shared" si="2"/>
        <v>374.91267402056144</v>
      </c>
      <c r="Z28" s="113">
        <f t="shared" si="3"/>
        <v>444.35010040796271</v>
      </c>
      <c r="AA28" s="22"/>
      <c r="AB28" s="22"/>
      <c r="AC28" s="22"/>
      <c r="AD28" s="22"/>
      <c r="AE28" s="22"/>
      <c r="AF28" s="22"/>
      <c r="AG28" s="22"/>
      <c r="AH28" s="22"/>
      <c r="AI28" s="22"/>
      <c r="AJ28" s="22"/>
      <c r="AK28" s="22"/>
      <c r="AL28" s="22"/>
      <c r="AM28" s="22"/>
      <c r="AN28" s="22"/>
      <c r="AO28" s="22"/>
      <c r="AP28" s="22"/>
      <c r="AQ28" s="22"/>
      <c r="AR28" s="22"/>
    </row>
    <row r="29" spans="1:44" hidden="1" x14ac:dyDescent="0.25">
      <c r="A29" s="16"/>
      <c r="B29" s="3" t="s">
        <v>17</v>
      </c>
      <c r="C29" s="3" t="s">
        <v>43</v>
      </c>
      <c r="D29" s="1" t="s">
        <v>19</v>
      </c>
      <c r="E29" s="107">
        <v>154.45963301056989</v>
      </c>
      <c r="F29" s="108">
        <v>224.52763508019808</v>
      </c>
      <c r="G29" s="109">
        <v>269.69676251016335</v>
      </c>
      <c r="H29" s="114"/>
      <c r="I29" s="113">
        <v>16.019027109533052</v>
      </c>
      <c r="J29" s="114">
        <v>21.168515986492956</v>
      </c>
      <c r="K29" s="109">
        <v>24.505211443934016</v>
      </c>
      <c r="L29" s="114"/>
      <c r="M29" s="113">
        <v>35.167255104368152</v>
      </c>
      <c r="N29" s="114">
        <v>35.966510902194699</v>
      </c>
      <c r="O29" s="109">
        <v>39.506072292569421</v>
      </c>
      <c r="P29" s="119"/>
      <c r="Q29" s="120">
        <v>0.08</v>
      </c>
      <c r="R29" s="120">
        <v>0.05</v>
      </c>
      <c r="S29" s="120">
        <v>0.03</v>
      </c>
      <c r="T29" s="120">
        <v>1.4999999999999999E-2</v>
      </c>
      <c r="U29" s="120">
        <v>0.02</v>
      </c>
      <c r="V29" s="121">
        <f t="shared" si="0"/>
        <v>0</v>
      </c>
      <c r="W29" s="119"/>
      <c r="X29" s="113">
        <f t="shared" si="1"/>
        <v>205.64591522447108</v>
      </c>
      <c r="Y29" s="113">
        <f t="shared" si="2"/>
        <v>281.66266196888574</v>
      </c>
      <c r="Z29" s="113">
        <f t="shared" si="3"/>
        <v>333.70804624666675</v>
      </c>
      <c r="AA29" s="22"/>
      <c r="AB29" s="22"/>
      <c r="AC29" s="22"/>
      <c r="AD29" s="22"/>
      <c r="AE29" s="22"/>
      <c r="AF29" s="22"/>
      <c r="AG29" s="22"/>
      <c r="AH29" s="22"/>
      <c r="AI29" s="22"/>
      <c r="AJ29" s="22"/>
      <c r="AK29" s="22"/>
      <c r="AL29" s="22"/>
      <c r="AM29" s="22"/>
      <c r="AN29" s="22"/>
      <c r="AO29" s="22"/>
      <c r="AP29" s="22"/>
      <c r="AQ29" s="22"/>
      <c r="AR29" s="22"/>
    </row>
    <row r="30" spans="1:44" hidden="1" x14ac:dyDescent="0.25">
      <c r="A30" s="16"/>
      <c r="B30" s="3" t="s">
        <v>17</v>
      </c>
      <c r="C30" s="3" t="s">
        <v>44</v>
      </c>
      <c r="D30" s="1" t="s">
        <v>19</v>
      </c>
      <c r="E30" s="107">
        <v>153.61328812181239</v>
      </c>
      <c r="F30" s="108">
        <v>223.74642296178578</v>
      </c>
      <c r="G30" s="109">
        <v>268.91013794441568</v>
      </c>
      <c r="H30" s="114"/>
      <c r="I30" s="113">
        <v>15.931252579367662</v>
      </c>
      <c r="J30" s="114">
        <v>21.052525387793786</v>
      </c>
      <c r="K30" s="109">
        <v>24.370937782594446</v>
      </c>
      <c r="L30" s="114"/>
      <c r="M30" s="113">
        <v>34.974559925510803</v>
      </c>
      <c r="N30" s="114">
        <v>35.769436287454226</v>
      </c>
      <c r="O30" s="109">
        <v>39.28960303320369</v>
      </c>
      <c r="P30" s="119"/>
      <c r="Q30" s="120">
        <v>0.08</v>
      </c>
      <c r="R30" s="120">
        <v>0.05</v>
      </c>
      <c r="S30" s="120">
        <v>0.03</v>
      </c>
      <c r="T30" s="120">
        <v>1.4999999999999999E-2</v>
      </c>
      <c r="U30" s="120">
        <v>0.02</v>
      </c>
      <c r="V30" s="121">
        <f t="shared" si="0"/>
        <v>0</v>
      </c>
      <c r="W30" s="119"/>
      <c r="X30" s="113">
        <f t="shared" si="1"/>
        <v>204.51910062669083</v>
      </c>
      <c r="Y30" s="113">
        <f t="shared" si="2"/>
        <v>280.56838463703377</v>
      </c>
      <c r="Z30" s="113">
        <f t="shared" si="3"/>
        <v>332.57067876021381</v>
      </c>
      <c r="AA30" s="22"/>
      <c r="AB30" s="22"/>
      <c r="AC30" s="22"/>
      <c r="AD30" s="22"/>
      <c r="AE30" s="22"/>
      <c r="AF30" s="22"/>
      <c r="AG30" s="22"/>
      <c r="AH30" s="22"/>
      <c r="AI30" s="22"/>
      <c r="AJ30" s="22"/>
      <c r="AK30" s="22"/>
      <c r="AL30" s="22"/>
      <c r="AM30" s="22"/>
      <c r="AN30" s="22"/>
      <c r="AO30" s="22"/>
      <c r="AP30" s="22"/>
      <c r="AQ30" s="22"/>
      <c r="AR30" s="22"/>
    </row>
    <row r="31" spans="1:44" hidden="1" x14ac:dyDescent="0.25">
      <c r="A31" s="16"/>
      <c r="B31" s="3" t="s">
        <v>17</v>
      </c>
      <c r="C31" s="3" t="s">
        <v>45</v>
      </c>
      <c r="D31" s="1" t="s">
        <v>19</v>
      </c>
      <c r="E31" s="107">
        <v>193.8374445635302</v>
      </c>
      <c r="F31" s="108">
        <v>282.61557164239781</v>
      </c>
      <c r="G31" s="109">
        <v>339.786044330697</v>
      </c>
      <c r="H31" s="114"/>
      <c r="I31" s="113">
        <v>20.102904679912807</v>
      </c>
      <c r="J31" s="114">
        <v>26.565200007585407</v>
      </c>
      <c r="K31" s="109">
        <v>30.752549855249843</v>
      </c>
      <c r="L31" s="114"/>
      <c r="M31" s="113">
        <v>44.132766140121589</v>
      </c>
      <c r="N31" s="114">
        <v>45.135783552397079</v>
      </c>
      <c r="O31" s="109">
        <v>49.577717806759971</v>
      </c>
      <c r="P31" s="119"/>
      <c r="Q31" s="120">
        <v>0.08</v>
      </c>
      <c r="R31" s="120">
        <v>0.05</v>
      </c>
      <c r="S31" s="120">
        <v>0.03</v>
      </c>
      <c r="T31" s="120">
        <v>1.4999999999999999E-2</v>
      </c>
      <c r="U31" s="120">
        <v>0.02</v>
      </c>
      <c r="V31" s="121">
        <f t="shared" si="0"/>
        <v>0</v>
      </c>
      <c r="W31" s="119"/>
      <c r="X31" s="113">
        <f t="shared" si="1"/>
        <v>258.07311538356458</v>
      </c>
      <c r="Y31" s="113">
        <f t="shared" si="2"/>
        <v>354.3165552023803</v>
      </c>
      <c r="Z31" s="113">
        <f t="shared" si="3"/>
        <v>420.11631199270681</v>
      </c>
      <c r="AA31" s="22"/>
      <c r="AB31" s="22"/>
      <c r="AC31" s="22"/>
      <c r="AD31" s="22"/>
      <c r="AE31" s="22"/>
      <c r="AF31" s="22"/>
      <c r="AG31" s="22"/>
      <c r="AH31" s="22"/>
      <c r="AI31" s="22"/>
      <c r="AJ31" s="22"/>
      <c r="AK31" s="22"/>
      <c r="AL31" s="22"/>
      <c r="AM31" s="22"/>
      <c r="AN31" s="22"/>
      <c r="AO31" s="22"/>
      <c r="AP31" s="22"/>
      <c r="AQ31" s="22"/>
      <c r="AR31" s="22"/>
    </row>
    <row r="32" spans="1:44" hidden="1" x14ac:dyDescent="0.25">
      <c r="A32" s="16"/>
      <c r="B32" s="3" t="s">
        <v>17</v>
      </c>
      <c r="C32" s="3" t="s">
        <v>46</v>
      </c>
      <c r="D32" s="1" t="s">
        <v>19</v>
      </c>
      <c r="E32" s="107">
        <v>158.22067410747283</v>
      </c>
      <c r="F32" s="108">
        <v>230.02060388794439</v>
      </c>
      <c r="G32" s="109">
        <v>276.30636041096903</v>
      </c>
      <c r="H32" s="114"/>
      <c r="I32" s="113">
        <v>16.409085133866395</v>
      </c>
      <c r="J32" s="114">
        <v>21.683962365808114</v>
      </c>
      <c r="K32" s="109">
        <v>25.101905256631504</v>
      </c>
      <c r="L32" s="114"/>
      <c r="M32" s="113">
        <v>36.023566162052383</v>
      </c>
      <c r="N32" s="114">
        <v>36.842283574826297</v>
      </c>
      <c r="O32" s="109">
        <v>40.468032117110788</v>
      </c>
      <c r="P32" s="119"/>
      <c r="Q32" s="120">
        <v>0.08</v>
      </c>
      <c r="R32" s="120">
        <v>0.05</v>
      </c>
      <c r="S32" s="120">
        <v>0.03</v>
      </c>
      <c r="T32" s="120">
        <v>1.4999999999999999E-2</v>
      </c>
      <c r="U32" s="120">
        <v>0.02</v>
      </c>
      <c r="V32" s="121">
        <f t="shared" si="0"/>
        <v>0</v>
      </c>
      <c r="W32" s="119"/>
      <c r="X32" s="113">
        <f t="shared" si="1"/>
        <v>210.65332540339162</v>
      </c>
      <c r="Y32" s="113">
        <f t="shared" si="2"/>
        <v>288.54684982857879</v>
      </c>
      <c r="Z32" s="113">
        <f t="shared" si="3"/>
        <v>341.87629778471131</v>
      </c>
      <c r="AA32" s="22"/>
      <c r="AB32" s="22"/>
      <c r="AC32" s="22"/>
      <c r="AD32" s="22"/>
      <c r="AE32" s="22"/>
      <c r="AF32" s="22"/>
      <c r="AG32" s="22"/>
      <c r="AH32" s="22"/>
      <c r="AI32" s="22"/>
      <c r="AJ32" s="22"/>
      <c r="AK32" s="22"/>
      <c r="AL32" s="22"/>
      <c r="AM32" s="22"/>
      <c r="AN32" s="22"/>
      <c r="AO32" s="22"/>
      <c r="AP32" s="22"/>
      <c r="AQ32" s="22"/>
      <c r="AR32" s="22"/>
    </row>
    <row r="33" spans="1:44" hidden="1" x14ac:dyDescent="0.25">
      <c r="A33" s="16"/>
      <c r="B33" s="3" t="s">
        <v>17</v>
      </c>
      <c r="C33" s="3" t="s">
        <v>47</v>
      </c>
      <c r="D33" s="1" t="s">
        <v>19</v>
      </c>
      <c r="E33" s="107">
        <v>166.40420901396999</v>
      </c>
      <c r="F33" s="108">
        <v>242.46634913888681</v>
      </c>
      <c r="G33" s="109">
        <v>291.44810869243844</v>
      </c>
      <c r="H33" s="114"/>
      <c r="I33" s="113">
        <v>17.257800522889863</v>
      </c>
      <c r="J33" s="114">
        <v>22.805506461943274</v>
      </c>
      <c r="K33" s="109">
        <v>26.400233171400046</v>
      </c>
      <c r="L33" s="114"/>
      <c r="M33" s="113">
        <v>37.886787342259332</v>
      </c>
      <c r="N33" s="114">
        <v>38.747850690947047</v>
      </c>
      <c r="O33" s="109">
        <v>42.561131235135484</v>
      </c>
      <c r="P33" s="119"/>
      <c r="Q33" s="120">
        <v>0.08</v>
      </c>
      <c r="R33" s="120">
        <v>0.05</v>
      </c>
      <c r="S33" s="120">
        <v>0.03</v>
      </c>
      <c r="T33" s="120">
        <v>1.4999999999999999E-2</v>
      </c>
      <c r="U33" s="120">
        <v>0.02</v>
      </c>
      <c r="V33" s="121">
        <f t="shared" si="0"/>
        <v>0</v>
      </c>
      <c r="W33" s="119"/>
      <c r="X33" s="113">
        <f t="shared" si="1"/>
        <v>221.54879687911918</v>
      </c>
      <c r="Y33" s="113">
        <f t="shared" si="2"/>
        <v>304.01970629177708</v>
      </c>
      <c r="Z33" s="113">
        <f t="shared" si="3"/>
        <v>360.40947309897393</v>
      </c>
      <c r="AA33" s="22"/>
      <c r="AB33" s="22"/>
      <c r="AC33" s="22"/>
      <c r="AD33" s="22"/>
      <c r="AE33" s="22"/>
      <c r="AF33" s="22"/>
      <c r="AG33" s="22"/>
      <c r="AH33" s="22"/>
      <c r="AI33" s="22"/>
      <c r="AJ33" s="22"/>
      <c r="AK33" s="22"/>
      <c r="AL33" s="22"/>
      <c r="AM33" s="22"/>
      <c r="AN33" s="22"/>
      <c r="AO33" s="22"/>
      <c r="AP33" s="22"/>
      <c r="AQ33" s="22"/>
      <c r="AR33" s="22"/>
    </row>
    <row r="34" spans="1:44" hidden="1" x14ac:dyDescent="0.25">
      <c r="A34" s="16"/>
      <c r="B34" s="3" t="s">
        <v>17</v>
      </c>
      <c r="C34" s="3" t="s">
        <v>48</v>
      </c>
      <c r="D34" s="1" t="s">
        <v>19</v>
      </c>
      <c r="E34" s="107">
        <v>191.38586554808188</v>
      </c>
      <c r="F34" s="108">
        <v>278.45914332175323</v>
      </c>
      <c r="G34" s="109">
        <v>334.59069406460196</v>
      </c>
      <c r="H34" s="114"/>
      <c r="I34" s="113">
        <v>19.848651125478028</v>
      </c>
      <c r="J34" s="114">
        <v>26.229213908375154</v>
      </c>
      <c r="K34" s="109">
        <v>30.36360381819069</v>
      </c>
      <c r="L34" s="114"/>
      <c r="M34" s="113">
        <v>43.574592441502951</v>
      </c>
      <c r="N34" s="114">
        <v>44.564924087900749</v>
      </c>
      <c r="O34" s="109">
        <v>48.95067852194812</v>
      </c>
      <c r="P34" s="119"/>
      <c r="Q34" s="120">
        <v>0.08</v>
      </c>
      <c r="R34" s="120">
        <v>0.05</v>
      </c>
      <c r="S34" s="120">
        <v>0.03</v>
      </c>
      <c r="T34" s="120">
        <v>1.4999999999999999E-2</v>
      </c>
      <c r="U34" s="120">
        <v>0.02</v>
      </c>
      <c r="V34" s="121">
        <f t="shared" si="0"/>
        <v>0</v>
      </c>
      <c r="W34" s="119"/>
      <c r="X34" s="113">
        <f t="shared" si="1"/>
        <v>254.80910911506285</v>
      </c>
      <c r="Y34" s="113">
        <f t="shared" si="2"/>
        <v>349.25328131802911</v>
      </c>
      <c r="Z34" s="113">
        <f t="shared" si="3"/>
        <v>413.90497640474081</v>
      </c>
      <c r="AA34" s="22"/>
      <c r="AB34" s="22"/>
      <c r="AC34" s="22"/>
      <c r="AD34" s="22"/>
      <c r="AE34" s="22"/>
      <c r="AF34" s="22"/>
      <c r="AG34" s="22"/>
      <c r="AH34" s="22"/>
      <c r="AI34" s="22"/>
      <c r="AJ34" s="22"/>
      <c r="AK34" s="22"/>
      <c r="AL34" s="22"/>
      <c r="AM34" s="22"/>
      <c r="AN34" s="22"/>
      <c r="AO34" s="22"/>
      <c r="AP34" s="22"/>
      <c r="AQ34" s="22"/>
      <c r="AR34" s="22"/>
    </row>
    <row r="35" spans="1:44" hidden="1" x14ac:dyDescent="0.25">
      <c r="A35" s="16"/>
      <c r="B35" s="3" t="s">
        <v>17</v>
      </c>
      <c r="C35" s="3" t="s">
        <v>241</v>
      </c>
      <c r="D35" s="1" t="s">
        <v>19</v>
      </c>
      <c r="E35" s="107">
        <v>192.49106086924382</v>
      </c>
      <c r="F35" s="108">
        <v>280.64504074580532</v>
      </c>
      <c r="G35" s="109">
        <v>337.41363829551329</v>
      </c>
      <c r="H35" s="114"/>
      <c r="I35" s="113">
        <v>19.963271065108536</v>
      </c>
      <c r="J35" s="114">
        <v>26.380679662684006</v>
      </c>
      <c r="K35" s="109">
        <v>30.538944420159275</v>
      </c>
      <c r="L35" s="114"/>
      <c r="M35" s="113">
        <v>43.826222495530061</v>
      </c>
      <c r="N35" s="114">
        <v>44.822273006792102</v>
      </c>
      <c r="O35" s="109">
        <v>49.23335384238117</v>
      </c>
      <c r="P35" s="119"/>
      <c r="Q35" s="120">
        <v>0.08</v>
      </c>
      <c r="R35" s="120">
        <v>0.05</v>
      </c>
      <c r="S35" s="120">
        <v>0.03</v>
      </c>
      <c r="T35" s="120">
        <v>1.4999999999999999E-2</v>
      </c>
      <c r="U35" s="120">
        <v>0.02</v>
      </c>
      <c r="V35" s="121">
        <f t="shared" si="0"/>
        <v>0</v>
      </c>
      <c r="W35" s="119"/>
      <c r="X35" s="113">
        <f t="shared" si="1"/>
        <v>256.28055442988239</v>
      </c>
      <c r="Y35" s="113">
        <f t="shared" si="2"/>
        <v>351.84799341528145</v>
      </c>
      <c r="Z35" s="113">
        <f t="shared" si="3"/>
        <v>417.18593655805375</v>
      </c>
      <c r="AA35" s="22"/>
      <c r="AB35" s="22"/>
      <c r="AC35" s="22"/>
      <c r="AD35" s="22"/>
      <c r="AE35" s="22"/>
      <c r="AF35" s="22"/>
      <c r="AG35" s="22"/>
      <c r="AH35" s="22"/>
      <c r="AI35" s="22"/>
      <c r="AJ35" s="22"/>
      <c r="AK35" s="22"/>
      <c r="AL35" s="22"/>
      <c r="AM35" s="22"/>
      <c r="AN35" s="22"/>
      <c r="AO35" s="22"/>
      <c r="AP35" s="22"/>
      <c r="AQ35" s="22"/>
      <c r="AR35" s="22"/>
    </row>
    <row r="36" spans="1:44" hidden="1" x14ac:dyDescent="0.25">
      <c r="A36" s="16"/>
      <c r="B36" s="3" t="s">
        <v>17</v>
      </c>
      <c r="C36" s="3" t="s">
        <v>50</v>
      </c>
      <c r="D36" s="1" t="s">
        <v>19</v>
      </c>
      <c r="E36" s="107">
        <v>156.97933928967404</v>
      </c>
      <c r="F36" s="108">
        <v>228.6727266427674</v>
      </c>
      <c r="G36" s="109">
        <v>274.8411754379481</v>
      </c>
      <c r="H36" s="114"/>
      <c r="I36" s="113">
        <v>16.280346150672219</v>
      </c>
      <c r="J36" s="114">
        <v>21.513838849242685</v>
      </c>
      <c r="K36" s="109">
        <v>24.904965955469272</v>
      </c>
      <c r="L36" s="114"/>
      <c r="M36" s="113">
        <v>35.740939968032627</v>
      </c>
      <c r="N36" s="114">
        <v>36.553234058215189</v>
      </c>
      <c r="O36" s="109">
        <v>40.150536457595095</v>
      </c>
      <c r="P36" s="119"/>
      <c r="Q36" s="120">
        <v>0.08</v>
      </c>
      <c r="R36" s="120">
        <v>0.05</v>
      </c>
      <c r="S36" s="120">
        <v>0.03</v>
      </c>
      <c r="T36" s="120">
        <v>1.4999999999999999E-2</v>
      </c>
      <c r="U36" s="120">
        <v>0.02</v>
      </c>
      <c r="V36" s="121">
        <f t="shared" si="0"/>
        <v>0</v>
      </c>
      <c r="W36" s="119"/>
      <c r="X36" s="113">
        <f t="shared" si="1"/>
        <v>209.00062540837888</v>
      </c>
      <c r="Y36" s="113">
        <f t="shared" si="2"/>
        <v>286.73979955022526</v>
      </c>
      <c r="Z36" s="113">
        <f t="shared" si="3"/>
        <v>339.89667785101244</v>
      </c>
      <c r="AA36" s="22"/>
      <c r="AB36" s="22"/>
      <c r="AC36" s="22"/>
      <c r="AD36" s="22"/>
      <c r="AE36" s="22"/>
      <c r="AF36" s="22"/>
      <c r="AG36" s="22"/>
      <c r="AH36" s="22"/>
      <c r="AI36" s="22"/>
      <c r="AJ36" s="22"/>
      <c r="AK36" s="22"/>
      <c r="AL36" s="22"/>
      <c r="AM36" s="22"/>
      <c r="AN36" s="22"/>
      <c r="AO36" s="22"/>
      <c r="AP36" s="22"/>
      <c r="AQ36" s="22"/>
      <c r="AR36" s="22"/>
    </row>
    <row r="37" spans="1:44" hidden="1" x14ac:dyDescent="0.25">
      <c r="A37" s="16"/>
      <c r="B37" s="3" t="s">
        <v>17</v>
      </c>
      <c r="C37" s="3" t="s">
        <v>51</v>
      </c>
      <c r="D37" s="1" t="s">
        <v>19</v>
      </c>
      <c r="E37" s="107">
        <v>190.87303200532187</v>
      </c>
      <c r="F37" s="108">
        <v>277.71010422056321</v>
      </c>
      <c r="G37" s="109">
        <v>333.68938945967921</v>
      </c>
      <c r="H37" s="114"/>
      <c r="I37" s="113">
        <v>19.79546509710265</v>
      </c>
      <c r="J37" s="114">
        <v>26.158930658073881</v>
      </c>
      <c r="K37" s="109">
        <v>30.282242143583993</v>
      </c>
      <c r="L37" s="114"/>
      <c r="M37" s="113">
        <v>43.457830879450796</v>
      </c>
      <c r="N37" s="114">
        <v>44.445508853983767</v>
      </c>
      <c r="O37" s="109">
        <v>48.819511312629785</v>
      </c>
      <c r="P37" s="119"/>
      <c r="Q37" s="120">
        <v>0.08</v>
      </c>
      <c r="R37" s="120">
        <v>0.05</v>
      </c>
      <c r="S37" s="120">
        <v>0.03</v>
      </c>
      <c r="T37" s="120">
        <v>1.4999999999999999E-2</v>
      </c>
      <c r="U37" s="120">
        <v>0.02</v>
      </c>
      <c r="V37" s="121">
        <f t="shared" si="0"/>
        <v>0</v>
      </c>
      <c r="W37" s="119"/>
      <c r="X37" s="113">
        <f t="shared" si="1"/>
        <v>254.12632798187531</v>
      </c>
      <c r="Y37" s="113">
        <f t="shared" si="2"/>
        <v>348.31454373262085</v>
      </c>
      <c r="Z37" s="113">
        <f t="shared" si="3"/>
        <v>412.79114291589298</v>
      </c>
      <c r="AA37" s="22"/>
      <c r="AB37" s="22"/>
      <c r="AC37" s="22"/>
      <c r="AD37" s="22"/>
      <c r="AE37" s="22"/>
      <c r="AF37" s="22"/>
      <c r="AG37" s="22"/>
      <c r="AH37" s="22"/>
      <c r="AI37" s="22"/>
      <c r="AJ37" s="22"/>
      <c r="AK37" s="22"/>
      <c r="AL37" s="22"/>
      <c r="AM37" s="22"/>
      <c r="AN37" s="22"/>
      <c r="AO37" s="22"/>
      <c r="AP37" s="22"/>
      <c r="AQ37" s="22"/>
      <c r="AR37" s="22"/>
    </row>
    <row r="38" spans="1:44" hidden="1" x14ac:dyDescent="0.25">
      <c r="A38" s="16"/>
      <c r="B38" s="3" t="s">
        <v>17</v>
      </c>
      <c r="C38" s="3" t="s">
        <v>52</v>
      </c>
      <c r="D38" s="1" t="s">
        <v>19</v>
      </c>
      <c r="E38" s="107">
        <v>213.19219362111019</v>
      </c>
      <c r="F38" s="108">
        <v>310.94170254638186</v>
      </c>
      <c r="G38" s="109">
        <v>373.88954514376525</v>
      </c>
      <c r="H38" s="114"/>
      <c r="I38" s="113">
        <v>22.110188031611347</v>
      </c>
      <c r="J38" s="114">
        <v>29.217746222115803</v>
      </c>
      <c r="K38" s="109">
        <v>33.823204684967223</v>
      </c>
      <c r="L38" s="114"/>
      <c r="M38" s="113">
        <v>48.53944110316754</v>
      </c>
      <c r="N38" s="114">
        <v>49.642610219148622</v>
      </c>
      <c r="O38" s="109">
        <v>54.528073447064841</v>
      </c>
      <c r="P38" s="119"/>
      <c r="Q38" s="120">
        <v>0.08</v>
      </c>
      <c r="R38" s="120">
        <v>0.05</v>
      </c>
      <c r="S38" s="120">
        <v>0.03</v>
      </c>
      <c r="T38" s="120">
        <v>1.4999999999999999E-2</v>
      </c>
      <c r="U38" s="120">
        <v>0.02</v>
      </c>
      <c r="V38" s="121">
        <f t="shared" si="0"/>
        <v>0</v>
      </c>
      <c r="W38" s="119"/>
      <c r="X38" s="113">
        <f t="shared" si="1"/>
        <v>283.8418227558891</v>
      </c>
      <c r="Y38" s="113">
        <f t="shared" si="2"/>
        <v>389.80205898764632</v>
      </c>
      <c r="Z38" s="113">
        <f t="shared" si="3"/>
        <v>462.24082327579731</v>
      </c>
      <c r="AA38" s="22"/>
      <c r="AB38" s="22"/>
      <c r="AC38" s="22"/>
      <c r="AD38" s="22"/>
      <c r="AE38" s="22"/>
      <c r="AF38" s="22"/>
      <c r="AG38" s="22"/>
      <c r="AH38" s="22"/>
      <c r="AI38" s="22"/>
      <c r="AJ38" s="22"/>
      <c r="AK38" s="22"/>
      <c r="AL38" s="22"/>
      <c r="AM38" s="22"/>
      <c r="AN38" s="22"/>
      <c r="AO38" s="22"/>
      <c r="AP38" s="22"/>
      <c r="AQ38" s="22"/>
      <c r="AR38" s="22"/>
    </row>
    <row r="39" spans="1:44" hidden="1" x14ac:dyDescent="0.25">
      <c r="A39" s="16"/>
      <c r="B39" s="3" t="s">
        <v>17</v>
      </c>
      <c r="C39" s="3" t="s">
        <v>53</v>
      </c>
      <c r="D39" s="1" t="s">
        <v>19</v>
      </c>
      <c r="E39" s="107">
        <v>211.90050077611056</v>
      </c>
      <c r="F39" s="108">
        <v>308.42107694582006</v>
      </c>
      <c r="G39" s="109">
        <v>370.64287826151229</v>
      </c>
      <c r="H39" s="114"/>
      <c r="I39" s="113">
        <v>21.976226411361846</v>
      </c>
      <c r="J39" s="114">
        <v>29.040721195537227</v>
      </c>
      <c r="K39" s="109">
        <v>33.618276020627029</v>
      </c>
      <c r="L39" s="114"/>
      <c r="M39" s="113">
        <v>48.245349430727273</v>
      </c>
      <c r="N39" s="114">
        <v>49.341834645061986</v>
      </c>
      <c r="O39" s="109">
        <v>54.19769773711571</v>
      </c>
      <c r="P39" s="119"/>
      <c r="Q39" s="120">
        <v>0.08</v>
      </c>
      <c r="R39" s="120">
        <v>0.05</v>
      </c>
      <c r="S39" s="120">
        <v>0.03</v>
      </c>
      <c r="T39" s="120">
        <v>1.4999999999999999E-2</v>
      </c>
      <c r="U39" s="120">
        <v>0.02</v>
      </c>
      <c r="V39" s="121">
        <f t="shared" si="0"/>
        <v>0</v>
      </c>
      <c r="W39" s="119"/>
      <c r="X39" s="113">
        <f t="shared" si="1"/>
        <v>282.12207661819969</v>
      </c>
      <c r="Y39" s="113">
        <f t="shared" si="2"/>
        <v>386.80363278641926</v>
      </c>
      <c r="Z39" s="113">
        <f t="shared" si="3"/>
        <v>458.45885201925506</v>
      </c>
      <c r="AA39" s="22"/>
      <c r="AB39" s="22"/>
      <c r="AC39" s="22"/>
      <c r="AD39" s="22"/>
      <c r="AE39" s="22"/>
      <c r="AF39" s="22"/>
      <c r="AG39" s="22"/>
      <c r="AH39" s="22"/>
      <c r="AI39" s="22"/>
      <c r="AJ39" s="22"/>
      <c r="AK39" s="22"/>
      <c r="AL39" s="22"/>
      <c r="AM39" s="22"/>
      <c r="AN39" s="22"/>
      <c r="AO39" s="22"/>
      <c r="AP39" s="22"/>
      <c r="AQ39" s="22"/>
      <c r="AR39" s="22"/>
    </row>
    <row r="40" spans="1:44" hidden="1" x14ac:dyDescent="0.25">
      <c r="A40" s="16"/>
      <c r="B40" s="3" t="s">
        <v>17</v>
      </c>
      <c r="C40" s="3" t="s">
        <v>54</v>
      </c>
      <c r="D40" s="1" t="s">
        <v>19</v>
      </c>
      <c r="E40" s="107">
        <v>179.19517656515632</v>
      </c>
      <c r="F40" s="108">
        <v>261.1862291189297</v>
      </c>
      <c r="G40" s="109">
        <v>313.9859865843743</v>
      </c>
      <c r="H40" s="114"/>
      <c r="I40" s="113">
        <v>18.584353305425541</v>
      </c>
      <c r="J40" s="114">
        <v>24.558493930659271</v>
      </c>
      <c r="K40" s="109">
        <v>28.429535962718155</v>
      </c>
      <c r="L40" s="114"/>
      <c r="M40" s="113">
        <v>40.799025382301046</v>
      </c>
      <c r="N40" s="114">
        <v>41.726275959171531</v>
      </c>
      <c r="O40" s="109">
        <v>45.8326713710265</v>
      </c>
      <c r="P40" s="119"/>
      <c r="Q40" s="120">
        <v>0.08</v>
      </c>
      <c r="R40" s="120">
        <v>0.05</v>
      </c>
      <c r="S40" s="120">
        <v>0.03</v>
      </c>
      <c r="T40" s="120">
        <v>1.4999999999999999E-2</v>
      </c>
      <c r="U40" s="120">
        <v>0.02</v>
      </c>
      <c r="V40" s="121">
        <f t="shared" si="0"/>
        <v>0</v>
      </c>
      <c r="W40" s="119"/>
      <c r="X40" s="113">
        <f t="shared" si="1"/>
        <v>238.57855525288289</v>
      </c>
      <c r="Y40" s="113">
        <f t="shared" si="2"/>
        <v>327.47099900876049</v>
      </c>
      <c r="Z40" s="113">
        <f t="shared" si="3"/>
        <v>388.24819391811894</v>
      </c>
      <c r="AA40" s="22"/>
      <c r="AB40" s="22"/>
      <c r="AC40" s="22"/>
      <c r="AD40" s="22"/>
      <c r="AE40" s="22"/>
      <c r="AF40" s="22"/>
      <c r="AG40" s="22"/>
      <c r="AH40" s="22"/>
      <c r="AI40" s="22"/>
      <c r="AJ40" s="22"/>
      <c r="AK40" s="22"/>
      <c r="AL40" s="22"/>
      <c r="AM40" s="22"/>
      <c r="AN40" s="22"/>
      <c r="AO40" s="22"/>
      <c r="AP40" s="22"/>
      <c r="AQ40" s="22"/>
      <c r="AR40" s="22"/>
    </row>
    <row r="41" spans="1:44" hidden="1" x14ac:dyDescent="0.25">
      <c r="A41" s="16"/>
      <c r="B41" s="3" t="s">
        <v>17</v>
      </c>
      <c r="C41" s="3" t="s">
        <v>55</v>
      </c>
      <c r="D41" s="1" t="s">
        <v>19</v>
      </c>
      <c r="E41" s="107">
        <v>165.05782531968362</v>
      </c>
      <c r="F41" s="108">
        <v>240.49581824229429</v>
      </c>
      <c r="G41" s="109">
        <v>289.07565646019657</v>
      </c>
      <c r="H41" s="114"/>
      <c r="I41" s="113">
        <v>17.118166908085595</v>
      </c>
      <c r="J41" s="114">
        <v>22.620986117041873</v>
      </c>
      <c r="K41" s="109">
        <v>26.186627736309479</v>
      </c>
      <c r="L41" s="114"/>
      <c r="M41" s="113">
        <v>37.580243697667797</v>
      </c>
      <c r="N41" s="114">
        <v>38.43434014534207</v>
      </c>
      <c r="O41" s="109">
        <v>42.216767270756684</v>
      </c>
      <c r="P41" s="119"/>
      <c r="Q41" s="120">
        <v>0.08</v>
      </c>
      <c r="R41" s="120">
        <v>0.05</v>
      </c>
      <c r="S41" s="120">
        <v>0.03</v>
      </c>
      <c r="T41" s="120">
        <v>1.4999999999999999E-2</v>
      </c>
      <c r="U41" s="120">
        <v>0.02</v>
      </c>
      <c r="V41" s="121">
        <f t="shared" si="0"/>
        <v>0</v>
      </c>
      <c r="W41" s="119"/>
      <c r="X41" s="113">
        <f t="shared" si="1"/>
        <v>219.75623592543701</v>
      </c>
      <c r="Y41" s="113">
        <f t="shared" si="2"/>
        <v>301.55114450467823</v>
      </c>
      <c r="Z41" s="113">
        <f t="shared" si="3"/>
        <v>357.47905146726276</v>
      </c>
      <c r="AA41" s="22"/>
      <c r="AB41" s="22"/>
      <c r="AC41" s="22"/>
      <c r="AD41" s="22"/>
      <c r="AE41" s="22"/>
      <c r="AF41" s="22"/>
      <c r="AG41" s="22"/>
      <c r="AH41" s="22"/>
      <c r="AI41" s="22"/>
      <c r="AJ41" s="22"/>
      <c r="AK41" s="22"/>
      <c r="AL41" s="22"/>
      <c r="AM41" s="22"/>
      <c r="AN41" s="22"/>
      <c r="AO41" s="22"/>
      <c r="AP41" s="22"/>
      <c r="AQ41" s="22"/>
      <c r="AR41" s="22"/>
    </row>
    <row r="42" spans="1:44" hidden="1" x14ac:dyDescent="0.25">
      <c r="A42" s="16"/>
      <c r="B42" s="3" t="s">
        <v>17</v>
      </c>
      <c r="C42" s="3" t="s">
        <v>242</v>
      </c>
      <c r="D42" s="1" t="s">
        <v>19</v>
      </c>
      <c r="E42" s="107">
        <v>186.09555399512158</v>
      </c>
      <c r="F42" s="108">
        <v>271.28510098676918</v>
      </c>
      <c r="G42" s="109">
        <v>326.14465315248725</v>
      </c>
      <c r="H42" s="114"/>
      <c r="I42" s="113">
        <v>19.299992278289469</v>
      </c>
      <c r="J42" s="114">
        <v>25.504182762699024</v>
      </c>
      <c r="K42" s="109">
        <v>29.524289359890066</v>
      </c>
      <c r="L42" s="114"/>
      <c r="M42" s="113">
        <v>42.370098216453165</v>
      </c>
      <c r="N42" s="114">
        <v>43.333054994099825</v>
      </c>
      <c r="O42" s="109">
        <v>47.597577866535048</v>
      </c>
      <c r="P42" s="119"/>
      <c r="Q42" s="120">
        <v>0.08</v>
      </c>
      <c r="R42" s="120">
        <v>0.05</v>
      </c>
      <c r="S42" s="120">
        <v>0.03</v>
      </c>
      <c r="T42" s="120">
        <v>1.4999999999999999E-2</v>
      </c>
      <c r="U42" s="120">
        <v>0.02</v>
      </c>
      <c r="V42" s="121">
        <f t="shared" si="0"/>
        <v>0</v>
      </c>
      <c r="W42" s="119"/>
      <c r="X42" s="113">
        <f t="shared" si="1"/>
        <v>247.7656444898642</v>
      </c>
      <c r="Y42" s="113">
        <f t="shared" si="2"/>
        <v>340.12233874356804</v>
      </c>
      <c r="Z42" s="113">
        <f t="shared" si="3"/>
        <v>403.26652037891239</v>
      </c>
      <c r="AA42" s="22"/>
      <c r="AB42" s="22"/>
      <c r="AC42" s="22"/>
      <c r="AD42" s="22"/>
      <c r="AE42" s="22"/>
      <c r="AF42" s="22"/>
      <c r="AG42" s="22"/>
      <c r="AH42" s="22"/>
      <c r="AI42" s="22"/>
      <c r="AJ42" s="22"/>
      <c r="AK42" s="22"/>
      <c r="AL42" s="22"/>
      <c r="AM42" s="22"/>
      <c r="AN42" s="22"/>
      <c r="AO42" s="22"/>
      <c r="AP42" s="22"/>
      <c r="AQ42" s="22"/>
      <c r="AR42" s="22"/>
    </row>
    <row r="43" spans="1:44" hidden="1" x14ac:dyDescent="0.25">
      <c r="A43" s="16"/>
      <c r="B43" s="3" t="s">
        <v>17</v>
      </c>
      <c r="C43" s="3" t="s">
        <v>57</v>
      </c>
      <c r="D43" s="1" t="s">
        <v>19</v>
      </c>
      <c r="E43" s="107">
        <v>151.42539128908268</v>
      </c>
      <c r="F43" s="108">
        <v>220.54433947446225</v>
      </c>
      <c r="G43" s="109">
        <v>265.05496110207702</v>
      </c>
      <c r="H43" s="114"/>
      <c r="I43" s="113">
        <v>15.704345535803986</v>
      </c>
      <c r="J43" s="114">
        <v>20.752676630045755</v>
      </c>
      <c r="K43" s="109">
        <v>24.023825249316015</v>
      </c>
      <c r="L43" s="114"/>
      <c r="M43" s="113">
        <v>34.47642119140297</v>
      </c>
      <c r="N43" s="114">
        <v>35.259976218480311</v>
      </c>
      <c r="O43" s="109">
        <v>38.730005624108529</v>
      </c>
      <c r="P43" s="119"/>
      <c r="Q43" s="120">
        <v>0.08</v>
      </c>
      <c r="R43" s="120">
        <v>0.05</v>
      </c>
      <c r="S43" s="120">
        <v>0.03</v>
      </c>
      <c r="T43" s="120">
        <v>1.4999999999999999E-2</v>
      </c>
      <c r="U43" s="120">
        <v>0.02</v>
      </c>
      <c r="V43" s="121">
        <f t="shared" si="0"/>
        <v>0</v>
      </c>
      <c r="W43" s="119"/>
      <c r="X43" s="113">
        <f t="shared" si="1"/>
        <v>201.60615801628964</v>
      </c>
      <c r="Y43" s="113">
        <f t="shared" si="2"/>
        <v>276.55699232298832</v>
      </c>
      <c r="Z43" s="113">
        <f t="shared" si="3"/>
        <v>327.80879197550155</v>
      </c>
      <c r="AA43" s="22"/>
      <c r="AB43" s="22"/>
      <c r="AC43" s="22"/>
      <c r="AD43" s="22"/>
      <c r="AE43" s="22"/>
      <c r="AF43" s="22"/>
      <c r="AG43" s="22"/>
      <c r="AH43" s="22"/>
      <c r="AI43" s="22"/>
      <c r="AJ43" s="22"/>
      <c r="AK43" s="22"/>
      <c r="AL43" s="22"/>
      <c r="AM43" s="22"/>
      <c r="AN43" s="22"/>
      <c r="AO43" s="22"/>
      <c r="AP43" s="22"/>
      <c r="AQ43" s="22"/>
      <c r="AR43" s="22"/>
    </row>
    <row r="44" spans="1:44" hidden="1" x14ac:dyDescent="0.25">
      <c r="A44" s="16"/>
      <c r="B44" s="3" t="s">
        <v>17</v>
      </c>
      <c r="C44" s="3" t="s">
        <v>58</v>
      </c>
      <c r="D44" s="1" t="s">
        <v>19</v>
      </c>
      <c r="E44" s="107">
        <v>167.24572169044274</v>
      </c>
      <c r="F44" s="108">
        <v>243.69790172961783</v>
      </c>
      <c r="G44" s="109">
        <v>292.93083330253529</v>
      </c>
      <c r="H44" s="114"/>
      <c r="I44" s="113">
        <v>17.345073903738246</v>
      </c>
      <c r="J44" s="114">
        <v>22.920834811477363</v>
      </c>
      <c r="K44" s="109">
        <v>26.5337401962957</v>
      </c>
      <c r="L44" s="114"/>
      <c r="M44" s="113">
        <v>38.0783823265945</v>
      </c>
      <c r="N44" s="114">
        <v>38.943800106744376</v>
      </c>
      <c r="O44" s="109">
        <v>42.776364561693825</v>
      </c>
      <c r="P44" s="119"/>
      <c r="Q44" s="120">
        <v>0.08</v>
      </c>
      <c r="R44" s="120">
        <v>0.05</v>
      </c>
      <c r="S44" s="120">
        <v>0.03</v>
      </c>
      <c r="T44" s="120">
        <v>1.4999999999999999E-2</v>
      </c>
      <c r="U44" s="120">
        <v>0.02</v>
      </c>
      <c r="V44" s="121">
        <f t="shared" si="0"/>
        <v>0</v>
      </c>
      <c r="W44" s="119"/>
      <c r="X44" s="113">
        <f t="shared" si="1"/>
        <v>222.66917792077547</v>
      </c>
      <c r="Y44" s="113">
        <f t="shared" si="2"/>
        <v>305.56253664783958</v>
      </c>
      <c r="Z44" s="113">
        <f t="shared" si="3"/>
        <v>362.2409380605248</v>
      </c>
      <c r="AA44" s="22"/>
      <c r="AB44" s="22"/>
      <c r="AC44" s="22"/>
      <c r="AD44" s="22"/>
      <c r="AE44" s="22"/>
      <c r="AF44" s="22"/>
      <c r="AG44" s="22"/>
      <c r="AH44" s="22"/>
      <c r="AI44" s="22"/>
      <c r="AJ44" s="22"/>
      <c r="AK44" s="22"/>
      <c r="AL44" s="22"/>
      <c r="AM44" s="22"/>
      <c r="AN44" s="22"/>
      <c r="AO44" s="22"/>
      <c r="AP44" s="22"/>
      <c r="AQ44" s="22"/>
      <c r="AR44" s="22"/>
    </row>
    <row r="45" spans="1:44" hidden="1" x14ac:dyDescent="0.25">
      <c r="A45" s="16"/>
      <c r="B45" s="3" t="s">
        <v>17</v>
      </c>
      <c r="C45" s="3" t="s">
        <v>59</v>
      </c>
      <c r="D45" s="1" t="s">
        <v>19</v>
      </c>
      <c r="E45" s="107">
        <v>146.03971838273338</v>
      </c>
      <c r="F45" s="108">
        <v>212.662262547121</v>
      </c>
      <c r="G45" s="109">
        <v>255.56529215019586</v>
      </c>
      <c r="H45" s="114"/>
      <c r="I45" s="113">
        <v>15.145796751190575</v>
      </c>
      <c r="J45" s="114">
        <v>20.014576319990791</v>
      </c>
      <c r="K45" s="109">
        <v>23.169381594585044</v>
      </c>
      <c r="L45" s="114"/>
      <c r="M45" s="113">
        <v>33.250215163881791</v>
      </c>
      <c r="N45" s="114">
        <v>34.005901872151831</v>
      </c>
      <c r="O45" s="109">
        <v>37.352514437347729</v>
      </c>
      <c r="P45" s="119"/>
      <c r="Q45" s="120">
        <v>0.08</v>
      </c>
      <c r="R45" s="120">
        <v>0.05</v>
      </c>
      <c r="S45" s="120">
        <v>0.03</v>
      </c>
      <c r="T45" s="120">
        <v>1.4999999999999999E-2</v>
      </c>
      <c r="U45" s="120">
        <v>0.02</v>
      </c>
      <c r="V45" s="121">
        <f t="shared" si="0"/>
        <v>0</v>
      </c>
      <c r="W45" s="119"/>
      <c r="X45" s="113">
        <f t="shared" si="1"/>
        <v>194.43573029780575</v>
      </c>
      <c r="Y45" s="113">
        <f t="shared" si="2"/>
        <v>266.68274073926364</v>
      </c>
      <c r="Z45" s="113">
        <f t="shared" si="3"/>
        <v>316.08718818212861</v>
      </c>
      <c r="AA45" s="22"/>
      <c r="AB45" s="22"/>
      <c r="AC45" s="22"/>
      <c r="AD45" s="22"/>
      <c r="AE45" s="22"/>
      <c r="AF45" s="22"/>
      <c r="AG45" s="22"/>
      <c r="AH45" s="22"/>
      <c r="AI45" s="22"/>
      <c r="AJ45" s="22"/>
      <c r="AK45" s="22"/>
      <c r="AL45" s="22"/>
      <c r="AM45" s="22"/>
      <c r="AN45" s="22"/>
      <c r="AO45" s="22"/>
      <c r="AP45" s="22"/>
      <c r="AQ45" s="22"/>
      <c r="AR45" s="22"/>
    </row>
    <row r="46" spans="1:44" hidden="1" x14ac:dyDescent="0.25">
      <c r="A46" s="16"/>
      <c r="B46" s="3" t="s">
        <v>60</v>
      </c>
      <c r="C46" s="3" t="s">
        <v>61</v>
      </c>
      <c r="D46" s="11" t="s">
        <v>243</v>
      </c>
      <c r="E46" s="107">
        <v>143.09</v>
      </c>
      <c r="F46" s="108">
        <v>207.92</v>
      </c>
      <c r="G46" s="109">
        <v>249.72</v>
      </c>
      <c r="H46" s="114"/>
      <c r="I46" s="113">
        <v>5.4684998163412306</v>
      </c>
      <c r="J46" s="114">
        <v>7.2264080079784243</v>
      </c>
      <c r="K46" s="109">
        <v>8.3654733439340827</v>
      </c>
      <c r="L46" s="114"/>
      <c r="M46" s="113">
        <v>12.284422880711018</v>
      </c>
      <c r="N46" s="114">
        <v>12.563614309818085</v>
      </c>
      <c r="O46" s="109">
        <v>13.800033495863675</v>
      </c>
      <c r="P46" s="119"/>
      <c r="Q46" s="120">
        <v>0.08</v>
      </c>
      <c r="R46" s="120">
        <v>0.05</v>
      </c>
      <c r="S46" s="120">
        <v>0.03</v>
      </c>
      <c r="T46" s="120">
        <v>1.4999999999999999E-2</v>
      </c>
      <c r="U46" s="120">
        <v>0.02</v>
      </c>
      <c r="V46" s="121">
        <f t="shared" si="0"/>
        <v>0</v>
      </c>
      <c r="W46" s="119"/>
      <c r="X46" s="113">
        <f t="shared" si="1"/>
        <v>160.84292269705224</v>
      </c>
      <c r="Y46" s="113">
        <f t="shared" si="2"/>
        <v>227.7100223177965</v>
      </c>
      <c r="Z46" s="113">
        <f t="shared" si="3"/>
        <v>271.88550683979776</v>
      </c>
      <c r="AA46" s="22"/>
      <c r="AB46" s="22"/>
      <c r="AC46" s="22"/>
      <c r="AD46" s="22"/>
      <c r="AE46" s="22"/>
      <c r="AF46" s="22"/>
      <c r="AG46" s="22"/>
      <c r="AH46" s="22"/>
      <c r="AI46" s="22"/>
      <c r="AJ46" s="22"/>
      <c r="AK46" s="22"/>
      <c r="AL46" s="22"/>
      <c r="AM46" s="22"/>
      <c r="AN46" s="22"/>
      <c r="AO46" s="22"/>
      <c r="AP46" s="22"/>
      <c r="AQ46" s="22"/>
      <c r="AR46" s="22"/>
    </row>
    <row r="47" spans="1:44" hidden="1" x14ac:dyDescent="0.25">
      <c r="A47" s="16"/>
      <c r="B47" s="3" t="s">
        <v>62</v>
      </c>
      <c r="C47" s="3" t="s">
        <v>63</v>
      </c>
      <c r="D47" s="11" t="s">
        <v>243</v>
      </c>
      <c r="E47" s="107">
        <v>156.46</v>
      </c>
      <c r="F47" s="108">
        <v>227.45</v>
      </c>
      <c r="G47" s="109">
        <v>273.22000000000003</v>
      </c>
      <c r="H47" s="114"/>
      <c r="I47" s="113">
        <v>16.165296439569111</v>
      </c>
      <c r="J47" s="114">
        <v>21.361805168790379</v>
      </c>
      <c r="K47" s="109">
        <v>24.728967907780881</v>
      </c>
      <c r="L47" s="114"/>
      <c r="M47" s="113">
        <v>36.313677265254533</v>
      </c>
      <c r="N47" s="114">
        <v>37.138988112192138</v>
      </c>
      <c r="O47" s="109">
        <v>40.793936148630095</v>
      </c>
      <c r="P47" s="119"/>
      <c r="Q47" s="120">
        <v>0.08</v>
      </c>
      <c r="R47" s="120">
        <v>0.05</v>
      </c>
      <c r="S47" s="120">
        <v>0.03</v>
      </c>
      <c r="T47" s="120">
        <v>1.4999999999999999E-2</v>
      </c>
      <c r="U47" s="120">
        <v>0.02</v>
      </c>
      <c r="V47" s="121">
        <f t="shared" si="0"/>
        <v>0</v>
      </c>
      <c r="W47" s="119"/>
      <c r="X47" s="113">
        <f t="shared" si="1"/>
        <v>208.93897370482367</v>
      </c>
      <c r="Y47" s="113">
        <f t="shared" si="2"/>
        <v>285.95079328098251</v>
      </c>
      <c r="Z47" s="113">
        <f t="shared" si="3"/>
        <v>338.74290405641102</v>
      </c>
      <c r="AA47" s="22"/>
      <c r="AB47" s="22"/>
      <c r="AC47" s="22"/>
      <c r="AD47" s="22"/>
      <c r="AE47" s="22"/>
      <c r="AF47" s="22"/>
      <c r="AG47" s="22"/>
      <c r="AH47" s="22"/>
      <c r="AI47" s="22"/>
      <c r="AJ47" s="22"/>
      <c r="AK47" s="22"/>
      <c r="AL47" s="22"/>
      <c r="AM47" s="22"/>
      <c r="AN47" s="22"/>
      <c r="AO47" s="22"/>
      <c r="AP47" s="22"/>
      <c r="AQ47" s="22"/>
      <c r="AR47" s="22"/>
    </row>
    <row r="48" spans="1:44" hidden="1" x14ac:dyDescent="0.25">
      <c r="A48" s="16"/>
      <c r="B48" s="3" t="s">
        <v>64</v>
      </c>
      <c r="C48" s="3" t="s">
        <v>65</v>
      </c>
      <c r="D48" s="11" t="s">
        <v>243</v>
      </c>
      <c r="E48" s="107">
        <v>151.46</v>
      </c>
      <c r="F48" s="108">
        <v>220.15</v>
      </c>
      <c r="G48" s="109">
        <v>264.43</v>
      </c>
      <c r="H48" s="114"/>
      <c r="I48" s="113">
        <v>7.8238914698216044</v>
      </c>
      <c r="J48" s="114">
        <v>10.338965688930173</v>
      </c>
      <c r="K48" s="109">
        <v>11.96864912403278</v>
      </c>
      <c r="L48" s="114"/>
      <c r="M48" s="113">
        <v>17.575568184325409</v>
      </c>
      <c r="N48" s="114">
        <v>17.975012915787349</v>
      </c>
      <c r="O48" s="109">
        <v>19.74398244083309</v>
      </c>
      <c r="P48" s="119"/>
      <c r="Q48" s="120">
        <v>0.08</v>
      </c>
      <c r="R48" s="120">
        <v>0.05</v>
      </c>
      <c r="S48" s="120">
        <v>0.03</v>
      </c>
      <c r="T48" s="120">
        <v>1.4999999999999999E-2</v>
      </c>
      <c r="U48" s="120">
        <v>0.02</v>
      </c>
      <c r="V48" s="121">
        <f t="shared" si="0"/>
        <v>0</v>
      </c>
      <c r="W48" s="119"/>
      <c r="X48" s="113">
        <f t="shared" si="1"/>
        <v>176.85945965414703</v>
      </c>
      <c r="Y48" s="113">
        <f t="shared" si="2"/>
        <v>248.46397860471754</v>
      </c>
      <c r="Z48" s="113">
        <f t="shared" si="3"/>
        <v>296.14263156486584</v>
      </c>
      <c r="AA48" s="22"/>
      <c r="AB48" s="22"/>
      <c r="AC48" s="22"/>
      <c r="AD48" s="22"/>
      <c r="AE48" s="22"/>
      <c r="AF48" s="22"/>
      <c r="AG48" s="22"/>
      <c r="AH48" s="22"/>
      <c r="AI48" s="22"/>
      <c r="AJ48" s="22"/>
      <c r="AK48" s="22"/>
      <c r="AL48" s="22"/>
      <c r="AM48" s="22"/>
      <c r="AN48" s="22"/>
      <c r="AO48" s="22"/>
      <c r="AP48" s="22"/>
      <c r="AQ48" s="22"/>
      <c r="AR48" s="22"/>
    </row>
    <row r="49" spans="1:44" hidden="1" x14ac:dyDescent="0.25">
      <c r="A49" s="16"/>
      <c r="B49" s="3" t="s">
        <v>66</v>
      </c>
      <c r="C49" s="3" t="s">
        <v>67</v>
      </c>
      <c r="D49" s="11" t="s">
        <v>243</v>
      </c>
      <c r="E49" s="107">
        <v>151.46</v>
      </c>
      <c r="F49" s="108">
        <v>220.15</v>
      </c>
      <c r="G49" s="109">
        <v>264.43</v>
      </c>
      <c r="H49" s="114"/>
      <c r="I49" s="113">
        <v>7.8238914698216044</v>
      </c>
      <c r="J49" s="114">
        <v>10.338965688930173</v>
      </c>
      <c r="K49" s="109">
        <v>11.96864912403278</v>
      </c>
      <c r="L49" s="114"/>
      <c r="M49" s="113">
        <v>17.575568184325409</v>
      </c>
      <c r="N49" s="114">
        <v>17.975012915787349</v>
      </c>
      <c r="O49" s="109">
        <v>19.74398244083309</v>
      </c>
      <c r="P49" s="119"/>
      <c r="Q49" s="120">
        <v>0.08</v>
      </c>
      <c r="R49" s="120">
        <v>0.05</v>
      </c>
      <c r="S49" s="120">
        <v>0.03</v>
      </c>
      <c r="T49" s="120">
        <v>1.4999999999999999E-2</v>
      </c>
      <c r="U49" s="120">
        <v>0.02</v>
      </c>
      <c r="V49" s="121">
        <f t="shared" si="0"/>
        <v>0</v>
      </c>
      <c r="W49" s="119"/>
      <c r="X49" s="113">
        <f t="shared" si="1"/>
        <v>176.85945965414703</v>
      </c>
      <c r="Y49" s="113">
        <f t="shared" si="2"/>
        <v>248.46397860471754</v>
      </c>
      <c r="Z49" s="113">
        <f t="shared" si="3"/>
        <v>296.14263156486584</v>
      </c>
      <c r="AA49" s="22"/>
      <c r="AB49" s="22"/>
      <c r="AC49" s="22"/>
      <c r="AD49" s="22"/>
      <c r="AE49" s="22"/>
      <c r="AF49" s="22"/>
      <c r="AG49" s="22"/>
      <c r="AH49" s="22"/>
      <c r="AI49" s="22"/>
      <c r="AJ49" s="22"/>
      <c r="AK49" s="22"/>
      <c r="AL49" s="22"/>
      <c r="AM49" s="22"/>
      <c r="AN49" s="22"/>
      <c r="AO49" s="22"/>
      <c r="AP49" s="22"/>
      <c r="AQ49" s="22"/>
      <c r="AR49" s="22"/>
    </row>
    <row r="50" spans="1:44" hidden="1" x14ac:dyDescent="0.25">
      <c r="A50" s="16"/>
      <c r="B50" s="3" t="s">
        <v>68</v>
      </c>
      <c r="C50" s="3" t="s">
        <v>69</v>
      </c>
      <c r="D50" s="11" t="s">
        <v>243</v>
      </c>
      <c r="E50" s="107">
        <v>187.48</v>
      </c>
      <c r="F50" s="108">
        <v>272.75</v>
      </c>
      <c r="G50" s="109">
        <v>327.72</v>
      </c>
      <c r="H50" s="114"/>
      <c r="I50" s="113">
        <v>19.365790749732081</v>
      </c>
      <c r="J50" s="114">
        <v>25.591132861796542</v>
      </c>
      <c r="K50" s="109">
        <v>29.624945001731721</v>
      </c>
      <c r="L50" s="114"/>
      <c r="M50" s="113">
        <v>43.503258842246602</v>
      </c>
      <c r="N50" s="114">
        <v>44.491969270479473</v>
      </c>
      <c r="O50" s="109">
        <v>48.870544024082221</v>
      </c>
      <c r="P50" s="119"/>
      <c r="Q50" s="120">
        <v>0.08</v>
      </c>
      <c r="R50" s="120">
        <v>0.05</v>
      </c>
      <c r="S50" s="120">
        <v>0.03</v>
      </c>
      <c r="T50" s="120">
        <v>1.4999999999999999E-2</v>
      </c>
      <c r="U50" s="120">
        <v>0.02</v>
      </c>
      <c r="V50" s="121">
        <f t="shared" si="0"/>
        <v>0</v>
      </c>
      <c r="W50" s="119"/>
      <c r="X50" s="113">
        <f t="shared" si="1"/>
        <v>250.34904959197866</v>
      </c>
      <c r="Y50" s="113">
        <f t="shared" si="2"/>
        <v>342.83310213227605</v>
      </c>
      <c r="Z50" s="113">
        <f t="shared" si="3"/>
        <v>406.21548902581395</v>
      </c>
      <c r="AA50" s="22"/>
      <c r="AB50" s="22"/>
      <c r="AC50" s="22"/>
      <c r="AD50" s="22"/>
      <c r="AE50" s="22"/>
      <c r="AF50" s="22"/>
      <c r="AG50" s="22"/>
      <c r="AH50" s="22"/>
      <c r="AI50" s="22"/>
      <c r="AJ50" s="22"/>
      <c r="AK50" s="22"/>
      <c r="AL50" s="22"/>
      <c r="AM50" s="22"/>
      <c r="AN50" s="22"/>
      <c r="AO50" s="22"/>
      <c r="AP50" s="22"/>
      <c r="AQ50" s="22"/>
      <c r="AR50" s="22"/>
    </row>
    <row r="51" spans="1:44" hidden="1" x14ac:dyDescent="0.25">
      <c r="A51" s="16"/>
      <c r="B51" s="3" t="s">
        <v>70</v>
      </c>
      <c r="C51" s="3" t="s">
        <v>71</v>
      </c>
      <c r="D51" s="11" t="s">
        <v>243</v>
      </c>
      <c r="E51" s="107">
        <v>187.73</v>
      </c>
      <c r="F51" s="108">
        <v>273.13</v>
      </c>
      <c r="G51" s="109">
        <v>328.17</v>
      </c>
      <c r="H51" s="114"/>
      <c r="I51" s="113">
        <v>16.093404584228701</v>
      </c>
      <c r="J51" s="114">
        <v>21.26680290188202</v>
      </c>
      <c r="K51" s="109">
        <v>24.618990872086556</v>
      </c>
      <c r="L51" s="114"/>
      <c r="M51" s="113">
        <v>36.152179600018918</v>
      </c>
      <c r="N51" s="114">
        <v>36.973820045473893</v>
      </c>
      <c r="O51" s="109">
        <v>40.612513446774493</v>
      </c>
      <c r="P51" s="119"/>
      <c r="Q51" s="120">
        <v>0.08</v>
      </c>
      <c r="R51" s="120">
        <v>0.05</v>
      </c>
      <c r="S51" s="120">
        <v>0.03</v>
      </c>
      <c r="T51" s="120">
        <v>1.4999999999999999E-2</v>
      </c>
      <c r="U51" s="120">
        <v>0.02</v>
      </c>
      <c r="V51" s="121">
        <f t="shared" si="0"/>
        <v>0</v>
      </c>
      <c r="W51" s="119"/>
      <c r="X51" s="113">
        <f t="shared" si="1"/>
        <v>239.97558418424759</v>
      </c>
      <c r="Y51" s="113">
        <f t="shared" si="2"/>
        <v>331.37062294735591</v>
      </c>
      <c r="Z51" s="113">
        <f t="shared" si="3"/>
        <v>393.40150431886104</v>
      </c>
      <c r="AA51" s="22"/>
      <c r="AB51" s="22"/>
      <c r="AC51" s="22"/>
      <c r="AD51" s="22"/>
      <c r="AE51" s="22"/>
      <c r="AF51" s="22"/>
      <c r="AG51" s="22"/>
      <c r="AH51" s="22"/>
      <c r="AI51" s="22"/>
      <c r="AJ51" s="22"/>
      <c r="AK51" s="22"/>
      <c r="AL51" s="22"/>
      <c r="AM51" s="22"/>
      <c r="AN51" s="22"/>
      <c r="AO51" s="22"/>
      <c r="AP51" s="22"/>
      <c r="AQ51" s="22"/>
      <c r="AR51" s="22"/>
    </row>
    <row r="52" spans="1:44" hidden="1" x14ac:dyDescent="0.25">
      <c r="A52" s="16"/>
      <c r="B52" s="3" t="s">
        <v>72</v>
      </c>
      <c r="C52" s="3" t="s">
        <v>73</v>
      </c>
      <c r="D52" s="11" t="s">
        <v>243</v>
      </c>
      <c r="E52" s="107">
        <v>99.74</v>
      </c>
      <c r="F52" s="108">
        <v>144.6</v>
      </c>
      <c r="G52" s="109">
        <v>173.53</v>
      </c>
      <c r="H52" s="114"/>
      <c r="I52" s="113">
        <v>3.8127158918789181</v>
      </c>
      <c r="J52" s="114">
        <v>5.038354499142069</v>
      </c>
      <c r="K52" s="109">
        <v>5.8325270609310955</v>
      </c>
      <c r="L52" s="114"/>
      <c r="M52" s="113">
        <v>8.5648744468980897</v>
      </c>
      <c r="N52" s="114">
        <v>8.7595306843275917</v>
      </c>
      <c r="O52" s="109">
        <v>9.6215797358011006</v>
      </c>
      <c r="P52" s="119"/>
      <c r="Q52" s="120">
        <v>0.08</v>
      </c>
      <c r="R52" s="120">
        <v>0.05</v>
      </c>
      <c r="S52" s="120">
        <v>0.03</v>
      </c>
      <c r="T52" s="120">
        <v>1.4999999999999999E-2</v>
      </c>
      <c r="U52" s="120">
        <v>0.02</v>
      </c>
      <c r="V52" s="121">
        <f t="shared" si="0"/>
        <v>0</v>
      </c>
      <c r="W52" s="119"/>
      <c r="X52" s="113">
        <f t="shared" si="1"/>
        <v>112.11759033877701</v>
      </c>
      <c r="Y52" s="113">
        <f t="shared" si="2"/>
        <v>158.39788518346964</v>
      </c>
      <c r="Z52" s="113">
        <f t="shared" si="3"/>
        <v>188.98410679673219</v>
      </c>
      <c r="AA52" s="22"/>
      <c r="AB52" s="22"/>
      <c r="AC52" s="22"/>
      <c r="AD52" s="22"/>
      <c r="AE52" s="22"/>
      <c r="AF52" s="22"/>
      <c r="AG52" s="22"/>
      <c r="AH52" s="22"/>
      <c r="AI52" s="22"/>
      <c r="AJ52" s="22"/>
      <c r="AK52" s="22"/>
      <c r="AL52" s="22"/>
      <c r="AM52" s="22"/>
      <c r="AN52" s="22"/>
      <c r="AO52" s="22"/>
      <c r="AP52" s="22"/>
      <c r="AQ52" s="22"/>
      <c r="AR52" s="22"/>
    </row>
    <row r="53" spans="1:44" hidden="1" x14ac:dyDescent="0.25">
      <c r="A53" s="16"/>
      <c r="B53" s="3" t="s">
        <v>74</v>
      </c>
      <c r="C53" s="3" t="s">
        <v>75</v>
      </c>
      <c r="D53" s="11" t="s">
        <v>243</v>
      </c>
      <c r="E53" s="107">
        <v>188.42</v>
      </c>
      <c r="F53" s="108">
        <v>274.13</v>
      </c>
      <c r="G53" s="109">
        <v>329.38</v>
      </c>
      <c r="H53" s="114"/>
      <c r="I53" s="113">
        <v>9.7306020301698322</v>
      </c>
      <c r="J53" s="114">
        <v>12.858608904611261</v>
      </c>
      <c r="K53" s="109">
        <v>14.885452068695328</v>
      </c>
      <c r="L53" s="114"/>
      <c r="M53" s="113">
        <v>21.85879751980821</v>
      </c>
      <c r="N53" s="114">
        <v>22.355588372531123</v>
      </c>
      <c r="O53" s="109">
        <v>24.555662148875459</v>
      </c>
      <c r="P53" s="119"/>
      <c r="Q53" s="120">
        <v>0.08</v>
      </c>
      <c r="R53" s="120">
        <v>0.05</v>
      </c>
      <c r="S53" s="120">
        <v>0.03</v>
      </c>
      <c r="T53" s="120">
        <v>1.4999999999999999E-2</v>
      </c>
      <c r="U53" s="120">
        <v>0.02</v>
      </c>
      <c r="V53" s="121">
        <f t="shared" si="0"/>
        <v>0</v>
      </c>
      <c r="W53" s="119"/>
      <c r="X53" s="113">
        <f t="shared" si="1"/>
        <v>220.00939954997801</v>
      </c>
      <c r="Y53" s="113">
        <f t="shared" si="2"/>
        <v>309.34419727714243</v>
      </c>
      <c r="Z53" s="113">
        <f t="shared" si="3"/>
        <v>368.82111421757077</v>
      </c>
      <c r="AA53" s="22"/>
      <c r="AB53" s="22"/>
      <c r="AC53" s="22"/>
      <c r="AD53" s="22"/>
      <c r="AE53" s="22"/>
      <c r="AF53" s="22"/>
      <c r="AG53" s="22"/>
      <c r="AH53" s="22"/>
      <c r="AI53" s="22"/>
      <c r="AJ53" s="22"/>
      <c r="AK53" s="22"/>
      <c r="AL53" s="22"/>
      <c r="AM53" s="22"/>
      <c r="AN53" s="22"/>
      <c r="AO53" s="22"/>
      <c r="AP53" s="22"/>
      <c r="AQ53" s="22"/>
      <c r="AR53" s="22"/>
    </row>
    <row r="54" spans="1:44" hidden="1" x14ac:dyDescent="0.25">
      <c r="A54" s="16"/>
      <c r="B54" s="3" t="s">
        <v>76</v>
      </c>
      <c r="C54" s="3" t="s">
        <v>77</v>
      </c>
      <c r="D54" s="11" t="s">
        <v>243</v>
      </c>
      <c r="E54" s="107">
        <v>157.30000000000001</v>
      </c>
      <c r="F54" s="108">
        <v>228.68</v>
      </c>
      <c r="G54" s="109">
        <v>274.69</v>
      </c>
      <c r="H54" s="114"/>
      <c r="I54" s="113">
        <v>9.0967050333267299</v>
      </c>
      <c r="J54" s="114">
        <v>12.020938887592715</v>
      </c>
      <c r="K54" s="109">
        <v>13.915743993722991</v>
      </c>
      <c r="L54" s="114"/>
      <c r="M54" s="113">
        <v>20.434813057238831</v>
      </c>
      <c r="N54" s="114">
        <v>20.899240626721536</v>
      </c>
      <c r="O54" s="109">
        <v>22.955991291573493</v>
      </c>
      <c r="P54" s="119"/>
      <c r="Q54" s="120">
        <v>0.08</v>
      </c>
      <c r="R54" s="120">
        <v>0.05</v>
      </c>
      <c r="S54" s="120">
        <v>0.03</v>
      </c>
      <c r="T54" s="120">
        <v>1.4999999999999999E-2</v>
      </c>
      <c r="U54" s="120">
        <v>0.02</v>
      </c>
      <c r="V54" s="121">
        <f t="shared" si="0"/>
        <v>0</v>
      </c>
      <c r="W54" s="119"/>
      <c r="X54" s="113">
        <f t="shared" si="1"/>
        <v>186.8315180905656</v>
      </c>
      <c r="Y54" s="113">
        <f t="shared" si="2"/>
        <v>261.60017951431428</v>
      </c>
      <c r="Z54" s="113">
        <f t="shared" si="3"/>
        <v>311.56173528529644</v>
      </c>
      <c r="AA54" s="22"/>
      <c r="AB54" s="22"/>
      <c r="AC54" s="22"/>
      <c r="AD54" s="22"/>
      <c r="AE54" s="22"/>
      <c r="AF54" s="22"/>
      <c r="AG54" s="22"/>
      <c r="AH54" s="22"/>
      <c r="AI54" s="22"/>
      <c r="AJ54" s="22"/>
      <c r="AK54" s="22"/>
      <c r="AL54" s="22"/>
      <c r="AM54" s="22"/>
      <c r="AN54" s="22"/>
      <c r="AO54" s="22"/>
      <c r="AP54" s="22"/>
      <c r="AQ54" s="22"/>
      <c r="AR54" s="22"/>
    </row>
    <row r="55" spans="1:44" hidden="1" x14ac:dyDescent="0.25">
      <c r="A55" s="16"/>
      <c r="B55" s="3" t="s">
        <v>78</v>
      </c>
      <c r="C55" s="3" t="s">
        <v>79</v>
      </c>
      <c r="D55" s="11" t="s">
        <v>243</v>
      </c>
      <c r="E55" s="107">
        <v>165.13</v>
      </c>
      <c r="F55" s="108">
        <v>240.11</v>
      </c>
      <c r="G55" s="109">
        <v>288.45</v>
      </c>
      <c r="H55" s="114"/>
      <c r="I55" s="113">
        <v>2.5585805210264305</v>
      </c>
      <c r="J55" s="114">
        <v>3.381063799426721</v>
      </c>
      <c r="K55" s="109">
        <v>3.9140052785584665</v>
      </c>
      <c r="L55" s="114"/>
      <c r="M55" s="113">
        <v>5.7475882143610821</v>
      </c>
      <c r="N55" s="114">
        <v>5.8782152192329242</v>
      </c>
      <c r="O55" s="109">
        <v>6.4567062408082281</v>
      </c>
      <c r="P55" s="119"/>
      <c r="Q55" s="120">
        <v>0.08</v>
      </c>
      <c r="R55" s="120">
        <v>0.05</v>
      </c>
      <c r="S55" s="120">
        <v>0.03</v>
      </c>
      <c r="T55" s="120">
        <v>1.4999999999999999E-2</v>
      </c>
      <c r="U55" s="120">
        <v>0.02</v>
      </c>
      <c r="V55" s="121">
        <f t="shared" si="0"/>
        <v>0</v>
      </c>
      <c r="W55" s="119"/>
      <c r="X55" s="113">
        <f t="shared" si="1"/>
        <v>173.43616873538753</v>
      </c>
      <c r="Y55" s="113">
        <f t="shared" si="2"/>
        <v>249.36927901865965</v>
      </c>
      <c r="Z55" s="113">
        <f t="shared" si="3"/>
        <v>298.82071151936668</v>
      </c>
      <c r="AA55" s="22"/>
      <c r="AB55" s="22"/>
      <c r="AC55" s="22"/>
      <c r="AD55" s="22"/>
      <c r="AE55" s="22"/>
      <c r="AF55" s="22"/>
      <c r="AG55" s="22"/>
      <c r="AH55" s="22"/>
      <c r="AI55" s="22"/>
      <c r="AJ55" s="22"/>
      <c r="AK55" s="22"/>
      <c r="AL55" s="22"/>
      <c r="AM55" s="22"/>
      <c r="AN55" s="22"/>
      <c r="AO55" s="22"/>
      <c r="AP55" s="22"/>
      <c r="AQ55" s="22"/>
      <c r="AR55" s="22"/>
    </row>
    <row r="56" spans="1:44" hidden="1" x14ac:dyDescent="0.25">
      <c r="A56" s="16"/>
      <c r="B56" s="3" t="s">
        <v>80</v>
      </c>
      <c r="C56" s="3" t="s">
        <v>81</v>
      </c>
      <c r="D56" s="11" t="s">
        <v>243</v>
      </c>
      <c r="E56" s="107">
        <v>171.38</v>
      </c>
      <c r="F56" s="108">
        <v>249.24</v>
      </c>
      <c r="G56" s="109">
        <v>299.43</v>
      </c>
      <c r="H56" s="114"/>
      <c r="I56" s="113">
        <v>17.701243320110706</v>
      </c>
      <c r="J56" s="114">
        <v>23.391498724636822</v>
      </c>
      <c r="K56" s="109">
        <v>27.07859268942093</v>
      </c>
      <c r="L56" s="114"/>
      <c r="M56" s="113">
        <v>39.764024094653514</v>
      </c>
      <c r="N56" s="114">
        <v>40.667751914986546</v>
      </c>
      <c r="O56" s="109">
        <v>44.669975119318558</v>
      </c>
      <c r="P56" s="119"/>
      <c r="Q56" s="120">
        <v>0.08</v>
      </c>
      <c r="R56" s="120">
        <v>0.05</v>
      </c>
      <c r="S56" s="120">
        <v>0.03</v>
      </c>
      <c r="T56" s="120">
        <v>1.4999999999999999E-2</v>
      </c>
      <c r="U56" s="120">
        <v>0.02</v>
      </c>
      <c r="V56" s="121">
        <f t="shared" si="0"/>
        <v>0</v>
      </c>
      <c r="W56" s="119"/>
      <c r="X56" s="113">
        <f t="shared" si="1"/>
        <v>228.84526741476421</v>
      </c>
      <c r="Y56" s="113">
        <f t="shared" si="2"/>
        <v>313.29925063962338</v>
      </c>
      <c r="Z56" s="113">
        <f t="shared" si="3"/>
        <v>371.1785678087395</v>
      </c>
      <c r="AA56" s="22"/>
      <c r="AB56" s="22"/>
      <c r="AC56" s="22"/>
      <c r="AD56" s="22"/>
      <c r="AE56" s="22"/>
      <c r="AF56" s="22"/>
      <c r="AG56" s="22"/>
      <c r="AH56" s="22"/>
      <c r="AI56" s="22"/>
      <c r="AJ56" s="22"/>
      <c r="AK56" s="22"/>
      <c r="AL56" s="22"/>
      <c r="AM56" s="22"/>
      <c r="AN56" s="22"/>
      <c r="AO56" s="22"/>
      <c r="AP56" s="22"/>
      <c r="AQ56" s="22"/>
      <c r="AR56" s="22"/>
    </row>
    <row r="57" spans="1:44" hidden="1" x14ac:dyDescent="0.25">
      <c r="A57" s="16"/>
      <c r="B57" s="3" t="s">
        <v>82</v>
      </c>
      <c r="C57" s="3" t="s">
        <v>83</v>
      </c>
      <c r="D57" s="11" t="s">
        <v>243</v>
      </c>
      <c r="E57" s="107">
        <v>135.19</v>
      </c>
      <c r="F57" s="108">
        <v>196.39</v>
      </c>
      <c r="G57" s="109">
        <v>235.84</v>
      </c>
      <c r="H57" s="114"/>
      <c r="I57" s="113">
        <v>17.199771471978973</v>
      </c>
      <c r="J57" s="114">
        <v>22.728823347326589</v>
      </c>
      <c r="K57" s="109">
        <v>26.311462851408773</v>
      </c>
      <c r="L57" s="114"/>
      <c r="M57" s="113">
        <v>38.637519120325194</v>
      </c>
      <c r="N57" s="114">
        <v>39.515644554878037</v>
      </c>
      <c r="O57" s="109">
        <v>43.40448576504064</v>
      </c>
      <c r="P57" s="119"/>
      <c r="Q57" s="120">
        <v>0.08</v>
      </c>
      <c r="R57" s="120">
        <v>0.05</v>
      </c>
      <c r="S57" s="120">
        <v>0.03</v>
      </c>
      <c r="T57" s="120">
        <v>1.4999999999999999E-2</v>
      </c>
      <c r="U57" s="120">
        <v>0.02</v>
      </c>
      <c r="V57" s="121">
        <f t="shared" si="0"/>
        <v>0</v>
      </c>
      <c r="W57" s="119"/>
      <c r="X57" s="113">
        <f t="shared" si="1"/>
        <v>191.02729059230415</v>
      </c>
      <c r="Y57" s="113">
        <f t="shared" si="2"/>
        <v>258.63446790220462</v>
      </c>
      <c r="Z57" s="113">
        <f t="shared" si="3"/>
        <v>305.55594861644943</v>
      </c>
      <c r="AA57" s="22"/>
      <c r="AB57" s="22"/>
      <c r="AC57" s="22"/>
      <c r="AD57" s="22"/>
      <c r="AE57" s="22"/>
      <c r="AF57" s="22"/>
      <c r="AG57" s="22"/>
      <c r="AH57" s="22"/>
      <c r="AI57" s="22"/>
      <c r="AJ57" s="22"/>
      <c r="AK57" s="22"/>
      <c r="AL57" s="22"/>
      <c r="AM57" s="22"/>
      <c r="AN57" s="22"/>
      <c r="AO57" s="22"/>
      <c r="AP57" s="22"/>
      <c r="AQ57" s="22"/>
      <c r="AR57" s="22"/>
    </row>
    <row r="58" spans="1:44" hidden="1" x14ac:dyDescent="0.25">
      <c r="A58" s="16"/>
      <c r="B58" s="3" t="s">
        <v>82</v>
      </c>
      <c r="C58" s="3" t="s">
        <v>84</v>
      </c>
      <c r="D58" s="11" t="s">
        <v>243</v>
      </c>
      <c r="E58" s="107">
        <v>165.84467778611449</v>
      </c>
      <c r="F58" s="108">
        <v>225.97369393733365</v>
      </c>
      <c r="G58" s="109">
        <v>317.78372474346304</v>
      </c>
      <c r="H58" s="114"/>
      <c r="I58" s="113">
        <v>17.199771471978973</v>
      </c>
      <c r="J58" s="114">
        <v>22.728823347326589</v>
      </c>
      <c r="K58" s="109">
        <v>26.311462851408773</v>
      </c>
      <c r="L58" s="114"/>
      <c r="M58" s="113">
        <v>38.637519120325194</v>
      </c>
      <c r="N58" s="114">
        <v>39.515644554878037</v>
      </c>
      <c r="O58" s="109">
        <v>43.40448576504064</v>
      </c>
      <c r="P58" s="119"/>
      <c r="Q58" s="120">
        <v>0.08</v>
      </c>
      <c r="R58" s="120">
        <v>0.05</v>
      </c>
      <c r="S58" s="120">
        <v>0.03</v>
      </c>
      <c r="T58" s="120">
        <v>1.4999999999999999E-2</v>
      </c>
      <c r="U58" s="120">
        <v>0.02</v>
      </c>
      <c r="V58" s="121">
        <f>SUBTOTAL(9,Q58:U58)</f>
        <v>0</v>
      </c>
      <c r="W58" s="119"/>
      <c r="X58" s="113">
        <f t="shared" si="1"/>
        <v>221.68196837841867</v>
      </c>
      <c r="Y58" s="113">
        <f t="shared" si="2"/>
        <v>288.21816183953831</v>
      </c>
      <c r="Z58" s="113">
        <f t="shared" si="3"/>
        <v>387.49967335991244</v>
      </c>
      <c r="AA58" s="22"/>
      <c r="AB58" s="22"/>
      <c r="AC58" s="22"/>
      <c r="AD58" s="22"/>
      <c r="AE58" s="22"/>
      <c r="AF58" s="22"/>
      <c r="AG58" s="22"/>
      <c r="AH58" s="22"/>
      <c r="AI58" s="22"/>
      <c r="AJ58" s="22"/>
      <c r="AK58" s="22"/>
      <c r="AL58" s="22"/>
      <c r="AM58" s="22"/>
      <c r="AN58" s="22"/>
      <c r="AO58" s="22"/>
      <c r="AP58" s="22"/>
      <c r="AQ58" s="22"/>
      <c r="AR58" s="22"/>
    </row>
    <row r="59" spans="1:44" hidden="1" x14ac:dyDescent="0.25">
      <c r="A59" s="16"/>
      <c r="B59" s="3" t="s">
        <v>85</v>
      </c>
      <c r="C59" s="3" t="s">
        <v>86</v>
      </c>
      <c r="D59" s="11" t="s">
        <v>243</v>
      </c>
      <c r="E59" s="107">
        <v>99.313864661098364</v>
      </c>
      <c r="F59" s="108">
        <v>135.32132086628721</v>
      </c>
      <c r="G59" s="109">
        <v>190.30052849434549</v>
      </c>
      <c r="H59" s="114"/>
      <c r="I59" s="113">
        <v>10.299852844074561</v>
      </c>
      <c r="J59" s="114">
        <v>13.610851526592667</v>
      </c>
      <c r="K59" s="109">
        <v>15.756267222698369</v>
      </c>
      <c r="L59" s="114"/>
      <c r="M59" s="113">
        <v>21.812409756097555</v>
      </c>
      <c r="N59" s="114">
        <v>22.308146341463413</v>
      </c>
      <c r="O59" s="109">
        <v>24.503551219512193</v>
      </c>
      <c r="P59" s="119"/>
      <c r="Q59" s="120">
        <v>0.08</v>
      </c>
      <c r="R59" s="120">
        <v>0.05</v>
      </c>
      <c r="S59" s="120">
        <v>0.03</v>
      </c>
      <c r="T59" s="120">
        <v>1.4999999999999999E-2</v>
      </c>
      <c r="U59" s="120">
        <v>0.02</v>
      </c>
      <c r="V59" s="121">
        <f t="shared" ref="V59:V69" si="4">SUBTOTAL(9,Q59:U59)</f>
        <v>0</v>
      </c>
      <c r="W59" s="119"/>
      <c r="X59" s="113">
        <f t="shared" si="1"/>
        <v>131.42612726127049</v>
      </c>
      <c r="Y59" s="113">
        <f t="shared" si="2"/>
        <v>171.24031873434328</v>
      </c>
      <c r="Z59" s="113">
        <f t="shared" si="3"/>
        <v>230.56034693655604</v>
      </c>
      <c r="AA59" s="22"/>
      <c r="AB59" s="22"/>
      <c r="AC59" s="22"/>
      <c r="AD59" s="22"/>
      <c r="AE59" s="22"/>
      <c r="AF59" s="22"/>
      <c r="AG59" s="22"/>
      <c r="AH59" s="22"/>
      <c r="AI59" s="22"/>
      <c r="AJ59" s="22"/>
      <c r="AK59" s="22"/>
      <c r="AL59" s="22"/>
      <c r="AM59" s="22"/>
      <c r="AN59" s="22"/>
      <c r="AO59" s="22"/>
      <c r="AP59" s="22"/>
      <c r="AQ59" s="22"/>
      <c r="AR59" s="22"/>
    </row>
    <row r="60" spans="1:44" hidden="1" x14ac:dyDescent="0.25">
      <c r="A60" s="16"/>
      <c r="B60" s="3" t="s">
        <v>85</v>
      </c>
      <c r="C60" s="3" t="s">
        <v>87</v>
      </c>
      <c r="D60" s="11" t="s">
        <v>243</v>
      </c>
      <c r="E60" s="107">
        <v>99.313864661098364</v>
      </c>
      <c r="F60" s="108">
        <v>135.32132086628721</v>
      </c>
      <c r="G60" s="109">
        <v>190.30052849434549</v>
      </c>
      <c r="H60" s="114"/>
      <c r="I60" s="113">
        <v>10.299852844074561</v>
      </c>
      <c r="J60" s="114">
        <v>13.610851526592667</v>
      </c>
      <c r="K60" s="109">
        <v>15.756267222698369</v>
      </c>
      <c r="L60" s="114"/>
      <c r="M60" s="113">
        <v>21.812409756097555</v>
      </c>
      <c r="N60" s="114">
        <v>22.308146341463413</v>
      </c>
      <c r="O60" s="109">
        <v>24.503551219512193</v>
      </c>
      <c r="P60" s="119"/>
      <c r="Q60" s="120">
        <v>0.08</v>
      </c>
      <c r="R60" s="120">
        <v>0.05</v>
      </c>
      <c r="S60" s="120">
        <v>0.03</v>
      </c>
      <c r="T60" s="120">
        <v>1.4999999999999999E-2</v>
      </c>
      <c r="U60" s="120">
        <v>0.02</v>
      </c>
      <c r="V60" s="121">
        <f t="shared" si="4"/>
        <v>0</v>
      </c>
      <c r="W60" s="119"/>
      <c r="X60" s="113">
        <f t="shared" si="1"/>
        <v>131.42612726127049</v>
      </c>
      <c r="Y60" s="113">
        <f t="shared" si="2"/>
        <v>171.24031873434328</v>
      </c>
      <c r="Z60" s="113">
        <f t="shared" si="3"/>
        <v>230.56034693655604</v>
      </c>
      <c r="AA60" s="22"/>
      <c r="AB60" s="22"/>
      <c r="AC60" s="22"/>
      <c r="AD60" s="22"/>
      <c r="AE60" s="22"/>
      <c r="AF60" s="22"/>
      <c r="AG60" s="22"/>
      <c r="AH60" s="22"/>
      <c r="AI60" s="22"/>
      <c r="AJ60" s="22"/>
      <c r="AK60" s="22"/>
      <c r="AL60" s="22"/>
      <c r="AM60" s="22"/>
      <c r="AN60" s="22"/>
      <c r="AO60" s="22"/>
      <c r="AP60" s="22"/>
      <c r="AQ60" s="22"/>
      <c r="AR60" s="22"/>
    </row>
    <row r="61" spans="1:44" s="34" customFormat="1" hidden="1" x14ac:dyDescent="0.25">
      <c r="A61" s="35"/>
      <c r="B61" s="3" t="s">
        <v>85</v>
      </c>
      <c r="C61" s="3" t="s">
        <v>88</v>
      </c>
      <c r="D61" s="11" t="s">
        <v>243</v>
      </c>
      <c r="E61" s="107">
        <v>99.313864661098364</v>
      </c>
      <c r="F61" s="108">
        <v>135.32132086628721</v>
      </c>
      <c r="G61" s="109">
        <v>190.30052849434549</v>
      </c>
      <c r="H61" s="114"/>
      <c r="I61" s="113">
        <v>10.299852844074561</v>
      </c>
      <c r="J61" s="114">
        <v>13.610851526592667</v>
      </c>
      <c r="K61" s="109">
        <v>15.756267222698369</v>
      </c>
      <c r="L61" s="114"/>
      <c r="M61" s="113">
        <v>21.812409756097555</v>
      </c>
      <c r="N61" s="114">
        <v>22.308146341463413</v>
      </c>
      <c r="O61" s="109">
        <v>24.503551219512193</v>
      </c>
      <c r="P61" s="119"/>
      <c r="Q61" s="120">
        <v>0.08</v>
      </c>
      <c r="R61" s="120">
        <v>0.05</v>
      </c>
      <c r="S61" s="120">
        <v>0.03</v>
      </c>
      <c r="T61" s="120">
        <v>1.4999999999999999E-2</v>
      </c>
      <c r="U61" s="120">
        <v>0.02</v>
      </c>
      <c r="V61" s="121">
        <f t="shared" si="4"/>
        <v>0</v>
      </c>
      <c r="W61" s="119"/>
      <c r="X61" s="113">
        <f t="shared" si="1"/>
        <v>131.42612726127049</v>
      </c>
      <c r="Y61" s="113">
        <f t="shared" si="2"/>
        <v>171.24031873434328</v>
      </c>
      <c r="Z61" s="113">
        <f t="shared" si="3"/>
        <v>230.56034693655604</v>
      </c>
      <c r="AA61" s="33"/>
      <c r="AB61" s="33"/>
      <c r="AC61" s="33"/>
      <c r="AD61" s="33"/>
      <c r="AE61" s="33"/>
      <c r="AF61" s="33"/>
      <c r="AG61" s="33"/>
      <c r="AH61" s="33"/>
      <c r="AI61" s="33"/>
      <c r="AJ61" s="33"/>
      <c r="AK61" s="33"/>
      <c r="AL61" s="33"/>
      <c r="AM61" s="33"/>
      <c r="AN61" s="33"/>
      <c r="AO61" s="33"/>
      <c r="AP61" s="33"/>
      <c r="AQ61" s="33"/>
      <c r="AR61" s="33"/>
    </row>
    <row r="62" spans="1:44" hidden="1" x14ac:dyDescent="0.25">
      <c r="A62" s="16"/>
      <c r="B62" s="3" t="s">
        <v>89</v>
      </c>
      <c r="C62" s="3" t="s">
        <v>90</v>
      </c>
      <c r="D62" s="11" t="s">
        <v>243</v>
      </c>
      <c r="E62" s="107">
        <v>100.42</v>
      </c>
      <c r="F62" s="108">
        <v>145.61000000000001</v>
      </c>
      <c r="G62" s="109">
        <v>174.73</v>
      </c>
      <c r="H62" s="114"/>
      <c r="I62" s="113">
        <v>12.264521449486464</v>
      </c>
      <c r="J62" s="114">
        <v>16.207084025448523</v>
      </c>
      <c r="K62" s="109">
        <v>18.761731865693225</v>
      </c>
      <c r="L62" s="114"/>
      <c r="M62" s="113">
        <v>26.173437748243902</v>
      </c>
      <c r="N62" s="114">
        <v>26.768288606158535</v>
      </c>
      <c r="O62" s="109">
        <v>29.402628119780488</v>
      </c>
      <c r="P62" s="119"/>
      <c r="Q62" s="120">
        <v>0.08</v>
      </c>
      <c r="R62" s="120">
        <v>0.05</v>
      </c>
      <c r="S62" s="120">
        <v>0.03</v>
      </c>
      <c r="T62" s="120">
        <v>1.4999999999999999E-2</v>
      </c>
      <c r="U62" s="120">
        <v>0.02</v>
      </c>
      <c r="V62" s="121">
        <f t="shared" si="4"/>
        <v>0</v>
      </c>
      <c r="W62" s="119"/>
      <c r="X62" s="113">
        <f t="shared" si="1"/>
        <v>138.85795919773037</v>
      </c>
      <c r="Y62" s="113">
        <f t="shared" si="2"/>
        <v>188.58537263160707</v>
      </c>
      <c r="Z62" s="113">
        <f t="shared" si="3"/>
        <v>222.89435998547373</v>
      </c>
      <c r="AA62" s="22"/>
      <c r="AB62" s="22"/>
      <c r="AC62" s="22"/>
      <c r="AD62" s="22"/>
      <c r="AE62" s="22"/>
      <c r="AF62" s="22"/>
      <c r="AG62" s="22"/>
      <c r="AH62" s="22"/>
      <c r="AI62" s="22"/>
      <c r="AJ62" s="22"/>
      <c r="AK62" s="22"/>
      <c r="AL62" s="22"/>
      <c r="AM62" s="22"/>
      <c r="AN62" s="22"/>
      <c r="AO62" s="22"/>
      <c r="AP62" s="22"/>
      <c r="AQ62" s="22"/>
      <c r="AR62" s="22"/>
    </row>
    <row r="63" spans="1:44" hidden="1" x14ac:dyDescent="0.25">
      <c r="A63" s="16"/>
      <c r="B63" s="3" t="s">
        <v>91</v>
      </c>
      <c r="C63" s="3" t="s">
        <v>92</v>
      </c>
      <c r="D63" s="11" t="s">
        <v>243</v>
      </c>
      <c r="E63" s="107">
        <v>88.71</v>
      </c>
      <c r="F63" s="108">
        <v>128.49</v>
      </c>
      <c r="G63" s="109">
        <v>154.13999999999999</v>
      </c>
      <c r="H63" s="114"/>
      <c r="I63" s="113">
        <v>12.264521449486464</v>
      </c>
      <c r="J63" s="114">
        <v>16.207084025448523</v>
      </c>
      <c r="K63" s="109">
        <v>18.761731865693225</v>
      </c>
      <c r="L63" s="114"/>
      <c r="M63" s="113">
        <v>24.139499999999998</v>
      </c>
      <c r="N63" s="114">
        <v>24.688124999999999</v>
      </c>
      <c r="O63" s="109">
        <v>27.117750000000001</v>
      </c>
      <c r="P63" s="119"/>
      <c r="Q63" s="120">
        <v>0.08</v>
      </c>
      <c r="R63" s="120">
        <v>0.05</v>
      </c>
      <c r="S63" s="120">
        <v>0.03</v>
      </c>
      <c r="T63" s="120">
        <v>1.4999999999999999E-2</v>
      </c>
      <c r="U63" s="120">
        <v>0.02</v>
      </c>
      <c r="V63" s="121">
        <f t="shared" si="4"/>
        <v>0</v>
      </c>
      <c r="W63" s="119"/>
      <c r="X63" s="113">
        <f t="shared" si="1"/>
        <v>125.11402144948646</v>
      </c>
      <c r="Y63" s="113">
        <f t="shared" si="2"/>
        <v>169.38520902544855</v>
      </c>
      <c r="Z63" s="113">
        <f t="shared" si="3"/>
        <v>200.01948186569322</v>
      </c>
      <c r="AA63" s="22"/>
      <c r="AB63" s="22"/>
      <c r="AC63" s="22"/>
      <c r="AD63" s="22"/>
      <c r="AE63" s="22"/>
      <c r="AF63" s="22"/>
      <c r="AG63" s="22"/>
      <c r="AH63" s="22"/>
      <c r="AI63" s="22"/>
      <c r="AJ63" s="22"/>
      <c r="AK63" s="22"/>
      <c r="AL63" s="22"/>
      <c r="AM63" s="22"/>
      <c r="AN63" s="22"/>
      <c r="AO63" s="22"/>
      <c r="AP63" s="22"/>
      <c r="AQ63" s="22"/>
      <c r="AR63" s="22"/>
    </row>
    <row r="64" spans="1:44" hidden="1" x14ac:dyDescent="0.25">
      <c r="A64" s="16"/>
      <c r="B64" s="3" t="s">
        <v>93</v>
      </c>
      <c r="C64" s="3" t="s">
        <v>53</v>
      </c>
      <c r="D64" s="11" t="s">
        <v>243</v>
      </c>
      <c r="E64" s="107">
        <v>83.63</v>
      </c>
      <c r="F64" s="108">
        <v>121.08</v>
      </c>
      <c r="G64" s="109">
        <v>145.22999999999999</v>
      </c>
      <c r="H64" s="114"/>
      <c r="I64" s="113">
        <v>14.827357442102276</v>
      </c>
      <c r="J64" s="114">
        <v>19.593771263661754</v>
      </c>
      <c r="K64" s="109">
        <v>22.682246979735357</v>
      </c>
      <c r="L64" s="114"/>
      <c r="M64" s="113">
        <v>27.8124</v>
      </c>
      <c r="N64" s="114">
        <v>28.444500000000001</v>
      </c>
      <c r="O64" s="109">
        <v>31.2438</v>
      </c>
      <c r="P64" s="119"/>
      <c r="Q64" s="120">
        <v>0.08</v>
      </c>
      <c r="R64" s="120">
        <v>0.05</v>
      </c>
      <c r="S64" s="120">
        <v>0.03</v>
      </c>
      <c r="T64" s="120">
        <v>1.4999999999999999E-2</v>
      </c>
      <c r="U64" s="120">
        <v>0.02</v>
      </c>
      <c r="V64" s="121">
        <f t="shared" si="4"/>
        <v>0</v>
      </c>
      <c r="W64" s="119"/>
      <c r="X64" s="113">
        <f t="shared" si="1"/>
        <v>126.26975744210228</v>
      </c>
      <c r="Y64" s="113">
        <f t="shared" si="2"/>
        <v>169.11827126366177</v>
      </c>
      <c r="Z64" s="113">
        <f t="shared" si="3"/>
        <v>199.15604697973535</v>
      </c>
      <c r="AA64" s="22"/>
      <c r="AB64" s="22"/>
      <c r="AC64" s="22"/>
      <c r="AD64" s="22"/>
      <c r="AE64" s="22"/>
      <c r="AF64" s="22"/>
      <c r="AG64" s="22"/>
      <c r="AH64" s="22"/>
      <c r="AI64" s="22"/>
      <c r="AJ64" s="22"/>
      <c r="AK64" s="22"/>
      <c r="AL64" s="22"/>
      <c r="AM64" s="22"/>
      <c r="AN64" s="22"/>
      <c r="AO64" s="22"/>
      <c r="AP64" s="22"/>
      <c r="AQ64" s="22"/>
      <c r="AR64" s="22"/>
    </row>
    <row r="65" spans="1:44" hidden="1" x14ac:dyDescent="0.25">
      <c r="A65" s="16"/>
      <c r="B65" s="3" t="s">
        <v>94</v>
      </c>
      <c r="C65" s="3" t="s">
        <v>95</v>
      </c>
      <c r="D65" s="11" t="s">
        <v>243</v>
      </c>
      <c r="E65" s="107">
        <v>103.59092265044072</v>
      </c>
      <c r="F65" s="108">
        <v>141.14907853652338</v>
      </c>
      <c r="G65" s="109">
        <v>198.49602464737785</v>
      </c>
      <c r="H65" s="114"/>
      <c r="I65" s="113">
        <v>10.743427042361251</v>
      </c>
      <c r="J65" s="114">
        <v>14.197017430640589</v>
      </c>
      <c r="K65" s="109">
        <v>16.434827752358757</v>
      </c>
      <c r="L65" s="114"/>
      <c r="M65" s="113">
        <v>22.927304587804876</v>
      </c>
      <c r="N65" s="114">
        <v>23.448379692073171</v>
      </c>
      <c r="O65" s="109">
        <v>25.75599801097561</v>
      </c>
      <c r="P65" s="119"/>
      <c r="Q65" s="120">
        <v>0.08</v>
      </c>
      <c r="R65" s="120">
        <v>0.05</v>
      </c>
      <c r="S65" s="120">
        <v>0.03</v>
      </c>
      <c r="T65" s="120">
        <v>1.4999999999999999E-2</v>
      </c>
      <c r="U65" s="120">
        <v>0.02</v>
      </c>
      <c r="V65" s="121">
        <f t="shared" si="4"/>
        <v>0</v>
      </c>
      <c r="W65" s="119"/>
      <c r="X65" s="113">
        <f t="shared" si="1"/>
        <v>137.26165428060685</v>
      </c>
      <c r="Y65" s="113">
        <f t="shared" si="2"/>
        <v>178.79447565923712</v>
      </c>
      <c r="Z65" s="113">
        <f t="shared" si="3"/>
        <v>240.68685041071222</v>
      </c>
      <c r="AA65" s="22"/>
      <c r="AB65" s="22"/>
      <c r="AC65" s="22"/>
      <c r="AD65" s="22"/>
      <c r="AE65" s="22"/>
      <c r="AF65" s="22"/>
      <c r="AG65" s="22"/>
      <c r="AH65" s="22"/>
      <c r="AI65" s="22"/>
      <c r="AJ65" s="22"/>
      <c r="AK65" s="22"/>
      <c r="AL65" s="22"/>
      <c r="AM65" s="22"/>
      <c r="AN65" s="22"/>
      <c r="AO65" s="22"/>
      <c r="AP65" s="22"/>
      <c r="AQ65" s="22"/>
      <c r="AR65" s="22"/>
    </row>
    <row r="66" spans="1:44" hidden="1" x14ac:dyDescent="0.25">
      <c r="A66" s="16"/>
      <c r="B66" s="3" t="s">
        <v>94</v>
      </c>
      <c r="C66" s="3" t="s">
        <v>96</v>
      </c>
      <c r="D66" s="11" t="s">
        <v>243</v>
      </c>
      <c r="E66" s="107">
        <v>103.59092265044072</v>
      </c>
      <c r="F66" s="108">
        <v>141.14907853652338</v>
      </c>
      <c r="G66" s="109">
        <v>198.49602464737785</v>
      </c>
      <c r="H66" s="114"/>
      <c r="I66" s="113">
        <v>10.743427042361251</v>
      </c>
      <c r="J66" s="114">
        <v>14.197017430640589</v>
      </c>
      <c r="K66" s="109">
        <v>16.434827752358757</v>
      </c>
      <c r="L66" s="114"/>
      <c r="M66" s="113">
        <v>22.927304587804876</v>
      </c>
      <c r="N66" s="114">
        <v>23.448379692073171</v>
      </c>
      <c r="O66" s="109">
        <v>25.75599801097561</v>
      </c>
      <c r="P66" s="119"/>
      <c r="Q66" s="120">
        <v>0.08</v>
      </c>
      <c r="R66" s="120">
        <v>0.05</v>
      </c>
      <c r="S66" s="120">
        <v>0.03</v>
      </c>
      <c r="T66" s="120">
        <v>1.4999999999999999E-2</v>
      </c>
      <c r="U66" s="120">
        <v>0.02</v>
      </c>
      <c r="V66" s="121">
        <f t="shared" si="4"/>
        <v>0</v>
      </c>
      <c r="W66" s="119"/>
      <c r="X66" s="113">
        <f t="shared" si="1"/>
        <v>137.26165428060685</v>
      </c>
      <c r="Y66" s="113">
        <f t="shared" si="2"/>
        <v>178.79447565923712</v>
      </c>
      <c r="Z66" s="113">
        <f t="shared" si="3"/>
        <v>240.68685041071222</v>
      </c>
      <c r="AA66" s="22"/>
      <c r="AB66" s="22"/>
      <c r="AC66" s="22"/>
      <c r="AD66" s="22"/>
      <c r="AE66" s="22"/>
      <c r="AF66" s="22"/>
      <c r="AG66" s="22"/>
      <c r="AH66" s="22"/>
      <c r="AI66" s="22"/>
      <c r="AJ66" s="22"/>
      <c r="AK66" s="22"/>
      <c r="AL66" s="22"/>
      <c r="AM66" s="22"/>
      <c r="AN66" s="22"/>
      <c r="AO66" s="22"/>
      <c r="AP66" s="22"/>
      <c r="AQ66" s="22"/>
      <c r="AR66" s="22"/>
    </row>
    <row r="67" spans="1:44" hidden="1" x14ac:dyDescent="0.25">
      <c r="A67" s="16"/>
      <c r="B67" s="3" t="s">
        <v>94</v>
      </c>
      <c r="C67" s="3" t="s">
        <v>97</v>
      </c>
      <c r="D67" s="11" t="s">
        <v>243</v>
      </c>
      <c r="E67" s="107">
        <v>103.59092265044072</v>
      </c>
      <c r="F67" s="108">
        <v>141.14907853652338</v>
      </c>
      <c r="G67" s="109">
        <v>198.49602464737785</v>
      </c>
      <c r="H67" s="114"/>
      <c r="I67" s="113">
        <v>10.743427042361251</v>
      </c>
      <c r="J67" s="114">
        <v>14.197017430640589</v>
      </c>
      <c r="K67" s="109">
        <v>16.434827752358757</v>
      </c>
      <c r="L67" s="114"/>
      <c r="M67" s="113">
        <v>22.927304587804876</v>
      </c>
      <c r="N67" s="114">
        <v>23.448379692073171</v>
      </c>
      <c r="O67" s="109">
        <v>25.75599801097561</v>
      </c>
      <c r="P67" s="119"/>
      <c r="Q67" s="120">
        <v>0.08</v>
      </c>
      <c r="R67" s="120">
        <v>0.05</v>
      </c>
      <c r="S67" s="120">
        <v>0.03</v>
      </c>
      <c r="T67" s="120">
        <v>1.4999999999999999E-2</v>
      </c>
      <c r="U67" s="120">
        <v>0.02</v>
      </c>
      <c r="V67" s="121">
        <f t="shared" si="4"/>
        <v>0</v>
      </c>
      <c r="W67" s="119"/>
      <c r="X67" s="113">
        <f t="shared" si="1"/>
        <v>137.26165428060685</v>
      </c>
      <c r="Y67" s="113">
        <f t="shared" si="2"/>
        <v>178.79447565923712</v>
      </c>
      <c r="Z67" s="113">
        <f t="shared" si="3"/>
        <v>240.68685041071222</v>
      </c>
      <c r="AA67" s="22"/>
      <c r="AB67" s="22"/>
      <c r="AC67" s="22"/>
      <c r="AD67" s="22"/>
      <c r="AE67" s="22"/>
      <c r="AF67" s="22"/>
      <c r="AG67" s="22"/>
      <c r="AH67" s="22"/>
      <c r="AI67" s="22"/>
      <c r="AJ67" s="22"/>
      <c r="AK67" s="22"/>
      <c r="AL67" s="22"/>
      <c r="AM67" s="22"/>
      <c r="AN67" s="22"/>
      <c r="AO67" s="22"/>
      <c r="AP67" s="22"/>
      <c r="AQ67" s="22"/>
      <c r="AR67" s="22"/>
    </row>
    <row r="68" spans="1:44" hidden="1" x14ac:dyDescent="0.25">
      <c r="A68" s="16"/>
      <c r="B68" s="3" t="s">
        <v>94</v>
      </c>
      <c r="C68" s="3" t="s">
        <v>98</v>
      </c>
      <c r="D68" s="11" t="s">
        <v>243</v>
      </c>
      <c r="E68" s="110">
        <v>103.59092265044072</v>
      </c>
      <c r="F68" s="111">
        <v>141.14907853652338</v>
      </c>
      <c r="G68" s="112">
        <v>198.49602464737785</v>
      </c>
      <c r="H68" s="114"/>
      <c r="I68" s="113">
        <v>10.743427042361251</v>
      </c>
      <c r="J68" s="114">
        <v>14.197017430640589</v>
      </c>
      <c r="K68" s="109">
        <v>16.434827752358757</v>
      </c>
      <c r="L68" s="114"/>
      <c r="M68" s="113">
        <v>22.927304587804876</v>
      </c>
      <c r="N68" s="114">
        <v>23.448379692073171</v>
      </c>
      <c r="O68" s="109">
        <v>25.75599801097561</v>
      </c>
      <c r="P68" s="119"/>
      <c r="Q68" s="120">
        <v>0.08</v>
      </c>
      <c r="R68" s="120">
        <v>0.05</v>
      </c>
      <c r="S68" s="120">
        <v>0.03</v>
      </c>
      <c r="T68" s="120">
        <v>1.4999999999999999E-2</v>
      </c>
      <c r="U68" s="120">
        <v>0.02</v>
      </c>
      <c r="V68" s="121">
        <f t="shared" si="4"/>
        <v>0</v>
      </c>
      <c r="W68" s="119"/>
      <c r="X68" s="113">
        <f t="shared" si="1"/>
        <v>137.26165428060685</v>
      </c>
      <c r="Y68" s="113">
        <f t="shared" si="2"/>
        <v>178.79447565923712</v>
      </c>
      <c r="Z68" s="113">
        <f t="shared" si="3"/>
        <v>240.68685041071222</v>
      </c>
      <c r="AA68" s="22"/>
      <c r="AB68" s="22"/>
      <c r="AC68" s="22"/>
      <c r="AD68" s="22"/>
      <c r="AE68" s="22"/>
      <c r="AF68" s="22"/>
      <c r="AG68" s="22"/>
      <c r="AH68" s="22"/>
      <c r="AI68" s="22"/>
      <c r="AJ68" s="22"/>
      <c r="AK68" s="22"/>
      <c r="AL68" s="22"/>
      <c r="AM68" s="22"/>
      <c r="AN68" s="22"/>
      <c r="AO68" s="22"/>
      <c r="AP68" s="22"/>
      <c r="AQ68" s="22"/>
      <c r="AR68" s="22"/>
    </row>
    <row r="69" spans="1:44" hidden="1" x14ac:dyDescent="0.25">
      <c r="A69" s="16"/>
      <c r="B69" s="3" t="s">
        <v>99</v>
      </c>
      <c r="C69" s="3" t="s">
        <v>100</v>
      </c>
      <c r="D69" s="11" t="s">
        <v>243</v>
      </c>
      <c r="E69" s="113">
        <v>120.04</v>
      </c>
      <c r="F69" s="114">
        <v>174.26</v>
      </c>
      <c r="G69" s="109">
        <v>209.21</v>
      </c>
      <c r="H69" s="114"/>
      <c r="I69" s="113">
        <v>24.887428682926824</v>
      </c>
      <c r="J69" s="114">
        <v>34.910186926829262</v>
      </c>
      <c r="K69" s="109">
        <v>41.071520195121941</v>
      </c>
      <c r="L69" s="114"/>
      <c r="M69" s="113">
        <v>36.247092682926827</v>
      </c>
      <c r="N69" s="114">
        <v>37.070890243902433</v>
      </c>
      <c r="O69" s="109">
        <v>40.719136585365852</v>
      </c>
      <c r="P69" s="119"/>
      <c r="Q69" s="120">
        <v>0.08</v>
      </c>
      <c r="R69" s="120">
        <v>0.05</v>
      </c>
      <c r="S69" s="120">
        <v>0.03</v>
      </c>
      <c r="T69" s="120">
        <v>1.4999999999999999E-2</v>
      </c>
      <c r="U69" s="120">
        <v>0.02</v>
      </c>
      <c r="V69" s="121">
        <f t="shared" si="4"/>
        <v>0</v>
      </c>
      <c r="W69" s="119"/>
      <c r="X69" s="113">
        <f t="shared" si="1"/>
        <v>181.17452136585365</v>
      </c>
      <c r="Y69" s="113">
        <f t="shared" si="2"/>
        <v>246.24107717073167</v>
      </c>
      <c r="Z69" s="113">
        <f t="shared" si="3"/>
        <v>291.00065678048782</v>
      </c>
      <c r="AA69" s="22"/>
      <c r="AB69" s="22"/>
      <c r="AC69" s="22"/>
      <c r="AD69" s="22"/>
      <c r="AE69" s="22"/>
      <c r="AF69" s="22"/>
      <c r="AG69" s="22"/>
      <c r="AH69" s="22"/>
      <c r="AI69" s="22"/>
      <c r="AJ69" s="22"/>
      <c r="AK69" s="22"/>
      <c r="AL69" s="22"/>
      <c r="AM69" s="22"/>
      <c r="AN69" s="22"/>
      <c r="AO69" s="22"/>
      <c r="AP69" s="22"/>
      <c r="AQ69" s="22"/>
      <c r="AR69" s="22"/>
    </row>
    <row r="70" spans="1:44" hidden="1" x14ac:dyDescent="0.25">
      <c r="A70" s="16"/>
      <c r="B70" s="3" t="s">
        <v>244</v>
      </c>
      <c r="C70" s="3" t="s">
        <v>245</v>
      </c>
      <c r="D70" s="1" t="s">
        <v>19</v>
      </c>
      <c r="E70" s="113">
        <v>128.02000000000001</v>
      </c>
      <c r="F70" s="114">
        <v>202.76</v>
      </c>
      <c r="G70" s="109">
        <v>272.32</v>
      </c>
      <c r="H70" s="114"/>
      <c r="I70" s="113">
        <v>13.308</v>
      </c>
      <c r="J70" s="114">
        <v>17.585999999999999</v>
      </c>
      <c r="K70" s="109">
        <v>20.358000000000001</v>
      </c>
      <c r="L70" s="114"/>
      <c r="M70" s="113">
        <v>28.025535999999999</v>
      </c>
      <c r="N70" s="114">
        <v>28.662479999999999</v>
      </c>
      <c r="O70" s="109">
        <v>31.483232000000001</v>
      </c>
      <c r="P70" s="119"/>
      <c r="Q70" s="120">
        <v>0.08</v>
      </c>
      <c r="R70" s="120">
        <v>0.05</v>
      </c>
      <c r="S70" s="120">
        <v>0.03</v>
      </c>
      <c r="T70" s="120">
        <v>1.4999999999999999E-2</v>
      </c>
      <c r="U70" s="120">
        <v>0.02</v>
      </c>
      <c r="V70" s="121">
        <f t="shared" ref="V70:V73" si="5">SUBTOTAL(9,Q70:U70)</f>
        <v>0</v>
      </c>
      <c r="W70" s="119"/>
      <c r="X70" s="113">
        <f t="shared" ref="X70:X73" si="6">(E70+I70+M70)*(1+V70)</f>
        <v>169.35353599999999</v>
      </c>
      <c r="Y70" s="113">
        <f t="shared" ref="Y70:Y73" si="7">(F70+J70+N70)*(1+V70)</f>
        <v>249.00847999999999</v>
      </c>
      <c r="Z70" s="113">
        <f t="shared" ref="Z70:Z73" si="8">(G70+K70+O70)*(1+V70)</f>
        <v>324.16123199999998</v>
      </c>
      <c r="AA70" s="22"/>
      <c r="AB70" s="22"/>
      <c r="AC70" s="22"/>
      <c r="AD70" s="22"/>
      <c r="AE70" s="22"/>
      <c r="AF70" s="22"/>
      <c r="AG70" s="22"/>
      <c r="AH70" s="22"/>
      <c r="AI70" s="22"/>
      <c r="AJ70" s="22"/>
      <c r="AK70" s="22"/>
      <c r="AL70" s="22"/>
      <c r="AM70" s="22"/>
      <c r="AN70" s="22"/>
      <c r="AO70" s="22"/>
      <c r="AP70" s="22"/>
      <c r="AQ70" s="22"/>
      <c r="AR70" s="22"/>
    </row>
    <row r="71" spans="1:44" hidden="1" x14ac:dyDescent="0.25">
      <c r="A71" s="16"/>
      <c r="B71" s="3" t="s">
        <v>244</v>
      </c>
      <c r="C71" s="3" t="s">
        <v>246</v>
      </c>
      <c r="D71" s="1" t="s">
        <v>19</v>
      </c>
      <c r="E71" s="113">
        <f t="shared" ref="E71:G72" si="9">E$25*0.58</f>
        <v>89.190004804494038</v>
      </c>
      <c r="F71" s="114">
        <f t="shared" si="9"/>
        <v>129.6467357158696</v>
      </c>
      <c r="G71" s="109">
        <f t="shared" si="9"/>
        <v>155.7271490871461</v>
      </c>
      <c r="H71" s="114"/>
      <c r="I71" s="113">
        <v>12.8644</v>
      </c>
      <c r="J71" s="114">
        <v>16.999799999999997</v>
      </c>
      <c r="K71" s="109">
        <v>19.679399999999998</v>
      </c>
      <c r="L71" s="114"/>
      <c r="M71" s="113">
        <v>27.164639464797641</v>
      </c>
      <c r="N71" s="114">
        <v>27.782017634452135</v>
      </c>
      <c r="O71" s="109">
        <v>30.51612095720774</v>
      </c>
      <c r="P71" s="119"/>
      <c r="Q71" s="120">
        <v>0.08</v>
      </c>
      <c r="R71" s="120">
        <v>0.05</v>
      </c>
      <c r="S71" s="120">
        <v>0.03</v>
      </c>
      <c r="T71" s="120">
        <v>1.4999999999999999E-2</v>
      </c>
      <c r="U71" s="120">
        <v>0.02</v>
      </c>
      <c r="V71" s="121">
        <f t="shared" si="5"/>
        <v>0</v>
      </c>
      <c r="W71" s="119"/>
      <c r="X71" s="113">
        <f t="shared" si="6"/>
        <v>129.21904426929169</v>
      </c>
      <c r="Y71" s="113">
        <f t="shared" si="7"/>
        <v>174.42855335032172</v>
      </c>
      <c r="Z71" s="113">
        <f t="shared" si="8"/>
        <v>205.92267004435382</v>
      </c>
      <c r="AA71" s="22"/>
      <c r="AB71" s="22"/>
      <c r="AC71" s="22"/>
      <c r="AD71" s="22"/>
      <c r="AE71" s="22"/>
      <c r="AF71" s="22"/>
      <c r="AG71" s="22"/>
      <c r="AH71" s="22"/>
      <c r="AI71" s="22"/>
      <c r="AJ71" s="22"/>
      <c r="AK71" s="22"/>
      <c r="AL71" s="22"/>
      <c r="AM71" s="22"/>
      <c r="AN71" s="22"/>
      <c r="AO71" s="22"/>
      <c r="AP71" s="22"/>
      <c r="AQ71" s="22"/>
      <c r="AR71" s="22"/>
    </row>
    <row r="72" spans="1:44" hidden="1" x14ac:dyDescent="0.25">
      <c r="A72" s="16"/>
      <c r="B72" s="3" t="s">
        <v>244</v>
      </c>
      <c r="C72" s="3" t="s">
        <v>247</v>
      </c>
      <c r="D72" s="1" t="s">
        <v>19</v>
      </c>
      <c r="E72" s="113">
        <f t="shared" si="9"/>
        <v>89.190004804494038</v>
      </c>
      <c r="F72" s="114">
        <f t="shared" si="9"/>
        <v>129.6467357158696</v>
      </c>
      <c r="G72" s="109">
        <f t="shared" si="9"/>
        <v>155.7271490871461</v>
      </c>
      <c r="H72" s="114"/>
      <c r="I72" s="113">
        <v>12.8644</v>
      </c>
      <c r="J72" s="114">
        <v>16.999799999999997</v>
      </c>
      <c r="K72" s="109">
        <v>19.679399999999998</v>
      </c>
      <c r="L72" s="114"/>
      <c r="M72" s="113">
        <v>27.164639464797641</v>
      </c>
      <c r="N72" s="114">
        <v>27.782017634452135</v>
      </c>
      <c r="O72" s="109">
        <v>30.51612095720774</v>
      </c>
      <c r="P72" s="119"/>
      <c r="Q72" s="120">
        <v>0.08</v>
      </c>
      <c r="R72" s="120">
        <v>0.05</v>
      </c>
      <c r="S72" s="120">
        <v>0.03</v>
      </c>
      <c r="T72" s="120">
        <v>1.4999999999999999E-2</v>
      </c>
      <c r="U72" s="120">
        <v>0.02</v>
      </c>
      <c r="V72" s="121">
        <f t="shared" si="5"/>
        <v>0</v>
      </c>
      <c r="W72" s="119"/>
      <c r="X72" s="113">
        <f t="shared" si="6"/>
        <v>129.21904426929169</v>
      </c>
      <c r="Y72" s="113">
        <f t="shared" si="7"/>
        <v>174.42855335032172</v>
      </c>
      <c r="Z72" s="113">
        <f t="shared" si="8"/>
        <v>205.92267004435382</v>
      </c>
      <c r="AA72" s="22"/>
      <c r="AB72" s="22"/>
      <c r="AC72" s="22"/>
      <c r="AD72" s="22"/>
      <c r="AE72" s="22"/>
      <c r="AF72" s="22"/>
      <c r="AG72" s="22"/>
      <c r="AH72" s="22"/>
      <c r="AI72" s="22"/>
      <c r="AJ72" s="22"/>
      <c r="AK72" s="22"/>
      <c r="AL72" s="22"/>
      <c r="AM72" s="22"/>
      <c r="AN72" s="22"/>
      <c r="AO72" s="22"/>
      <c r="AP72" s="22"/>
      <c r="AQ72" s="22"/>
      <c r="AR72" s="22"/>
    </row>
    <row r="73" spans="1:44" hidden="1" x14ac:dyDescent="0.25">
      <c r="A73" s="16"/>
      <c r="B73" s="3" t="s">
        <v>244</v>
      </c>
      <c r="C73" s="3" t="s">
        <v>248</v>
      </c>
      <c r="D73" s="1" t="s">
        <v>19</v>
      </c>
      <c r="E73" s="113">
        <f t="shared" ref="E73:G73" si="10">E$25*0.59</f>
        <v>90.727763508019791</v>
      </c>
      <c r="F73" s="114">
        <f t="shared" si="10"/>
        <v>131.88202426269493</v>
      </c>
      <c r="G73" s="109">
        <f t="shared" si="10"/>
        <v>158.41209993347621</v>
      </c>
      <c r="H73" s="114"/>
      <c r="I73" s="113">
        <v>13.0862</v>
      </c>
      <c r="J73" s="114">
        <v>17.292899999999999</v>
      </c>
      <c r="K73" s="109">
        <v>20.018699999999999</v>
      </c>
      <c r="L73" s="114"/>
      <c r="M73" s="113">
        <v>27.632995317638979</v>
      </c>
      <c r="N73" s="114">
        <v>28.261017938494412</v>
      </c>
      <c r="O73" s="109">
        <v>31.042260973711322</v>
      </c>
      <c r="P73" s="119"/>
      <c r="Q73" s="120">
        <v>0.08</v>
      </c>
      <c r="R73" s="120">
        <v>0.05</v>
      </c>
      <c r="S73" s="120">
        <v>0.03</v>
      </c>
      <c r="T73" s="120">
        <v>1.4999999999999999E-2</v>
      </c>
      <c r="U73" s="120">
        <v>0.02</v>
      </c>
      <c r="V73" s="121">
        <f t="shared" si="5"/>
        <v>0</v>
      </c>
      <c r="W73" s="119"/>
      <c r="X73" s="113">
        <f t="shared" si="6"/>
        <v>131.44695882565878</v>
      </c>
      <c r="Y73" s="113">
        <f t="shared" si="7"/>
        <v>177.43594220118933</v>
      </c>
      <c r="Z73" s="113">
        <f t="shared" si="8"/>
        <v>209.47306090718752</v>
      </c>
      <c r="AA73" s="22"/>
      <c r="AB73" s="22"/>
      <c r="AC73" s="22"/>
      <c r="AD73" s="22"/>
      <c r="AE73" s="22"/>
      <c r="AF73" s="22"/>
      <c r="AG73" s="22"/>
      <c r="AH73" s="22"/>
      <c r="AI73" s="22"/>
      <c r="AJ73" s="22"/>
      <c r="AK73" s="22"/>
      <c r="AL73" s="22"/>
      <c r="AM73" s="22"/>
      <c r="AN73" s="22"/>
      <c r="AO73" s="22"/>
      <c r="AP73" s="22"/>
      <c r="AQ73" s="22"/>
      <c r="AR73" s="22"/>
    </row>
    <row r="74" spans="1:44" hidden="1" x14ac:dyDescent="0.25">
      <c r="A74" s="16"/>
      <c r="B74" s="3" t="s">
        <v>101</v>
      </c>
      <c r="C74" s="3" t="s">
        <v>102</v>
      </c>
      <c r="D74" s="1" t="s">
        <v>6</v>
      </c>
      <c r="E74" s="107">
        <v>81.173121165644176</v>
      </c>
      <c r="F74" s="108">
        <v>109.01079763840639</v>
      </c>
      <c r="G74" s="109">
        <v>131.09358600044348</v>
      </c>
      <c r="H74" s="114"/>
      <c r="I74" s="113">
        <v>12.394339942478487</v>
      </c>
      <c r="J74" s="114">
        <v>17.385834822036944</v>
      </c>
      <c r="K74" s="109">
        <v>20.454277930364547</v>
      </c>
      <c r="L74" s="114"/>
      <c r="M74" s="113">
        <v>18.395476074737026</v>
      </c>
      <c r="N74" s="114">
        <v>18.813555076435595</v>
      </c>
      <c r="O74" s="109">
        <v>20.665047798243538</v>
      </c>
      <c r="P74" s="119"/>
      <c r="Q74" s="120">
        <v>0.05</v>
      </c>
      <c r="R74" s="120">
        <v>0.08</v>
      </c>
      <c r="S74" s="120">
        <v>0.08</v>
      </c>
      <c r="T74" s="120">
        <v>1.2E-2</v>
      </c>
      <c r="U74" s="120">
        <v>0.02</v>
      </c>
      <c r="V74" s="121">
        <f>SUBTOTAL(9,Q74:U74)</f>
        <v>0</v>
      </c>
      <c r="W74" s="119"/>
      <c r="X74" s="113">
        <f t="shared" si="1"/>
        <v>111.96293718285969</v>
      </c>
      <c r="Y74" s="113">
        <f t="shared" si="2"/>
        <v>145.21018753687892</v>
      </c>
      <c r="Z74" s="113">
        <f t="shared" si="3"/>
        <v>172.21291172905157</v>
      </c>
      <c r="AA74" s="22"/>
      <c r="AB74" s="22"/>
      <c r="AC74" s="22"/>
      <c r="AD74" s="22"/>
      <c r="AE74" s="22"/>
      <c r="AF74" s="22"/>
      <c r="AG74" s="22"/>
      <c r="AH74" s="22"/>
      <c r="AI74" s="22"/>
      <c r="AJ74" s="22"/>
      <c r="AK74" s="22"/>
      <c r="AL74" s="22"/>
      <c r="AM74" s="22"/>
      <c r="AN74" s="22"/>
      <c r="AO74" s="22"/>
      <c r="AP74" s="22"/>
      <c r="AQ74" s="22"/>
      <c r="AR74" s="22"/>
    </row>
    <row r="75" spans="1:44" hidden="1" x14ac:dyDescent="0.25">
      <c r="A75" s="16"/>
      <c r="B75" s="3" t="s">
        <v>103</v>
      </c>
      <c r="C75" s="3" t="s">
        <v>104</v>
      </c>
      <c r="D75" s="1" t="s">
        <v>6</v>
      </c>
      <c r="E75" s="107">
        <v>84.845190886244367</v>
      </c>
      <c r="F75" s="108">
        <v>121.02669635597606</v>
      </c>
      <c r="G75" s="109">
        <v>150.54462635819351</v>
      </c>
      <c r="H75" s="114"/>
      <c r="I75" s="113">
        <v>12.955028995160408</v>
      </c>
      <c r="J75" s="114">
        <v>18.172326664417618</v>
      </c>
      <c r="K75" s="109">
        <v>21.379578492499643</v>
      </c>
      <c r="L75" s="114"/>
      <c r="M75" s="113">
        <v>19.317490363784458</v>
      </c>
      <c r="N75" s="114">
        <v>19.756524235688648</v>
      </c>
      <c r="O75" s="109">
        <v>21.700817096978643</v>
      </c>
      <c r="P75" s="119"/>
      <c r="Q75" s="120" t="s">
        <v>249</v>
      </c>
      <c r="R75" s="120">
        <v>0.05</v>
      </c>
      <c r="S75" s="120">
        <v>0.09</v>
      </c>
      <c r="T75" s="120">
        <v>7.0000000000000007E-2</v>
      </c>
      <c r="U75" s="120">
        <v>0.05</v>
      </c>
      <c r="V75" s="121">
        <f t="shared" ref="V75:V90" si="11">SUBTOTAL(9,Q75:U75)</f>
        <v>0</v>
      </c>
      <c r="W75" s="119"/>
      <c r="X75" s="113">
        <f t="shared" ref="X75:X138" si="12">(E75+I75+M75)*(1+V75)</f>
        <v>117.11771024518923</v>
      </c>
      <c r="Y75" s="113">
        <f t="shared" ref="Y75:Y138" si="13">(F75+J75+N75)*(1+V75)</f>
        <v>158.95554725608233</v>
      </c>
      <c r="Z75" s="113">
        <f t="shared" ref="Z75:Z138" si="14">(G75+K75+O75)*(1+V75)</f>
        <v>193.6250219476718</v>
      </c>
      <c r="AA75" s="22"/>
      <c r="AB75" s="22"/>
      <c r="AC75" s="22"/>
      <c r="AD75" s="22"/>
      <c r="AE75" s="22"/>
      <c r="AF75" s="22"/>
      <c r="AG75" s="22"/>
      <c r="AH75" s="22"/>
      <c r="AI75" s="22"/>
      <c r="AJ75" s="22"/>
      <c r="AK75" s="22"/>
      <c r="AL75" s="22"/>
      <c r="AM75" s="22"/>
      <c r="AN75" s="22"/>
      <c r="AO75" s="22"/>
      <c r="AP75" s="22"/>
      <c r="AQ75" s="22"/>
      <c r="AR75" s="22"/>
    </row>
    <row r="76" spans="1:44" hidden="1" x14ac:dyDescent="0.25">
      <c r="A76" s="16"/>
      <c r="B76" s="3" t="s">
        <v>105</v>
      </c>
      <c r="C76" s="3" t="s">
        <v>106</v>
      </c>
      <c r="D76" s="1" t="s">
        <v>6</v>
      </c>
      <c r="E76" s="107">
        <v>79.983356632049663</v>
      </c>
      <c r="F76" s="108">
        <v>117.8682502402247</v>
      </c>
      <c r="G76" s="109">
        <v>159.473849277478</v>
      </c>
      <c r="H76" s="114"/>
      <c r="I76" s="113">
        <v>12.212674560279082</v>
      </c>
      <c r="J76" s="114">
        <v>17.131008478523768</v>
      </c>
      <c r="K76" s="109">
        <v>20.154477034546169</v>
      </c>
      <c r="L76" s="114"/>
      <c r="M76" s="113">
        <v>17.787050335036813</v>
      </c>
      <c r="N76" s="114">
        <v>18.191301479014921</v>
      </c>
      <c r="O76" s="109">
        <v>19.981556545203695</v>
      </c>
      <c r="P76" s="119"/>
      <c r="Q76" s="120">
        <v>0.05</v>
      </c>
      <c r="R76" s="120">
        <v>0.02</v>
      </c>
      <c r="S76" s="120">
        <v>0.04</v>
      </c>
      <c r="T76" s="120">
        <v>0.03</v>
      </c>
      <c r="U76" s="120">
        <v>0.02</v>
      </c>
      <c r="V76" s="121">
        <f t="shared" si="11"/>
        <v>0</v>
      </c>
      <c r="W76" s="119"/>
      <c r="X76" s="113">
        <f t="shared" si="12"/>
        <v>109.98308152736556</v>
      </c>
      <c r="Y76" s="113">
        <f t="shared" si="13"/>
        <v>153.1905601977634</v>
      </c>
      <c r="Z76" s="113">
        <f t="shared" si="14"/>
        <v>199.60988285722786</v>
      </c>
      <c r="AA76" s="22"/>
      <c r="AB76" s="22"/>
      <c r="AC76" s="22"/>
      <c r="AD76" s="22"/>
      <c r="AE76" s="22"/>
      <c r="AF76" s="22"/>
      <c r="AG76" s="22"/>
      <c r="AH76" s="22"/>
      <c r="AI76" s="22"/>
      <c r="AJ76" s="22"/>
      <c r="AK76" s="22"/>
      <c r="AL76" s="22"/>
      <c r="AM76" s="22"/>
      <c r="AN76" s="22"/>
      <c r="AO76" s="22"/>
      <c r="AP76" s="22"/>
      <c r="AQ76" s="22"/>
      <c r="AR76" s="22"/>
    </row>
    <row r="77" spans="1:44" hidden="1" x14ac:dyDescent="0.25">
      <c r="A77" s="16"/>
      <c r="B77" s="3" t="s">
        <v>107</v>
      </c>
      <c r="C77" s="3" t="s">
        <v>108</v>
      </c>
      <c r="D77" s="1" t="s">
        <v>6</v>
      </c>
      <c r="E77" s="107">
        <v>89.864500000000007</v>
      </c>
      <c r="F77" s="108">
        <v>150.76600000000002</v>
      </c>
      <c r="G77" s="109">
        <v>188.79300000000001</v>
      </c>
      <c r="H77" s="114"/>
      <c r="I77" s="113">
        <v>13.721428297526991</v>
      </c>
      <c r="J77" s="114">
        <v>19.247373156647782</v>
      </c>
      <c r="K77" s="109">
        <v>22.644360998788464</v>
      </c>
      <c r="L77" s="114"/>
      <c r="M77" s="113">
        <v>19.984462419928253</v>
      </c>
      <c r="N77" s="114">
        <v>20.438654747653896</v>
      </c>
      <c r="O77" s="109">
        <v>22.450077913296024</v>
      </c>
      <c r="P77" s="119"/>
      <c r="Q77" s="120">
        <v>4.4999999999999998E-2</v>
      </c>
      <c r="R77" s="120">
        <v>5.0000000000000001E-3</v>
      </c>
      <c r="S77" s="120">
        <v>7.0000000000000007E-2</v>
      </c>
      <c r="T77" s="120">
        <v>0.03</v>
      </c>
      <c r="U77" s="120">
        <v>0</v>
      </c>
      <c r="V77" s="121">
        <f t="shared" si="11"/>
        <v>0</v>
      </c>
      <c r="W77" s="119"/>
      <c r="X77" s="113">
        <f t="shared" si="12"/>
        <v>123.57039071745525</v>
      </c>
      <c r="Y77" s="113">
        <f t="shared" si="13"/>
        <v>190.45202790430167</v>
      </c>
      <c r="Z77" s="113">
        <f t="shared" si="14"/>
        <v>233.88743891208449</v>
      </c>
      <c r="AA77" s="22"/>
      <c r="AB77" s="22"/>
      <c r="AC77" s="22"/>
      <c r="AD77" s="22"/>
      <c r="AE77" s="22"/>
      <c r="AF77" s="22"/>
      <c r="AG77" s="22"/>
      <c r="AH77" s="22"/>
      <c r="AI77" s="22"/>
      <c r="AJ77" s="22"/>
      <c r="AK77" s="22"/>
      <c r="AL77" s="22"/>
      <c r="AM77" s="22"/>
      <c r="AN77" s="22"/>
      <c r="AO77" s="22"/>
      <c r="AP77" s="22"/>
      <c r="AQ77" s="22"/>
      <c r="AR77" s="22"/>
    </row>
    <row r="78" spans="1:44" hidden="1" x14ac:dyDescent="0.25">
      <c r="A78" s="16"/>
      <c r="B78" s="3" t="s">
        <v>109</v>
      </c>
      <c r="C78" s="3" t="s">
        <v>110</v>
      </c>
      <c r="D78" s="1" t="s">
        <v>6</v>
      </c>
      <c r="E78" s="107">
        <v>98.322300000000013</v>
      </c>
      <c r="F78" s="108">
        <v>164.96189999999999</v>
      </c>
      <c r="G78" s="109">
        <v>206.57420000000002</v>
      </c>
      <c r="H78" s="114"/>
      <c r="I78" s="113">
        <v>15.012851454110779</v>
      </c>
      <c r="J78" s="114">
        <v>21.058883070844107</v>
      </c>
      <c r="K78" s="109">
        <v>24.775586081613753</v>
      </c>
      <c r="L78" s="114"/>
      <c r="M78" s="113">
        <v>21.865345151766402</v>
      </c>
      <c r="N78" s="114">
        <v>22.362284814306548</v>
      </c>
      <c r="O78" s="109">
        <v>24.563017605555764</v>
      </c>
      <c r="P78" s="119"/>
      <c r="Q78" s="120">
        <v>4.4999999999999998E-2</v>
      </c>
      <c r="R78" s="120">
        <v>5.0000000000000001E-3</v>
      </c>
      <c r="S78" s="120">
        <v>7.0000000000000007E-2</v>
      </c>
      <c r="T78" s="120">
        <v>0.03</v>
      </c>
      <c r="U78" s="120" t="s">
        <v>250</v>
      </c>
      <c r="V78" s="121">
        <f t="shared" si="11"/>
        <v>0</v>
      </c>
      <c r="W78" s="119"/>
      <c r="X78" s="113">
        <f t="shared" si="12"/>
        <v>135.20049660587719</v>
      </c>
      <c r="Y78" s="113">
        <f t="shared" si="13"/>
        <v>208.38306788515064</v>
      </c>
      <c r="Z78" s="113">
        <f t="shared" si="14"/>
        <v>255.91280368716954</v>
      </c>
      <c r="AA78" s="22"/>
      <c r="AB78" s="22"/>
      <c r="AC78" s="22"/>
      <c r="AD78" s="22"/>
      <c r="AE78" s="22"/>
      <c r="AF78" s="22"/>
      <c r="AG78" s="22"/>
      <c r="AH78" s="22"/>
      <c r="AI78" s="22"/>
      <c r="AJ78" s="22"/>
      <c r="AK78" s="22"/>
      <c r="AL78" s="22"/>
      <c r="AM78" s="22"/>
      <c r="AN78" s="22"/>
      <c r="AO78" s="22"/>
      <c r="AP78" s="22"/>
      <c r="AQ78" s="22"/>
      <c r="AR78" s="22"/>
    </row>
    <row r="79" spans="1:44" hidden="1" x14ac:dyDescent="0.25">
      <c r="A79" s="16"/>
      <c r="B79" s="3" t="s">
        <v>111</v>
      </c>
      <c r="C79" s="3" t="s">
        <v>112</v>
      </c>
      <c r="D79" s="1" t="s">
        <v>6</v>
      </c>
      <c r="E79" s="107">
        <v>46.89343641436912</v>
      </c>
      <c r="F79" s="108">
        <v>78.428530425382505</v>
      </c>
      <c r="G79" s="109">
        <v>107.28729437689405</v>
      </c>
      <c r="H79" s="114"/>
      <c r="I79" s="113">
        <v>7.1601680906743717</v>
      </c>
      <c r="J79" s="114">
        <v>10.043737730303933</v>
      </c>
      <c r="K79" s="109">
        <v>11.816366892829837</v>
      </c>
      <c r="L79" s="114"/>
      <c r="M79" s="113">
        <v>10.676662950453435</v>
      </c>
      <c r="N79" s="114">
        <v>10.919314381145558</v>
      </c>
      <c r="O79" s="109">
        <v>11.993913574210678</v>
      </c>
      <c r="P79" s="119"/>
      <c r="Q79" s="120">
        <v>3.1E-2</v>
      </c>
      <c r="R79" s="120">
        <v>5.3999999999999999E-2</v>
      </c>
      <c r="S79" s="120">
        <v>8.5999999999999993E-2</v>
      </c>
      <c r="T79" s="120">
        <v>1.6E-2</v>
      </c>
      <c r="U79" s="120">
        <v>5.0000000000000001E-3</v>
      </c>
      <c r="V79" s="121">
        <f t="shared" si="11"/>
        <v>0</v>
      </c>
      <c r="W79" s="119"/>
      <c r="X79" s="113">
        <f t="shared" si="12"/>
        <v>64.730267455496929</v>
      </c>
      <c r="Y79" s="113">
        <f t="shared" si="13"/>
        <v>99.39158253683199</v>
      </c>
      <c r="Z79" s="113">
        <f t="shared" si="14"/>
        <v>131.09757484393455</v>
      </c>
      <c r="AA79" s="22"/>
      <c r="AB79" s="22"/>
      <c r="AC79" s="22"/>
      <c r="AD79" s="22"/>
      <c r="AE79" s="22"/>
      <c r="AF79" s="22"/>
      <c r="AG79" s="22"/>
      <c r="AH79" s="22"/>
      <c r="AI79" s="22"/>
      <c r="AJ79" s="22"/>
      <c r="AK79" s="22"/>
      <c r="AL79" s="22"/>
      <c r="AM79" s="22"/>
      <c r="AN79" s="22"/>
      <c r="AO79" s="22"/>
      <c r="AP79" s="22"/>
      <c r="AQ79" s="22"/>
      <c r="AR79" s="22"/>
    </row>
    <row r="80" spans="1:44" hidden="1" x14ac:dyDescent="0.25">
      <c r="A80" s="16"/>
      <c r="B80" s="3" t="s">
        <v>113</v>
      </c>
      <c r="C80" s="3" t="s">
        <v>114</v>
      </c>
      <c r="D80" s="1" t="s">
        <v>6</v>
      </c>
      <c r="E80" s="107">
        <v>125.1153702384692</v>
      </c>
      <c r="F80" s="108">
        <v>170.47747783372756</v>
      </c>
      <c r="G80" s="109">
        <v>239.74015270068003</v>
      </c>
      <c r="H80" s="114"/>
      <c r="I80" s="113">
        <v>19.103890653658535</v>
      </c>
      <c r="J80" s="114">
        <v>26.797480858536584</v>
      </c>
      <c r="K80" s="109">
        <v>31.526994643902437</v>
      </c>
      <c r="L80" s="114"/>
      <c r="M80" s="113">
        <v>27.823705853658534</v>
      </c>
      <c r="N80" s="114">
        <v>28.456062804878048</v>
      </c>
      <c r="O80" s="109">
        <v>31.256500731707316</v>
      </c>
      <c r="P80" s="119"/>
      <c r="Q80" s="120"/>
      <c r="R80" s="120"/>
      <c r="S80" s="120"/>
      <c r="T80" s="120"/>
      <c r="U80" s="120"/>
      <c r="V80" s="121">
        <v>0.24</v>
      </c>
      <c r="W80" s="119"/>
      <c r="X80" s="113">
        <f t="shared" si="12"/>
        <v>213.33327876477497</v>
      </c>
      <c r="Y80" s="113">
        <f t="shared" si="13"/>
        <v>279.9064666564563</v>
      </c>
      <c r="Z80" s="113">
        <f t="shared" si="14"/>
        <v>375.12932361459929</v>
      </c>
      <c r="AA80" s="22"/>
      <c r="AB80" s="22"/>
      <c r="AC80" s="22"/>
      <c r="AD80" s="22"/>
      <c r="AE80" s="22"/>
      <c r="AF80" s="22"/>
      <c r="AG80" s="22"/>
      <c r="AH80" s="22"/>
      <c r="AI80" s="22"/>
      <c r="AJ80" s="22"/>
      <c r="AK80" s="22"/>
      <c r="AL80" s="22"/>
      <c r="AM80" s="22"/>
      <c r="AN80" s="22"/>
      <c r="AO80" s="22"/>
      <c r="AP80" s="22"/>
      <c r="AQ80" s="22"/>
      <c r="AR80" s="22"/>
    </row>
    <row r="81" spans="1:44" hidden="1" x14ac:dyDescent="0.25">
      <c r="A81" s="16"/>
      <c r="B81" s="3" t="s">
        <v>115</v>
      </c>
      <c r="C81" s="3" t="s">
        <v>116</v>
      </c>
      <c r="D81" s="1" t="s">
        <v>6</v>
      </c>
      <c r="E81" s="107">
        <v>76.985970230615706</v>
      </c>
      <c r="F81" s="108">
        <v>106.6178590435361</v>
      </c>
      <c r="G81" s="109">
        <v>170.3804217791411</v>
      </c>
      <c r="H81" s="114"/>
      <c r="I81" s="113">
        <v>11.755003037183101</v>
      </c>
      <c r="J81" s="114">
        <v>16.489021770056453</v>
      </c>
      <c r="K81" s="109">
        <v>19.399185459709273</v>
      </c>
      <c r="L81" s="114"/>
      <c r="M81" s="113">
        <v>16.957426200058055</v>
      </c>
      <c r="N81" s="114">
        <v>17.342822250059374</v>
      </c>
      <c r="O81" s="109">
        <v>19.049576185779504</v>
      </c>
      <c r="P81" s="119"/>
      <c r="Q81" s="120">
        <v>0.05</v>
      </c>
      <c r="R81" s="120">
        <v>0.02</v>
      </c>
      <c r="S81" s="120">
        <v>0.04</v>
      </c>
      <c r="T81" s="120">
        <v>0.03</v>
      </c>
      <c r="U81" s="120">
        <v>0.02</v>
      </c>
      <c r="V81" s="121">
        <f t="shared" si="11"/>
        <v>0</v>
      </c>
      <c r="W81" s="119"/>
      <c r="X81" s="113">
        <f t="shared" si="12"/>
        <v>105.69839946785686</v>
      </c>
      <c r="Y81" s="113">
        <f t="shared" si="13"/>
        <v>140.44970306365192</v>
      </c>
      <c r="Z81" s="113">
        <f t="shared" si="14"/>
        <v>208.82918342462986</v>
      </c>
      <c r="AA81" s="22"/>
      <c r="AB81" s="22"/>
      <c r="AC81" s="22"/>
      <c r="AD81" s="22"/>
      <c r="AE81" s="22"/>
      <c r="AF81" s="22"/>
      <c r="AG81" s="22"/>
      <c r="AH81" s="22"/>
      <c r="AI81" s="22"/>
      <c r="AJ81" s="22"/>
      <c r="AK81" s="22"/>
      <c r="AL81" s="22"/>
      <c r="AM81" s="22"/>
      <c r="AN81" s="22"/>
      <c r="AO81" s="22"/>
      <c r="AP81" s="22"/>
      <c r="AQ81" s="22"/>
      <c r="AR81" s="22"/>
    </row>
    <row r="82" spans="1:44" hidden="1" x14ac:dyDescent="0.25">
      <c r="A82" s="16"/>
      <c r="B82" s="3" t="s">
        <v>117</v>
      </c>
      <c r="C82" s="3" t="s">
        <v>118</v>
      </c>
      <c r="D82" s="1" t="s">
        <v>6</v>
      </c>
      <c r="E82" s="107">
        <v>114.93156103301241</v>
      </c>
      <c r="F82" s="108">
        <v>156.60140405656367</v>
      </c>
      <c r="G82" s="109">
        <v>220.22641934132233</v>
      </c>
      <c r="H82" s="114"/>
      <c r="I82" s="113">
        <v>17.548922809756093</v>
      </c>
      <c r="J82" s="114">
        <v>24.616290556097557</v>
      </c>
      <c r="K82" s="109">
        <v>28.960843917073166</v>
      </c>
      <c r="L82" s="114"/>
      <c r="M82" s="113">
        <v>25.558985609756103</v>
      </c>
      <c r="N82" s="114">
        <v>26.139871646341465</v>
      </c>
      <c r="O82" s="109">
        <v>28.712366951219515</v>
      </c>
      <c r="P82" s="119"/>
      <c r="Q82" s="120">
        <v>0.04</v>
      </c>
      <c r="R82" s="120">
        <v>0.04</v>
      </c>
      <c r="S82" s="120">
        <v>0.08</v>
      </c>
      <c r="T82" s="120">
        <v>5.0000000000000001E-3</v>
      </c>
      <c r="U82" s="120">
        <v>0.02</v>
      </c>
      <c r="V82" s="121">
        <f t="shared" si="11"/>
        <v>0</v>
      </c>
      <c r="W82" s="119"/>
      <c r="X82" s="113">
        <f t="shared" si="12"/>
        <v>158.0394694525246</v>
      </c>
      <c r="Y82" s="113">
        <f t="shared" si="13"/>
        <v>207.35756625900271</v>
      </c>
      <c r="Z82" s="113">
        <f t="shared" si="14"/>
        <v>277.899630209615</v>
      </c>
      <c r="AA82" s="22"/>
      <c r="AB82" s="22"/>
      <c r="AC82" s="22"/>
      <c r="AD82" s="22"/>
      <c r="AE82" s="22"/>
      <c r="AF82" s="22"/>
      <c r="AG82" s="22"/>
      <c r="AH82" s="22"/>
      <c r="AI82" s="22"/>
      <c r="AJ82" s="22"/>
      <c r="AK82" s="22"/>
      <c r="AL82" s="22"/>
      <c r="AM82" s="22"/>
      <c r="AN82" s="22"/>
      <c r="AO82" s="22"/>
      <c r="AP82" s="22"/>
      <c r="AQ82" s="22"/>
      <c r="AR82" s="22"/>
    </row>
    <row r="83" spans="1:44" hidden="1" x14ac:dyDescent="0.25">
      <c r="A83" s="16"/>
      <c r="B83" s="3" t="s">
        <v>119</v>
      </c>
      <c r="C83" s="3" t="s">
        <v>120</v>
      </c>
      <c r="D83" s="1" t="s">
        <v>6</v>
      </c>
      <c r="E83" s="107">
        <v>122.20571046548156</v>
      </c>
      <c r="F83" s="108">
        <v>166.51288532596644</v>
      </c>
      <c r="G83" s="109">
        <v>234.16480031229207</v>
      </c>
      <c r="H83" s="114"/>
      <c r="I83" s="113">
        <v>18.659614126829268</v>
      </c>
      <c r="J83" s="114">
        <v>26.174283629268295</v>
      </c>
      <c r="K83" s="109">
        <v>30.793808721951223</v>
      </c>
      <c r="L83" s="114"/>
      <c r="M83" s="113">
        <v>27.176642926829274</v>
      </c>
      <c r="N83" s="114">
        <v>27.79429390243903</v>
      </c>
      <c r="O83" s="109">
        <v>30.529605365853662</v>
      </c>
      <c r="P83" s="119"/>
      <c r="Q83" s="120">
        <v>0.1</v>
      </c>
      <c r="R83" s="120">
        <v>0.04</v>
      </c>
      <c r="S83" s="120">
        <v>0.03</v>
      </c>
      <c r="T83" s="120">
        <v>0.02</v>
      </c>
      <c r="U83" s="120" t="s">
        <v>250</v>
      </c>
      <c r="V83" s="121">
        <f t="shared" si="11"/>
        <v>0</v>
      </c>
      <c r="W83" s="119"/>
      <c r="X83" s="113">
        <f t="shared" si="12"/>
        <v>168.04196751914009</v>
      </c>
      <c r="Y83" s="113">
        <f t="shared" si="13"/>
        <v>220.48146285767376</v>
      </c>
      <c r="Z83" s="113">
        <f t="shared" si="14"/>
        <v>295.48821440009698</v>
      </c>
      <c r="AA83" s="22"/>
      <c r="AB83" s="22"/>
      <c r="AC83" s="22"/>
      <c r="AD83" s="22"/>
      <c r="AE83" s="22"/>
      <c r="AF83" s="22"/>
      <c r="AG83" s="22"/>
      <c r="AH83" s="22"/>
      <c r="AI83" s="22"/>
      <c r="AJ83" s="22"/>
      <c r="AK83" s="22"/>
      <c r="AL83" s="22"/>
      <c r="AM83" s="22"/>
      <c r="AN83" s="22"/>
      <c r="AO83" s="22"/>
      <c r="AP83" s="22"/>
      <c r="AQ83" s="22"/>
      <c r="AR83" s="22"/>
    </row>
    <row r="84" spans="1:44" hidden="1" x14ac:dyDescent="0.25">
      <c r="A84" s="16"/>
      <c r="B84" s="3" t="s">
        <v>122</v>
      </c>
      <c r="C84" s="3" t="s">
        <v>124</v>
      </c>
      <c r="D84" s="1" t="s">
        <v>6</v>
      </c>
      <c r="E84" s="107">
        <v>113.21014625988617</v>
      </c>
      <c r="F84" s="108">
        <v>132.76894587552664</v>
      </c>
      <c r="G84" s="109">
        <v>159.87890134156257</v>
      </c>
      <c r="H84" s="114"/>
      <c r="I84" s="113">
        <v>17.286079647219665</v>
      </c>
      <c r="J84" s="114">
        <v>24.247594213317857</v>
      </c>
      <c r="K84" s="109">
        <v>28.527075993684981</v>
      </c>
      <c r="L84" s="114"/>
      <c r="M84" s="113">
        <v>25.775602442690005</v>
      </c>
      <c r="N84" s="114">
        <v>26.361411589114777</v>
      </c>
      <c r="O84" s="109">
        <v>28.955709237567348</v>
      </c>
      <c r="P84" s="119"/>
      <c r="Q84" s="120">
        <v>0.12</v>
      </c>
      <c r="R84" s="120">
        <v>0.06</v>
      </c>
      <c r="S84" s="120">
        <v>0.05</v>
      </c>
      <c r="T84" s="120">
        <v>0.03</v>
      </c>
      <c r="U84" s="120" t="s">
        <v>250</v>
      </c>
      <c r="V84" s="121">
        <f t="shared" si="11"/>
        <v>0</v>
      </c>
      <c r="W84" s="119"/>
      <c r="X84" s="113">
        <f t="shared" si="12"/>
        <v>156.27182834979584</v>
      </c>
      <c r="Y84" s="113">
        <f t="shared" si="13"/>
        <v>183.37795167795926</v>
      </c>
      <c r="Z84" s="113">
        <f t="shared" si="14"/>
        <v>217.3616865728149</v>
      </c>
      <c r="AA84" s="22"/>
      <c r="AB84" s="22"/>
      <c r="AC84" s="22"/>
      <c r="AD84" s="22"/>
      <c r="AE84" s="22"/>
      <c r="AF84" s="22"/>
      <c r="AG84" s="22"/>
      <c r="AH84" s="22"/>
      <c r="AI84" s="22"/>
      <c r="AJ84" s="22"/>
      <c r="AK84" s="22"/>
      <c r="AL84" s="22"/>
      <c r="AM84" s="22"/>
      <c r="AN84" s="22"/>
      <c r="AO84" s="22"/>
      <c r="AP84" s="22"/>
      <c r="AQ84" s="22"/>
      <c r="AR84" s="22"/>
    </row>
    <row r="85" spans="1:44" hidden="1" x14ac:dyDescent="0.25">
      <c r="A85" s="21"/>
      <c r="B85" s="3" t="s">
        <v>129</v>
      </c>
      <c r="C85" s="3" t="s">
        <v>130</v>
      </c>
      <c r="D85" s="1" t="s">
        <v>6</v>
      </c>
      <c r="E85" s="107">
        <v>88.674836092837609</v>
      </c>
      <c r="F85" s="108">
        <v>130.35301796141621</v>
      </c>
      <c r="G85" s="109">
        <v>175.68696780988986</v>
      </c>
      <c r="H85" s="114"/>
      <c r="I85" s="113">
        <v>13.539778279997437</v>
      </c>
      <c r="J85" s="114">
        <v>18.992568365521695</v>
      </c>
      <c r="K85" s="109">
        <v>22.344585459159195</v>
      </c>
      <c r="L85" s="114"/>
      <c r="M85" s="113">
        <v>19.532091163391605</v>
      </c>
      <c r="N85" s="114">
        <v>19.97600232619596</v>
      </c>
      <c r="O85" s="109">
        <v>21.941894618615244</v>
      </c>
      <c r="P85" s="119"/>
      <c r="Q85" s="120">
        <v>0.05</v>
      </c>
      <c r="R85" s="120">
        <v>0.02</v>
      </c>
      <c r="S85" s="120">
        <v>0.04</v>
      </c>
      <c r="T85" s="120">
        <v>0.03</v>
      </c>
      <c r="U85" s="120">
        <v>0.02</v>
      </c>
      <c r="V85" s="121">
        <f t="shared" si="11"/>
        <v>0</v>
      </c>
      <c r="W85" s="119"/>
      <c r="X85" s="113">
        <f t="shared" si="12"/>
        <v>121.74670553622664</v>
      </c>
      <c r="Y85" s="113">
        <f t="shared" si="13"/>
        <v>169.32158865313386</v>
      </c>
      <c r="Z85" s="113">
        <f t="shared" si="14"/>
        <v>219.97344788766429</v>
      </c>
      <c r="AA85" s="22"/>
      <c r="AB85" s="22"/>
      <c r="AC85" s="22"/>
      <c r="AD85" s="22"/>
      <c r="AE85" s="22"/>
      <c r="AF85" s="22"/>
      <c r="AG85" s="22"/>
      <c r="AH85" s="22"/>
      <c r="AI85" s="22"/>
      <c r="AJ85" s="22"/>
      <c r="AK85" s="22"/>
      <c r="AL85" s="22"/>
      <c r="AM85" s="22"/>
      <c r="AN85" s="22"/>
      <c r="AO85" s="22"/>
      <c r="AP85" s="22"/>
      <c r="AQ85" s="22"/>
      <c r="AR85" s="22"/>
    </row>
    <row r="86" spans="1:44" hidden="1" x14ac:dyDescent="0.25">
      <c r="A86" s="21"/>
      <c r="B86" s="3" t="s">
        <v>131</v>
      </c>
      <c r="C86" s="3" t="s">
        <v>132</v>
      </c>
      <c r="D86" s="1" t="s">
        <v>6</v>
      </c>
      <c r="E86" s="107">
        <v>90.255160728804782</v>
      </c>
      <c r="F86" s="108">
        <v>117.27672278069331</v>
      </c>
      <c r="G86" s="109">
        <v>131.21421250646756</v>
      </c>
      <c r="H86" s="114"/>
      <c r="I86" s="113">
        <v>13.781078361556219</v>
      </c>
      <c r="J86" s="114">
        <v>19.331045717280222</v>
      </c>
      <c r="K86" s="109">
        <v>22.742801012042921</v>
      </c>
      <c r="L86" s="114"/>
      <c r="M86" s="113">
        <v>20.071339269560102</v>
      </c>
      <c r="N86" s="114">
        <v>20.527506071141012</v>
      </c>
      <c r="O86" s="109">
        <v>22.547673335285047</v>
      </c>
      <c r="P86" s="119"/>
      <c r="Q86" s="120">
        <v>0.06</v>
      </c>
      <c r="R86" s="120">
        <v>0.04</v>
      </c>
      <c r="S86" s="120">
        <v>7.0000000000000007E-2</v>
      </c>
      <c r="T86" s="120">
        <v>0.03</v>
      </c>
      <c r="U86" s="120">
        <v>0.03</v>
      </c>
      <c r="V86" s="121">
        <f t="shared" si="11"/>
        <v>0</v>
      </c>
      <c r="W86" s="119"/>
      <c r="X86" s="113">
        <f t="shared" si="12"/>
        <v>124.10757835992109</v>
      </c>
      <c r="Y86" s="113">
        <f t="shared" si="13"/>
        <v>157.13527456911453</v>
      </c>
      <c r="Z86" s="113">
        <f t="shared" si="14"/>
        <v>176.50468685379553</v>
      </c>
      <c r="AA86" s="22"/>
      <c r="AB86" s="22"/>
      <c r="AC86" s="22"/>
      <c r="AD86" s="22"/>
      <c r="AE86" s="22"/>
      <c r="AF86" s="22"/>
      <c r="AG86" s="22"/>
      <c r="AH86" s="22"/>
      <c r="AI86" s="22"/>
      <c r="AJ86" s="22"/>
      <c r="AK86" s="22"/>
      <c r="AL86" s="22"/>
      <c r="AM86" s="22"/>
      <c r="AN86" s="22"/>
      <c r="AO86" s="22"/>
      <c r="AP86" s="22"/>
      <c r="AQ86" s="22"/>
      <c r="AR86" s="22"/>
    </row>
    <row r="87" spans="1:44" hidden="1" x14ac:dyDescent="0.25">
      <c r="A87" s="21"/>
      <c r="B87" s="3" t="s">
        <v>133</v>
      </c>
      <c r="C87" s="3" t="s">
        <v>134</v>
      </c>
      <c r="D87" s="1" t="s">
        <v>6</v>
      </c>
      <c r="E87" s="107">
        <v>107.07948481040727</v>
      </c>
      <c r="F87" s="108">
        <v>146.45961129795253</v>
      </c>
      <c r="G87" s="109">
        <v>186.32109542464335</v>
      </c>
      <c r="H87" s="114"/>
      <c r="I87" s="113">
        <v>16.349987736671697</v>
      </c>
      <c r="J87" s="114">
        <v>22.934515871868275</v>
      </c>
      <c r="K87" s="109">
        <v>26.982251162707719</v>
      </c>
      <c r="L87" s="114"/>
      <c r="M87" s="113">
        <v>24.266383658026754</v>
      </c>
      <c r="N87" s="114">
        <v>24.817892377527361</v>
      </c>
      <c r="O87" s="109">
        <v>27.260288135315768</v>
      </c>
      <c r="P87" s="119"/>
      <c r="Q87" s="120">
        <v>3.3000000000000002E-2</v>
      </c>
      <c r="R87" s="120">
        <v>1.4999999999999999E-2</v>
      </c>
      <c r="S87" s="120">
        <v>2.5000000000000001E-2</v>
      </c>
      <c r="T87" s="120" t="s">
        <v>251</v>
      </c>
      <c r="U87" s="120">
        <v>1.7999999999999999E-2</v>
      </c>
      <c r="V87" s="121">
        <f>SUBTOTAL(9,Q87:U87)</f>
        <v>0</v>
      </c>
      <c r="W87" s="119"/>
      <c r="X87" s="113">
        <f t="shared" si="12"/>
        <v>147.69585620510571</v>
      </c>
      <c r="Y87" s="113">
        <f t="shared" si="13"/>
        <v>194.21201954734818</v>
      </c>
      <c r="Z87" s="113">
        <f t="shared" si="14"/>
        <v>240.56363472266682</v>
      </c>
      <c r="AA87" s="22"/>
      <c r="AB87" s="22"/>
      <c r="AC87" s="22"/>
      <c r="AD87" s="22"/>
      <c r="AE87" s="22"/>
      <c r="AF87" s="22"/>
      <c r="AG87" s="22"/>
      <c r="AH87" s="22"/>
      <c r="AI87" s="22"/>
      <c r="AJ87" s="22"/>
      <c r="AK87" s="22"/>
      <c r="AL87" s="22"/>
      <c r="AM87" s="22"/>
      <c r="AN87" s="22"/>
      <c r="AO87" s="22"/>
      <c r="AP87" s="22"/>
      <c r="AQ87" s="22"/>
      <c r="AR87" s="22"/>
    </row>
    <row r="88" spans="1:44" x14ac:dyDescent="0.25">
      <c r="A88" s="21"/>
      <c r="B88" s="3" t="s">
        <v>135</v>
      </c>
      <c r="C88" s="3" t="s">
        <v>136</v>
      </c>
      <c r="D88" s="1" t="s">
        <v>6</v>
      </c>
      <c r="E88" s="107">
        <v>108.78660000000001</v>
      </c>
      <c r="F88" s="108">
        <v>146.8246</v>
      </c>
      <c r="G88" s="109">
        <v>157.53919999999999</v>
      </c>
      <c r="H88" s="114"/>
      <c r="I88" s="113">
        <v>16.610647492967185</v>
      </c>
      <c r="J88" s="114">
        <v>23.300149498889773</v>
      </c>
      <c r="K88" s="109">
        <v>27.412415828617544</v>
      </c>
      <c r="L88" s="114"/>
      <c r="M88" s="113">
        <v>25.021897331332003</v>
      </c>
      <c r="N88" s="114">
        <v>25.590576816135002</v>
      </c>
      <c r="O88" s="109">
        <v>28.10901453454829</v>
      </c>
      <c r="P88" s="119"/>
      <c r="Q88" s="120">
        <v>0.05</v>
      </c>
      <c r="R88" s="120">
        <v>0.02</v>
      </c>
      <c r="S88" s="120">
        <v>0.05</v>
      </c>
      <c r="T88" s="120">
        <v>0.02</v>
      </c>
      <c r="U88" s="120">
        <v>0.03</v>
      </c>
      <c r="V88" s="121">
        <f t="shared" si="11"/>
        <v>0.17</v>
      </c>
      <c r="W88" s="119"/>
      <c r="X88" s="113">
        <f t="shared" si="12"/>
        <v>175.99039944443004</v>
      </c>
      <c r="Y88" s="113">
        <f t="shared" si="13"/>
        <v>228.98693178857897</v>
      </c>
      <c r="Z88" s="113">
        <f t="shared" si="14"/>
        <v>249.28093752490403</v>
      </c>
      <c r="AA88" s="22"/>
      <c r="AB88" s="22"/>
      <c r="AC88" s="22"/>
      <c r="AD88" s="22"/>
      <c r="AE88" s="22"/>
      <c r="AF88" s="22"/>
      <c r="AG88" s="22"/>
      <c r="AH88" s="22"/>
      <c r="AI88" s="22"/>
      <c r="AJ88" s="22"/>
      <c r="AK88" s="22"/>
      <c r="AL88" s="22"/>
      <c r="AM88" s="22"/>
      <c r="AN88" s="22"/>
      <c r="AO88" s="22"/>
      <c r="AP88" s="22"/>
      <c r="AQ88" s="22"/>
      <c r="AR88" s="22"/>
    </row>
    <row r="89" spans="1:44" hidden="1" x14ac:dyDescent="0.25">
      <c r="A89" s="21"/>
      <c r="B89" s="3" t="s">
        <v>137</v>
      </c>
      <c r="C89" s="3" t="s">
        <v>138</v>
      </c>
      <c r="D89" s="1" t="s">
        <v>6</v>
      </c>
      <c r="E89" s="107">
        <v>71.145825633823634</v>
      </c>
      <c r="F89" s="108">
        <v>119.5462917621406</v>
      </c>
      <c r="G89" s="109">
        <v>140.78529547638405</v>
      </c>
      <c r="H89" s="114"/>
      <c r="I89" s="113">
        <v>10.863270202392142</v>
      </c>
      <c r="J89" s="114">
        <v>15.238166957052014</v>
      </c>
      <c r="K89" s="109">
        <v>17.927566048986645</v>
      </c>
      <c r="L89" s="114"/>
      <c r="M89" s="113">
        <v>16.198429006395184</v>
      </c>
      <c r="N89" s="114">
        <v>16.566575120176896</v>
      </c>
      <c r="O89" s="109">
        <v>18.196936481210177</v>
      </c>
      <c r="P89" s="119"/>
      <c r="Q89" s="120">
        <v>0.05</v>
      </c>
      <c r="R89" s="120">
        <v>0.04</v>
      </c>
      <c r="S89" s="120">
        <v>0.02</v>
      </c>
      <c r="T89" s="120">
        <v>0.01</v>
      </c>
      <c r="U89" s="120">
        <v>0.02</v>
      </c>
      <c r="V89" s="121">
        <f t="shared" si="11"/>
        <v>0</v>
      </c>
      <c r="W89" s="119"/>
      <c r="X89" s="113">
        <f t="shared" si="12"/>
        <v>98.207524842610965</v>
      </c>
      <c r="Y89" s="113">
        <f t="shared" si="13"/>
        <v>151.35103383936951</v>
      </c>
      <c r="Z89" s="113">
        <f t="shared" si="14"/>
        <v>176.90979800658087</v>
      </c>
      <c r="AA89" s="22"/>
      <c r="AB89" s="22"/>
      <c r="AC89" s="22"/>
      <c r="AD89" s="22"/>
      <c r="AE89" s="22"/>
      <c r="AF89" s="22"/>
      <c r="AG89" s="22"/>
      <c r="AH89" s="22"/>
      <c r="AI89" s="22"/>
      <c r="AJ89" s="22"/>
      <c r="AK89" s="22"/>
      <c r="AL89" s="22"/>
      <c r="AM89" s="22"/>
      <c r="AN89" s="22"/>
      <c r="AO89" s="22"/>
      <c r="AP89" s="22"/>
      <c r="AQ89" s="22"/>
      <c r="AR89" s="22"/>
    </row>
    <row r="90" spans="1:44" hidden="1" x14ac:dyDescent="0.25">
      <c r="A90" s="16"/>
      <c r="B90" s="3" t="s">
        <v>139</v>
      </c>
      <c r="C90" s="3" t="s">
        <v>140</v>
      </c>
      <c r="D90" s="1" t="s">
        <v>6</v>
      </c>
      <c r="E90" s="107">
        <v>69.323902071476084</v>
      </c>
      <c r="F90" s="108">
        <v>101.81565200680021</v>
      </c>
      <c r="G90" s="109">
        <v>136.37263415625694</v>
      </c>
      <c r="H90" s="114"/>
      <c r="I90" s="113">
        <v>10.585080332929486</v>
      </c>
      <c r="J90" s="114">
        <v>14.847943424206537</v>
      </c>
      <c r="K90" s="109">
        <v>17.468471580559214</v>
      </c>
      <c r="L90" s="114"/>
      <c r="M90" s="113">
        <v>15.269729663153791</v>
      </c>
      <c r="N90" s="114">
        <v>15.616768973680015</v>
      </c>
      <c r="O90" s="109">
        <v>17.153657348867572</v>
      </c>
      <c r="P90" s="119"/>
      <c r="Q90" s="120">
        <v>0.05</v>
      </c>
      <c r="R90" s="120">
        <v>0.02</v>
      </c>
      <c r="S90" s="120">
        <v>0.04</v>
      </c>
      <c r="T90" s="120">
        <v>0.03</v>
      </c>
      <c r="U90" s="120">
        <v>0.02</v>
      </c>
      <c r="V90" s="121">
        <f t="shared" si="11"/>
        <v>0</v>
      </c>
      <c r="W90" s="119"/>
      <c r="X90" s="113">
        <f t="shared" si="12"/>
        <v>95.178712067559374</v>
      </c>
      <c r="Y90" s="113">
        <f t="shared" si="13"/>
        <v>132.28036440468676</v>
      </c>
      <c r="Z90" s="113">
        <f t="shared" si="14"/>
        <v>170.99476308568373</v>
      </c>
      <c r="AA90" s="22"/>
      <c r="AB90" s="22"/>
      <c r="AC90" s="22"/>
      <c r="AD90" s="22"/>
      <c r="AE90" s="22"/>
      <c r="AF90" s="22"/>
      <c r="AG90" s="22"/>
      <c r="AH90" s="22"/>
      <c r="AI90" s="22"/>
      <c r="AJ90" s="22"/>
      <c r="AK90" s="22"/>
      <c r="AL90" s="22"/>
      <c r="AM90" s="22"/>
      <c r="AN90" s="22"/>
      <c r="AO90" s="22"/>
      <c r="AP90" s="22"/>
      <c r="AQ90" s="22"/>
      <c r="AR90" s="22"/>
    </row>
    <row r="91" spans="1:44" hidden="1" x14ac:dyDescent="0.25">
      <c r="A91" s="16"/>
      <c r="B91" s="3" t="s">
        <v>141</v>
      </c>
      <c r="C91" s="3" t="s">
        <v>141</v>
      </c>
      <c r="D91" s="1" t="s">
        <v>6</v>
      </c>
      <c r="E91" s="107">
        <v>93.773930076132743</v>
      </c>
      <c r="F91" s="108">
        <v>130.32518109246803</v>
      </c>
      <c r="G91" s="109">
        <v>155.06980375489687</v>
      </c>
      <c r="H91" s="114"/>
      <c r="I91" s="113">
        <v>14.318359949890835</v>
      </c>
      <c r="J91" s="114">
        <v>20.084703353835202</v>
      </c>
      <c r="K91" s="109">
        <v>23.62947242703288</v>
      </c>
      <c r="L91" s="114"/>
      <c r="M91" s="113">
        <v>20.853858660265782</v>
      </c>
      <c r="N91" s="114">
        <v>21.327809993453641</v>
      </c>
      <c r="O91" s="109">
        <v>23.426737326142728</v>
      </c>
      <c r="P91" s="119"/>
      <c r="Q91" s="120"/>
      <c r="R91" s="120"/>
      <c r="S91" s="120"/>
      <c r="T91" s="120"/>
      <c r="U91" s="120"/>
      <c r="V91" s="121">
        <v>0.22</v>
      </c>
      <c r="W91" s="119"/>
      <c r="X91" s="113">
        <f t="shared" si="12"/>
        <v>157.314301397273</v>
      </c>
      <c r="Y91" s="113">
        <f t="shared" si="13"/>
        <v>209.51998721650338</v>
      </c>
      <c r="Z91" s="113">
        <f t="shared" si="14"/>
        <v>246.59373647984842</v>
      </c>
      <c r="AA91" s="22"/>
      <c r="AB91" s="22"/>
      <c r="AC91" s="22"/>
      <c r="AD91" s="22"/>
      <c r="AE91" s="22"/>
      <c r="AF91" s="22"/>
      <c r="AG91" s="22"/>
      <c r="AH91" s="22"/>
      <c r="AI91" s="22"/>
      <c r="AJ91" s="22"/>
      <c r="AK91" s="22"/>
      <c r="AL91" s="22"/>
      <c r="AM91" s="22"/>
      <c r="AN91" s="22"/>
      <c r="AO91" s="22"/>
      <c r="AP91" s="22"/>
      <c r="AQ91" s="22"/>
      <c r="AR91" s="22"/>
    </row>
    <row r="92" spans="1:44" hidden="1" x14ac:dyDescent="0.25">
      <c r="A92" s="16"/>
      <c r="B92" s="3" t="s">
        <v>142</v>
      </c>
      <c r="C92" s="3" t="s">
        <v>143</v>
      </c>
      <c r="D92" s="1" t="s">
        <v>6</v>
      </c>
      <c r="E92" s="107">
        <v>114.6924510807617</v>
      </c>
      <c r="F92" s="108">
        <v>156.27560186689703</v>
      </c>
      <c r="G92" s="109">
        <v>219.76824816414737</v>
      </c>
      <c r="H92" s="114"/>
      <c r="I92" s="113">
        <v>17.512413063804878</v>
      </c>
      <c r="J92" s="114">
        <v>24.565077468878052</v>
      </c>
      <c r="K92" s="109">
        <v>28.900592181658538</v>
      </c>
      <c r="L92" s="114"/>
      <c r="M92" s="113">
        <v>25.262898799349596</v>
      </c>
      <c r="N92" s="114">
        <v>25.837055590243903</v>
      </c>
      <c r="O92" s="109">
        <v>28.3797499499187</v>
      </c>
      <c r="P92" s="119"/>
      <c r="Q92" s="120">
        <v>0.05</v>
      </c>
      <c r="R92" s="120">
        <v>0.02</v>
      </c>
      <c r="S92" s="120">
        <v>0.04</v>
      </c>
      <c r="T92" s="120">
        <v>0.03</v>
      </c>
      <c r="U92" s="120">
        <v>0.02</v>
      </c>
      <c r="V92" s="121">
        <f t="shared" ref="V92:V95" si="15">SUBTOTAL(9,Q92:U92)</f>
        <v>0</v>
      </c>
      <c r="W92" s="119"/>
      <c r="X92" s="113">
        <f t="shared" si="12"/>
        <v>157.46776294391617</v>
      </c>
      <c r="Y92" s="113">
        <f t="shared" si="13"/>
        <v>206.67773492601899</v>
      </c>
      <c r="Z92" s="113">
        <f t="shared" si="14"/>
        <v>277.04859029572458</v>
      </c>
      <c r="AA92" s="22"/>
      <c r="AB92" s="22"/>
      <c r="AC92" s="22"/>
      <c r="AD92" s="22"/>
      <c r="AE92" s="22"/>
      <c r="AF92" s="22"/>
      <c r="AG92" s="22"/>
      <c r="AH92" s="22"/>
      <c r="AI92" s="22"/>
      <c r="AJ92" s="22"/>
      <c r="AK92" s="22"/>
      <c r="AL92" s="22"/>
      <c r="AM92" s="22"/>
      <c r="AN92" s="22"/>
      <c r="AO92" s="22"/>
      <c r="AP92" s="22"/>
      <c r="AQ92" s="22"/>
      <c r="AR92" s="22"/>
    </row>
    <row r="93" spans="1:44" hidden="1" x14ac:dyDescent="0.25">
      <c r="A93" s="16"/>
      <c r="B93" s="3" t="s">
        <v>144</v>
      </c>
      <c r="C93" s="3" t="s">
        <v>145</v>
      </c>
      <c r="D93" s="1" t="s">
        <v>6</v>
      </c>
      <c r="E93" s="107">
        <v>69.868779566117226</v>
      </c>
      <c r="F93" s="108">
        <v>99.046130996378139</v>
      </c>
      <c r="G93" s="109">
        <v>129.70527108433734</v>
      </c>
      <c r="H93" s="114"/>
      <c r="I93" s="113">
        <v>10.668277785468083</v>
      </c>
      <c r="J93" s="114">
        <v>14.964646465607952</v>
      </c>
      <c r="K93" s="109">
        <v>17.605771656660121</v>
      </c>
      <c r="L93" s="114"/>
      <c r="M93" s="113">
        <v>15.611715411127317</v>
      </c>
      <c r="N93" s="114">
        <v>15.966527125016574</v>
      </c>
      <c r="O93" s="109">
        <v>17.537836143668997</v>
      </c>
      <c r="P93" s="119"/>
      <c r="Q93" s="120">
        <v>0.04</v>
      </c>
      <c r="R93" s="120">
        <v>0.03</v>
      </c>
      <c r="S93" s="120">
        <v>0.06</v>
      </c>
      <c r="T93" s="120">
        <v>2.5000000000000001E-2</v>
      </c>
      <c r="U93" s="120">
        <v>0.02</v>
      </c>
      <c r="V93" s="121">
        <f t="shared" si="15"/>
        <v>0</v>
      </c>
      <c r="W93" s="119"/>
      <c r="X93" s="113">
        <f t="shared" si="12"/>
        <v>96.148772762712625</v>
      </c>
      <c r="Y93" s="113">
        <f t="shared" si="13"/>
        <v>129.97730458700266</v>
      </c>
      <c r="Z93" s="113">
        <f t="shared" si="14"/>
        <v>164.84887888466648</v>
      </c>
      <c r="AA93" s="22"/>
      <c r="AB93" s="22"/>
      <c r="AC93" s="22"/>
      <c r="AD93" s="22"/>
      <c r="AE93" s="22"/>
      <c r="AF93" s="22"/>
      <c r="AG93" s="22"/>
      <c r="AH93" s="22"/>
      <c r="AI93" s="22"/>
      <c r="AJ93" s="22"/>
      <c r="AK93" s="22"/>
      <c r="AL93" s="22"/>
      <c r="AM93" s="22"/>
      <c r="AN93" s="22"/>
      <c r="AO93" s="22"/>
      <c r="AP93" s="22"/>
      <c r="AQ93" s="22"/>
      <c r="AR93" s="22"/>
    </row>
    <row r="94" spans="1:44" hidden="1" x14ac:dyDescent="0.25">
      <c r="A94" s="16"/>
      <c r="B94" s="3" t="s">
        <v>146</v>
      </c>
      <c r="C94" s="3" t="s">
        <v>147</v>
      </c>
      <c r="D94" s="1" t="s">
        <v>6</v>
      </c>
      <c r="E94" s="107">
        <v>89.496096071402164</v>
      </c>
      <c r="F94" s="108">
        <v>130.39105286791334</v>
      </c>
      <c r="G94" s="109">
        <v>185.13892538251162</v>
      </c>
      <c r="H94" s="114"/>
      <c r="I94" s="113">
        <v>13.665176628728048</v>
      </c>
      <c r="J94" s="114">
        <v>19.168467605667168</v>
      </c>
      <c r="K94" s="109">
        <v>22.551529329413558</v>
      </c>
      <c r="L94" s="114"/>
      <c r="M94" s="113">
        <v>19.712987181664182</v>
      </c>
      <c r="N94" s="114">
        <v>20.161009617611096</v>
      </c>
      <c r="O94" s="109">
        <v>22.145108976804568</v>
      </c>
      <c r="P94" s="119"/>
      <c r="Q94" s="120">
        <v>0.05</v>
      </c>
      <c r="R94" s="120">
        <v>0.02</v>
      </c>
      <c r="S94" s="120">
        <v>0.04</v>
      </c>
      <c r="T94" s="120">
        <v>0.03</v>
      </c>
      <c r="U94" s="120">
        <v>0.02</v>
      </c>
      <c r="V94" s="121">
        <f t="shared" si="15"/>
        <v>0</v>
      </c>
      <c r="W94" s="119"/>
      <c r="X94" s="113">
        <f t="shared" si="12"/>
        <v>122.87425988179439</v>
      </c>
      <c r="Y94" s="113">
        <f t="shared" si="13"/>
        <v>169.72053009119159</v>
      </c>
      <c r="Z94" s="113">
        <f t="shared" si="14"/>
        <v>229.83556368872976</v>
      </c>
      <c r="AA94" s="22"/>
      <c r="AB94" s="22"/>
      <c r="AC94" s="22"/>
      <c r="AD94" s="22"/>
      <c r="AE94" s="22"/>
      <c r="AF94" s="22"/>
      <c r="AG94" s="22"/>
      <c r="AH94" s="22"/>
      <c r="AI94" s="22"/>
      <c r="AJ94" s="22"/>
      <c r="AK94" s="22"/>
      <c r="AL94" s="22"/>
      <c r="AM94" s="22"/>
      <c r="AN94" s="22"/>
      <c r="AO94" s="22"/>
      <c r="AP94" s="22"/>
      <c r="AQ94" s="22"/>
      <c r="AR94" s="22"/>
    </row>
    <row r="95" spans="1:44" hidden="1" x14ac:dyDescent="0.25">
      <c r="A95" s="16"/>
      <c r="B95" s="3" t="s">
        <v>148</v>
      </c>
      <c r="C95" s="3" t="s">
        <v>149</v>
      </c>
      <c r="D95" s="1" t="s">
        <v>6</v>
      </c>
      <c r="E95" s="107">
        <v>116.02696931406608</v>
      </c>
      <c r="F95" s="108">
        <v>158.09396600635671</v>
      </c>
      <c r="G95" s="109">
        <v>222.32538886096532</v>
      </c>
      <c r="H95" s="114"/>
      <c r="I95" s="113">
        <v>17.716180917073171</v>
      </c>
      <c r="J95" s="114">
        <v>24.850907473170732</v>
      </c>
      <c r="K95" s="109">
        <v>29.236868604878051</v>
      </c>
      <c r="L95" s="114"/>
      <c r="M95" s="113">
        <v>25.802587317073176</v>
      </c>
      <c r="N95" s="114">
        <v>26.389009756097561</v>
      </c>
      <c r="O95" s="109">
        <v>28.98602341463415</v>
      </c>
      <c r="P95" s="119"/>
      <c r="Q95" s="120">
        <v>0.04</v>
      </c>
      <c r="R95" s="120">
        <v>0.04</v>
      </c>
      <c r="S95" s="120">
        <v>0.08</v>
      </c>
      <c r="T95" s="120">
        <v>5.0000000000000001E-3</v>
      </c>
      <c r="U95" s="120">
        <v>0.02</v>
      </c>
      <c r="V95" s="121">
        <f t="shared" si="15"/>
        <v>0</v>
      </c>
      <c r="W95" s="119"/>
      <c r="X95" s="113">
        <f t="shared" si="12"/>
        <v>159.54573754821243</v>
      </c>
      <c r="Y95" s="113">
        <f t="shared" si="13"/>
        <v>209.333883235625</v>
      </c>
      <c r="Z95" s="113">
        <f t="shared" si="14"/>
        <v>280.54828088047753</v>
      </c>
      <c r="AA95" s="22"/>
      <c r="AB95" s="22"/>
      <c r="AC95" s="22"/>
      <c r="AD95" s="22"/>
      <c r="AE95" s="22"/>
      <c r="AF95" s="22"/>
      <c r="AG95" s="22"/>
      <c r="AH95" s="22"/>
      <c r="AI95" s="22"/>
      <c r="AJ95" s="22"/>
      <c r="AK95" s="22"/>
      <c r="AL95" s="22"/>
      <c r="AM95" s="22"/>
      <c r="AN95" s="22"/>
      <c r="AO95" s="22"/>
      <c r="AP95" s="22"/>
      <c r="AQ95" s="22"/>
      <c r="AR95" s="22"/>
    </row>
    <row r="96" spans="1:44" hidden="1" x14ac:dyDescent="0.25">
      <c r="A96" s="16"/>
      <c r="B96" s="3" t="s">
        <v>150</v>
      </c>
      <c r="C96" s="3" t="s">
        <v>151</v>
      </c>
      <c r="D96" s="1" t="s">
        <v>6</v>
      </c>
      <c r="E96" s="107">
        <v>93.141873013526478</v>
      </c>
      <c r="F96" s="108">
        <v>128.33688003547934</v>
      </c>
      <c r="G96" s="109">
        <v>152.34733535368466</v>
      </c>
      <c r="H96" s="114"/>
      <c r="I96" s="113">
        <v>14.221851031858717</v>
      </c>
      <c r="J96" s="114">
        <v>19.949328003832949</v>
      </c>
      <c r="K96" s="109">
        <v>23.470204548198751</v>
      </c>
      <c r="L96" s="114"/>
      <c r="M96" s="113">
        <v>21.206472819608468</v>
      </c>
      <c r="N96" s="114">
        <v>21.688438110963208</v>
      </c>
      <c r="O96" s="109">
        <v>23.8228558298199</v>
      </c>
      <c r="P96" s="119"/>
      <c r="Q96" s="120"/>
      <c r="R96" s="120"/>
      <c r="S96" s="120"/>
      <c r="T96" s="120"/>
      <c r="U96" s="120"/>
      <c r="V96" s="121">
        <v>0.14000000000000001</v>
      </c>
      <c r="W96" s="119"/>
      <c r="X96" s="113">
        <f t="shared" si="12"/>
        <v>146.5700244260928</v>
      </c>
      <c r="Y96" s="113">
        <f t="shared" si="13"/>
        <v>193.77109661131411</v>
      </c>
      <c r="Z96" s="113">
        <f t="shared" si="14"/>
        <v>227.59005113414179</v>
      </c>
      <c r="AA96" s="22"/>
      <c r="AB96" s="22"/>
      <c r="AC96" s="22"/>
      <c r="AD96" s="22"/>
      <c r="AE96" s="22"/>
      <c r="AF96" s="22"/>
      <c r="AG96" s="22"/>
      <c r="AH96" s="22"/>
      <c r="AI96" s="22"/>
      <c r="AJ96" s="22"/>
      <c r="AK96" s="22"/>
      <c r="AL96" s="22"/>
      <c r="AM96" s="22"/>
      <c r="AN96" s="22"/>
      <c r="AO96" s="22"/>
      <c r="AP96" s="22"/>
      <c r="AQ96" s="22"/>
      <c r="AR96" s="22"/>
    </row>
    <row r="97" spans="1:44" hidden="1" x14ac:dyDescent="0.25">
      <c r="A97" s="16"/>
      <c r="B97" s="3" t="s">
        <v>152</v>
      </c>
      <c r="C97" s="3" t="s">
        <v>153</v>
      </c>
      <c r="D97" s="1" t="s">
        <v>6</v>
      </c>
      <c r="E97" s="107">
        <v>73.505463264099333</v>
      </c>
      <c r="F97" s="108">
        <v>126.47446965777219</v>
      </c>
      <c r="G97" s="109">
        <v>157.50306378889789</v>
      </c>
      <c r="H97" s="114"/>
      <c r="I97" s="113">
        <v>11.223563739350281</v>
      </c>
      <c r="J97" s="114">
        <v>15.743559253057496</v>
      </c>
      <c r="K97" s="109">
        <v>18.522155528995867</v>
      </c>
      <c r="L97" s="114"/>
      <c r="M97" s="113">
        <v>16.424308264269346</v>
      </c>
      <c r="N97" s="114">
        <v>16.797587997548195</v>
      </c>
      <c r="O97" s="109">
        <v>18.45068395921167</v>
      </c>
      <c r="P97" s="119"/>
      <c r="Q97" s="120">
        <v>0.04</v>
      </c>
      <c r="R97" s="120">
        <v>0.03</v>
      </c>
      <c r="S97" s="120">
        <v>0.06</v>
      </c>
      <c r="T97" s="120">
        <v>0.04</v>
      </c>
      <c r="U97" s="120">
        <v>0.02</v>
      </c>
      <c r="V97" s="121">
        <f t="shared" ref="V97:V104" si="16">SUBTOTAL(9,Q97:U97)</f>
        <v>0</v>
      </c>
      <c r="W97" s="119"/>
      <c r="X97" s="113">
        <f t="shared" si="12"/>
        <v>101.15333526771896</v>
      </c>
      <c r="Y97" s="113">
        <f t="shared" si="13"/>
        <v>159.01561690837787</v>
      </c>
      <c r="Z97" s="113">
        <f t="shared" si="14"/>
        <v>194.4759032771054</v>
      </c>
      <c r="AA97" s="22"/>
      <c r="AB97" s="22"/>
      <c r="AC97" s="22"/>
      <c r="AD97" s="22"/>
      <c r="AE97" s="22"/>
      <c r="AF97" s="22"/>
      <c r="AG97" s="22"/>
      <c r="AH97" s="22"/>
      <c r="AI97" s="22"/>
      <c r="AJ97" s="22"/>
      <c r="AK97" s="22"/>
      <c r="AL97" s="22"/>
      <c r="AM97" s="22"/>
      <c r="AN97" s="22"/>
      <c r="AO97" s="22"/>
      <c r="AP97" s="22"/>
      <c r="AQ97" s="22"/>
      <c r="AR97" s="22"/>
    </row>
    <row r="98" spans="1:44" hidden="1" x14ac:dyDescent="0.25">
      <c r="A98" s="16"/>
      <c r="B98" s="3" t="s">
        <v>154</v>
      </c>
      <c r="C98" s="3" t="s">
        <v>155</v>
      </c>
      <c r="D98" s="1" t="s">
        <v>6</v>
      </c>
      <c r="E98" s="107">
        <v>76.70103026138294</v>
      </c>
      <c r="F98" s="108">
        <v>118.04733077001255</v>
      </c>
      <c r="G98" s="109">
        <v>159.42147196023353</v>
      </c>
      <c r="H98" s="114"/>
      <c r="I98" s="113">
        <v>11.711495496864877</v>
      </c>
      <c r="J98" s="114">
        <v>16.427992710582835</v>
      </c>
      <c r="K98" s="109">
        <v>19.327385321431194</v>
      </c>
      <c r="L98" s="114"/>
      <c r="M98" s="113">
        <v>16.894663485173286</v>
      </c>
      <c r="N98" s="114">
        <v>17.278633109836314</v>
      </c>
      <c r="O98" s="109">
        <v>18.979070019058302</v>
      </c>
      <c r="P98" s="119"/>
      <c r="Q98" s="120">
        <v>0.05</v>
      </c>
      <c r="R98" s="120">
        <v>0.02</v>
      </c>
      <c r="S98" s="120">
        <v>0.04</v>
      </c>
      <c r="T98" s="120">
        <v>0.03</v>
      </c>
      <c r="U98" s="120">
        <v>0.02</v>
      </c>
      <c r="V98" s="121">
        <f t="shared" si="16"/>
        <v>0</v>
      </c>
      <c r="W98" s="119"/>
      <c r="X98" s="113">
        <f t="shared" si="12"/>
        <v>105.30718924342111</v>
      </c>
      <c r="Y98" s="113">
        <f t="shared" si="13"/>
        <v>151.7539565904317</v>
      </c>
      <c r="Z98" s="113">
        <f t="shared" si="14"/>
        <v>197.72792730072302</v>
      </c>
      <c r="AA98" s="22"/>
      <c r="AB98" s="22"/>
      <c r="AC98" s="22"/>
      <c r="AD98" s="22"/>
      <c r="AE98" s="22"/>
      <c r="AF98" s="22"/>
      <c r="AG98" s="22"/>
      <c r="AH98" s="22"/>
      <c r="AI98" s="22"/>
      <c r="AJ98" s="22"/>
      <c r="AK98" s="22"/>
      <c r="AL98" s="22"/>
      <c r="AM98" s="22"/>
      <c r="AN98" s="22"/>
      <c r="AO98" s="22"/>
      <c r="AP98" s="22"/>
      <c r="AQ98" s="22"/>
      <c r="AR98" s="22"/>
    </row>
    <row r="99" spans="1:44" hidden="1" x14ac:dyDescent="0.25">
      <c r="A99" s="16"/>
      <c r="B99" s="3" t="s">
        <v>156</v>
      </c>
      <c r="C99" s="3" t="s">
        <v>157</v>
      </c>
      <c r="D99" s="1" t="s">
        <v>6</v>
      </c>
      <c r="E99" s="107">
        <v>89.259096533372755</v>
      </c>
      <c r="F99" s="108">
        <v>123.61490790154483</v>
      </c>
      <c r="G99" s="109">
        <v>197.54251822011975</v>
      </c>
      <c r="H99" s="114"/>
      <c r="I99" s="113">
        <v>13.628989122342126</v>
      </c>
      <c r="J99" s="114">
        <v>19.117706531534385</v>
      </c>
      <c r="K99" s="109">
        <v>22.491809383320447</v>
      </c>
      <c r="L99" s="114"/>
      <c r="M99" s="113">
        <v>19.660784135270887</v>
      </c>
      <c r="N99" s="114">
        <v>20.107620138345226</v>
      </c>
      <c r="O99" s="109">
        <v>22.086465294817298</v>
      </c>
      <c r="P99" s="119"/>
      <c r="Q99" s="120">
        <v>0.05</v>
      </c>
      <c r="R99" s="120">
        <v>0.02</v>
      </c>
      <c r="S99" s="120">
        <v>0.04</v>
      </c>
      <c r="T99" s="120">
        <v>0.03</v>
      </c>
      <c r="U99" s="120">
        <v>0.02</v>
      </c>
      <c r="V99" s="121">
        <f t="shared" si="16"/>
        <v>0</v>
      </c>
      <c r="W99" s="119"/>
      <c r="X99" s="113">
        <f t="shared" si="12"/>
        <v>122.54886979098578</v>
      </c>
      <c r="Y99" s="113">
        <f t="shared" si="13"/>
        <v>162.84023457142445</v>
      </c>
      <c r="Z99" s="113">
        <f t="shared" si="14"/>
        <v>242.12079289825749</v>
      </c>
      <c r="AA99" s="22"/>
      <c r="AB99" s="22"/>
      <c r="AC99" s="22"/>
      <c r="AD99" s="22"/>
      <c r="AE99" s="22"/>
      <c r="AF99" s="22"/>
      <c r="AG99" s="22"/>
      <c r="AH99" s="22"/>
      <c r="AI99" s="22"/>
      <c r="AJ99" s="22"/>
      <c r="AK99" s="22"/>
      <c r="AL99" s="22"/>
      <c r="AM99" s="22"/>
      <c r="AN99" s="22"/>
      <c r="AO99" s="22"/>
      <c r="AP99" s="22"/>
      <c r="AQ99" s="22"/>
      <c r="AR99" s="22"/>
    </row>
    <row r="100" spans="1:44" hidden="1" x14ac:dyDescent="0.25">
      <c r="A100" s="16"/>
      <c r="B100" s="3" t="s">
        <v>158</v>
      </c>
      <c r="C100" s="3" t="s">
        <v>159</v>
      </c>
      <c r="D100" s="1" t="s">
        <v>6</v>
      </c>
      <c r="E100" s="107">
        <v>86.010651999999993</v>
      </c>
      <c r="F100" s="108">
        <v>146.28104400000001</v>
      </c>
      <c r="G100" s="109">
        <v>182.81608800000001</v>
      </c>
      <c r="H100" s="114"/>
      <c r="I100" s="113">
        <v>13.132983483372701</v>
      </c>
      <c r="J100" s="114">
        <v>18.421947648855483</v>
      </c>
      <c r="K100" s="109">
        <v>21.673255330293568</v>
      </c>
      <c r="L100" s="114"/>
      <c r="M100" s="113">
        <v>19.127426765936789</v>
      </c>
      <c r="N100" s="114">
        <v>19.562141010617172</v>
      </c>
      <c r="O100" s="109">
        <v>21.487304094201718</v>
      </c>
      <c r="P100" s="119"/>
      <c r="Q100" s="120">
        <v>4.4999999999999998E-2</v>
      </c>
      <c r="R100" s="120">
        <v>5.0000000000000001E-3</v>
      </c>
      <c r="S100" s="120">
        <v>7.0000000000000007E-2</v>
      </c>
      <c r="T100" s="120">
        <v>0.03</v>
      </c>
      <c r="U100" s="120" t="s">
        <v>250</v>
      </c>
      <c r="V100" s="121">
        <f t="shared" si="16"/>
        <v>0</v>
      </c>
      <c r="W100" s="119"/>
      <c r="X100" s="113">
        <f t="shared" si="12"/>
        <v>118.27106224930948</v>
      </c>
      <c r="Y100" s="113">
        <f t="shared" si="13"/>
        <v>184.26513265947267</v>
      </c>
      <c r="Z100" s="113">
        <f t="shared" si="14"/>
        <v>225.9766474244953</v>
      </c>
      <c r="AA100" s="22"/>
      <c r="AB100" s="22"/>
      <c r="AC100" s="22"/>
      <c r="AD100" s="22"/>
      <c r="AE100" s="22"/>
      <c r="AF100" s="22"/>
      <c r="AG100" s="22"/>
      <c r="AH100" s="22"/>
      <c r="AI100" s="22"/>
      <c r="AJ100" s="22"/>
      <c r="AK100" s="22"/>
      <c r="AL100" s="22"/>
      <c r="AM100" s="22"/>
      <c r="AN100" s="22"/>
      <c r="AO100" s="22"/>
      <c r="AP100" s="22"/>
      <c r="AQ100" s="22"/>
      <c r="AR100" s="22"/>
    </row>
    <row r="101" spans="1:44" hidden="1" x14ac:dyDescent="0.25">
      <c r="A101" s="16"/>
      <c r="B101" s="3" t="s">
        <v>160</v>
      </c>
      <c r="C101" s="3" t="s">
        <v>161</v>
      </c>
      <c r="D101" s="1" t="s">
        <v>6</v>
      </c>
      <c r="E101" s="107">
        <v>134.013070995639</v>
      </c>
      <c r="F101" s="108">
        <v>154.62361085446079</v>
      </c>
      <c r="G101" s="109">
        <v>167.32906996082491</v>
      </c>
      <c r="H101" s="114"/>
      <c r="I101" s="113">
        <v>20.462482343951777</v>
      </c>
      <c r="J101" s="114">
        <v>28.703209669239751</v>
      </c>
      <c r="K101" s="109">
        <v>33.769067409060497</v>
      </c>
      <c r="L101" s="114"/>
      <c r="M101" s="113">
        <v>32.924573478919378</v>
      </c>
      <c r="N101" s="114">
        <v>33.672859239803913</v>
      </c>
      <c r="O101" s="109">
        <v>36.98669618086398</v>
      </c>
      <c r="P101" s="119"/>
      <c r="Q101" s="122"/>
      <c r="R101" s="122"/>
      <c r="S101" s="122"/>
      <c r="T101" s="122"/>
      <c r="U101" s="122"/>
      <c r="V101" s="121">
        <v>0.192</v>
      </c>
      <c r="W101" s="119"/>
      <c r="X101" s="113">
        <f t="shared" si="12"/>
        <v>223.38095116766408</v>
      </c>
      <c r="Y101" s="113">
        <f t="shared" si="13"/>
        <v>258.66361827809726</v>
      </c>
      <c r="Z101" s="113">
        <f t="shared" si="14"/>
        <v>283.79712159249328</v>
      </c>
      <c r="AA101" s="22"/>
      <c r="AB101" s="22"/>
      <c r="AC101" s="22"/>
      <c r="AD101" s="22"/>
      <c r="AE101" s="22"/>
      <c r="AF101" s="22"/>
      <c r="AG101" s="22"/>
      <c r="AH101" s="22"/>
      <c r="AI101" s="22"/>
      <c r="AJ101" s="22"/>
      <c r="AK101" s="22"/>
      <c r="AL101" s="22"/>
      <c r="AM101" s="22"/>
      <c r="AN101" s="22"/>
      <c r="AO101" s="22"/>
      <c r="AP101" s="22"/>
      <c r="AQ101" s="22"/>
      <c r="AR101" s="22"/>
    </row>
    <row r="102" spans="1:44" hidden="1" x14ac:dyDescent="0.25">
      <c r="A102" s="16"/>
      <c r="B102" s="3" t="s">
        <v>162</v>
      </c>
      <c r="C102" s="3" t="s">
        <v>163</v>
      </c>
      <c r="D102" s="1" t="s">
        <v>6</v>
      </c>
      <c r="E102" s="107">
        <v>105.70530000000001</v>
      </c>
      <c r="F102" s="108">
        <v>177.33109999999999</v>
      </c>
      <c r="G102" s="109">
        <v>222.06780000000001</v>
      </c>
      <c r="H102" s="114"/>
      <c r="I102" s="113">
        <v>16.140163185891868</v>
      </c>
      <c r="J102" s="114">
        <v>22.640189994217973</v>
      </c>
      <c r="K102" s="109">
        <v>26.635979421075444</v>
      </c>
      <c r="L102" s="114"/>
      <c r="M102" s="113">
        <v>23.507209136391367</v>
      </c>
      <c r="N102" s="114">
        <v>24.041463889491173</v>
      </c>
      <c r="O102" s="109">
        <v>26.407449224647447</v>
      </c>
      <c r="P102" s="119"/>
      <c r="Q102" s="120">
        <v>4.4999999999999998E-2</v>
      </c>
      <c r="R102" s="120">
        <v>5.0000000000000001E-3</v>
      </c>
      <c r="S102" s="120">
        <v>7.0000000000000007E-2</v>
      </c>
      <c r="T102" s="120">
        <v>0.03</v>
      </c>
      <c r="U102" s="120" t="s">
        <v>250</v>
      </c>
      <c r="V102" s="121">
        <f t="shared" si="16"/>
        <v>0</v>
      </c>
      <c r="W102" s="119"/>
      <c r="X102" s="113">
        <f t="shared" si="12"/>
        <v>145.35267232228324</v>
      </c>
      <c r="Y102" s="113">
        <f t="shared" si="13"/>
        <v>224.01275388370914</v>
      </c>
      <c r="Z102" s="113">
        <f t="shared" si="14"/>
        <v>275.11122864572286</v>
      </c>
      <c r="AA102" s="22"/>
      <c r="AB102" s="22"/>
      <c r="AC102" s="22"/>
      <c r="AD102" s="22"/>
      <c r="AE102" s="22"/>
      <c r="AF102" s="22"/>
      <c r="AG102" s="22"/>
      <c r="AH102" s="22"/>
      <c r="AI102" s="22"/>
      <c r="AJ102" s="22"/>
      <c r="AK102" s="22"/>
      <c r="AL102" s="22"/>
      <c r="AM102" s="22"/>
      <c r="AN102" s="22"/>
      <c r="AO102" s="22"/>
      <c r="AP102" s="22"/>
      <c r="AQ102" s="22"/>
      <c r="AR102" s="22"/>
    </row>
    <row r="103" spans="1:44" hidden="1" x14ac:dyDescent="0.25">
      <c r="A103" s="16"/>
      <c r="B103" s="3" t="s">
        <v>164</v>
      </c>
      <c r="C103" s="3" t="s">
        <v>165</v>
      </c>
      <c r="D103" s="1" t="s">
        <v>6</v>
      </c>
      <c r="E103" s="107">
        <v>71.320130275704031</v>
      </c>
      <c r="F103" s="108">
        <v>101.11821383694284</v>
      </c>
      <c r="G103" s="109">
        <v>126.02343692253677</v>
      </c>
      <c r="H103" s="114"/>
      <c r="I103" s="113">
        <v>10.88988481267193</v>
      </c>
      <c r="J103" s="114">
        <v>15.275499902600121</v>
      </c>
      <c r="K103" s="109">
        <v>17.971487922857907</v>
      </c>
      <c r="L103" s="114"/>
      <c r="M103" s="113">
        <v>15.709431758876786</v>
      </c>
      <c r="N103" s="114">
        <v>16.066464298851258</v>
      </c>
      <c r="O103" s="109">
        <v>17.647608404452495</v>
      </c>
      <c r="P103" s="119"/>
      <c r="Q103" s="120">
        <v>0.05</v>
      </c>
      <c r="R103" s="120">
        <v>0.02</v>
      </c>
      <c r="S103" s="120">
        <v>0.04</v>
      </c>
      <c r="T103" s="120">
        <v>0.03</v>
      </c>
      <c r="U103" s="120">
        <v>0.02</v>
      </c>
      <c r="V103" s="121">
        <f t="shared" si="16"/>
        <v>0</v>
      </c>
      <c r="W103" s="119"/>
      <c r="X103" s="113">
        <f t="shared" si="12"/>
        <v>97.919446847252757</v>
      </c>
      <c r="Y103" s="113">
        <f t="shared" si="13"/>
        <v>132.46017803839422</v>
      </c>
      <c r="Z103" s="113">
        <f t="shared" si="14"/>
        <v>161.64253324984716</v>
      </c>
      <c r="AA103" s="22"/>
      <c r="AB103" s="22"/>
      <c r="AC103" s="22"/>
      <c r="AD103" s="22"/>
      <c r="AE103" s="22"/>
      <c r="AF103" s="22"/>
      <c r="AG103" s="22"/>
      <c r="AH103" s="22"/>
      <c r="AI103" s="22"/>
      <c r="AJ103" s="22"/>
      <c r="AK103" s="22"/>
      <c r="AL103" s="22"/>
      <c r="AM103" s="22"/>
      <c r="AN103" s="22"/>
      <c r="AO103" s="22"/>
      <c r="AP103" s="22"/>
      <c r="AQ103" s="22"/>
      <c r="AR103" s="22"/>
    </row>
    <row r="104" spans="1:44" hidden="1" x14ac:dyDescent="0.25">
      <c r="A104" s="16"/>
      <c r="B104" s="3" t="s">
        <v>166</v>
      </c>
      <c r="C104" s="3" t="s">
        <v>167</v>
      </c>
      <c r="D104" s="1" t="s">
        <v>6</v>
      </c>
      <c r="E104" s="107">
        <v>63.7364868985143</v>
      </c>
      <c r="F104" s="108">
        <v>108.03572464705447</v>
      </c>
      <c r="G104" s="109">
        <v>154.26845018109245</v>
      </c>
      <c r="H104" s="114"/>
      <c r="I104" s="113">
        <v>9.7319368039017888</v>
      </c>
      <c r="J104" s="114">
        <v>13.651218746329166</v>
      </c>
      <c r="K104" s="109">
        <v>16.060535785816523</v>
      </c>
      <c r="L104" s="114"/>
      <c r="M104" s="113">
        <v>15.658895289748303</v>
      </c>
      <c r="N104" s="114">
        <v>16.014779273606219</v>
      </c>
      <c r="O104" s="109">
        <v>17.590836916405564</v>
      </c>
      <c r="P104" s="119"/>
      <c r="Q104" s="120">
        <v>0.05</v>
      </c>
      <c r="R104" s="120">
        <v>0.03</v>
      </c>
      <c r="S104" s="120">
        <v>0.03</v>
      </c>
      <c r="T104" s="120">
        <v>0.02</v>
      </c>
      <c r="U104" s="120">
        <v>0.05</v>
      </c>
      <c r="V104" s="121">
        <f t="shared" si="16"/>
        <v>0</v>
      </c>
      <c r="W104" s="119"/>
      <c r="X104" s="113">
        <f t="shared" si="12"/>
        <v>89.12731899216439</v>
      </c>
      <c r="Y104" s="113">
        <f t="shared" si="13"/>
        <v>137.70172266698984</v>
      </c>
      <c r="Z104" s="113">
        <f t="shared" si="14"/>
        <v>187.91982288331451</v>
      </c>
      <c r="AA104" s="22"/>
      <c r="AB104" s="22"/>
      <c r="AC104" s="22"/>
      <c r="AD104" s="22"/>
      <c r="AE104" s="22"/>
      <c r="AF104" s="22"/>
      <c r="AG104" s="22"/>
      <c r="AH104" s="22"/>
      <c r="AI104" s="22"/>
      <c r="AJ104" s="22"/>
      <c r="AK104" s="22"/>
      <c r="AL104" s="22"/>
      <c r="AM104" s="22"/>
      <c r="AN104" s="22"/>
      <c r="AO104" s="22"/>
      <c r="AP104" s="22"/>
      <c r="AQ104" s="22"/>
      <c r="AR104" s="22"/>
    </row>
    <row r="105" spans="1:44" hidden="1" x14ac:dyDescent="0.25">
      <c r="A105" s="16"/>
      <c r="B105" s="3" t="s">
        <v>168</v>
      </c>
      <c r="C105" s="3" t="s">
        <v>169</v>
      </c>
      <c r="D105" s="1" t="s">
        <v>6</v>
      </c>
      <c r="E105" s="107">
        <v>115.90779267647275</v>
      </c>
      <c r="F105" s="108">
        <v>157.93158042131719</v>
      </c>
      <c r="G105" s="109">
        <v>222.09702822677215</v>
      </c>
      <c r="H105" s="114"/>
      <c r="I105" s="113">
        <v>17.697983812682928</v>
      </c>
      <c r="J105" s="114">
        <v>24.82538196292683</v>
      </c>
      <c r="K105" s="109">
        <v>29.206838072195126</v>
      </c>
      <c r="L105" s="114"/>
      <c r="M105" s="113">
        <v>26.389800585365855</v>
      </c>
      <c r="N105" s="114">
        <v>26.989568780487804</v>
      </c>
      <c r="O105" s="109">
        <v>29.645685073170732</v>
      </c>
      <c r="P105" s="119"/>
      <c r="Q105" s="120"/>
      <c r="R105" s="120"/>
      <c r="S105" s="120"/>
      <c r="T105" s="120"/>
      <c r="U105" s="120"/>
      <c r="V105" s="121">
        <v>0.16</v>
      </c>
      <c r="W105" s="119"/>
      <c r="X105" s="113">
        <f t="shared" si="12"/>
        <v>185.59486940644499</v>
      </c>
      <c r="Y105" s="113">
        <f t="shared" si="13"/>
        <v>243.30597615108891</v>
      </c>
      <c r="Z105" s="113">
        <f t="shared" si="14"/>
        <v>325.90147959168007</v>
      </c>
      <c r="AA105" s="22"/>
      <c r="AB105" s="22"/>
      <c r="AC105" s="22"/>
      <c r="AD105" s="22"/>
      <c r="AE105" s="22"/>
      <c r="AF105" s="22"/>
      <c r="AG105" s="22"/>
      <c r="AH105" s="22"/>
      <c r="AI105" s="22"/>
      <c r="AJ105" s="22"/>
      <c r="AK105" s="22"/>
      <c r="AL105" s="22"/>
      <c r="AM105" s="22"/>
      <c r="AN105" s="22"/>
      <c r="AO105" s="22"/>
      <c r="AP105" s="22"/>
      <c r="AQ105" s="22"/>
      <c r="AR105" s="22"/>
    </row>
    <row r="106" spans="1:44" hidden="1" x14ac:dyDescent="0.25">
      <c r="A106" s="16"/>
      <c r="B106" s="3" t="s">
        <v>170</v>
      </c>
      <c r="C106" s="3" t="s">
        <v>171</v>
      </c>
      <c r="D106" s="1" t="s">
        <v>6</v>
      </c>
      <c r="E106" s="107">
        <v>120.63383842116934</v>
      </c>
      <c r="F106" s="108">
        <v>165.55108701677878</v>
      </c>
      <c r="G106" s="109">
        <v>203.90414480005916</v>
      </c>
      <c r="H106" s="114"/>
      <c r="I106" s="113">
        <v>18.419604673163835</v>
      </c>
      <c r="J106" s="114">
        <v>25.837616671889357</v>
      </c>
      <c r="K106" s="109">
        <v>30.397723081733904</v>
      </c>
      <c r="L106" s="114"/>
      <c r="M106" s="113">
        <v>26.31609105470212</v>
      </c>
      <c r="N106" s="114">
        <v>26.914184033218074</v>
      </c>
      <c r="O106" s="109">
        <v>29.562881509503029</v>
      </c>
      <c r="P106" s="119"/>
      <c r="Q106" s="120">
        <v>0.14000000000000001</v>
      </c>
      <c r="R106" s="120">
        <v>0.08</v>
      </c>
      <c r="S106" s="120">
        <v>0.04</v>
      </c>
      <c r="T106" s="120">
        <v>0.02</v>
      </c>
      <c r="U106" s="120">
        <v>0.01</v>
      </c>
      <c r="V106" s="121">
        <f t="shared" ref="V106:V111" si="17">SUBTOTAL(9,Q106:U106)</f>
        <v>0</v>
      </c>
      <c r="W106" s="119"/>
      <c r="X106" s="113">
        <f t="shared" si="12"/>
        <v>165.3695341490353</v>
      </c>
      <c r="Y106" s="113">
        <f t="shared" si="13"/>
        <v>218.30288772188621</v>
      </c>
      <c r="Z106" s="113">
        <f t="shared" si="14"/>
        <v>263.86474939129607</v>
      </c>
      <c r="AA106" s="22"/>
      <c r="AB106" s="22"/>
      <c r="AC106" s="22"/>
      <c r="AD106" s="22"/>
      <c r="AE106" s="22"/>
      <c r="AF106" s="22"/>
      <c r="AG106" s="22"/>
      <c r="AH106" s="22"/>
      <c r="AI106" s="22"/>
      <c r="AJ106" s="22"/>
      <c r="AK106" s="22"/>
      <c r="AL106" s="22"/>
      <c r="AM106" s="22"/>
      <c r="AN106" s="22"/>
      <c r="AO106" s="22"/>
      <c r="AP106" s="22"/>
      <c r="AQ106" s="22"/>
      <c r="AR106" s="22"/>
    </row>
    <row r="107" spans="1:44" hidden="1" x14ac:dyDescent="0.25">
      <c r="A107" s="16"/>
      <c r="B107" s="3" t="s">
        <v>170</v>
      </c>
      <c r="C107" s="3" t="s">
        <v>172</v>
      </c>
      <c r="D107" s="1" t="s">
        <v>6</v>
      </c>
      <c r="E107" s="107">
        <v>186.22413701077318</v>
      </c>
      <c r="F107" s="108">
        <v>253.74197533723856</v>
      </c>
      <c r="G107" s="109">
        <v>356.83388026923654</v>
      </c>
      <c r="H107" s="114"/>
      <c r="I107" s="113">
        <v>28.434600351219515</v>
      </c>
      <c r="J107" s="114">
        <v>39.885888819512203</v>
      </c>
      <c r="K107" s="109">
        <v>46.925388614634151</v>
      </c>
      <c r="L107" s="114"/>
      <c r="M107" s="113">
        <v>40.624516390243905</v>
      </c>
      <c r="N107" s="114">
        <v>41.547800853658543</v>
      </c>
      <c r="O107" s="109">
        <v>45.636632048780498</v>
      </c>
      <c r="P107" s="119"/>
      <c r="Q107" s="120">
        <v>0.14000000000000001</v>
      </c>
      <c r="R107" s="120">
        <v>0.08</v>
      </c>
      <c r="S107" s="120">
        <v>0.04</v>
      </c>
      <c r="T107" s="120">
        <v>0.02</v>
      </c>
      <c r="U107" s="120">
        <v>0.01</v>
      </c>
      <c r="V107" s="121">
        <f t="shared" si="17"/>
        <v>0</v>
      </c>
      <c r="W107" s="119"/>
      <c r="X107" s="113">
        <f t="shared" si="12"/>
        <v>255.28325375223659</v>
      </c>
      <c r="Y107" s="113">
        <f t="shared" si="13"/>
        <v>335.17566501040932</v>
      </c>
      <c r="Z107" s="113">
        <f t="shared" si="14"/>
        <v>449.39590093265116</v>
      </c>
      <c r="AA107" s="22"/>
      <c r="AB107" s="22"/>
      <c r="AC107" s="22"/>
      <c r="AD107" s="22"/>
      <c r="AE107" s="22"/>
      <c r="AF107" s="22"/>
      <c r="AG107" s="22"/>
      <c r="AH107" s="22"/>
      <c r="AI107" s="22"/>
      <c r="AJ107" s="22"/>
      <c r="AK107" s="22"/>
      <c r="AL107" s="22"/>
      <c r="AM107" s="22"/>
      <c r="AN107" s="22"/>
      <c r="AO107" s="22"/>
      <c r="AP107" s="22"/>
      <c r="AQ107" s="22"/>
      <c r="AR107" s="22"/>
    </row>
    <row r="108" spans="1:44" hidden="1" x14ac:dyDescent="0.25">
      <c r="A108" s="16"/>
      <c r="B108" s="3" t="s">
        <v>173</v>
      </c>
      <c r="C108" s="3" t="s">
        <v>174</v>
      </c>
      <c r="D108" s="1" t="s">
        <v>6</v>
      </c>
      <c r="E108" s="107">
        <v>101.41187005206409</v>
      </c>
      <c r="F108" s="108">
        <v>138.17998376958752</v>
      </c>
      <c r="G108" s="109">
        <v>194.32062715878851</v>
      </c>
      <c r="H108" s="114"/>
      <c r="I108" s="113">
        <v>15.484598517073172</v>
      </c>
      <c r="J108" s="114">
        <v>21.720613873170731</v>
      </c>
      <c r="K108" s="109">
        <v>25.554106404878052</v>
      </c>
      <c r="L108" s="114"/>
      <c r="M108" s="113">
        <v>32.217739024390248</v>
      </c>
      <c r="N108" s="114">
        <v>32.949960365853656</v>
      </c>
      <c r="O108" s="109">
        <v>36.192654878048785</v>
      </c>
      <c r="P108" s="119"/>
      <c r="Q108" s="120">
        <v>0.05</v>
      </c>
      <c r="R108" s="120">
        <v>0.01</v>
      </c>
      <c r="S108" s="120">
        <v>0.03</v>
      </c>
      <c r="T108" s="120">
        <v>0.01</v>
      </c>
      <c r="U108" s="120">
        <v>0.01</v>
      </c>
      <c r="V108" s="121">
        <f t="shared" si="17"/>
        <v>0</v>
      </c>
      <c r="W108" s="119"/>
      <c r="X108" s="113">
        <f t="shared" si="12"/>
        <v>149.11420759352751</v>
      </c>
      <c r="Y108" s="113">
        <f t="shared" si="13"/>
        <v>192.8505580086119</v>
      </c>
      <c r="Z108" s="113">
        <f t="shared" si="14"/>
        <v>256.06738844171537</v>
      </c>
      <c r="AA108" s="22"/>
      <c r="AB108" s="22"/>
      <c r="AC108" s="22"/>
      <c r="AD108" s="22"/>
      <c r="AE108" s="22"/>
      <c r="AF108" s="22"/>
      <c r="AG108" s="22"/>
      <c r="AH108" s="22"/>
      <c r="AI108" s="22"/>
      <c r="AJ108" s="22"/>
      <c r="AK108" s="22"/>
      <c r="AL108" s="22"/>
      <c r="AM108" s="22"/>
      <c r="AN108" s="22"/>
      <c r="AO108" s="22"/>
      <c r="AP108" s="22"/>
      <c r="AQ108" s="22"/>
      <c r="AR108" s="22"/>
    </row>
    <row r="109" spans="1:44" hidden="1" x14ac:dyDescent="0.25">
      <c r="A109" s="16"/>
      <c r="B109" s="3" t="s">
        <v>175</v>
      </c>
      <c r="C109" s="3" t="s">
        <v>176</v>
      </c>
      <c r="D109" s="1" t="s">
        <v>6</v>
      </c>
      <c r="E109" s="107">
        <v>139.3408990432589</v>
      </c>
      <c r="F109" s="108">
        <v>189.86064607971764</v>
      </c>
      <c r="G109" s="109">
        <v>266.99843792501292</v>
      </c>
      <c r="H109" s="114"/>
      <c r="I109" s="113">
        <v>12.378474271393646</v>
      </c>
      <c r="J109" s="114">
        <v>17.021535683081225</v>
      </c>
      <c r="K109" s="109">
        <v>17.901178177092348</v>
      </c>
      <c r="L109" s="114"/>
      <c r="M109" s="113">
        <v>29.954333414634139</v>
      </c>
      <c r="N109" s="114">
        <v>30.635113719512187</v>
      </c>
      <c r="O109" s="109">
        <v>33.649997926829258</v>
      </c>
      <c r="P109" s="119"/>
      <c r="Q109" s="120" t="s">
        <v>252</v>
      </c>
      <c r="R109" s="120" t="s">
        <v>252</v>
      </c>
      <c r="S109" s="120" t="s">
        <v>252</v>
      </c>
      <c r="T109" s="120" t="s">
        <v>252</v>
      </c>
      <c r="U109" s="120">
        <v>0.12</v>
      </c>
      <c r="V109" s="121">
        <f t="shared" si="17"/>
        <v>0</v>
      </c>
      <c r="W109" s="119"/>
      <c r="X109" s="113">
        <f t="shared" si="12"/>
        <v>181.67370672928669</v>
      </c>
      <c r="Y109" s="113">
        <f t="shared" si="13"/>
        <v>237.51729548231106</v>
      </c>
      <c r="Z109" s="113">
        <f t="shared" si="14"/>
        <v>318.54961402893451</v>
      </c>
      <c r="AA109" s="22"/>
      <c r="AB109" s="22"/>
      <c r="AC109" s="22"/>
      <c r="AD109" s="22"/>
      <c r="AE109" s="22"/>
      <c r="AF109" s="22"/>
      <c r="AG109" s="22"/>
      <c r="AH109" s="22"/>
      <c r="AI109" s="22"/>
      <c r="AJ109" s="22"/>
      <c r="AK109" s="22"/>
      <c r="AL109" s="22"/>
      <c r="AM109" s="22"/>
      <c r="AN109" s="22"/>
      <c r="AO109" s="22"/>
      <c r="AP109" s="22"/>
      <c r="AQ109" s="22"/>
      <c r="AR109" s="22"/>
    </row>
    <row r="110" spans="1:44" hidden="1" x14ac:dyDescent="0.25">
      <c r="A110" s="16"/>
      <c r="B110" s="3" t="s">
        <v>175</v>
      </c>
      <c r="C110" s="3" t="s">
        <v>177</v>
      </c>
      <c r="D110" s="1" t="s">
        <v>6</v>
      </c>
      <c r="E110" s="107">
        <v>139.3408990432589</v>
      </c>
      <c r="F110" s="108">
        <v>189.86064607971764</v>
      </c>
      <c r="G110" s="109">
        <v>266.99843792501292</v>
      </c>
      <c r="H110" s="114"/>
      <c r="I110" s="113">
        <v>12.378474271393646</v>
      </c>
      <c r="J110" s="114">
        <v>17.021535683081225</v>
      </c>
      <c r="K110" s="109">
        <v>17.901178177092348</v>
      </c>
      <c r="L110" s="114"/>
      <c r="M110" s="113">
        <v>29.954333414634139</v>
      </c>
      <c r="N110" s="114">
        <v>30.635113719512187</v>
      </c>
      <c r="O110" s="109">
        <v>33.649997926829258</v>
      </c>
      <c r="P110" s="119"/>
      <c r="Q110" s="120" t="s">
        <v>252</v>
      </c>
      <c r="R110" s="120" t="s">
        <v>252</v>
      </c>
      <c r="S110" s="120" t="s">
        <v>252</v>
      </c>
      <c r="T110" s="120" t="s">
        <v>252</v>
      </c>
      <c r="U110" s="120">
        <v>0.12</v>
      </c>
      <c r="V110" s="121">
        <f t="shared" si="17"/>
        <v>0</v>
      </c>
      <c r="W110" s="119"/>
      <c r="X110" s="113">
        <f t="shared" si="12"/>
        <v>181.67370672928669</v>
      </c>
      <c r="Y110" s="113">
        <f t="shared" si="13"/>
        <v>237.51729548231106</v>
      </c>
      <c r="Z110" s="113">
        <f t="shared" si="14"/>
        <v>318.54961402893451</v>
      </c>
      <c r="AA110" s="22"/>
      <c r="AB110" s="22"/>
      <c r="AC110" s="22"/>
      <c r="AD110" s="22"/>
      <c r="AE110" s="22"/>
      <c r="AF110" s="22"/>
      <c r="AG110" s="22"/>
      <c r="AH110" s="22"/>
      <c r="AI110" s="22"/>
      <c r="AJ110" s="22"/>
      <c r="AK110" s="22"/>
      <c r="AL110" s="22"/>
      <c r="AM110" s="22"/>
      <c r="AN110" s="22"/>
      <c r="AO110" s="22"/>
      <c r="AP110" s="22"/>
      <c r="AQ110" s="22"/>
      <c r="AR110" s="22"/>
    </row>
    <row r="111" spans="1:44" hidden="1" x14ac:dyDescent="0.25">
      <c r="A111" s="16"/>
      <c r="B111" s="3" t="s">
        <v>178</v>
      </c>
      <c r="C111" s="3" t="s">
        <v>179</v>
      </c>
      <c r="D111" s="1" t="s">
        <v>6</v>
      </c>
      <c r="E111" s="107">
        <v>87.864423077278431</v>
      </c>
      <c r="F111" s="108">
        <v>121.68342496350432</v>
      </c>
      <c r="G111" s="109">
        <v>194.4559163708515</v>
      </c>
      <c r="H111" s="114"/>
      <c r="I111" s="113">
        <v>13.416036156195737</v>
      </c>
      <c r="J111" s="114">
        <v>18.818992351395188</v>
      </c>
      <c r="K111" s="109">
        <v>22.140374843371664</v>
      </c>
      <c r="L111" s="114"/>
      <c r="M111" s="113">
        <v>19.353584367130615</v>
      </c>
      <c r="N111" s="114">
        <v>19.793438557292671</v>
      </c>
      <c r="O111" s="109">
        <v>21.741364256581797</v>
      </c>
      <c r="P111" s="119"/>
      <c r="Q111" s="120">
        <v>0.05</v>
      </c>
      <c r="R111" s="120">
        <v>0.02</v>
      </c>
      <c r="S111" s="120">
        <v>0.04</v>
      </c>
      <c r="T111" s="120">
        <v>0.03</v>
      </c>
      <c r="U111" s="120">
        <v>0.02</v>
      </c>
      <c r="V111" s="121">
        <f t="shared" si="17"/>
        <v>0</v>
      </c>
      <c r="W111" s="119"/>
      <c r="X111" s="113">
        <f t="shared" si="12"/>
        <v>120.6340436006048</v>
      </c>
      <c r="Y111" s="113">
        <f t="shared" si="13"/>
        <v>160.29585587219216</v>
      </c>
      <c r="Z111" s="113">
        <f t="shared" si="14"/>
        <v>238.33765547080495</v>
      </c>
      <c r="AA111" s="22"/>
      <c r="AB111" s="22"/>
      <c r="AC111" s="22"/>
      <c r="AD111" s="22"/>
      <c r="AE111" s="22"/>
      <c r="AF111" s="22"/>
      <c r="AG111" s="22"/>
      <c r="AH111" s="22"/>
      <c r="AI111" s="22"/>
      <c r="AJ111" s="22"/>
      <c r="AK111" s="22"/>
      <c r="AL111" s="22"/>
      <c r="AM111" s="22"/>
      <c r="AN111" s="22"/>
      <c r="AO111" s="22"/>
      <c r="AP111" s="22"/>
      <c r="AQ111" s="22"/>
      <c r="AR111" s="22"/>
    </row>
    <row r="112" spans="1:44" hidden="1" x14ac:dyDescent="0.25">
      <c r="A112" s="16"/>
      <c r="B112" s="3" t="s">
        <v>180</v>
      </c>
      <c r="C112" s="3" t="s">
        <v>181</v>
      </c>
      <c r="D112" s="1" t="s">
        <v>8</v>
      </c>
      <c r="E112" s="107">
        <v>91.738579494697433</v>
      </c>
      <c r="F112" s="108">
        <v>138.15761811971188</v>
      </c>
      <c r="G112" s="109">
        <v>179.07107352301497</v>
      </c>
      <c r="H112" s="114"/>
      <c r="I112" s="113">
        <v>8.8725000000000005</v>
      </c>
      <c r="J112" s="114">
        <v>12.2005</v>
      </c>
      <c r="K112" s="109">
        <v>12.831</v>
      </c>
      <c r="L112" s="114"/>
      <c r="M112" s="113">
        <v>19.034400000000002</v>
      </c>
      <c r="N112" s="114">
        <v>19.466999999999999</v>
      </c>
      <c r="O112" s="109">
        <v>21.382800000000003</v>
      </c>
      <c r="P112" s="119"/>
      <c r="Q112" s="120">
        <v>0.04</v>
      </c>
      <c r="R112" s="120">
        <v>0.02</v>
      </c>
      <c r="S112" s="120">
        <v>0.04</v>
      </c>
      <c r="T112" s="120">
        <v>0.02</v>
      </c>
      <c r="U112" s="120">
        <v>0.02</v>
      </c>
      <c r="V112" s="121">
        <f>SUBTOTAL(9,Q112:U112)</f>
        <v>0</v>
      </c>
      <c r="W112" s="119"/>
      <c r="X112" s="113">
        <f t="shared" si="12"/>
        <v>119.64547949469744</v>
      </c>
      <c r="Y112" s="113">
        <f t="shared" si="13"/>
        <v>169.82511811971187</v>
      </c>
      <c r="Z112" s="113">
        <f t="shared" si="14"/>
        <v>213.28487352301497</v>
      </c>
      <c r="AA112" s="22"/>
      <c r="AB112" s="22"/>
      <c r="AC112" s="22"/>
      <c r="AD112" s="22"/>
      <c r="AE112" s="22"/>
      <c r="AF112" s="22"/>
      <c r="AG112" s="22"/>
      <c r="AH112" s="22"/>
      <c r="AI112" s="22"/>
      <c r="AJ112" s="22"/>
      <c r="AK112" s="22"/>
      <c r="AL112" s="22"/>
      <c r="AM112" s="22"/>
      <c r="AN112" s="22"/>
      <c r="AO112" s="22"/>
      <c r="AP112" s="22"/>
      <c r="AQ112" s="22"/>
      <c r="AR112" s="22"/>
    </row>
    <row r="113" spans="1:44" hidden="1" x14ac:dyDescent="0.25">
      <c r="A113" s="16"/>
      <c r="B113" s="3" t="s">
        <v>182</v>
      </c>
      <c r="C113" s="3" t="s">
        <v>183</v>
      </c>
      <c r="D113" s="1" t="s">
        <v>8</v>
      </c>
      <c r="E113" s="107">
        <v>115.24927173254947</v>
      </c>
      <c r="F113" s="108">
        <v>166.68263236135516</v>
      </c>
      <c r="G113" s="109">
        <v>204.49848411981762</v>
      </c>
      <c r="H113" s="114"/>
      <c r="I113" s="113">
        <v>10.238179635844116</v>
      </c>
      <c r="J113" s="114">
        <v>14.078434561523371</v>
      </c>
      <c r="K113" s="109">
        <v>14.80598285798995</v>
      </c>
      <c r="L113" s="114"/>
      <c r="M113" s="113">
        <v>25.694592000000004</v>
      </c>
      <c r="N113" s="114">
        <v>26.278560000000002</v>
      </c>
      <c r="O113" s="109">
        <v>28.864704000000003</v>
      </c>
      <c r="P113" s="119"/>
      <c r="Q113" s="120">
        <v>0.05</v>
      </c>
      <c r="R113" s="120">
        <v>0.05</v>
      </c>
      <c r="S113" s="120">
        <v>0.03</v>
      </c>
      <c r="T113" s="120">
        <v>0.05</v>
      </c>
      <c r="U113" s="120">
        <v>5.0000000000000001E-3</v>
      </c>
      <c r="V113" s="121">
        <f t="shared" ref="V113:V135" si="18">SUBTOTAL(9,Q113:U113)</f>
        <v>0</v>
      </c>
      <c r="W113" s="119"/>
      <c r="X113" s="113">
        <f t="shared" si="12"/>
        <v>151.18204336839361</v>
      </c>
      <c r="Y113" s="113">
        <f t="shared" si="13"/>
        <v>207.03962692287854</v>
      </c>
      <c r="Z113" s="113">
        <f t="shared" si="14"/>
        <v>248.1691709778076</v>
      </c>
      <c r="AA113" s="22"/>
      <c r="AB113" s="22"/>
      <c r="AC113" s="22"/>
      <c r="AD113" s="22"/>
      <c r="AE113" s="22"/>
      <c r="AF113" s="22"/>
      <c r="AG113" s="22"/>
      <c r="AH113" s="22"/>
      <c r="AI113" s="22"/>
      <c r="AJ113" s="22"/>
      <c r="AK113" s="22"/>
      <c r="AL113" s="22"/>
      <c r="AM113" s="22"/>
      <c r="AN113" s="22"/>
      <c r="AO113" s="22"/>
      <c r="AP113" s="22"/>
      <c r="AQ113" s="22"/>
      <c r="AR113" s="22"/>
    </row>
    <row r="114" spans="1:44" hidden="1" x14ac:dyDescent="0.25">
      <c r="A114" s="21"/>
      <c r="B114" s="3" t="s">
        <v>182</v>
      </c>
      <c r="C114" s="3" t="s">
        <v>184</v>
      </c>
      <c r="D114" s="1" t="s">
        <v>8</v>
      </c>
      <c r="E114" s="107">
        <v>117.55425716720048</v>
      </c>
      <c r="F114" s="108">
        <v>170.01628500858229</v>
      </c>
      <c r="G114" s="109">
        <v>208.58845380221399</v>
      </c>
      <c r="H114" s="114"/>
      <c r="I114" s="113">
        <v>10.5105</v>
      </c>
      <c r="J114" s="114">
        <v>14.4529</v>
      </c>
      <c r="K114" s="109">
        <v>15.1998</v>
      </c>
      <c r="L114" s="114"/>
      <c r="M114" s="113">
        <v>26.208483840000003</v>
      </c>
      <c r="N114" s="114">
        <v>26.804131200000004</v>
      </c>
      <c r="O114" s="109">
        <v>29.441998080000005</v>
      </c>
      <c r="P114" s="119"/>
      <c r="Q114" s="120">
        <v>0.05</v>
      </c>
      <c r="R114" s="120">
        <v>0.05</v>
      </c>
      <c r="S114" s="120">
        <v>0.03</v>
      </c>
      <c r="T114" s="120">
        <v>0.05</v>
      </c>
      <c r="U114" s="120">
        <v>5.0000000000000001E-3</v>
      </c>
      <c r="V114" s="121">
        <f t="shared" si="18"/>
        <v>0</v>
      </c>
      <c r="W114" s="119"/>
      <c r="X114" s="113">
        <f t="shared" si="12"/>
        <v>154.27324100720048</v>
      </c>
      <c r="Y114" s="113">
        <f t="shared" si="13"/>
        <v>211.27331620858229</v>
      </c>
      <c r="Z114" s="113">
        <f t="shared" si="14"/>
        <v>253.23025188221402</v>
      </c>
      <c r="AA114" s="22"/>
      <c r="AB114" s="22"/>
      <c r="AC114" s="22"/>
      <c r="AD114" s="22"/>
      <c r="AE114" s="22"/>
      <c r="AF114" s="22"/>
      <c r="AG114" s="22"/>
      <c r="AH114" s="22"/>
      <c r="AI114" s="22"/>
      <c r="AJ114" s="22"/>
      <c r="AK114" s="22"/>
      <c r="AL114" s="22"/>
      <c r="AM114" s="22"/>
      <c r="AN114" s="22"/>
      <c r="AO114" s="22"/>
      <c r="AP114" s="22"/>
      <c r="AQ114" s="22"/>
      <c r="AR114" s="22"/>
    </row>
    <row r="115" spans="1:44" hidden="1" x14ac:dyDescent="0.25">
      <c r="A115" s="21"/>
      <c r="B115" s="3" t="s">
        <v>182</v>
      </c>
      <c r="C115" s="3" t="s">
        <v>185</v>
      </c>
      <c r="D115" s="1" t="s">
        <v>8</v>
      </c>
      <c r="E115" s="107">
        <v>119.85924260185146</v>
      </c>
      <c r="F115" s="108">
        <v>173.34993765580938</v>
      </c>
      <c r="G115" s="109">
        <v>212.67842348461033</v>
      </c>
      <c r="H115" s="114"/>
      <c r="I115" s="113">
        <v>10.647</v>
      </c>
      <c r="J115" s="114">
        <v>14.640600000000001</v>
      </c>
      <c r="K115" s="109">
        <v>15.3972</v>
      </c>
      <c r="L115" s="114"/>
      <c r="M115" s="113">
        <v>26.722375680000006</v>
      </c>
      <c r="N115" s="114">
        <v>27.329702400000002</v>
      </c>
      <c r="O115" s="109">
        <v>30.019292160000003</v>
      </c>
      <c r="P115" s="119"/>
      <c r="Q115" s="120">
        <v>0.05</v>
      </c>
      <c r="R115" s="120">
        <v>0.05</v>
      </c>
      <c r="S115" s="120">
        <v>0.03</v>
      </c>
      <c r="T115" s="120">
        <v>0.05</v>
      </c>
      <c r="U115" s="120">
        <v>5.0000000000000001E-3</v>
      </c>
      <c r="V115" s="121">
        <f t="shared" si="18"/>
        <v>0</v>
      </c>
      <c r="W115" s="119"/>
      <c r="X115" s="113">
        <f t="shared" si="12"/>
        <v>157.22861828185145</v>
      </c>
      <c r="Y115" s="113">
        <f t="shared" si="13"/>
        <v>215.32024005580939</v>
      </c>
      <c r="Z115" s="113">
        <f t="shared" si="14"/>
        <v>258.09491564461035</v>
      </c>
      <c r="AA115" s="22"/>
      <c r="AB115" s="22"/>
      <c r="AC115" s="22"/>
      <c r="AD115" s="22"/>
      <c r="AE115" s="22"/>
      <c r="AF115" s="22"/>
      <c r="AG115" s="22"/>
      <c r="AH115" s="22"/>
      <c r="AI115" s="22"/>
      <c r="AJ115" s="22"/>
      <c r="AK115" s="22"/>
      <c r="AL115" s="22"/>
      <c r="AM115" s="22"/>
      <c r="AN115" s="22"/>
      <c r="AO115" s="22"/>
      <c r="AP115" s="22"/>
      <c r="AQ115" s="22"/>
      <c r="AR115" s="22"/>
    </row>
    <row r="116" spans="1:44" hidden="1" x14ac:dyDescent="0.25">
      <c r="A116" s="21"/>
      <c r="B116" s="3" t="s">
        <v>182</v>
      </c>
      <c r="C116" s="3" t="s">
        <v>186</v>
      </c>
      <c r="D116" s="1" t="s">
        <v>8</v>
      </c>
      <c r="E116" s="107">
        <v>118.70674988452596</v>
      </c>
      <c r="F116" s="108">
        <v>171.68311133219581</v>
      </c>
      <c r="G116" s="109">
        <v>210.63343864341218</v>
      </c>
      <c r="H116" s="114"/>
      <c r="I116" s="113">
        <v>10.5105</v>
      </c>
      <c r="J116" s="114">
        <v>14.4529</v>
      </c>
      <c r="K116" s="109">
        <v>15.1998</v>
      </c>
      <c r="L116" s="114"/>
      <c r="M116" s="113">
        <v>26.465429760000003</v>
      </c>
      <c r="N116" s="114">
        <v>27.066916800000005</v>
      </c>
      <c r="O116" s="109">
        <v>29.730645120000005</v>
      </c>
      <c r="P116" s="119"/>
      <c r="Q116" s="120">
        <v>0.05</v>
      </c>
      <c r="R116" s="120">
        <v>0.05</v>
      </c>
      <c r="S116" s="120">
        <v>0.03</v>
      </c>
      <c r="T116" s="120">
        <v>0.05</v>
      </c>
      <c r="U116" s="120">
        <v>5.0000000000000001E-3</v>
      </c>
      <c r="V116" s="121">
        <f t="shared" si="18"/>
        <v>0</v>
      </c>
      <c r="W116" s="119"/>
      <c r="X116" s="113">
        <f t="shared" si="12"/>
        <v>155.68267964452596</v>
      </c>
      <c r="Y116" s="113">
        <f t="shared" si="13"/>
        <v>213.20292813219581</v>
      </c>
      <c r="Z116" s="113">
        <f t="shared" si="14"/>
        <v>255.56388376341221</v>
      </c>
      <c r="AA116" s="22"/>
      <c r="AB116" s="22"/>
      <c r="AC116" s="22"/>
      <c r="AD116" s="22"/>
      <c r="AE116" s="22"/>
      <c r="AF116" s="22"/>
      <c r="AG116" s="22"/>
      <c r="AH116" s="22"/>
      <c r="AI116" s="22"/>
      <c r="AJ116" s="22"/>
      <c r="AK116" s="22"/>
      <c r="AL116" s="22"/>
      <c r="AM116" s="22"/>
      <c r="AN116" s="22"/>
      <c r="AO116" s="22"/>
      <c r="AP116" s="22"/>
      <c r="AQ116" s="22"/>
      <c r="AR116" s="22"/>
    </row>
    <row r="117" spans="1:44" hidden="1" x14ac:dyDescent="0.25">
      <c r="A117" s="16"/>
      <c r="B117" s="3" t="s">
        <v>180</v>
      </c>
      <c r="C117" s="3" t="s">
        <v>187</v>
      </c>
      <c r="D117" s="1" t="s">
        <v>8</v>
      </c>
      <c r="E117" s="107">
        <v>75.461429839272185</v>
      </c>
      <c r="F117" s="108">
        <v>113.28964745244075</v>
      </c>
      <c r="G117" s="109">
        <v>154.04797731615093</v>
      </c>
      <c r="H117" s="114"/>
      <c r="I117" s="113">
        <v>8.463000000000001</v>
      </c>
      <c r="J117" s="114">
        <v>11.6374</v>
      </c>
      <c r="K117" s="109">
        <v>12.238799999999999</v>
      </c>
      <c r="L117" s="114"/>
      <c r="M117" s="113">
        <v>18.22128</v>
      </c>
      <c r="N117" s="114">
        <v>18.635400000000001</v>
      </c>
      <c r="O117" s="109">
        <v>20.469359999999998</v>
      </c>
      <c r="P117" s="119"/>
      <c r="Q117" s="120">
        <v>0.05</v>
      </c>
      <c r="R117" s="120">
        <v>0.02</v>
      </c>
      <c r="S117" s="120">
        <v>0.04</v>
      </c>
      <c r="T117" s="120">
        <v>0.02</v>
      </c>
      <c r="U117" s="120">
        <v>0.02</v>
      </c>
      <c r="V117" s="121">
        <f t="shared" si="18"/>
        <v>0</v>
      </c>
      <c r="W117" s="119"/>
      <c r="X117" s="113">
        <f t="shared" si="12"/>
        <v>102.1457098392722</v>
      </c>
      <c r="Y117" s="113">
        <f t="shared" si="13"/>
        <v>143.56244745244075</v>
      </c>
      <c r="Z117" s="113">
        <f t="shared" si="14"/>
        <v>186.75613731615093</v>
      </c>
      <c r="AA117" s="22"/>
      <c r="AB117" s="22"/>
      <c r="AC117" s="22"/>
      <c r="AD117" s="22"/>
      <c r="AE117" s="22"/>
      <c r="AF117" s="22"/>
      <c r="AG117" s="22"/>
      <c r="AH117" s="22"/>
      <c r="AI117" s="22"/>
      <c r="AJ117" s="22"/>
      <c r="AK117" s="22"/>
      <c r="AL117" s="22"/>
      <c r="AM117" s="22"/>
      <c r="AN117" s="22"/>
      <c r="AO117" s="22"/>
      <c r="AP117" s="22"/>
      <c r="AQ117" s="22"/>
      <c r="AR117" s="22"/>
    </row>
    <row r="118" spans="1:44" hidden="1" x14ac:dyDescent="0.25">
      <c r="A118" s="16"/>
      <c r="B118" s="3" t="s">
        <v>180</v>
      </c>
      <c r="C118" s="3" t="s">
        <v>188</v>
      </c>
      <c r="D118" s="1" t="s">
        <v>8</v>
      </c>
      <c r="E118" s="107">
        <v>71.714925822394477</v>
      </c>
      <c r="F118" s="108">
        <v>107.83410912543928</v>
      </c>
      <c r="G118" s="109">
        <v>146.68603028016523</v>
      </c>
      <c r="H118" s="114"/>
      <c r="I118" s="113">
        <v>8.19</v>
      </c>
      <c r="J118" s="114">
        <v>11.261999999999999</v>
      </c>
      <c r="K118" s="109">
        <v>11.843999999999999</v>
      </c>
      <c r="L118" s="114"/>
      <c r="M118" s="113">
        <v>17.907119999999999</v>
      </c>
      <c r="N118" s="114">
        <v>18.3141</v>
      </c>
      <c r="O118" s="109">
        <v>20.116439999999997</v>
      </c>
      <c r="P118" s="119"/>
      <c r="Q118" s="120">
        <v>0.05</v>
      </c>
      <c r="R118" s="120">
        <v>0.02</v>
      </c>
      <c r="S118" s="120">
        <v>0.04</v>
      </c>
      <c r="T118" s="120">
        <v>0.02</v>
      </c>
      <c r="U118" s="120">
        <v>0.02</v>
      </c>
      <c r="V118" s="121">
        <f t="shared" si="18"/>
        <v>0</v>
      </c>
      <c r="W118" s="119"/>
      <c r="X118" s="113">
        <f t="shared" si="12"/>
        <v>97.812045822394481</v>
      </c>
      <c r="Y118" s="113">
        <f t="shared" si="13"/>
        <v>137.41020912543928</v>
      </c>
      <c r="Z118" s="113">
        <f t="shared" si="14"/>
        <v>178.6464702801652</v>
      </c>
      <c r="AA118" s="22"/>
      <c r="AB118" s="22"/>
      <c r="AC118" s="22"/>
      <c r="AD118" s="22"/>
      <c r="AE118" s="22"/>
      <c r="AF118" s="22"/>
      <c r="AG118" s="22"/>
      <c r="AH118" s="22"/>
      <c r="AI118" s="22"/>
      <c r="AJ118" s="22"/>
      <c r="AK118" s="22"/>
      <c r="AL118" s="22"/>
      <c r="AM118" s="22"/>
      <c r="AN118" s="22"/>
      <c r="AO118" s="22"/>
      <c r="AP118" s="22"/>
      <c r="AQ118" s="22"/>
      <c r="AR118" s="22"/>
    </row>
    <row r="119" spans="1:44" hidden="1" x14ac:dyDescent="0.25">
      <c r="A119" s="16"/>
      <c r="B119" s="3" t="s">
        <v>180</v>
      </c>
      <c r="C119" s="3" t="s">
        <v>189</v>
      </c>
      <c r="D119" s="1" t="s">
        <v>8</v>
      </c>
      <c r="E119" s="107">
        <v>75.19460808759213</v>
      </c>
      <c r="F119" s="108">
        <v>113.03177782972736</v>
      </c>
      <c r="G119" s="109">
        <v>153.82277191904177</v>
      </c>
      <c r="H119" s="114"/>
      <c r="I119" s="113">
        <v>8.463000000000001</v>
      </c>
      <c r="J119" s="114">
        <v>11.6374</v>
      </c>
      <c r="K119" s="109">
        <v>12.238799999999999</v>
      </c>
      <c r="L119" s="114"/>
      <c r="M119" s="113">
        <v>17.592960000000001</v>
      </c>
      <c r="N119" s="114">
        <v>17.992800000000003</v>
      </c>
      <c r="O119" s="109">
        <v>19.763520000000003</v>
      </c>
      <c r="P119" s="119"/>
      <c r="Q119" s="120">
        <v>0.05</v>
      </c>
      <c r="R119" s="120">
        <v>0.02</v>
      </c>
      <c r="S119" s="120">
        <v>0.04</v>
      </c>
      <c r="T119" s="120">
        <v>0.02</v>
      </c>
      <c r="U119" s="120">
        <v>0.02</v>
      </c>
      <c r="V119" s="121">
        <f t="shared" si="18"/>
        <v>0</v>
      </c>
      <c r="W119" s="119"/>
      <c r="X119" s="113">
        <f t="shared" si="12"/>
        <v>101.25056808759214</v>
      </c>
      <c r="Y119" s="113">
        <f t="shared" si="13"/>
        <v>142.66197782972736</v>
      </c>
      <c r="Z119" s="113">
        <f t="shared" si="14"/>
        <v>185.82509191904177</v>
      </c>
      <c r="AA119" s="22"/>
      <c r="AB119" s="22"/>
      <c r="AC119" s="22"/>
      <c r="AD119" s="22"/>
      <c r="AE119" s="22"/>
      <c r="AF119" s="22"/>
      <c r="AG119" s="22"/>
      <c r="AH119" s="22"/>
      <c r="AI119" s="22"/>
      <c r="AJ119" s="22"/>
      <c r="AK119" s="22"/>
      <c r="AL119" s="22"/>
      <c r="AM119" s="22"/>
      <c r="AN119" s="22"/>
      <c r="AO119" s="22"/>
      <c r="AP119" s="22"/>
      <c r="AQ119" s="22"/>
      <c r="AR119" s="22"/>
    </row>
    <row r="120" spans="1:44" hidden="1" x14ac:dyDescent="0.25">
      <c r="A120" s="16"/>
      <c r="B120" s="3" t="s">
        <v>190</v>
      </c>
      <c r="C120" s="3" t="s">
        <v>191</v>
      </c>
      <c r="D120" s="1" t="s">
        <v>8</v>
      </c>
      <c r="E120" s="107">
        <v>42.138583483387748</v>
      </c>
      <c r="F120" s="108">
        <v>52.281319048339888</v>
      </c>
      <c r="G120" s="109">
        <v>70.475247370059549</v>
      </c>
      <c r="H120" s="114"/>
      <c r="I120" s="113">
        <v>3.6855000000000002</v>
      </c>
      <c r="J120" s="114">
        <v>5.0678999999999998</v>
      </c>
      <c r="K120" s="109">
        <v>5.3297999999999996</v>
      </c>
      <c r="L120" s="114"/>
      <c r="M120" s="113">
        <v>9.237008360095988</v>
      </c>
      <c r="N120" s="114">
        <v>9.4469403682799875</v>
      </c>
      <c r="O120" s="109">
        <v>10.376639261666272</v>
      </c>
      <c r="P120" s="119"/>
      <c r="Q120" s="120">
        <v>0.03</v>
      </c>
      <c r="R120" s="120">
        <v>1.4999999999999999E-2</v>
      </c>
      <c r="S120" s="120">
        <v>0.05</v>
      </c>
      <c r="T120" s="120">
        <v>2.5000000000000001E-2</v>
      </c>
      <c r="U120" s="120">
        <v>0.03</v>
      </c>
      <c r="V120" s="121">
        <f t="shared" si="18"/>
        <v>0</v>
      </c>
      <c r="W120" s="119"/>
      <c r="X120" s="113">
        <f t="shared" si="12"/>
        <v>55.061091843483737</v>
      </c>
      <c r="Y120" s="113">
        <f t="shared" si="13"/>
        <v>66.796159416619872</v>
      </c>
      <c r="Z120" s="113">
        <f t="shared" si="14"/>
        <v>86.181686631725825</v>
      </c>
      <c r="AA120" s="22"/>
      <c r="AB120" s="22"/>
      <c r="AC120" s="22"/>
      <c r="AD120" s="22"/>
      <c r="AE120" s="22"/>
      <c r="AF120" s="22"/>
      <c r="AG120" s="22"/>
      <c r="AH120" s="22"/>
      <c r="AI120" s="22"/>
      <c r="AJ120" s="22"/>
      <c r="AK120" s="22"/>
      <c r="AL120" s="22"/>
      <c r="AM120" s="22"/>
      <c r="AN120" s="22"/>
      <c r="AO120" s="22"/>
      <c r="AP120" s="22"/>
      <c r="AQ120" s="22"/>
      <c r="AR120" s="22"/>
    </row>
    <row r="121" spans="1:44" hidden="1" x14ac:dyDescent="0.25">
      <c r="A121" s="21"/>
      <c r="B121" s="3" t="s">
        <v>190</v>
      </c>
      <c r="C121" s="3" t="s">
        <v>192</v>
      </c>
      <c r="D121" s="1" t="s">
        <v>8</v>
      </c>
      <c r="E121" s="107">
        <v>41.721369785532424</v>
      </c>
      <c r="F121" s="108">
        <v>51.763682226079098</v>
      </c>
      <c r="G121" s="109">
        <v>69.777472643623312</v>
      </c>
      <c r="H121" s="114"/>
      <c r="I121" s="113">
        <v>3.6855000000000002</v>
      </c>
      <c r="J121" s="114">
        <v>5.0678999999999998</v>
      </c>
      <c r="K121" s="109">
        <v>5.3297999999999996</v>
      </c>
      <c r="L121" s="114"/>
      <c r="M121" s="113">
        <v>9.1455528317782058</v>
      </c>
      <c r="N121" s="114">
        <v>9.3534063052277094</v>
      </c>
      <c r="O121" s="109">
        <v>10.273900259075516</v>
      </c>
      <c r="P121" s="119"/>
      <c r="Q121" s="120">
        <v>0.03</v>
      </c>
      <c r="R121" s="120">
        <v>1.4999999999999999E-2</v>
      </c>
      <c r="S121" s="120">
        <v>0.05</v>
      </c>
      <c r="T121" s="120">
        <v>2.5000000000000001E-2</v>
      </c>
      <c r="U121" s="120">
        <v>0.03</v>
      </c>
      <c r="V121" s="121">
        <f t="shared" si="18"/>
        <v>0</v>
      </c>
      <c r="W121" s="119"/>
      <c r="X121" s="113">
        <f t="shared" si="12"/>
        <v>54.552422617310626</v>
      </c>
      <c r="Y121" s="113">
        <f t="shared" si="13"/>
        <v>66.184988531306814</v>
      </c>
      <c r="Z121" s="113">
        <f t="shared" si="14"/>
        <v>85.381172902698836</v>
      </c>
      <c r="AA121" s="22"/>
      <c r="AB121" s="22"/>
      <c r="AC121" s="22"/>
      <c r="AD121" s="22"/>
      <c r="AE121" s="22"/>
      <c r="AF121" s="22"/>
      <c r="AG121" s="22"/>
      <c r="AH121" s="22"/>
      <c r="AI121" s="22"/>
      <c r="AJ121" s="22"/>
      <c r="AK121" s="22"/>
      <c r="AL121" s="22"/>
      <c r="AM121" s="22"/>
      <c r="AN121" s="22"/>
      <c r="AO121" s="22"/>
      <c r="AP121" s="22"/>
      <c r="AQ121" s="22"/>
      <c r="AR121" s="22"/>
    </row>
    <row r="122" spans="1:44" hidden="1" x14ac:dyDescent="0.25">
      <c r="A122" s="21"/>
      <c r="B122" s="3" t="s">
        <v>190</v>
      </c>
      <c r="C122" s="3" t="s">
        <v>193</v>
      </c>
      <c r="D122" s="1" t="s">
        <v>8</v>
      </c>
      <c r="E122" s="107">
        <v>41.721369785532424</v>
      </c>
      <c r="F122" s="108">
        <v>51.763682226079098</v>
      </c>
      <c r="G122" s="109">
        <v>69.777472643623312</v>
      </c>
      <c r="H122" s="114"/>
      <c r="I122" s="113">
        <v>3.6855000000000002</v>
      </c>
      <c r="J122" s="114">
        <v>5.0678999999999998</v>
      </c>
      <c r="K122" s="109">
        <v>5.3297999999999996</v>
      </c>
      <c r="L122" s="114"/>
      <c r="M122" s="113">
        <v>9.1455528317782058</v>
      </c>
      <c r="N122" s="114">
        <v>9.3534063052277094</v>
      </c>
      <c r="O122" s="109">
        <v>10.273900259075516</v>
      </c>
      <c r="P122" s="119"/>
      <c r="Q122" s="120">
        <v>0.03</v>
      </c>
      <c r="R122" s="120">
        <v>1.4999999999999999E-2</v>
      </c>
      <c r="S122" s="120">
        <v>0.05</v>
      </c>
      <c r="T122" s="120">
        <v>2.5000000000000001E-2</v>
      </c>
      <c r="U122" s="120">
        <v>0.03</v>
      </c>
      <c r="V122" s="121">
        <f t="shared" si="18"/>
        <v>0</v>
      </c>
      <c r="W122" s="119"/>
      <c r="X122" s="113">
        <f t="shared" si="12"/>
        <v>54.552422617310626</v>
      </c>
      <c r="Y122" s="113">
        <f t="shared" si="13"/>
        <v>66.184988531306814</v>
      </c>
      <c r="Z122" s="113">
        <f t="shared" si="14"/>
        <v>85.381172902698836</v>
      </c>
      <c r="AA122" s="22"/>
      <c r="AB122" s="22"/>
      <c r="AC122" s="22"/>
      <c r="AD122" s="22"/>
      <c r="AE122" s="22"/>
      <c r="AF122" s="22"/>
      <c r="AG122" s="22"/>
      <c r="AH122" s="22"/>
      <c r="AI122" s="22"/>
      <c r="AJ122" s="22"/>
      <c r="AK122" s="22"/>
      <c r="AL122" s="22"/>
      <c r="AM122" s="22"/>
      <c r="AN122" s="22"/>
      <c r="AO122" s="22"/>
      <c r="AP122" s="22"/>
      <c r="AQ122" s="22"/>
      <c r="AR122" s="22"/>
    </row>
    <row r="123" spans="1:44" hidden="1" x14ac:dyDescent="0.25">
      <c r="A123" s="21"/>
      <c r="B123" s="3" t="s">
        <v>190</v>
      </c>
      <c r="C123" s="3" t="s">
        <v>194</v>
      </c>
      <c r="D123" s="1" t="s">
        <v>8</v>
      </c>
      <c r="E123" s="107">
        <v>41.312336748419362</v>
      </c>
      <c r="F123" s="108">
        <v>51.256195145431263</v>
      </c>
      <c r="G123" s="109">
        <v>69.093379774568177</v>
      </c>
      <c r="H123" s="114"/>
      <c r="I123" s="113">
        <v>3.6855000000000002</v>
      </c>
      <c r="J123" s="114">
        <v>5.0678999999999998</v>
      </c>
      <c r="K123" s="109">
        <v>5.3297999999999996</v>
      </c>
      <c r="L123" s="114"/>
      <c r="M123" s="113">
        <v>9.0558905491137143</v>
      </c>
      <c r="N123" s="114">
        <v>9.2617062434117514</v>
      </c>
      <c r="O123" s="109">
        <v>10.173175746731639</v>
      </c>
      <c r="P123" s="119"/>
      <c r="Q123" s="120">
        <v>0.03</v>
      </c>
      <c r="R123" s="120">
        <v>1.4999999999999999E-2</v>
      </c>
      <c r="S123" s="120">
        <v>0.05</v>
      </c>
      <c r="T123" s="120">
        <v>2.5000000000000001E-2</v>
      </c>
      <c r="U123" s="120">
        <v>0.03</v>
      </c>
      <c r="V123" s="121">
        <f t="shared" si="18"/>
        <v>0</v>
      </c>
      <c r="W123" s="119"/>
      <c r="X123" s="113">
        <f t="shared" si="12"/>
        <v>54.053727297533072</v>
      </c>
      <c r="Y123" s="113">
        <f t="shared" si="13"/>
        <v>65.585801388843009</v>
      </c>
      <c r="Z123" s="113">
        <f t="shared" si="14"/>
        <v>84.596355521299827</v>
      </c>
      <c r="AA123" s="22"/>
      <c r="AB123" s="22"/>
      <c r="AC123" s="22"/>
      <c r="AD123" s="22"/>
      <c r="AE123" s="22"/>
      <c r="AF123" s="22"/>
      <c r="AG123" s="22"/>
      <c r="AH123" s="22"/>
      <c r="AI123" s="22"/>
      <c r="AJ123" s="22"/>
      <c r="AK123" s="22"/>
      <c r="AL123" s="22"/>
      <c r="AM123" s="22"/>
      <c r="AN123" s="22"/>
      <c r="AO123" s="22"/>
      <c r="AP123" s="22"/>
      <c r="AQ123" s="22"/>
      <c r="AR123" s="22"/>
    </row>
    <row r="124" spans="1:44" hidden="1" x14ac:dyDescent="0.25">
      <c r="A124" s="21"/>
      <c r="B124" s="3" t="s">
        <v>190</v>
      </c>
      <c r="C124" s="3" t="s">
        <v>195</v>
      </c>
      <c r="D124" s="1" t="s">
        <v>8</v>
      </c>
      <c r="E124" s="107">
        <v>45.509670162058768</v>
      </c>
      <c r="F124" s="108">
        <v>56.463824572207088</v>
      </c>
      <c r="G124" s="109">
        <v>76.113267159664318</v>
      </c>
      <c r="H124" s="114"/>
      <c r="I124" s="113">
        <v>4.0949999999999998</v>
      </c>
      <c r="J124" s="114">
        <v>5.6309999999999993</v>
      </c>
      <c r="K124" s="109">
        <v>5.9219999999999997</v>
      </c>
      <c r="L124" s="114"/>
      <c r="M124" s="113">
        <v>9.975969028903668</v>
      </c>
      <c r="N124" s="114">
        <v>10.202695597742387</v>
      </c>
      <c r="O124" s="109">
        <v>11.206770402599574</v>
      </c>
      <c r="P124" s="119"/>
      <c r="Q124" s="120">
        <v>0.03</v>
      </c>
      <c r="R124" s="120">
        <v>1.4999999999999999E-2</v>
      </c>
      <c r="S124" s="120">
        <v>0.05</v>
      </c>
      <c r="T124" s="120">
        <v>2.5000000000000001E-2</v>
      </c>
      <c r="U124" s="120">
        <v>0.03</v>
      </c>
      <c r="V124" s="121">
        <f t="shared" si="18"/>
        <v>0</v>
      </c>
      <c r="W124" s="119"/>
      <c r="X124" s="113">
        <f t="shared" si="12"/>
        <v>59.580639190962437</v>
      </c>
      <c r="Y124" s="113">
        <f t="shared" si="13"/>
        <v>72.297520169949479</v>
      </c>
      <c r="Z124" s="113">
        <f t="shared" si="14"/>
        <v>93.242037562263889</v>
      </c>
      <c r="AA124" s="22"/>
      <c r="AB124" s="22"/>
      <c r="AC124" s="22"/>
      <c r="AD124" s="22"/>
      <c r="AE124" s="22"/>
      <c r="AF124" s="22"/>
      <c r="AG124" s="22"/>
      <c r="AH124" s="22"/>
      <c r="AI124" s="22"/>
      <c r="AJ124" s="22"/>
      <c r="AK124" s="22"/>
      <c r="AL124" s="22"/>
      <c r="AM124" s="22"/>
      <c r="AN124" s="22"/>
      <c r="AO124" s="22"/>
      <c r="AP124" s="22"/>
      <c r="AQ124" s="22"/>
      <c r="AR124" s="22"/>
    </row>
    <row r="125" spans="1:44" hidden="1" x14ac:dyDescent="0.25">
      <c r="A125" s="21"/>
      <c r="B125" s="3" t="s">
        <v>190</v>
      </c>
      <c r="C125" s="3" t="s">
        <v>196</v>
      </c>
      <c r="D125" s="1" t="s">
        <v>8</v>
      </c>
      <c r="E125" s="107">
        <v>44.245512657557136</v>
      </c>
      <c r="F125" s="108">
        <v>54.895385000756882</v>
      </c>
      <c r="G125" s="109">
        <v>73.999009738562521</v>
      </c>
      <c r="H125" s="114"/>
      <c r="I125" s="113">
        <v>3.9584999999999999</v>
      </c>
      <c r="J125" s="114">
        <v>5.4432999999999998</v>
      </c>
      <c r="K125" s="109">
        <v>5.7245999999999988</v>
      </c>
      <c r="L125" s="114"/>
      <c r="M125" s="113">
        <v>9.6988587781007887</v>
      </c>
      <c r="N125" s="114">
        <v>9.9192873866939877</v>
      </c>
      <c r="O125" s="109">
        <v>10.895471224749587</v>
      </c>
      <c r="P125" s="119"/>
      <c r="Q125" s="120">
        <v>0.03</v>
      </c>
      <c r="R125" s="120">
        <v>1.4999999999999999E-2</v>
      </c>
      <c r="S125" s="120">
        <v>0.05</v>
      </c>
      <c r="T125" s="120">
        <v>2.5000000000000001E-2</v>
      </c>
      <c r="U125" s="120">
        <v>0.03</v>
      </c>
      <c r="V125" s="121">
        <f t="shared" si="18"/>
        <v>0</v>
      </c>
      <c r="W125" s="119"/>
      <c r="X125" s="113">
        <f t="shared" si="12"/>
        <v>57.902871435657929</v>
      </c>
      <c r="Y125" s="113">
        <f t="shared" si="13"/>
        <v>70.257972387450877</v>
      </c>
      <c r="Z125" s="113">
        <f t="shared" si="14"/>
        <v>90.619080963312101</v>
      </c>
      <c r="AA125" s="22"/>
      <c r="AB125" s="22"/>
      <c r="AC125" s="22"/>
      <c r="AD125" s="22"/>
      <c r="AE125" s="22"/>
      <c r="AF125" s="22"/>
      <c r="AG125" s="22"/>
      <c r="AH125" s="22"/>
      <c r="AI125" s="22"/>
      <c r="AJ125" s="22"/>
      <c r="AK125" s="22"/>
      <c r="AL125" s="22"/>
      <c r="AM125" s="22"/>
      <c r="AN125" s="22"/>
      <c r="AO125" s="22"/>
      <c r="AP125" s="22"/>
      <c r="AQ125" s="22"/>
      <c r="AR125" s="22"/>
    </row>
    <row r="126" spans="1:44" hidden="1" x14ac:dyDescent="0.25">
      <c r="A126" s="21"/>
      <c r="B126" s="3" t="s">
        <v>190</v>
      </c>
      <c r="C126" s="3" t="s">
        <v>197</v>
      </c>
      <c r="D126" s="1" t="s">
        <v>8</v>
      </c>
      <c r="E126" s="107">
        <v>41.721369785532424</v>
      </c>
      <c r="F126" s="108">
        <v>51.763682226079098</v>
      </c>
      <c r="G126" s="109">
        <v>69.777472643623312</v>
      </c>
      <c r="H126" s="114"/>
      <c r="I126" s="113">
        <v>3.6855000000000002</v>
      </c>
      <c r="J126" s="114">
        <v>5.0678999999999998</v>
      </c>
      <c r="K126" s="109">
        <v>5.3297999999999996</v>
      </c>
      <c r="L126" s="114"/>
      <c r="M126" s="113">
        <v>9.1455528317782058</v>
      </c>
      <c r="N126" s="114">
        <v>9.3534063052277094</v>
      </c>
      <c r="O126" s="109">
        <v>10.273900259075516</v>
      </c>
      <c r="P126" s="119"/>
      <c r="Q126" s="120">
        <v>0.03</v>
      </c>
      <c r="R126" s="120">
        <v>1.4999999999999999E-2</v>
      </c>
      <c r="S126" s="120">
        <v>0.05</v>
      </c>
      <c r="T126" s="120">
        <v>2.5000000000000001E-2</v>
      </c>
      <c r="U126" s="120">
        <v>0.03</v>
      </c>
      <c r="V126" s="121">
        <f t="shared" si="18"/>
        <v>0</v>
      </c>
      <c r="W126" s="119"/>
      <c r="X126" s="113">
        <f t="shared" si="12"/>
        <v>54.552422617310626</v>
      </c>
      <c r="Y126" s="113">
        <f t="shared" si="13"/>
        <v>66.184988531306814</v>
      </c>
      <c r="Z126" s="113">
        <f t="shared" si="14"/>
        <v>85.381172902698836</v>
      </c>
      <c r="AA126" s="22"/>
      <c r="AB126" s="22"/>
      <c r="AC126" s="22"/>
      <c r="AD126" s="22"/>
      <c r="AE126" s="22"/>
      <c r="AF126" s="22"/>
      <c r="AG126" s="22"/>
      <c r="AH126" s="22"/>
      <c r="AI126" s="22"/>
      <c r="AJ126" s="22"/>
      <c r="AK126" s="22"/>
      <c r="AL126" s="22"/>
      <c r="AM126" s="22"/>
      <c r="AN126" s="22"/>
      <c r="AO126" s="22"/>
      <c r="AP126" s="22"/>
      <c r="AQ126" s="22"/>
      <c r="AR126" s="22"/>
    </row>
    <row r="127" spans="1:44" hidden="1" x14ac:dyDescent="0.25">
      <c r="A127" s="16"/>
      <c r="B127" s="3" t="s">
        <v>198</v>
      </c>
      <c r="C127" s="3" t="s">
        <v>199</v>
      </c>
      <c r="D127" s="1" t="s">
        <v>8</v>
      </c>
      <c r="E127" s="107">
        <v>72.735690468761149</v>
      </c>
      <c r="F127" s="108">
        <v>92.748272713182416</v>
      </c>
      <c r="G127" s="109">
        <v>116.59235829009806</v>
      </c>
      <c r="H127" s="114"/>
      <c r="I127" s="113">
        <v>6.4154999999999998</v>
      </c>
      <c r="J127" s="114">
        <v>8.8218999999999994</v>
      </c>
      <c r="K127" s="109">
        <v>9.2777999999999992</v>
      </c>
      <c r="L127" s="114"/>
      <c r="M127" s="113">
        <v>15.523199999999999</v>
      </c>
      <c r="N127" s="114">
        <v>15.875999999999999</v>
      </c>
      <c r="O127" s="109">
        <v>17.438400000000001</v>
      </c>
      <c r="P127" s="119"/>
      <c r="Q127" s="120">
        <v>2.1000000000000001E-2</v>
      </c>
      <c r="R127" s="120">
        <v>1.4E-2</v>
      </c>
      <c r="S127" s="120">
        <v>2.1000000000000001E-2</v>
      </c>
      <c r="T127" s="120">
        <v>1.4E-2</v>
      </c>
      <c r="U127" s="120">
        <v>3.5000000000000003E-2</v>
      </c>
      <c r="V127" s="121">
        <f>SUBTOTAL(9,Q127:U127)</f>
        <v>0</v>
      </c>
      <c r="W127" s="119"/>
      <c r="X127" s="113">
        <f t="shared" si="12"/>
        <v>94.674390468761146</v>
      </c>
      <c r="Y127" s="113">
        <f t="shared" si="13"/>
        <v>117.44617271318242</v>
      </c>
      <c r="Z127" s="113">
        <f t="shared" si="14"/>
        <v>143.30855829009806</v>
      </c>
      <c r="AA127" s="22"/>
      <c r="AB127" s="22"/>
      <c r="AC127" s="22"/>
      <c r="AD127" s="22"/>
      <c r="AE127" s="22"/>
      <c r="AF127" s="22"/>
      <c r="AG127" s="22"/>
      <c r="AH127" s="22"/>
      <c r="AI127" s="22"/>
      <c r="AJ127" s="22"/>
      <c r="AK127" s="22"/>
      <c r="AL127" s="22"/>
      <c r="AM127" s="22"/>
      <c r="AN127" s="22"/>
      <c r="AO127" s="22"/>
      <c r="AP127" s="22"/>
      <c r="AQ127" s="22"/>
      <c r="AR127" s="22"/>
    </row>
    <row r="128" spans="1:44" hidden="1" x14ac:dyDescent="0.25">
      <c r="A128" s="16"/>
      <c r="B128" s="3" t="s">
        <v>200</v>
      </c>
      <c r="C128" s="3" t="s">
        <v>201</v>
      </c>
      <c r="D128" s="1" t="s">
        <v>8</v>
      </c>
      <c r="E128" s="107">
        <v>165.07170488547902</v>
      </c>
      <c r="F128" s="108">
        <v>212.23439294288426</v>
      </c>
      <c r="G128" s="109">
        <v>252.7926787750844</v>
      </c>
      <c r="H128" s="114"/>
      <c r="I128" s="113">
        <v>14.664160059375634</v>
      </c>
      <c r="J128" s="114">
        <v>20.164562953441806</v>
      </c>
      <c r="K128" s="109">
        <v>21.206631470481682</v>
      </c>
      <c r="L128" s="114"/>
      <c r="M128" s="113">
        <v>35.135792447799844</v>
      </c>
      <c r="N128" s="114">
        <v>35.934333185249841</v>
      </c>
      <c r="O128" s="109">
        <v>39.470727879671259</v>
      </c>
      <c r="P128" s="119"/>
      <c r="Q128" s="120">
        <v>0.1</v>
      </c>
      <c r="R128" s="120">
        <v>0.02</v>
      </c>
      <c r="S128" s="120">
        <v>0.1</v>
      </c>
      <c r="T128" s="120">
        <v>0.02</v>
      </c>
      <c r="U128" s="120">
        <v>2.5000000000000001E-2</v>
      </c>
      <c r="V128" s="121">
        <f t="shared" si="18"/>
        <v>0</v>
      </c>
      <c r="W128" s="119"/>
      <c r="X128" s="113">
        <f t="shared" si="12"/>
        <v>214.8716573926545</v>
      </c>
      <c r="Y128" s="113">
        <f t="shared" si="13"/>
        <v>268.33328908157591</v>
      </c>
      <c r="Z128" s="113">
        <f t="shared" si="14"/>
        <v>313.47003812523735</v>
      </c>
      <c r="AA128" s="22"/>
      <c r="AB128" s="22"/>
      <c r="AC128" s="22"/>
      <c r="AD128" s="22"/>
      <c r="AE128" s="22"/>
      <c r="AF128" s="22"/>
      <c r="AG128" s="22"/>
      <c r="AH128" s="22"/>
      <c r="AI128" s="22"/>
      <c r="AJ128" s="22"/>
      <c r="AK128" s="22"/>
      <c r="AL128" s="22"/>
      <c r="AM128" s="22"/>
      <c r="AN128" s="22"/>
      <c r="AO128" s="22"/>
      <c r="AP128" s="22"/>
      <c r="AQ128" s="22"/>
      <c r="AR128" s="22"/>
    </row>
    <row r="129" spans="1:44" hidden="1" x14ac:dyDescent="0.25">
      <c r="A129" s="16"/>
      <c r="B129" s="3" t="s">
        <v>202</v>
      </c>
      <c r="C129" s="3" t="s">
        <v>203</v>
      </c>
      <c r="D129" s="1" t="s">
        <v>8</v>
      </c>
      <c r="E129" s="107">
        <v>72.003024142400506</v>
      </c>
      <c r="F129" s="108">
        <v>97.553738628219179</v>
      </c>
      <c r="G129" s="109">
        <v>137.959014973476</v>
      </c>
      <c r="H129" s="114"/>
      <c r="I129" s="113">
        <v>6.396395260567342</v>
      </c>
      <c r="J129" s="114">
        <v>8.7956292337618311</v>
      </c>
      <c r="K129" s="109">
        <v>9.250171607589694</v>
      </c>
      <c r="L129" s="114"/>
      <c r="M129" s="113">
        <v>15.554711608987052</v>
      </c>
      <c r="N129" s="114">
        <v>15.908227781918574</v>
      </c>
      <c r="O129" s="109">
        <v>17.473799404901037</v>
      </c>
      <c r="P129" s="119"/>
      <c r="Q129" s="120">
        <v>0.03</v>
      </c>
      <c r="R129" s="120">
        <v>1.4999999999999999E-2</v>
      </c>
      <c r="S129" s="120">
        <v>0.02</v>
      </c>
      <c r="T129" s="120">
        <v>0.01</v>
      </c>
      <c r="U129" s="120">
        <v>5.0000000000000001E-3</v>
      </c>
      <c r="V129" s="121">
        <f>SUBTOTAL(9,Q129:U129)</f>
        <v>0</v>
      </c>
      <c r="W129" s="119"/>
      <c r="X129" s="113">
        <f t="shared" si="12"/>
        <v>93.9541310119549</v>
      </c>
      <c r="Y129" s="113">
        <f t="shared" si="13"/>
        <v>122.25759564389958</v>
      </c>
      <c r="Z129" s="113">
        <f t="shared" si="14"/>
        <v>164.68298598596672</v>
      </c>
      <c r="AA129" s="22"/>
      <c r="AB129" s="22"/>
      <c r="AC129" s="22"/>
      <c r="AD129" s="22"/>
      <c r="AE129" s="22"/>
      <c r="AF129" s="22"/>
      <c r="AG129" s="22"/>
      <c r="AH129" s="22"/>
      <c r="AI129" s="22"/>
      <c r="AJ129" s="22"/>
      <c r="AK129" s="22"/>
      <c r="AL129" s="22"/>
      <c r="AM129" s="22"/>
      <c r="AN129" s="22"/>
      <c r="AO129" s="22"/>
      <c r="AP129" s="22"/>
      <c r="AQ129" s="22"/>
      <c r="AR129" s="22"/>
    </row>
    <row r="130" spans="1:44" hidden="1" x14ac:dyDescent="0.25">
      <c r="A130" s="16"/>
      <c r="B130" s="3" t="s">
        <v>204</v>
      </c>
      <c r="C130" s="3" t="s">
        <v>205</v>
      </c>
      <c r="D130" s="1" t="s">
        <v>8</v>
      </c>
      <c r="E130" s="107">
        <v>97.417365056667748</v>
      </c>
      <c r="F130" s="108">
        <v>138.94500591602605</v>
      </c>
      <c r="G130" s="109">
        <v>177.56211460070904</v>
      </c>
      <c r="H130" s="114"/>
      <c r="I130" s="113">
        <v>8.65408056907558</v>
      </c>
      <c r="J130" s="114">
        <v>11.900153280699532</v>
      </c>
      <c r="K130" s="109">
        <v>12.515131899893914</v>
      </c>
      <c r="L130" s="114"/>
      <c r="M130" s="113">
        <v>21.767065931055768</v>
      </c>
      <c r="N130" s="114">
        <v>22.261771974943393</v>
      </c>
      <c r="O130" s="109">
        <v>24.452613026445764</v>
      </c>
      <c r="P130" s="119"/>
      <c r="Q130" s="120">
        <v>0.04</v>
      </c>
      <c r="R130" s="120">
        <v>0.03</v>
      </c>
      <c r="S130" s="120">
        <v>0.04</v>
      </c>
      <c r="T130" s="120">
        <v>0.02</v>
      </c>
      <c r="U130" s="120">
        <v>0.02</v>
      </c>
      <c r="V130" s="121">
        <f t="shared" si="18"/>
        <v>0</v>
      </c>
      <c r="W130" s="119"/>
      <c r="X130" s="113">
        <f t="shared" si="12"/>
        <v>127.83851155679909</v>
      </c>
      <c r="Y130" s="113">
        <f t="shared" si="13"/>
        <v>173.10693117166898</v>
      </c>
      <c r="Z130" s="113">
        <f t="shared" si="14"/>
        <v>214.5298595270487</v>
      </c>
      <c r="AA130" s="22"/>
      <c r="AB130" s="22"/>
      <c r="AC130" s="22"/>
      <c r="AD130" s="22"/>
      <c r="AE130" s="22"/>
      <c r="AF130" s="22"/>
      <c r="AG130" s="22"/>
      <c r="AH130" s="22"/>
      <c r="AI130" s="22"/>
      <c r="AJ130" s="22"/>
      <c r="AK130" s="22"/>
      <c r="AL130" s="22"/>
      <c r="AM130" s="22"/>
      <c r="AN130" s="22"/>
      <c r="AO130" s="22"/>
      <c r="AP130" s="22"/>
      <c r="AQ130" s="22"/>
      <c r="AR130" s="22"/>
    </row>
    <row r="131" spans="1:44" hidden="1" x14ac:dyDescent="0.25">
      <c r="A131" s="16"/>
      <c r="B131" s="3" t="s">
        <v>206</v>
      </c>
      <c r="C131" s="3" t="s">
        <v>207</v>
      </c>
      <c r="D131" s="1" t="s">
        <v>8</v>
      </c>
      <c r="E131" s="107">
        <v>72.617392927375718</v>
      </c>
      <c r="F131" s="108">
        <v>77.788197422144648</v>
      </c>
      <c r="G131" s="109">
        <v>82.818798204788138</v>
      </c>
      <c r="H131" s="114"/>
      <c r="I131" s="113">
        <v>4.7774999999999999</v>
      </c>
      <c r="J131" s="114">
        <v>6.5694999999999997</v>
      </c>
      <c r="K131" s="109">
        <v>6.9089999999999989</v>
      </c>
      <c r="L131" s="114"/>
      <c r="M131" s="113">
        <v>11.858000000000001</v>
      </c>
      <c r="N131" s="114">
        <v>12.1275</v>
      </c>
      <c r="O131" s="109">
        <v>13.321</v>
      </c>
      <c r="P131" s="119"/>
      <c r="Q131" s="120">
        <v>0.02</v>
      </c>
      <c r="R131" s="120">
        <v>1.4999999999999999E-2</v>
      </c>
      <c r="S131" s="120">
        <v>1.4999999999999999E-2</v>
      </c>
      <c r="T131" s="122" t="s">
        <v>251</v>
      </c>
      <c r="U131" s="122" t="s">
        <v>250</v>
      </c>
      <c r="V131" s="121">
        <f>SUBTOTAL(9,Q131:U131)</f>
        <v>0</v>
      </c>
      <c r="W131" s="119"/>
      <c r="X131" s="113">
        <f t="shared" si="12"/>
        <v>89.252892927375726</v>
      </c>
      <c r="Y131" s="113">
        <f t="shared" si="13"/>
        <v>96.485197422144651</v>
      </c>
      <c r="Z131" s="113">
        <f t="shared" si="14"/>
        <v>103.04879820478814</v>
      </c>
      <c r="AA131" s="22"/>
      <c r="AB131" s="22"/>
      <c r="AC131" s="22"/>
      <c r="AD131" s="22"/>
      <c r="AE131" s="22"/>
      <c r="AF131" s="22"/>
      <c r="AG131" s="22"/>
      <c r="AH131" s="22"/>
      <c r="AI131" s="22"/>
      <c r="AJ131" s="22"/>
      <c r="AK131" s="22"/>
      <c r="AL131" s="22"/>
      <c r="AM131" s="22"/>
      <c r="AN131" s="22"/>
      <c r="AO131" s="22"/>
      <c r="AP131" s="22"/>
      <c r="AQ131" s="22"/>
      <c r="AR131" s="22"/>
    </row>
    <row r="132" spans="1:44" hidden="1" x14ac:dyDescent="0.25">
      <c r="A132" s="16"/>
      <c r="B132" s="3" t="s">
        <v>208</v>
      </c>
      <c r="C132" s="3" t="s">
        <v>209</v>
      </c>
      <c r="D132" s="1" t="s">
        <v>8</v>
      </c>
      <c r="E132" s="107">
        <v>77.014533130889205</v>
      </c>
      <c r="F132" s="108">
        <v>111.89040707920188</v>
      </c>
      <c r="G132" s="109">
        <v>143.73344175758419</v>
      </c>
      <c r="H132" s="114"/>
      <c r="I132" s="113">
        <v>6.8250000000000002</v>
      </c>
      <c r="J132" s="114">
        <v>9.3849999999999998</v>
      </c>
      <c r="K132" s="109">
        <v>9.8699999999999992</v>
      </c>
      <c r="L132" s="114"/>
      <c r="M132" s="113">
        <v>16.813720000000004</v>
      </c>
      <c r="N132" s="114">
        <v>17.19585</v>
      </c>
      <c r="O132" s="109">
        <v>18.88814</v>
      </c>
      <c r="P132" s="119"/>
      <c r="Q132" s="120">
        <v>0.03</v>
      </c>
      <c r="R132" s="120">
        <v>0.03</v>
      </c>
      <c r="S132" s="120">
        <v>0.03</v>
      </c>
      <c r="T132" s="120">
        <v>0.01</v>
      </c>
      <c r="U132" s="120">
        <v>0.01</v>
      </c>
      <c r="V132" s="121">
        <f t="shared" si="18"/>
        <v>0</v>
      </c>
      <c r="W132" s="119"/>
      <c r="X132" s="113">
        <f t="shared" si="12"/>
        <v>100.65325313088921</v>
      </c>
      <c r="Y132" s="113">
        <f t="shared" si="13"/>
        <v>138.47125707920188</v>
      </c>
      <c r="Z132" s="113">
        <f t="shared" si="14"/>
        <v>172.49158175758419</v>
      </c>
      <c r="AA132" s="22"/>
      <c r="AB132" s="22"/>
      <c r="AC132" s="22"/>
      <c r="AD132" s="22"/>
      <c r="AE132" s="22"/>
      <c r="AF132" s="22"/>
      <c r="AG132" s="22"/>
      <c r="AH132" s="22"/>
      <c r="AI132" s="22"/>
      <c r="AJ132" s="22"/>
      <c r="AK132" s="22"/>
      <c r="AL132" s="22"/>
      <c r="AM132" s="22"/>
      <c r="AN132" s="22"/>
      <c r="AO132" s="22"/>
      <c r="AP132" s="22"/>
      <c r="AQ132" s="22"/>
      <c r="AR132" s="22"/>
    </row>
    <row r="133" spans="1:44" hidden="1" x14ac:dyDescent="0.25">
      <c r="A133" s="16"/>
      <c r="B133" s="3" t="s">
        <v>210</v>
      </c>
      <c r="C133" s="3" t="s">
        <v>210</v>
      </c>
      <c r="D133" s="1" t="s">
        <v>8</v>
      </c>
      <c r="E133" s="107">
        <v>122.92439594567418</v>
      </c>
      <c r="F133" s="108">
        <v>188.09246660068956</v>
      </c>
      <c r="G133" s="109">
        <v>222.99473206915195</v>
      </c>
      <c r="H133" s="114"/>
      <c r="I133" s="113">
        <v>12.285</v>
      </c>
      <c r="J133" s="114">
        <v>16.893000000000001</v>
      </c>
      <c r="K133" s="109">
        <v>17.765999999999998</v>
      </c>
      <c r="L133" s="114"/>
      <c r="M133" s="113">
        <v>29.660400000000003</v>
      </c>
      <c r="N133" s="114">
        <v>30.334500000000002</v>
      </c>
      <c r="O133" s="109">
        <v>33.319800000000001</v>
      </c>
      <c r="P133" s="119"/>
      <c r="Q133" s="120">
        <v>7.0000000000000007E-2</v>
      </c>
      <c r="R133" s="120">
        <v>7.0000000000000007E-2</v>
      </c>
      <c r="S133" s="120">
        <v>0.1</v>
      </c>
      <c r="T133" s="120" t="s">
        <v>251</v>
      </c>
      <c r="U133" s="120" t="s">
        <v>250</v>
      </c>
      <c r="V133" s="121">
        <f t="shared" si="18"/>
        <v>0</v>
      </c>
      <c r="W133" s="119"/>
      <c r="X133" s="113">
        <f t="shared" si="12"/>
        <v>164.86979594567418</v>
      </c>
      <c r="Y133" s="113">
        <f t="shared" si="13"/>
        <v>235.31996660068955</v>
      </c>
      <c r="Z133" s="113">
        <f t="shared" si="14"/>
        <v>274.08053206915196</v>
      </c>
      <c r="AA133" s="22"/>
      <c r="AB133" s="22"/>
      <c r="AC133" s="22"/>
      <c r="AD133" s="22"/>
      <c r="AE133" s="22"/>
      <c r="AF133" s="22"/>
      <c r="AG133" s="22"/>
      <c r="AH133" s="22"/>
      <c r="AI133" s="22"/>
      <c r="AJ133" s="22"/>
      <c r="AK133" s="22"/>
      <c r="AL133" s="22"/>
      <c r="AM133" s="22"/>
      <c r="AN133" s="22"/>
      <c r="AO133" s="22"/>
      <c r="AP133" s="22"/>
      <c r="AQ133" s="22"/>
      <c r="AR133" s="22"/>
    </row>
    <row r="134" spans="1:44" hidden="1" x14ac:dyDescent="0.25">
      <c r="A134" s="16"/>
      <c r="B134" s="3" t="s">
        <v>211</v>
      </c>
      <c r="C134" s="3" t="s">
        <v>212</v>
      </c>
      <c r="D134" s="1" t="s">
        <v>8</v>
      </c>
      <c r="E134" s="107">
        <v>79.014857832178976</v>
      </c>
      <c r="F134" s="108">
        <v>134.84041121826502</v>
      </c>
      <c r="G134" s="109">
        <v>147.33227624471726</v>
      </c>
      <c r="H134" s="114"/>
      <c r="I134" s="113">
        <v>8.19</v>
      </c>
      <c r="J134" s="114">
        <v>11.261999999999999</v>
      </c>
      <c r="K134" s="109">
        <v>11.843999999999999</v>
      </c>
      <c r="L134" s="114"/>
      <c r="M134" s="113">
        <v>17.820880000000002</v>
      </c>
      <c r="N134" s="114">
        <v>18.225900000000003</v>
      </c>
      <c r="O134" s="109">
        <v>20.019560000000002</v>
      </c>
      <c r="P134" s="119"/>
      <c r="Q134" s="120">
        <v>0.03</v>
      </c>
      <c r="R134" s="120">
        <v>0.02</v>
      </c>
      <c r="S134" s="120">
        <v>0.04</v>
      </c>
      <c r="T134" s="120">
        <v>1.4999999999999999E-2</v>
      </c>
      <c r="U134" s="120">
        <v>1.4999999999999999E-2</v>
      </c>
      <c r="V134" s="121">
        <f t="shared" si="18"/>
        <v>0</v>
      </c>
      <c r="W134" s="119"/>
      <c r="X134" s="113">
        <f t="shared" si="12"/>
        <v>105.02573783217898</v>
      </c>
      <c r="Y134" s="113">
        <f t="shared" si="13"/>
        <v>164.32831121826501</v>
      </c>
      <c r="Z134" s="113">
        <f t="shared" si="14"/>
        <v>179.19583624471727</v>
      </c>
      <c r="AA134" s="22"/>
      <c r="AB134" s="22"/>
      <c r="AC134" s="22"/>
      <c r="AD134" s="22"/>
      <c r="AE134" s="22"/>
      <c r="AF134" s="22"/>
      <c r="AG134" s="22"/>
      <c r="AH134" s="22"/>
      <c r="AI134" s="22"/>
      <c r="AJ134" s="22"/>
      <c r="AK134" s="22"/>
      <c r="AL134" s="22"/>
      <c r="AM134" s="22"/>
      <c r="AN134" s="22"/>
      <c r="AO134" s="22"/>
      <c r="AP134" s="22"/>
      <c r="AQ134" s="22"/>
      <c r="AR134" s="22"/>
    </row>
    <row r="135" spans="1:44" hidden="1" x14ac:dyDescent="0.25">
      <c r="A135" s="16"/>
      <c r="B135" s="3" t="s">
        <v>213</v>
      </c>
      <c r="C135" s="3" t="s">
        <v>214</v>
      </c>
      <c r="D135" s="1" t="s">
        <v>8</v>
      </c>
      <c r="E135" s="107">
        <v>77.610887146401083</v>
      </c>
      <c r="F135" s="108">
        <v>116.79202498559228</v>
      </c>
      <c r="G135" s="109">
        <v>160.88603707396643</v>
      </c>
      <c r="H135" s="114"/>
      <c r="I135" s="113">
        <v>7.0980000000000008</v>
      </c>
      <c r="J135" s="114">
        <v>9.7604000000000006</v>
      </c>
      <c r="K135" s="109">
        <v>10.264799999999999</v>
      </c>
      <c r="L135" s="114"/>
      <c r="M135" s="113">
        <v>17.078481349251756</v>
      </c>
      <c r="N135" s="114">
        <v>17.466628652643845</v>
      </c>
      <c r="O135" s="109">
        <v>19.18556671052308</v>
      </c>
      <c r="P135" s="119"/>
      <c r="Q135" s="120">
        <v>0.04</v>
      </c>
      <c r="R135" s="120">
        <v>0.02</v>
      </c>
      <c r="S135" s="120">
        <v>0.04</v>
      </c>
      <c r="T135" s="120">
        <v>0.02</v>
      </c>
      <c r="U135" s="120">
        <v>0.02</v>
      </c>
      <c r="V135" s="121">
        <f t="shared" si="18"/>
        <v>0</v>
      </c>
      <c r="W135" s="119"/>
      <c r="X135" s="113">
        <f t="shared" si="12"/>
        <v>101.78736849565284</v>
      </c>
      <c r="Y135" s="113">
        <f t="shared" si="13"/>
        <v>144.01905363823613</v>
      </c>
      <c r="Z135" s="113">
        <f t="shared" si="14"/>
        <v>190.33640378448953</v>
      </c>
      <c r="AA135" s="22"/>
      <c r="AB135" s="22"/>
      <c r="AC135" s="22"/>
      <c r="AD135" s="22"/>
      <c r="AE135" s="22"/>
      <c r="AF135" s="22"/>
      <c r="AG135" s="22"/>
      <c r="AH135" s="22"/>
      <c r="AI135" s="22"/>
      <c r="AJ135" s="22"/>
      <c r="AK135" s="22"/>
      <c r="AL135" s="22"/>
      <c r="AM135" s="22"/>
      <c r="AN135" s="22"/>
      <c r="AO135" s="22"/>
      <c r="AP135" s="22"/>
      <c r="AQ135" s="22"/>
      <c r="AR135" s="22"/>
    </row>
    <row r="136" spans="1:44" hidden="1" x14ac:dyDescent="0.25">
      <c r="A136" s="16"/>
      <c r="B136" s="3" t="s">
        <v>215</v>
      </c>
      <c r="C136" s="3" t="s">
        <v>216</v>
      </c>
      <c r="D136" s="1" t="s">
        <v>8</v>
      </c>
      <c r="E136" s="107">
        <v>48.345386063067906</v>
      </c>
      <c r="F136" s="108">
        <v>77.194056607498595</v>
      </c>
      <c r="G136" s="109">
        <v>108.45995590293577</v>
      </c>
      <c r="H136" s="114"/>
      <c r="I136" s="113">
        <v>4.2947668096902287</v>
      </c>
      <c r="J136" s="114">
        <v>5.9056976569879547</v>
      </c>
      <c r="K136" s="109">
        <v>6.2108935401674064</v>
      </c>
      <c r="L136" s="114"/>
      <c r="M136" s="113">
        <v>10.290397446971154</v>
      </c>
      <c r="N136" s="114">
        <v>10.524270116220498</v>
      </c>
      <c r="O136" s="109">
        <v>11.559991937181881</v>
      </c>
      <c r="P136" s="119"/>
      <c r="Q136" s="120">
        <v>0.03</v>
      </c>
      <c r="R136" s="120">
        <v>1.4999999999999999E-2</v>
      </c>
      <c r="S136" s="120">
        <v>0.03</v>
      </c>
      <c r="T136" s="120" t="s">
        <v>250</v>
      </c>
      <c r="U136" s="120">
        <v>1.4999999999999999E-2</v>
      </c>
      <c r="V136" s="121">
        <f>SUBTOTAL(9,Q136:U136)</f>
        <v>0</v>
      </c>
      <c r="W136" s="119"/>
      <c r="X136" s="113">
        <f t="shared" si="12"/>
        <v>62.930550319729292</v>
      </c>
      <c r="Y136" s="113">
        <f t="shared" si="13"/>
        <v>93.624024380707041</v>
      </c>
      <c r="Z136" s="113">
        <f t="shared" si="14"/>
        <v>126.23084138028506</v>
      </c>
      <c r="AA136" s="22"/>
      <c r="AB136" s="22"/>
      <c r="AC136" s="22"/>
      <c r="AD136" s="22"/>
      <c r="AE136" s="22"/>
      <c r="AF136" s="22"/>
      <c r="AG136" s="22"/>
      <c r="AH136" s="22"/>
      <c r="AI136" s="22"/>
      <c r="AJ136" s="22"/>
      <c r="AK136" s="22"/>
      <c r="AL136" s="22"/>
      <c r="AM136" s="22"/>
      <c r="AN136" s="22"/>
      <c r="AO136" s="22"/>
      <c r="AP136" s="22"/>
      <c r="AQ136" s="22"/>
      <c r="AR136" s="22"/>
    </row>
    <row r="137" spans="1:44" hidden="1" x14ac:dyDescent="0.25">
      <c r="A137" s="16"/>
      <c r="B137" s="3" t="s">
        <v>217</v>
      </c>
      <c r="C137" s="3" t="s">
        <v>218</v>
      </c>
      <c r="D137" s="1" t="s">
        <v>8</v>
      </c>
      <c r="E137" s="107">
        <v>56.869843214626805</v>
      </c>
      <c r="F137" s="108">
        <v>71.378143787703294</v>
      </c>
      <c r="G137" s="109">
        <v>91.617573383828912</v>
      </c>
      <c r="H137" s="114"/>
      <c r="I137" s="113">
        <v>5.0520377434124697</v>
      </c>
      <c r="J137" s="114">
        <v>6.947014538011139</v>
      </c>
      <c r="K137" s="109">
        <v>7.3060238135503397</v>
      </c>
      <c r="L137" s="114"/>
      <c r="M137" s="113">
        <v>12.466181199895983</v>
      </c>
      <c r="N137" s="114">
        <v>12.749503499893619</v>
      </c>
      <c r="O137" s="109">
        <v>14.004216542740293</v>
      </c>
      <c r="P137" s="119"/>
      <c r="Q137" s="120">
        <v>0.03</v>
      </c>
      <c r="R137" s="120">
        <v>0.03</v>
      </c>
      <c r="S137" s="120">
        <v>0.04</v>
      </c>
      <c r="T137" s="120">
        <v>0.03</v>
      </c>
      <c r="U137" s="120">
        <v>1.4999999999999999E-2</v>
      </c>
      <c r="V137" s="121">
        <f>SUBTOTAL(9,Q137:U137)</f>
        <v>0</v>
      </c>
      <c r="W137" s="119"/>
      <c r="X137" s="113">
        <f t="shared" si="12"/>
        <v>74.388062157935252</v>
      </c>
      <c r="Y137" s="113">
        <f t="shared" si="13"/>
        <v>91.074661825608047</v>
      </c>
      <c r="Z137" s="113">
        <f t="shared" si="14"/>
        <v>112.92781374011955</v>
      </c>
      <c r="AA137" s="22"/>
      <c r="AB137" s="22"/>
      <c r="AC137" s="22"/>
      <c r="AD137" s="22"/>
      <c r="AE137" s="22"/>
      <c r="AF137" s="22"/>
      <c r="AG137" s="22"/>
      <c r="AH137" s="22"/>
      <c r="AI137" s="22"/>
      <c r="AJ137" s="22"/>
      <c r="AK137" s="22"/>
      <c r="AL137" s="22"/>
      <c r="AM137" s="22"/>
      <c r="AN137" s="22"/>
      <c r="AO137" s="22"/>
      <c r="AP137" s="22"/>
      <c r="AQ137" s="22"/>
      <c r="AR137" s="22"/>
    </row>
    <row r="138" spans="1:44" x14ac:dyDescent="0.25">
      <c r="A138" s="16"/>
      <c r="B138" s="3" t="s">
        <v>219</v>
      </c>
      <c r="C138" s="3" t="s">
        <v>220</v>
      </c>
      <c r="D138" s="1" t="s">
        <v>6</v>
      </c>
      <c r="E138" s="107">
        <v>145.4238732537512</v>
      </c>
      <c r="F138" s="108">
        <v>198.14907698277773</v>
      </c>
      <c r="G138" s="109">
        <v>278.65434529529159</v>
      </c>
      <c r="H138" s="114"/>
      <c r="I138" s="113">
        <v>22.204799999999999</v>
      </c>
      <c r="J138" s="114">
        <v>31.147200000000002</v>
      </c>
      <c r="K138" s="109">
        <v>36.644400000000005</v>
      </c>
      <c r="L138" s="114"/>
      <c r="M138" s="113">
        <v>32.863599999999998</v>
      </c>
      <c r="N138" s="114">
        <v>33.610500000000002</v>
      </c>
      <c r="O138" s="109">
        <v>36.918199999999999</v>
      </c>
      <c r="P138" s="119"/>
      <c r="Q138" s="120">
        <v>0.05</v>
      </c>
      <c r="R138" s="120">
        <v>0.01</v>
      </c>
      <c r="S138" s="120">
        <v>0.05</v>
      </c>
      <c r="T138" s="120">
        <v>0.02</v>
      </c>
      <c r="U138" s="120">
        <v>0.02</v>
      </c>
      <c r="V138" s="121">
        <f t="shared" ref="V138:V139" si="19">SUBTOTAL(9,Q138:U138)</f>
        <v>0.15</v>
      </c>
      <c r="W138" s="119"/>
      <c r="X138" s="113">
        <f t="shared" si="12"/>
        <v>230.56611424181386</v>
      </c>
      <c r="Y138" s="113">
        <f t="shared" si="13"/>
        <v>302.34279353019434</v>
      </c>
      <c r="Z138" s="113">
        <f t="shared" si="14"/>
        <v>405.04948708958534</v>
      </c>
      <c r="AA138" s="22"/>
      <c r="AB138" s="22"/>
      <c r="AC138" s="22"/>
      <c r="AD138" s="22"/>
      <c r="AE138" s="22"/>
      <c r="AF138" s="22"/>
      <c r="AG138" s="22"/>
      <c r="AH138" s="22"/>
      <c r="AI138" s="22"/>
      <c r="AJ138" s="22"/>
      <c r="AK138" s="22"/>
      <c r="AL138" s="22"/>
      <c r="AM138" s="22"/>
      <c r="AN138" s="22"/>
      <c r="AO138" s="22"/>
      <c r="AP138" s="22"/>
      <c r="AQ138" s="22"/>
      <c r="AR138" s="22"/>
    </row>
    <row r="139" spans="1:44" hidden="1" x14ac:dyDescent="0.25">
      <c r="A139" s="16"/>
      <c r="B139" s="3" t="s">
        <v>221</v>
      </c>
      <c r="C139" s="3" t="s">
        <v>222</v>
      </c>
      <c r="D139" s="1" t="s">
        <v>6</v>
      </c>
      <c r="E139" s="107">
        <v>87.864423077278431</v>
      </c>
      <c r="F139" s="108">
        <v>121.68342497597753</v>
      </c>
      <c r="G139" s="109">
        <v>194.45591650805676</v>
      </c>
      <c r="H139" s="114"/>
      <c r="I139" s="113">
        <v>13.416036156195737</v>
      </c>
      <c r="J139" s="114">
        <v>18.818992351395188</v>
      </c>
      <c r="K139" s="109">
        <v>22.140374843371664</v>
      </c>
      <c r="L139" s="114"/>
      <c r="M139" s="113">
        <v>19.219200000000001</v>
      </c>
      <c r="N139" s="114">
        <v>19.655999999999999</v>
      </c>
      <c r="O139" s="109">
        <v>21.590400000000002</v>
      </c>
      <c r="P139" s="119"/>
      <c r="Q139" s="120">
        <v>0.05</v>
      </c>
      <c r="R139" s="120">
        <v>0.02</v>
      </c>
      <c r="S139" s="120">
        <v>0.04</v>
      </c>
      <c r="T139" s="120">
        <v>0.03</v>
      </c>
      <c r="U139" s="120">
        <v>0.02</v>
      </c>
      <c r="V139" s="121">
        <f t="shared" si="19"/>
        <v>0</v>
      </c>
      <c r="W139" s="119"/>
      <c r="X139" s="113">
        <f t="shared" ref="X139" si="20">(E139+I139+M139)*(1+V139)</f>
        <v>120.49965923347418</v>
      </c>
      <c r="Y139" s="113">
        <f t="shared" ref="Y139" si="21">(F139+J139+N139)*(1+V139)</f>
        <v>160.15841732737272</v>
      </c>
      <c r="Z139" s="113">
        <f t="shared" ref="Z139" si="22">(G139+K139+O139)*(1+V139)</f>
        <v>238.18669135142841</v>
      </c>
      <c r="AA139" s="22"/>
      <c r="AB139" s="22"/>
      <c r="AC139" s="22"/>
      <c r="AD139" s="22"/>
      <c r="AE139" s="22"/>
      <c r="AF139" s="22"/>
      <c r="AG139" s="22"/>
      <c r="AH139" s="22"/>
      <c r="AI139" s="22"/>
      <c r="AJ139" s="22"/>
      <c r="AK139" s="22"/>
      <c r="AL139" s="22"/>
      <c r="AM139" s="22"/>
      <c r="AN139" s="22"/>
      <c r="AO139" s="22"/>
      <c r="AP139" s="22"/>
      <c r="AQ139" s="22"/>
      <c r="AR139" s="22"/>
    </row>
    <row r="140" spans="1:44" x14ac:dyDescent="0.25">
      <c r="A140" s="16"/>
      <c r="B140" s="17"/>
      <c r="C140" s="3"/>
      <c r="D140" s="1"/>
      <c r="F140" s="4"/>
      <c r="G140" s="4"/>
      <c r="H140" s="4"/>
      <c r="I140" s="4"/>
      <c r="J140" s="4"/>
      <c r="K140" s="4"/>
      <c r="L140" s="4"/>
      <c r="M140" s="4"/>
      <c r="N140" s="4"/>
      <c r="O140" s="4"/>
      <c r="P140" s="4"/>
      <c r="W140" s="4"/>
      <c r="X140" s="4"/>
      <c r="Y140" s="4"/>
      <c r="Z140" s="4"/>
    </row>
    <row r="141" spans="1:44" x14ac:dyDescent="0.25">
      <c r="A141" s="16"/>
      <c r="B141" s="17"/>
      <c r="C141" s="3"/>
      <c r="D141" s="1"/>
      <c r="F141" s="4"/>
      <c r="G141" s="4"/>
      <c r="H141" s="4"/>
      <c r="I141" s="4"/>
      <c r="J141" s="4"/>
      <c r="K141" s="4"/>
      <c r="L141" s="4"/>
      <c r="M141" s="4"/>
      <c r="N141" s="4"/>
      <c r="O141" s="4"/>
      <c r="P141" s="4"/>
      <c r="Q141" s="4"/>
      <c r="R141" s="4"/>
      <c r="S141" s="4"/>
      <c r="T141" s="4"/>
      <c r="U141" s="4"/>
      <c r="V141" s="4"/>
      <c r="W141" s="4"/>
      <c r="X141" s="4"/>
      <c r="Y141" s="4"/>
      <c r="Z141" s="4"/>
    </row>
    <row r="142" spans="1:44" x14ac:dyDescent="0.25">
      <c r="A142" s="16"/>
      <c r="B142" s="17"/>
      <c r="C142" s="3"/>
      <c r="D142" s="1"/>
      <c r="F142" s="4"/>
      <c r="G142" s="4"/>
      <c r="H142" s="4"/>
      <c r="I142" s="4"/>
      <c r="J142" s="4"/>
      <c r="K142" s="4"/>
      <c r="L142" s="4"/>
      <c r="M142" s="4"/>
      <c r="N142" s="4"/>
      <c r="O142" s="4"/>
      <c r="P142" s="4"/>
      <c r="Q142" s="4"/>
      <c r="R142" s="4"/>
      <c r="S142" s="4"/>
      <c r="T142" s="4"/>
      <c r="U142" s="4"/>
      <c r="V142" s="4"/>
      <c r="W142" s="4"/>
      <c r="X142" s="4"/>
      <c r="Y142" s="4"/>
      <c r="Z142" s="4"/>
    </row>
    <row r="143" spans="1:44" x14ac:dyDescent="0.25">
      <c r="A143" s="16"/>
      <c r="B143" s="17"/>
      <c r="C143" s="3"/>
      <c r="D143" s="1"/>
      <c r="F143" s="4"/>
      <c r="G143" s="4"/>
      <c r="H143" s="4"/>
      <c r="I143" s="4"/>
      <c r="J143" s="4"/>
      <c r="K143" s="4"/>
      <c r="L143" s="4"/>
      <c r="M143" s="4"/>
      <c r="N143" s="4"/>
      <c r="O143" s="4"/>
      <c r="P143" s="4"/>
      <c r="Q143" s="4"/>
      <c r="R143" s="4"/>
      <c r="S143" s="4"/>
      <c r="T143" s="4"/>
      <c r="U143" s="4"/>
      <c r="V143" s="4"/>
      <c r="W143" s="4"/>
      <c r="X143" s="4"/>
      <c r="Y143" s="4"/>
      <c r="Z143" s="4"/>
    </row>
    <row r="144" spans="1:44" x14ac:dyDescent="0.25">
      <c r="A144" s="16"/>
      <c r="B144" s="17"/>
      <c r="C144" s="3"/>
      <c r="D144" s="1"/>
      <c r="F144" s="4"/>
      <c r="G144" s="4"/>
      <c r="H144" s="4"/>
      <c r="I144" s="4"/>
      <c r="J144" s="4"/>
      <c r="K144" s="4"/>
      <c r="L144" s="4"/>
      <c r="M144" s="4"/>
      <c r="N144" s="4"/>
      <c r="O144" s="4"/>
      <c r="P144" s="4"/>
      <c r="Q144" s="4"/>
      <c r="R144" s="4"/>
      <c r="S144" s="4"/>
      <c r="T144" s="4"/>
      <c r="U144" s="4"/>
      <c r="V144" s="4"/>
      <c r="W144" s="4"/>
      <c r="X144" s="4"/>
      <c r="Y144" s="4"/>
      <c r="Z144" s="4"/>
    </row>
    <row r="145" spans="1:26" x14ac:dyDescent="0.25">
      <c r="A145" s="16"/>
      <c r="B145" s="17"/>
      <c r="C145" s="3"/>
      <c r="D145" s="1"/>
      <c r="F145" s="4"/>
      <c r="G145" s="4"/>
      <c r="H145" s="4"/>
      <c r="I145" s="4"/>
      <c r="J145" s="4"/>
      <c r="K145" s="4"/>
      <c r="L145" s="4"/>
      <c r="M145" s="4"/>
      <c r="N145" s="4"/>
      <c r="O145" s="4"/>
      <c r="P145" s="4"/>
      <c r="Q145" s="4"/>
      <c r="R145" s="4"/>
      <c r="S145" s="4"/>
      <c r="T145" s="4"/>
      <c r="U145" s="4"/>
      <c r="V145" s="4"/>
      <c r="W145" s="4"/>
      <c r="X145" s="4"/>
      <c r="Y145" s="4"/>
      <c r="Z145" s="4"/>
    </row>
    <row r="146" spans="1:26" x14ac:dyDescent="0.25">
      <c r="A146" s="16"/>
      <c r="B146" s="17"/>
      <c r="C146" s="3"/>
      <c r="D146" s="1"/>
      <c r="F146" s="4"/>
      <c r="G146" s="4"/>
      <c r="H146" s="4"/>
      <c r="I146" s="4"/>
      <c r="J146" s="4"/>
      <c r="K146" s="4"/>
      <c r="L146" s="4"/>
      <c r="M146" s="4"/>
      <c r="N146" s="4"/>
      <c r="O146" s="4"/>
      <c r="P146" s="4"/>
      <c r="Q146" s="4"/>
      <c r="R146" s="4"/>
      <c r="S146" s="4"/>
      <c r="T146" s="4"/>
      <c r="U146" s="4"/>
      <c r="V146" s="4"/>
      <c r="W146" s="4"/>
      <c r="X146" s="4"/>
      <c r="Y146" s="4"/>
      <c r="Z146" s="4"/>
    </row>
    <row r="147" spans="1:26" x14ac:dyDescent="0.25">
      <c r="A147" s="16"/>
      <c r="B147" s="17"/>
      <c r="C147" s="3"/>
      <c r="D147" s="1"/>
      <c r="F147" s="4"/>
      <c r="G147" s="4"/>
      <c r="H147" s="4"/>
      <c r="I147" s="4"/>
      <c r="J147" s="4"/>
      <c r="K147" s="4"/>
      <c r="L147" s="4"/>
      <c r="M147" s="4"/>
      <c r="N147" s="4"/>
      <c r="O147" s="4"/>
      <c r="P147" s="4"/>
      <c r="Q147" s="4"/>
      <c r="R147" s="4"/>
      <c r="S147" s="4"/>
      <c r="T147" s="4"/>
      <c r="U147" s="4"/>
      <c r="V147" s="4"/>
      <c r="W147" s="4"/>
      <c r="X147" s="4"/>
      <c r="Y147" s="4"/>
      <c r="Z147" s="4"/>
    </row>
    <row r="148" spans="1:26" x14ac:dyDescent="0.25">
      <c r="A148" s="16"/>
      <c r="B148" s="17"/>
      <c r="C148" s="3"/>
      <c r="D148" s="1"/>
      <c r="F148" s="4"/>
      <c r="G148" s="4"/>
      <c r="H148" s="4"/>
      <c r="I148" s="4"/>
      <c r="J148" s="4"/>
      <c r="K148" s="4"/>
      <c r="L148" s="4"/>
      <c r="M148" s="4"/>
      <c r="N148" s="4"/>
      <c r="O148" s="4"/>
      <c r="P148" s="4"/>
      <c r="Q148" s="4"/>
      <c r="R148" s="4"/>
      <c r="S148" s="4"/>
      <c r="T148" s="4"/>
      <c r="U148" s="4"/>
      <c r="V148" s="4"/>
      <c r="W148" s="4"/>
      <c r="X148" s="4"/>
      <c r="Y148" s="4"/>
      <c r="Z148" s="4"/>
    </row>
    <row r="149" spans="1:26" x14ac:dyDescent="0.25">
      <c r="A149" s="16"/>
      <c r="B149" s="17"/>
      <c r="C149" s="3"/>
      <c r="D149" s="1"/>
      <c r="F149" s="4"/>
      <c r="G149" s="4"/>
      <c r="H149" s="4"/>
      <c r="I149" s="4"/>
      <c r="J149" s="4"/>
      <c r="K149" s="4"/>
      <c r="L149" s="4"/>
      <c r="M149" s="4"/>
      <c r="N149" s="4"/>
      <c r="O149" s="4"/>
      <c r="P149" s="4"/>
      <c r="Q149" s="4"/>
      <c r="R149" s="4"/>
      <c r="S149" s="4"/>
      <c r="T149" s="4"/>
      <c r="U149" s="4"/>
      <c r="V149" s="4"/>
      <c r="W149" s="4"/>
      <c r="X149" s="4"/>
      <c r="Y149" s="4"/>
      <c r="Z149" s="4"/>
    </row>
    <row r="150" spans="1:26" x14ac:dyDescent="0.25">
      <c r="A150" s="16"/>
      <c r="B150" s="17"/>
      <c r="C150" s="3"/>
      <c r="D150" s="1"/>
      <c r="F150" s="4"/>
      <c r="G150" s="4"/>
      <c r="H150" s="4"/>
      <c r="I150" s="4"/>
      <c r="J150" s="4"/>
      <c r="K150" s="4"/>
      <c r="L150" s="4"/>
      <c r="M150" s="4"/>
      <c r="N150" s="4"/>
      <c r="O150" s="4"/>
      <c r="P150" s="4"/>
      <c r="Q150" s="4"/>
      <c r="R150" s="4"/>
      <c r="S150" s="4"/>
      <c r="T150" s="4"/>
      <c r="U150" s="4"/>
      <c r="V150" s="4"/>
      <c r="W150" s="4"/>
      <c r="X150" s="4"/>
      <c r="Y150" s="4"/>
      <c r="Z150" s="4"/>
    </row>
    <row r="151" spans="1:26" x14ac:dyDescent="0.25">
      <c r="A151" s="16"/>
      <c r="B151" s="17"/>
      <c r="C151" s="3"/>
      <c r="D151" s="1"/>
      <c r="F151" s="4"/>
      <c r="G151" s="4"/>
      <c r="H151" s="4"/>
      <c r="I151" s="4"/>
      <c r="J151" s="4"/>
      <c r="K151" s="4"/>
      <c r="L151" s="4"/>
      <c r="M151" s="4"/>
      <c r="N151" s="4"/>
      <c r="O151" s="4"/>
      <c r="P151" s="4"/>
      <c r="Q151" s="4"/>
      <c r="R151" s="4"/>
      <c r="S151" s="4"/>
      <c r="T151" s="4"/>
      <c r="U151" s="4"/>
      <c r="V151" s="4"/>
      <c r="W151" s="4"/>
      <c r="X151" s="4"/>
      <c r="Y151" s="4"/>
      <c r="Z151" s="4"/>
    </row>
    <row r="152" spans="1:26" x14ac:dyDescent="0.25">
      <c r="A152" s="16"/>
      <c r="B152" s="17"/>
      <c r="C152" s="3"/>
      <c r="D152" s="1"/>
      <c r="F152" s="4"/>
      <c r="G152" s="4"/>
      <c r="H152" s="4"/>
      <c r="I152" s="4"/>
      <c r="J152" s="4"/>
      <c r="K152" s="4"/>
      <c r="L152" s="4"/>
      <c r="M152" s="4"/>
      <c r="N152" s="4"/>
      <c r="O152" s="4"/>
      <c r="P152" s="4"/>
      <c r="Q152" s="4"/>
      <c r="R152" s="4"/>
      <c r="S152" s="4"/>
      <c r="T152" s="4"/>
      <c r="U152" s="4"/>
      <c r="V152" s="4"/>
      <c r="W152" s="4"/>
      <c r="X152" s="4"/>
      <c r="Y152" s="4"/>
      <c r="Z152" s="4"/>
    </row>
    <row r="153" spans="1:26" x14ac:dyDescent="0.25">
      <c r="A153" s="16"/>
      <c r="B153" s="17"/>
      <c r="C153" s="3"/>
      <c r="D153" s="1"/>
      <c r="F153" s="4"/>
      <c r="G153" s="4"/>
      <c r="H153" s="4"/>
      <c r="I153" s="4"/>
      <c r="J153" s="4"/>
      <c r="K153" s="4"/>
      <c r="L153" s="4"/>
      <c r="M153" s="4"/>
      <c r="N153" s="4"/>
      <c r="O153" s="4"/>
      <c r="P153" s="4"/>
      <c r="Q153" s="4"/>
      <c r="R153" s="4"/>
      <c r="S153" s="4"/>
      <c r="T153" s="4"/>
      <c r="U153" s="4"/>
      <c r="V153" s="4"/>
      <c r="W153" s="4"/>
      <c r="X153" s="4"/>
      <c r="Y153" s="4"/>
      <c r="Z153" s="4"/>
    </row>
    <row r="154" spans="1:26" x14ac:dyDescent="0.25">
      <c r="A154" s="16"/>
      <c r="B154" s="17"/>
      <c r="C154" s="3"/>
      <c r="D154" s="1"/>
      <c r="F154" s="4"/>
      <c r="G154" s="4"/>
      <c r="H154" s="4"/>
      <c r="I154" s="4"/>
      <c r="J154" s="4"/>
      <c r="K154" s="4"/>
      <c r="L154" s="4"/>
      <c r="M154" s="4"/>
      <c r="N154" s="4"/>
      <c r="O154" s="4"/>
      <c r="P154" s="4"/>
      <c r="Q154" s="4"/>
      <c r="R154" s="4"/>
      <c r="S154" s="4"/>
      <c r="T154" s="4"/>
      <c r="U154" s="4"/>
      <c r="V154" s="4"/>
      <c r="W154" s="4"/>
      <c r="X154" s="4"/>
      <c r="Y154" s="4"/>
      <c r="Z154" s="4"/>
    </row>
    <row r="155" spans="1:26" x14ac:dyDescent="0.25">
      <c r="A155" s="16"/>
      <c r="B155" s="17"/>
      <c r="C155" s="3"/>
      <c r="D155" s="1"/>
      <c r="F155" s="4"/>
      <c r="G155" s="4"/>
      <c r="H155" s="4"/>
      <c r="I155" s="4"/>
      <c r="J155" s="4"/>
      <c r="K155" s="4"/>
      <c r="L155" s="4"/>
      <c r="M155" s="4"/>
      <c r="N155" s="4"/>
      <c r="O155" s="4"/>
      <c r="P155" s="4"/>
      <c r="Q155" s="4"/>
      <c r="R155" s="4"/>
      <c r="S155" s="4"/>
      <c r="T155" s="4"/>
      <c r="U155" s="4"/>
      <c r="V155" s="4"/>
      <c r="W155" s="4"/>
      <c r="X155" s="4"/>
      <c r="Y155" s="4"/>
      <c r="Z155" s="4"/>
    </row>
    <row r="156" spans="1:26" x14ac:dyDescent="0.25">
      <c r="A156" s="16"/>
      <c r="B156" s="17"/>
      <c r="C156" s="3"/>
      <c r="D156" s="1"/>
      <c r="F156" s="4"/>
      <c r="G156" s="4"/>
      <c r="H156" s="4"/>
      <c r="I156" s="4"/>
      <c r="J156" s="4"/>
      <c r="K156" s="4"/>
      <c r="L156" s="4"/>
      <c r="M156" s="4"/>
      <c r="N156" s="4"/>
      <c r="O156" s="4"/>
      <c r="P156" s="4"/>
      <c r="Q156" s="4"/>
      <c r="R156" s="4"/>
      <c r="S156" s="4"/>
      <c r="T156" s="4"/>
      <c r="U156" s="4"/>
      <c r="V156" s="4"/>
      <c r="W156" s="4"/>
      <c r="X156" s="4"/>
      <c r="Y156" s="4"/>
      <c r="Z156" s="4"/>
    </row>
    <row r="157" spans="1:26" x14ac:dyDescent="0.25">
      <c r="A157" s="16"/>
      <c r="B157" s="17"/>
      <c r="C157" s="3"/>
      <c r="D157" s="1"/>
      <c r="F157" s="4"/>
      <c r="G157" s="4"/>
      <c r="H157" s="4"/>
      <c r="I157" s="4"/>
      <c r="J157" s="4"/>
      <c r="K157" s="4"/>
      <c r="L157" s="4"/>
      <c r="M157" s="4"/>
      <c r="N157" s="4"/>
      <c r="O157" s="4"/>
      <c r="P157" s="4"/>
      <c r="Q157" s="4"/>
      <c r="R157" s="4"/>
      <c r="S157" s="4"/>
      <c r="T157" s="4"/>
      <c r="U157" s="4"/>
      <c r="V157" s="4"/>
      <c r="W157" s="4"/>
      <c r="X157" s="4"/>
      <c r="Y157" s="4"/>
      <c r="Z157" s="4"/>
    </row>
    <row r="158" spans="1:26" x14ac:dyDescent="0.25">
      <c r="A158" s="16"/>
      <c r="B158" s="17"/>
      <c r="C158" s="3"/>
      <c r="D158" s="1"/>
      <c r="F158" s="4"/>
      <c r="G158" s="4"/>
      <c r="H158" s="4"/>
      <c r="I158" s="4"/>
      <c r="J158" s="4"/>
      <c r="K158" s="4"/>
      <c r="L158" s="4"/>
      <c r="M158" s="4"/>
      <c r="N158" s="4"/>
      <c r="O158" s="4"/>
      <c r="P158" s="4"/>
      <c r="Q158" s="4"/>
      <c r="R158" s="4"/>
      <c r="S158" s="4"/>
      <c r="T158" s="4"/>
      <c r="U158" s="4"/>
      <c r="V158" s="4"/>
      <c r="W158" s="4"/>
      <c r="X158" s="4"/>
      <c r="Y158" s="4"/>
      <c r="Z158" s="4"/>
    </row>
    <row r="159" spans="1:26" x14ac:dyDescent="0.25">
      <c r="A159" s="16"/>
      <c r="B159" s="17"/>
      <c r="C159" s="3"/>
      <c r="D159" s="1"/>
      <c r="F159" s="4"/>
      <c r="G159" s="4"/>
      <c r="H159" s="4"/>
      <c r="I159" s="4"/>
      <c r="J159" s="4"/>
      <c r="K159" s="4"/>
      <c r="L159" s="4"/>
      <c r="M159" s="4"/>
      <c r="N159" s="4"/>
      <c r="O159" s="4"/>
      <c r="P159" s="4"/>
      <c r="Q159" s="4"/>
      <c r="R159" s="4"/>
      <c r="S159" s="4"/>
      <c r="T159" s="4"/>
      <c r="U159" s="4"/>
      <c r="V159" s="4"/>
      <c r="W159" s="4"/>
      <c r="X159" s="4"/>
      <c r="Y159" s="4"/>
      <c r="Z159" s="4"/>
    </row>
  </sheetData>
  <autoFilter ref="B5:D139" xr:uid="{B593B8AD-AE04-4543-B232-6D3D3239B900}">
    <filterColumn colId="0">
      <filters>
        <filter val="Israel"/>
        <filter val="United Kingdom"/>
      </filters>
    </filterColumn>
    <sortState xmlns:xlrd2="http://schemas.microsoft.com/office/spreadsheetml/2017/richdata2" ref="B69:D139">
      <sortCondition ref="B5:B139"/>
    </sortState>
  </autoFilter>
  <mergeCells count="10">
    <mergeCell ref="E1:Z1"/>
    <mergeCell ref="E2:G2"/>
    <mergeCell ref="I2:K2"/>
    <mergeCell ref="M2:O2"/>
    <mergeCell ref="X2:Z2"/>
    <mergeCell ref="Q2:V4"/>
    <mergeCell ref="E3:G3"/>
    <mergeCell ref="I3:K3"/>
    <mergeCell ref="M3:O3"/>
    <mergeCell ref="X3:Z3"/>
  </mergeCells>
  <pageMargins left="0.70866141732283472" right="0.70866141732283472" top="0.74803149606299213" bottom="0.74803149606299213" header="0.31496062992125984" footer="0.31496062992125984"/>
  <pageSetup paperSize="8" scale="70" orientation="landscape" horizontalDpi="1200" verticalDpi="1200" r:id="rId1"/>
  <colBreaks count="2" manualBreakCount="2">
    <brk id="26" max="1048575" man="1"/>
    <brk id="27"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315B6-DBDD-442C-B80C-8756891E5B27}">
  <sheetPr filterMode="1">
    <tabColor theme="8" tint="0.39997558519241921"/>
  </sheetPr>
  <dimension ref="A1:AR159"/>
  <sheetViews>
    <sheetView view="pageBreakPreview" zoomScaleNormal="100" zoomScaleSheetLayoutView="100" workbookViewId="0">
      <selection activeCell="D46" sqref="D46:D69"/>
    </sheetView>
  </sheetViews>
  <sheetFormatPr defaultColWidth="8.83203125" defaultRowHeight="13.5" x14ac:dyDescent="0.25"/>
  <cols>
    <col min="1" max="1" width="4.58203125" customWidth="1"/>
    <col min="2" max="2" width="21" customWidth="1"/>
    <col min="3" max="3" width="14.58203125" customWidth="1"/>
    <col min="4" max="4" width="10.08203125" bestFit="1" customWidth="1"/>
    <col min="5" max="5" width="11" style="4" bestFit="1" customWidth="1"/>
    <col min="6" max="6" width="11" bestFit="1" customWidth="1"/>
    <col min="7" max="7" width="9.08203125" bestFit="1" customWidth="1"/>
    <col min="8" max="8" width="4.58203125" customWidth="1"/>
    <col min="9" max="11" width="11" customWidth="1"/>
    <col min="12" max="12" width="4" customWidth="1"/>
    <col min="13" max="15" width="10.83203125" customWidth="1"/>
    <col min="16" max="16" width="4.58203125" customWidth="1"/>
    <col min="17" max="17" width="7.83203125" hidden="1" customWidth="1"/>
    <col min="18" max="18" width="7" hidden="1" customWidth="1"/>
    <col min="19" max="19" width="5" hidden="1" customWidth="1"/>
    <col min="20" max="20" width="7.5" hidden="1" customWidth="1"/>
    <col min="21" max="21" width="5" hidden="1" customWidth="1"/>
    <col min="22" max="22" width="18" customWidth="1"/>
    <col min="23" max="23" width="4" customWidth="1"/>
    <col min="24" max="24" width="11" customWidth="1"/>
    <col min="25" max="25" width="9.5" customWidth="1"/>
    <col min="26" max="26" width="11" customWidth="1"/>
    <col min="27" max="44" width="6" customWidth="1"/>
  </cols>
  <sheetData>
    <row r="1" spans="1:44" ht="18.5" thickBot="1" x14ac:dyDescent="0.35">
      <c r="E1" s="136" t="s">
        <v>257</v>
      </c>
      <c r="F1" s="137"/>
      <c r="G1" s="137"/>
      <c r="H1" s="138"/>
      <c r="I1" s="138"/>
      <c r="J1" s="138"/>
      <c r="K1" s="138"/>
      <c r="L1" s="138"/>
      <c r="M1" s="138"/>
      <c r="N1" s="138"/>
      <c r="O1" s="138"/>
      <c r="P1" s="138"/>
      <c r="Q1" s="138"/>
      <c r="R1" s="138"/>
      <c r="S1" s="138"/>
      <c r="T1" s="138"/>
      <c r="U1" s="138"/>
      <c r="V1" s="138"/>
      <c r="W1" s="138"/>
      <c r="X1" s="138"/>
      <c r="Y1" s="138"/>
      <c r="Z1" s="138"/>
      <c r="AA1" s="53"/>
    </row>
    <row r="2" spans="1:44" ht="17.5" customHeight="1" x14ac:dyDescent="0.25">
      <c r="A2" s="20"/>
      <c r="B2" s="15"/>
      <c r="C2" s="2"/>
      <c r="D2" s="38"/>
      <c r="E2" s="150" t="s">
        <v>0</v>
      </c>
      <c r="F2" s="151"/>
      <c r="G2" s="152"/>
      <c r="H2" s="54"/>
      <c r="I2" s="139" t="s">
        <v>224</v>
      </c>
      <c r="J2" s="140"/>
      <c r="K2" s="141"/>
      <c r="L2" s="54"/>
      <c r="M2" s="145" t="s">
        <v>231</v>
      </c>
      <c r="N2" s="146"/>
      <c r="O2" s="160"/>
      <c r="P2" s="123"/>
      <c r="Q2" s="154" t="s">
        <v>232</v>
      </c>
      <c r="R2" s="140"/>
      <c r="S2" s="140"/>
      <c r="T2" s="140"/>
      <c r="U2" s="140"/>
      <c r="V2" s="140"/>
      <c r="W2" s="100"/>
      <c r="X2" s="147" t="s">
        <v>233</v>
      </c>
      <c r="Y2" s="148"/>
      <c r="Z2" s="149"/>
      <c r="AA2" s="22"/>
      <c r="AB2" s="22"/>
      <c r="AC2" s="22"/>
      <c r="AD2" s="22"/>
      <c r="AE2" s="22"/>
      <c r="AF2" s="22"/>
      <c r="AG2" s="22"/>
      <c r="AH2" s="22"/>
      <c r="AI2" s="22"/>
      <c r="AJ2" s="22"/>
      <c r="AK2" s="22"/>
      <c r="AL2" s="22"/>
      <c r="AM2" s="22"/>
      <c r="AN2" s="22"/>
      <c r="AO2" s="22"/>
      <c r="AP2" s="22"/>
      <c r="AQ2" s="22"/>
      <c r="AR2" s="22"/>
    </row>
    <row r="3" spans="1:44" x14ac:dyDescent="0.25">
      <c r="A3" s="16"/>
      <c r="B3" s="16"/>
      <c r="C3" s="1"/>
      <c r="D3" s="1"/>
      <c r="E3" s="142"/>
      <c r="F3" s="133"/>
      <c r="G3" s="143"/>
      <c r="H3" s="36"/>
      <c r="I3" s="142"/>
      <c r="J3" s="133"/>
      <c r="K3" s="143"/>
      <c r="L3" s="36"/>
      <c r="M3" s="142"/>
      <c r="N3" s="133"/>
      <c r="O3" s="143"/>
      <c r="P3" s="101"/>
      <c r="Q3" s="162"/>
      <c r="R3" s="162"/>
      <c r="S3" s="162"/>
      <c r="T3" s="162"/>
      <c r="U3" s="162"/>
      <c r="V3" s="162"/>
      <c r="W3" s="101"/>
      <c r="X3" s="142"/>
      <c r="Y3" s="133"/>
      <c r="Z3" s="143"/>
      <c r="AA3" s="22"/>
      <c r="AB3" s="22"/>
      <c r="AC3" s="22"/>
      <c r="AD3" s="22"/>
      <c r="AE3" s="22"/>
      <c r="AF3" s="22"/>
      <c r="AG3" s="22"/>
      <c r="AH3" s="22"/>
      <c r="AI3" s="22"/>
      <c r="AJ3" s="22"/>
      <c r="AK3" s="22"/>
      <c r="AL3" s="22"/>
      <c r="AM3" s="22"/>
      <c r="AN3" s="22"/>
      <c r="AO3" s="22"/>
      <c r="AP3" s="22"/>
      <c r="AQ3" s="22"/>
      <c r="AR3" s="22"/>
    </row>
    <row r="4" spans="1:44" x14ac:dyDescent="0.25">
      <c r="A4" s="16"/>
      <c r="B4" s="16"/>
      <c r="C4" s="1"/>
      <c r="D4" s="1"/>
      <c r="E4" s="39" t="s">
        <v>9</v>
      </c>
      <c r="F4" s="6" t="s">
        <v>10</v>
      </c>
      <c r="G4" s="40" t="s">
        <v>11</v>
      </c>
      <c r="H4" s="36"/>
      <c r="I4" s="48" t="s">
        <v>9</v>
      </c>
      <c r="J4" s="36" t="s">
        <v>10</v>
      </c>
      <c r="K4" s="49" t="s">
        <v>11</v>
      </c>
      <c r="L4" s="36"/>
      <c r="M4" s="48" t="s">
        <v>9</v>
      </c>
      <c r="N4" s="36" t="s">
        <v>10</v>
      </c>
      <c r="O4" s="49" t="s">
        <v>11</v>
      </c>
      <c r="P4" s="101"/>
      <c r="Q4" s="162"/>
      <c r="R4" s="162"/>
      <c r="S4" s="162"/>
      <c r="T4" s="162"/>
      <c r="U4" s="162"/>
      <c r="V4" s="162"/>
      <c r="W4" s="101"/>
      <c r="X4" s="48" t="s">
        <v>9</v>
      </c>
      <c r="Y4" s="36" t="s">
        <v>10</v>
      </c>
      <c r="Z4" s="49" t="s">
        <v>11</v>
      </c>
      <c r="AA4" s="22"/>
      <c r="AB4" s="22"/>
      <c r="AC4" s="22"/>
      <c r="AD4" s="22"/>
      <c r="AE4" s="22"/>
      <c r="AF4" s="22"/>
      <c r="AG4" s="22"/>
      <c r="AH4" s="22"/>
      <c r="AI4" s="22"/>
      <c r="AJ4" s="22"/>
      <c r="AK4" s="22"/>
      <c r="AL4" s="22"/>
      <c r="AM4" s="22"/>
      <c r="AN4" s="22"/>
      <c r="AO4" s="22"/>
      <c r="AP4" s="22"/>
      <c r="AQ4" s="22"/>
      <c r="AR4" s="22"/>
    </row>
    <row r="5" spans="1:44" x14ac:dyDescent="0.25">
      <c r="A5" s="16"/>
      <c r="B5" s="12" t="s">
        <v>14</v>
      </c>
      <c r="C5" s="12" t="s">
        <v>15</v>
      </c>
      <c r="D5" s="37" t="s">
        <v>16</v>
      </c>
      <c r="E5" s="41"/>
      <c r="F5" s="14"/>
      <c r="G5" s="42"/>
      <c r="H5" s="37"/>
      <c r="I5" s="50"/>
      <c r="J5" s="37"/>
      <c r="K5" s="51"/>
      <c r="L5" s="37"/>
      <c r="M5" s="50"/>
      <c r="N5" s="37"/>
      <c r="O5" s="51"/>
      <c r="P5" s="115"/>
      <c r="Q5" s="36" t="s">
        <v>234</v>
      </c>
      <c r="R5" s="36" t="s">
        <v>235</v>
      </c>
      <c r="S5" s="36" t="s">
        <v>236</v>
      </c>
      <c r="T5" s="36" t="s">
        <v>237</v>
      </c>
      <c r="U5" s="36" t="s">
        <v>238</v>
      </c>
      <c r="V5" s="36" t="s">
        <v>239</v>
      </c>
      <c r="W5" s="115"/>
      <c r="X5" s="50"/>
      <c r="Y5" s="37"/>
      <c r="Z5" s="51"/>
      <c r="AA5" s="22"/>
      <c r="AB5" s="22"/>
      <c r="AC5" s="22"/>
      <c r="AD5" s="22"/>
      <c r="AE5" s="22"/>
      <c r="AF5" s="22"/>
      <c r="AG5" s="22"/>
      <c r="AH5" s="22"/>
      <c r="AI5" s="22"/>
      <c r="AJ5" s="22"/>
      <c r="AK5" s="22"/>
      <c r="AL5" s="22"/>
      <c r="AM5" s="22"/>
      <c r="AN5" s="22"/>
      <c r="AO5" s="22"/>
      <c r="AP5" s="22"/>
      <c r="AQ5" s="22"/>
      <c r="AR5" s="22"/>
    </row>
    <row r="6" spans="1:44" hidden="1" x14ac:dyDescent="0.25">
      <c r="A6" s="16"/>
      <c r="B6" s="3" t="s">
        <v>17</v>
      </c>
      <c r="C6" s="3" t="s">
        <v>18</v>
      </c>
      <c r="D6" s="11" t="s">
        <v>19</v>
      </c>
      <c r="E6" s="116">
        <v>1744.1546494281451</v>
      </c>
      <c r="F6" s="117">
        <v>2478.8513177523619</v>
      </c>
      <c r="G6" s="118">
        <v>2933.1367478866237</v>
      </c>
      <c r="H6" s="114"/>
      <c r="I6" s="113">
        <v>150.67948411931741</v>
      </c>
      <c r="J6" s="114">
        <v>242.19748591888398</v>
      </c>
      <c r="K6" s="109">
        <v>289.88575118288117</v>
      </c>
      <c r="L6" s="114"/>
      <c r="M6" s="113">
        <v>412.61379064966394</v>
      </c>
      <c r="N6" s="114">
        <v>422.06267633344061</v>
      </c>
      <c r="O6" s="109">
        <v>463.09499150304276</v>
      </c>
      <c r="P6" s="119"/>
      <c r="Q6" s="120">
        <v>0.08</v>
      </c>
      <c r="R6" s="120">
        <v>0.05</v>
      </c>
      <c r="S6" s="120">
        <v>0.03</v>
      </c>
      <c r="T6" s="120">
        <v>1.4999999999999999E-2</v>
      </c>
      <c r="U6" s="120">
        <v>0.02</v>
      </c>
      <c r="V6" s="121">
        <f t="shared" ref="V6:V57" si="0">SUBTOTAL(9,Q6:U6)</f>
        <v>0</v>
      </c>
      <c r="W6" s="119"/>
      <c r="X6" s="113">
        <f>(E6+I6+M6)*(1+V6)</f>
        <v>2307.4479241971262</v>
      </c>
      <c r="Y6" s="113">
        <f>(F6+J6+N6)*(1+V6)</f>
        <v>3143.1114800046867</v>
      </c>
      <c r="Z6" s="113">
        <f>(G6+K6+O6)*(1+V6)</f>
        <v>3686.1174905725475</v>
      </c>
      <c r="AA6" s="22"/>
      <c r="AB6" s="22"/>
      <c r="AC6" s="22"/>
      <c r="AD6" s="22"/>
      <c r="AE6" s="22"/>
      <c r="AF6" s="22"/>
      <c r="AG6" s="22"/>
      <c r="AH6" s="22"/>
      <c r="AI6" s="22"/>
      <c r="AJ6" s="22"/>
      <c r="AK6" s="22"/>
      <c r="AL6" s="22"/>
      <c r="AM6" s="22"/>
      <c r="AN6" s="22"/>
      <c r="AO6" s="22"/>
      <c r="AP6" s="22"/>
      <c r="AQ6" s="22"/>
      <c r="AR6" s="22"/>
    </row>
    <row r="7" spans="1:44" hidden="1" x14ac:dyDescent="0.25">
      <c r="A7" s="16"/>
      <c r="B7" s="3" t="s">
        <v>17</v>
      </c>
      <c r="C7" s="3" t="s">
        <v>20</v>
      </c>
      <c r="D7" s="11" t="s">
        <v>19</v>
      </c>
      <c r="E7" s="107">
        <v>1671.2386872202885</v>
      </c>
      <c r="F7" s="108">
        <v>2376.9915464942815</v>
      </c>
      <c r="G7" s="109">
        <v>2805.8960716061661</v>
      </c>
      <c r="H7" s="114"/>
      <c r="I7" s="113">
        <v>140.75092481400029</v>
      </c>
      <c r="J7" s="114">
        <v>226.23863049407927</v>
      </c>
      <c r="K7" s="109">
        <v>270.78462478065285</v>
      </c>
      <c r="L7" s="114"/>
      <c r="M7" s="113">
        <v>385.42587907297639</v>
      </c>
      <c r="N7" s="114">
        <v>394.25215961293503</v>
      </c>
      <c r="O7" s="109">
        <v>432.58077708290034</v>
      </c>
      <c r="P7" s="119"/>
      <c r="Q7" s="120">
        <v>0.08</v>
      </c>
      <c r="R7" s="120">
        <v>0.05</v>
      </c>
      <c r="S7" s="120">
        <v>0.03</v>
      </c>
      <c r="T7" s="120">
        <v>1.4999999999999999E-2</v>
      </c>
      <c r="U7" s="120">
        <v>0.02</v>
      </c>
      <c r="V7" s="121">
        <f t="shared" si="0"/>
        <v>0</v>
      </c>
      <c r="W7" s="119"/>
      <c r="X7" s="113">
        <f t="shared" ref="X7:X74" si="1">(E7+I7+M7)*(1+V7)</f>
        <v>2197.4154911072651</v>
      </c>
      <c r="Y7" s="113">
        <f t="shared" ref="Y7:Y74" si="2">(F7+J7+N7)*(1+V7)</f>
        <v>2997.4823366012956</v>
      </c>
      <c r="Z7" s="113">
        <f t="shared" ref="Z7:Z74" si="3">(G7+K7+O7)*(1+V7)</f>
        <v>3509.261473469719</v>
      </c>
      <c r="AA7" s="22"/>
      <c r="AB7" s="22"/>
      <c r="AC7" s="22"/>
      <c r="AD7" s="22"/>
      <c r="AE7" s="22"/>
      <c r="AF7" s="22"/>
      <c r="AG7" s="22"/>
      <c r="AH7" s="22"/>
      <c r="AI7" s="22"/>
      <c r="AJ7" s="22"/>
      <c r="AK7" s="22"/>
      <c r="AL7" s="22"/>
      <c r="AM7" s="22"/>
      <c r="AN7" s="22"/>
      <c r="AO7" s="22"/>
      <c r="AP7" s="22"/>
      <c r="AQ7" s="22"/>
      <c r="AR7" s="22"/>
    </row>
    <row r="8" spans="1:44" hidden="1" x14ac:dyDescent="0.25">
      <c r="A8" s="16"/>
      <c r="B8" s="3" t="s">
        <v>17</v>
      </c>
      <c r="C8" s="3" t="s">
        <v>240</v>
      </c>
      <c r="D8" s="11" t="s">
        <v>19</v>
      </c>
      <c r="E8" s="107">
        <v>1671.2386872202885</v>
      </c>
      <c r="F8" s="108">
        <v>2376.9915464942815</v>
      </c>
      <c r="G8" s="109">
        <v>2805.8960716061661</v>
      </c>
      <c r="H8" s="114"/>
      <c r="I8" s="113">
        <v>140.75092481400029</v>
      </c>
      <c r="J8" s="114">
        <v>226.23863049407927</v>
      </c>
      <c r="K8" s="109">
        <v>270.78462478065285</v>
      </c>
      <c r="L8" s="114"/>
      <c r="M8" s="113">
        <v>385.42587907297639</v>
      </c>
      <c r="N8" s="114">
        <v>394.25215961293503</v>
      </c>
      <c r="O8" s="109">
        <v>432.58077708290034</v>
      </c>
      <c r="P8" s="119"/>
      <c r="Q8" s="120">
        <v>0.08</v>
      </c>
      <c r="R8" s="120">
        <v>0.05</v>
      </c>
      <c r="S8" s="120">
        <v>0.03</v>
      </c>
      <c r="T8" s="120">
        <v>1.4999999999999999E-2</v>
      </c>
      <c r="U8" s="120">
        <v>0.02</v>
      </c>
      <c r="V8" s="121">
        <f t="shared" si="0"/>
        <v>0</v>
      </c>
      <c r="W8" s="119"/>
      <c r="X8" s="113">
        <f t="shared" si="1"/>
        <v>2197.4154911072651</v>
      </c>
      <c r="Y8" s="113">
        <f t="shared" si="2"/>
        <v>2997.4823366012956</v>
      </c>
      <c r="Z8" s="113">
        <f t="shared" si="3"/>
        <v>3509.261473469719</v>
      </c>
      <c r="AA8" s="22"/>
      <c r="AB8" s="22"/>
      <c r="AC8" s="22"/>
      <c r="AD8" s="22"/>
      <c r="AE8" s="22"/>
      <c r="AF8" s="22"/>
      <c r="AG8" s="22"/>
      <c r="AH8" s="22"/>
      <c r="AI8" s="22"/>
      <c r="AJ8" s="22"/>
      <c r="AK8" s="22"/>
      <c r="AL8" s="22"/>
      <c r="AM8" s="22"/>
      <c r="AN8" s="22"/>
      <c r="AO8" s="22"/>
      <c r="AP8" s="22"/>
      <c r="AQ8" s="22"/>
      <c r="AR8" s="22"/>
    </row>
    <row r="9" spans="1:44" hidden="1" x14ac:dyDescent="0.25">
      <c r="A9" s="16"/>
      <c r="B9" s="3" t="s">
        <v>17</v>
      </c>
      <c r="C9" s="3" t="s">
        <v>22</v>
      </c>
      <c r="D9" s="11" t="s">
        <v>19</v>
      </c>
      <c r="E9" s="107">
        <v>2189.4728990551962</v>
      </c>
      <c r="F9" s="108">
        <v>3117.3779214321235</v>
      </c>
      <c r="G9" s="109">
        <v>3681.2884137245151</v>
      </c>
      <c r="H9" s="114"/>
      <c r="I9" s="113">
        <v>184.40490774830505</v>
      </c>
      <c r="J9" s="114">
        <v>296.40667612305293</v>
      </c>
      <c r="K9" s="109">
        <v>354.76863699703966</v>
      </c>
      <c r="L9" s="114"/>
      <c r="M9" s="113">
        <v>504.96594440274635</v>
      </c>
      <c r="N9" s="114">
        <v>516.52970109480771</v>
      </c>
      <c r="O9" s="109">
        <v>566.74596203951728</v>
      </c>
      <c r="P9" s="119"/>
      <c r="Q9" s="120">
        <v>0.08</v>
      </c>
      <c r="R9" s="120">
        <v>0.05</v>
      </c>
      <c r="S9" s="120">
        <v>0.03</v>
      </c>
      <c r="T9" s="120">
        <v>1.4999999999999999E-2</v>
      </c>
      <c r="U9" s="120">
        <v>0.02</v>
      </c>
      <c r="V9" s="121">
        <f t="shared" si="0"/>
        <v>0</v>
      </c>
      <c r="W9" s="119"/>
      <c r="X9" s="113">
        <f t="shared" si="1"/>
        <v>2878.8437512062474</v>
      </c>
      <c r="Y9" s="113">
        <f t="shared" si="2"/>
        <v>3930.3142986499843</v>
      </c>
      <c r="Z9" s="113">
        <f t="shared" si="3"/>
        <v>4602.8030127610718</v>
      </c>
      <c r="AA9" s="22"/>
      <c r="AB9" s="22"/>
      <c r="AC9" s="22"/>
      <c r="AD9" s="22"/>
      <c r="AE9" s="22"/>
      <c r="AF9" s="22"/>
      <c r="AG9" s="22"/>
      <c r="AH9" s="22"/>
      <c r="AI9" s="22"/>
      <c r="AJ9" s="22"/>
      <c r="AK9" s="22"/>
      <c r="AL9" s="22"/>
      <c r="AM9" s="22"/>
      <c r="AN9" s="22"/>
      <c r="AO9" s="22"/>
      <c r="AP9" s="22"/>
      <c r="AQ9" s="22"/>
      <c r="AR9" s="22"/>
    </row>
    <row r="10" spans="1:44" hidden="1" x14ac:dyDescent="0.25">
      <c r="A10" s="16"/>
      <c r="B10" s="3" t="s">
        <v>17</v>
      </c>
      <c r="C10" s="3" t="s">
        <v>23</v>
      </c>
      <c r="D10" s="11" t="s">
        <v>19</v>
      </c>
      <c r="E10" s="107">
        <v>1711.5121829935356</v>
      </c>
      <c r="F10" s="108">
        <v>2430.6210840377921</v>
      </c>
      <c r="G10" s="109">
        <v>2880.7702635504725</v>
      </c>
      <c r="H10" s="114"/>
      <c r="I10" s="113">
        <v>146.15218243130505</v>
      </c>
      <c r="J10" s="114">
        <v>234.92044290774234</v>
      </c>
      <c r="K10" s="109">
        <v>281.17587101351626</v>
      </c>
      <c r="L10" s="114"/>
      <c r="M10" s="113">
        <v>400.21643528424357</v>
      </c>
      <c r="N10" s="114">
        <v>409.38142063244351</v>
      </c>
      <c r="O10" s="109">
        <v>449.18088269788126</v>
      </c>
      <c r="P10" s="119"/>
      <c r="Q10" s="120">
        <v>0.08</v>
      </c>
      <c r="R10" s="120">
        <v>0.05</v>
      </c>
      <c r="S10" s="120">
        <v>0.03</v>
      </c>
      <c r="T10" s="120">
        <v>1.4999999999999999E-2</v>
      </c>
      <c r="U10" s="120">
        <v>0.02</v>
      </c>
      <c r="V10" s="121">
        <f t="shared" si="0"/>
        <v>0</v>
      </c>
      <c r="W10" s="119"/>
      <c r="X10" s="113">
        <f t="shared" si="1"/>
        <v>2257.8808007090843</v>
      </c>
      <c r="Y10" s="113">
        <f t="shared" si="2"/>
        <v>3074.922947577978</v>
      </c>
      <c r="Z10" s="113">
        <f t="shared" si="3"/>
        <v>3611.1270172618702</v>
      </c>
      <c r="AA10" s="22"/>
      <c r="AB10" s="22"/>
      <c r="AC10" s="22"/>
      <c r="AD10" s="22"/>
      <c r="AE10" s="22"/>
      <c r="AF10" s="22"/>
      <c r="AG10" s="22"/>
      <c r="AH10" s="22"/>
      <c r="AI10" s="22"/>
      <c r="AJ10" s="22"/>
      <c r="AK10" s="22"/>
      <c r="AL10" s="22"/>
      <c r="AM10" s="22"/>
      <c r="AN10" s="22"/>
      <c r="AO10" s="22"/>
      <c r="AP10" s="22"/>
      <c r="AQ10" s="22"/>
      <c r="AR10" s="22"/>
    </row>
    <row r="11" spans="1:44" hidden="1" x14ac:dyDescent="0.25">
      <c r="A11" s="16"/>
      <c r="B11" s="3" t="s">
        <v>17</v>
      </c>
      <c r="C11" s="3" t="s">
        <v>24</v>
      </c>
      <c r="D11" s="11" t="s">
        <v>19</v>
      </c>
      <c r="E11" s="107">
        <v>2131.4758826454499</v>
      </c>
      <c r="F11" s="108">
        <v>3034.5181501740426</v>
      </c>
      <c r="G11" s="109">
        <v>3583.3207359522626</v>
      </c>
      <c r="H11" s="114"/>
      <c r="I11" s="113">
        <v>179.51945111670025</v>
      </c>
      <c r="J11" s="114">
        <v>288.55394606722496</v>
      </c>
      <c r="K11" s="109">
        <v>345.36971800152003</v>
      </c>
      <c r="L11" s="114"/>
      <c r="M11" s="113">
        <v>491.58783396121635</v>
      </c>
      <c r="N11" s="114">
        <v>502.8452309554404</v>
      </c>
      <c r="O11" s="109">
        <v>551.73110775776274</v>
      </c>
      <c r="P11" s="119"/>
      <c r="Q11" s="120">
        <v>0.08</v>
      </c>
      <c r="R11" s="120">
        <v>0.05</v>
      </c>
      <c r="S11" s="120">
        <v>0.03</v>
      </c>
      <c r="T11" s="120">
        <v>1.4999999999999999E-2</v>
      </c>
      <c r="U11" s="120">
        <v>0.02</v>
      </c>
      <c r="V11" s="121">
        <f t="shared" si="0"/>
        <v>0</v>
      </c>
      <c r="W11" s="119"/>
      <c r="X11" s="113">
        <f t="shared" si="1"/>
        <v>2802.5831677233664</v>
      </c>
      <c r="Y11" s="113">
        <f t="shared" si="2"/>
        <v>3825.9173271967079</v>
      </c>
      <c r="Z11" s="113">
        <f t="shared" si="3"/>
        <v>4480.4215617115451</v>
      </c>
      <c r="AA11" s="22"/>
      <c r="AB11" s="22"/>
      <c r="AC11" s="22"/>
      <c r="AD11" s="22"/>
      <c r="AE11" s="22"/>
      <c r="AF11" s="22"/>
      <c r="AG11" s="22"/>
      <c r="AH11" s="22"/>
      <c r="AI11" s="22"/>
      <c r="AJ11" s="22"/>
      <c r="AK11" s="22"/>
      <c r="AL11" s="22"/>
      <c r="AM11" s="22"/>
      <c r="AN11" s="22"/>
      <c r="AO11" s="22"/>
      <c r="AP11" s="22"/>
      <c r="AQ11" s="22"/>
      <c r="AR11" s="22"/>
    </row>
    <row r="12" spans="1:44" hidden="1" x14ac:dyDescent="0.25">
      <c r="A12" s="16"/>
      <c r="B12" s="3" t="s">
        <v>17</v>
      </c>
      <c r="C12" s="3" t="s">
        <v>25</v>
      </c>
      <c r="D12" s="11" t="s">
        <v>19</v>
      </c>
      <c r="E12" s="107">
        <v>1745.531576330184</v>
      </c>
      <c r="F12" s="108">
        <v>2479.1447041273</v>
      </c>
      <c r="G12" s="109">
        <v>2938.3734460467431</v>
      </c>
      <c r="H12" s="114"/>
      <c r="I12" s="113">
        <v>146.77731057520495</v>
      </c>
      <c r="J12" s="114">
        <v>235.92525431730226</v>
      </c>
      <c r="K12" s="109">
        <v>282.37852804834176</v>
      </c>
      <c r="L12" s="114"/>
      <c r="M12" s="113">
        <v>401.92825753133906</v>
      </c>
      <c r="N12" s="114">
        <v>411.13244373295282</v>
      </c>
      <c r="O12" s="109">
        <v>451.10213769938099</v>
      </c>
      <c r="P12" s="119"/>
      <c r="Q12" s="120">
        <v>0.08</v>
      </c>
      <c r="R12" s="120">
        <v>0.05</v>
      </c>
      <c r="S12" s="120">
        <v>0.03</v>
      </c>
      <c r="T12" s="120">
        <v>1.4999999999999999E-2</v>
      </c>
      <c r="U12" s="120">
        <v>0.02</v>
      </c>
      <c r="V12" s="121">
        <f t="shared" si="0"/>
        <v>0</v>
      </c>
      <c r="W12" s="119"/>
      <c r="X12" s="113">
        <f t="shared" si="1"/>
        <v>2294.2371444367277</v>
      </c>
      <c r="Y12" s="113">
        <f t="shared" si="2"/>
        <v>3126.2024021775551</v>
      </c>
      <c r="Z12" s="113">
        <f t="shared" si="3"/>
        <v>3671.8541117944656</v>
      </c>
      <c r="AA12" s="22"/>
      <c r="AB12" s="22"/>
      <c r="AC12" s="22"/>
      <c r="AD12" s="22"/>
      <c r="AE12" s="22"/>
      <c r="AF12" s="22"/>
      <c r="AG12" s="22"/>
      <c r="AH12" s="22"/>
      <c r="AI12" s="22"/>
      <c r="AJ12" s="22"/>
      <c r="AK12" s="22"/>
      <c r="AL12" s="22"/>
      <c r="AM12" s="22"/>
      <c r="AN12" s="22"/>
      <c r="AO12" s="22"/>
      <c r="AP12" s="22"/>
      <c r="AQ12" s="22"/>
      <c r="AR12" s="22"/>
    </row>
    <row r="13" spans="1:44" hidden="1" x14ac:dyDescent="0.25">
      <c r="A13" s="16"/>
      <c r="B13" s="3" t="s">
        <v>17</v>
      </c>
      <c r="C13" s="3" t="s">
        <v>26</v>
      </c>
      <c r="D13" s="11" t="s">
        <v>19</v>
      </c>
      <c r="E13" s="107">
        <v>1672.120835405271</v>
      </c>
      <c r="F13" s="108">
        <v>2374.4356041770266</v>
      </c>
      <c r="G13" s="109">
        <v>2814.0716061660864</v>
      </c>
      <c r="H13" s="114"/>
      <c r="I13" s="113">
        <v>142.78713796878341</v>
      </c>
      <c r="J13" s="114">
        <v>229.51157577767813</v>
      </c>
      <c r="K13" s="109">
        <v>274.70200731877833</v>
      </c>
      <c r="L13" s="114"/>
      <c r="M13" s="113">
        <v>391.00175181554891</v>
      </c>
      <c r="N13" s="114">
        <v>399.95572024506862</v>
      </c>
      <c r="O13" s="109">
        <v>438.83882952530189</v>
      </c>
      <c r="P13" s="119"/>
      <c r="Q13" s="120">
        <v>0.08</v>
      </c>
      <c r="R13" s="120">
        <v>0.05</v>
      </c>
      <c r="S13" s="120">
        <v>0.03</v>
      </c>
      <c r="T13" s="120">
        <v>1.4999999999999999E-2</v>
      </c>
      <c r="U13" s="120">
        <v>0.02</v>
      </c>
      <c r="V13" s="121">
        <f t="shared" si="0"/>
        <v>0</v>
      </c>
      <c r="W13" s="119"/>
      <c r="X13" s="113">
        <f t="shared" si="1"/>
        <v>2205.9097251896033</v>
      </c>
      <c r="Y13" s="113">
        <f t="shared" si="2"/>
        <v>3003.9029001997733</v>
      </c>
      <c r="Z13" s="113">
        <f t="shared" si="3"/>
        <v>3527.6124430101663</v>
      </c>
      <c r="AA13" s="22"/>
      <c r="AB13" s="22"/>
      <c r="AC13" s="22"/>
      <c r="AD13" s="22"/>
      <c r="AE13" s="22"/>
      <c r="AF13" s="22"/>
      <c r="AG13" s="22"/>
      <c r="AH13" s="22"/>
      <c r="AI13" s="22"/>
      <c r="AJ13" s="22"/>
      <c r="AK13" s="22"/>
      <c r="AL13" s="22"/>
      <c r="AM13" s="22"/>
      <c r="AN13" s="22"/>
      <c r="AO13" s="22"/>
      <c r="AP13" s="22"/>
      <c r="AQ13" s="22"/>
      <c r="AR13" s="22"/>
    </row>
    <row r="14" spans="1:44" hidden="1" x14ac:dyDescent="0.25">
      <c r="A14" s="16"/>
      <c r="B14" s="3" t="s">
        <v>17</v>
      </c>
      <c r="C14" s="3" t="s">
        <v>27</v>
      </c>
      <c r="D14" s="11" t="s">
        <v>19</v>
      </c>
      <c r="E14" s="107">
        <v>1649.2710094480358</v>
      </c>
      <c r="F14" s="108">
        <v>2341.8428642466433</v>
      </c>
      <c r="G14" s="109">
        <v>2775.3809050223767</v>
      </c>
      <c r="H14" s="114"/>
      <c r="I14" s="113">
        <v>134.01434652644758</v>
      </c>
      <c r="J14" s="114">
        <v>215.41046543579557</v>
      </c>
      <c r="K14" s="109">
        <v>257.82441278694091</v>
      </c>
      <c r="L14" s="114"/>
      <c r="M14" s="113">
        <v>366.97874196282896</v>
      </c>
      <c r="N14" s="114">
        <v>375.38258172718406</v>
      </c>
      <c r="O14" s="109">
        <v>411.87672647463415</v>
      </c>
      <c r="P14" s="119"/>
      <c r="Q14" s="120">
        <v>0.08</v>
      </c>
      <c r="R14" s="120">
        <v>0.05</v>
      </c>
      <c r="S14" s="120">
        <v>0.03</v>
      </c>
      <c r="T14" s="120">
        <v>1.4999999999999999E-2</v>
      </c>
      <c r="U14" s="120">
        <v>0.02</v>
      </c>
      <c r="V14" s="121">
        <f t="shared" si="0"/>
        <v>0</v>
      </c>
      <c r="W14" s="119"/>
      <c r="X14" s="113">
        <f t="shared" si="1"/>
        <v>2150.2640979373123</v>
      </c>
      <c r="Y14" s="113">
        <f t="shared" si="2"/>
        <v>2932.6359114096231</v>
      </c>
      <c r="Z14" s="113">
        <f t="shared" si="3"/>
        <v>3445.0820442839517</v>
      </c>
      <c r="AA14" s="22"/>
      <c r="AB14" s="22"/>
      <c r="AC14" s="22"/>
      <c r="AD14" s="22"/>
      <c r="AE14" s="22"/>
      <c r="AF14" s="22"/>
      <c r="AG14" s="22"/>
      <c r="AH14" s="22"/>
      <c r="AI14" s="22"/>
      <c r="AJ14" s="22"/>
      <c r="AK14" s="22"/>
      <c r="AL14" s="22"/>
      <c r="AM14" s="22"/>
      <c r="AN14" s="22"/>
      <c r="AO14" s="22"/>
      <c r="AP14" s="22"/>
      <c r="AQ14" s="22"/>
      <c r="AR14" s="22"/>
    </row>
    <row r="15" spans="1:44" hidden="1" x14ac:dyDescent="0.25">
      <c r="A15" s="16"/>
      <c r="B15" s="3" t="s">
        <v>17</v>
      </c>
      <c r="C15" s="3" t="s">
        <v>28</v>
      </c>
      <c r="D15" s="11" t="s">
        <v>19</v>
      </c>
      <c r="E15" s="107">
        <v>1412.245151665838</v>
      </c>
      <c r="F15" s="108">
        <v>2014.3615116857286</v>
      </c>
      <c r="G15" s="109">
        <v>2391.2754848334162</v>
      </c>
      <c r="H15" s="114"/>
      <c r="I15" s="113">
        <v>141.41052511288646</v>
      </c>
      <c r="J15" s="114">
        <v>227.29885136645149</v>
      </c>
      <c r="K15" s="109">
        <v>272.05360130549724</v>
      </c>
      <c r="L15" s="114"/>
      <c r="M15" s="113">
        <v>387.23209828873621</v>
      </c>
      <c r="N15" s="114">
        <v>396.09974137952634</v>
      </c>
      <c r="O15" s="109">
        <v>434.60797804256265</v>
      </c>
      <c r="P15" s="119"/>
      <c r="Q15" s="120">
        <v>0.08</v>
      </c>
      <c r="R15" s="120">
        <v>0.05</v>
      </c>
      <c r="S15" s="120">
        <v>0.03</v>
      </c>
      <c r="T15" s="120">
        <v>1.4999999999999999E-2</v>
      </c>
      <c r="U15" s="120">
        <v>0.02</v>
      </c>
      <c r="V15" s="121">
        <f t="shared" si="0"/>
        <v>0</v>
      </c>
      <c r="W15" s="119"/>
      <c r="X15" s="113">
        <f t="shared" si="1"/>
        <v>1940.8877750674606</v>
      </c>
      <c r="Y15" s="113">
        <f t="shared" si="2"/>
        <v>2637.7601044317062</v>
      </c>
      <c r="Z15" s="113">
        <f t="shared" si="3"/>
        <v>3097.9370641814758</v>
      </c>
      <c r="AA15" s="22"/>
      <c r="AB15" s="22"/>
      <c r="AC15" s="22"/>
      <c r="AD15" s="22"/>
      <c r="AE15" s="22"/>
      <c r="AF15" s="22"/>
      <c r="AG15" s="22"/>
      <c r="AH15" s="22"/>
      <c r="AI15" s="22"/>
      <c r="AJ15" s="22"/>
      <c r="AK15" s="22"/>
      <c r="AL15" s="22"/>
      <c r="AM15" s="22"/>
      <c r="AN15" s="22"/>
      <c r="AO15" s="22"/>
      <c r="AP15" s="22"/>
      <c r="AQ15" s="22"/>
      <c r="AR15" s="22"/>
    </row>
    <row r="16" spans="1:44" hidden="1" x14ac:dyDescent="0.25">
      <c r="A16" s="16"/>
      <c r="B16" s="3" t="s">
        <v>17</v>
      </c>
      <c r="C16" s="3" t="s">
        <v>29</v>
      </c>
      <c r="D16" s="11" t="s">
        <v>19</v>
      </c>
      <c r="E16" s="107">
        <v>1577.2247637991049</v>
      </c>
      <c r="F16" s="108">
        <v>2239.0795624067628</v>
      </c>
      <c r="G16" s="109">
        <v>2653.3893585280953</v>
      </c>
      <c r="H16" s="114"/>
      <c r="I16" s="113">
        <v>134.68039485432399</v>
      </c>
      <c r="J16" s="114">
        <v>216.48105066811826</v>
      </c>
      <c r="K16" s="109">
        <v>259.10579439624922</v>
      </c>
      <c r="L16" s="114"/>
      <c r="M16" s="113">
        <v>368.80261816553303</v>
      </c>
      <c r="N16" s="114">
        <v>377.24822482699932</v>
      </c>
      <c r="O16" s="109">
        <v>413.92374466388077</v>
      </c>
      <c r="P16" s="119"/>
      <c r="Q16" s="120">
        <v>0.08</v>
      </c>
      <c r="R16" s="120">
        <v>0.05</v>
      </c>
      <c r="S16" s="120">
        <v>0.03</v>
      </c>
      <c r="T16" s="120">
        <v>1.4999999999999999E-2</v>
      </c>
      <c r="U16" s="120">
        <v>0.02</v>
      </c>
      <c r="V16" s="121">
        <f t="shared" si="0"/>
        <v>0</v>
      </c>
      <c r="W16" s="119"/>
      <c r="X16" s="113">
        <f t="shared" si="1"/>
        <v>2080.707776818962</v>
      </c>
      <c r="Y16" s="113">
        <f t="shared" si="2"/>
        <v>2832.8088379018805</v>
      </c>
      <c r="Z16" s="113">
        <f t="shared" si="3"/>
        <v>3326.4188975882253</v>
      </c>
      <c r="AA16" s="22"/>
      <c r="AB16" s="22"/>
      <c r="AC16" s="22"/>
      <c r="AD16" s="22"/>
      <c r="AE16" s="22"/>
      <c r="AF16" s="22"/>
      <c r="AG16" s="22"/>
      <c r="AH16" s="22"/>
      <c r="AI16" s="22"/>
      <c r="AJ16" s="22"/>
      <c r="AK16" s="22"/>
      <c r="AL16" s="22"/>
      <c r="AM16" s="22"/>
      <c r="AN16" s="22"/>
      <c r="AO16" s="22"/>
      <c r="AP16" s="22"/>
      <c r="AQ16" s="22"/>
      <c r="AR16" s="22"/>
    </row>
    <row r="17" spans="1:44" hidden="1" x14ac:dyDescent="0.25">
      <c r="A17" s="16"/>
      <c r="B17" s="3" t="s">
        <v>17</v>
      </c>
      <c r="C17" s="3" t="s">
        <v>30</v>
      </c>
      <c r="D17" s="11" t="s">
        <v>19</v>
      </c>
      <c r="E17" s="107">
        <v>1684.654400795624</v>
      </c>
      <c r="F17" s="108">
        <v>2392.3127797115862</v>
      </c>
      <c r="G17" s="109">
        <v>2835.2938836399803</v>
      </c>
      <c r="H17" s="114"/>
      <c r="I17" s="113">
        <v>143.85784144931651</v>
      </c>
      <c r="J17" s="114">
        <v>231.23259103509943</v>
      </c>
      <c r="K17" s="109">
        <v>276.76188749797171</v>
      </c>
      <c r="L17" s="114"/>
      <c r="M17" s="113">
        <v>393.93371713482702</v>
      </c>
      <c r="N17" s="114">
        <v>402.95482778246554</v>
      </c>
      <c r="O17" s="109">
        <v>442.12950590449037</v>
      </c>
      <c r="P17" s="119"/>
      <c r="Q17" s="120">
        <v>0.08</v>
      </c>
      <c r="R17" s="120">
        <v>0.05</v>
      </c>
      <c r="S17" s="120">
        <v>0.03</v>
      </c>
      <c r="T17" s="120">
        <v>1.4999999999999999E-2</v>
      </c>
      <c r="U17" s="120">
        <v>0.02</v>
      </c>
      <c r="V17" s="121">
        <f t="shared" si="0"/>
        <v>0</v>
      </c>
      <c r="W17" s="119"/>
      <c r="X17" s="113">
        <f t="shared" si="1"/>
        <v>2222.4459593797674</v>
      </c>
      <c r="Y17" s="113">
        <f t="shared" si="2"/>
        <v>3026.5001985291515</v>
      </c>
      <c r="Z17" s="113">
        <f t="shared" si="3"/>
        <v>3554.1852770424425</v>
      </c>
      <c r="AA17" s="22"/>
      <c r="AB17" s="22"/>
      <c r="AC17" s="22"/>
      <c r="AD17" s="22"/>
      <c r="AE17" s="22"/>
      <c r="AF17" s="22"/>
      <c r="AG17" s="22"/>
      <c r="AH17" s="22"/>
      <c r="AI17" s="22"/>
      <c r="AJ17" s="22"/>
      <c r="AK17" s="22"/>
      <c r="AL17" s="22"/>
      <c r="AM17" s="22"/>
      <c r="AN17" s="22"/>
      <c r="AO17" s="22"/>
      <c r="AP17" s="22"/>
      <c r="AQ17" s="22"/>
      <c r="AR17" s="22"/>
    </row>
    <row r="18" spans="1:44" hidden="1" x14ac:dyDescent="0.25">
      <c r="A18" s="16"/>
      <c r="B18" s="3" t="s">
        <v>17</v>
      </c>
      <c r="C18" s="3" t="s">
        <v>32</v>
      </c>
      <c r="D18" s="11" t="s">
        <v>19</v>
      </c>
      <c r="E18" s="107">
        <v>1768.8080556936848</v>
      </c>
      <c r="F18" s="108">
        <v>2512.345599204376</v>
      </c>
      <c r="G18" s="109">
        <v>2977.7861760318251</v>
      </c>
      <c r="H18" s="114"/>
      <c r="I18" s="113">
        <v>151.04685643768437</v>
      </c>
      <c r="J18" s="114">
        <v>242.78798868324319</v>
      </c>
      <c r="K18" s="109">
        <v>290.59252291823753</v>
      </c>
      <c r="L18" s="114"/>
      <c r="M18" s="113">
        <v>413.61978616223905</v>
      </c>
      <c r="N18" s="114">
        <v>423.0917092160991</v>
      </c>
      <c r="O18" s="109">
        <v>464.22406545525973</v>
      </c>
      <c r="P18" s="119"/>
      <c r="Q18" s="120">
        <v>0.08</v>
      </c>
      <c r="R18" s="120">
        <v>0.05</v>
      </c>
      <c r="S18" s="120">
        <v>0.03</v>
      </c>
      <c r="T18" s="120">
        <v>1.4999999999999999E-2</v>
      </c>
      <c r="U18" s="120">
        <v>0.02</v>
      </c>
      <c r="V18" s="121">
        <f t="shared" si="0"/>
        <v>0</v>
      </c>
      <c r="W18" s="119"/>
      <c r="X18" s="113">
        <f t="shared" si="1"/>
        <v>2333.4746982936081</v>
      </c>
      <c r="Y18" s="113">
        <f t="shared" si="2"/>
        <v>3178.2252971037183</v>
      </c>
      <c r="Z18" s="113">
        <f t="shared" si="3"/>
        <v>3732.6027644053224</v>
      </c>
      <c r="AA18" s="22"/>
      <c r="AB18" s="22"/>
      <c r="AC18" s="22"/>
      <c r="AD18" s="22"/>
      <c r="AE18" s="22"/>
      <c r="AF18" s="22"/>
      <c r="AG18" s="22"/>
      <c r="AH18" s="22"/>
      <c r="AI18" s="22"/>
      <c r="AJ18" s="22"/>
      <c r="AK18" s="22"/>
      <c r="AL18" s="22"/>
      <c r="AM18" s="22"/>
      <c r="AN18" s="22"/>
      <c r="AO18" s="22"/>
      <c r="AP18" s="22"/>
      <c r="AQ18" s="22"/>
      <c r="AR18" s="22"/>
    </row>
    <row r="19" spans="1:44" hidden="1" x14ac:dyDescent="0.25">
      <c r="A19" s="16"/>
      <c r="B19" s="3" t="s">
        <v>17</v>
      </c>
      <c r="C19" s="3" t="s">
        <v>33</v>
      </c>
      <c r="D19" s="11" t="s">
        <v>19</v>
      </c>
      <c r="E19" s="107">
        <v>1566.4818498259572</v>
      </c>
      <c r="F19" s="108">
        <v>2223.7563401292891</v>
      </c>
      <c r="G19" s="109">
        <v>2635.1989060169071</v>
      </c>
      <c r="H19" s="114"/>
      <c r="I19" s="113">
        <v>133.76270806175157</v>
      </c>
      <c r="J19" s="114">
        <v>215.00598964490686</v>
      </c>
      <c r="K19" s="109">
        <v>257.34029641375804</v>
      </c>
      <c r="L19" s="114"/>
      <c r="M19" s="113">
        <v>366.28966672874287</v>
      </c>
      <c r="N19" s="114">
        <v>374.67772662034059</v>
      </c>
      <c r="O19" s="109">
        <v>411.10334638675198</v>
      </c>
      <c r="P19" s="119"/>
      <c r="Q19" s="120">
        <v>0.08</v>
      </c>
      <c r="R19" s="120">
        <v>0.05</v>
      </c>
      <c r="S19" s="120">
        <v>0.03</v>
      </c>
      <c r="T19" s="120">
        <v>1.4999999999999999E-2</v>
      </c>
      <c r="U19" s="120">
        <v>0.02</v>
      </c>
      <c r="V19" s="121">
        <f t="shared" si="0"/>
        <v>0</v>
      </c>
      <c r="W19" s="119"/>
      <c r="X19" s="113">
        <f t="shared" si="1"/>
        <v>2066.5342246164514</v>
      </c>
      <c r="Y19" s="113">
        <f t="shared" si="2"/>
        <v>2813.4400563945369</v>
      </c>
      <c r="Z19" s="113">
        <f t="shared" si="3"/>
        <v>3303.6425488174173</v>
      </c>
      <c r="AA19" s="22"/>
      <c r="AB19" s="22"/>
      <c r="AC19" s="22"/>
      <c r="AD19" s="22"/>
      <c r="AE19" s="22"/>
      <c r="AF19" s="22"/>
      <c r="AG19" s="22"/>
      <c r="AH19" s="22"/>
      <c r="AI19" s="22"/>
      <c r="AJ19" s="22"/>
      <c r="AK19" s="22"/>
      <c r="AL19" s="22"/>
      <c r="AM19" s="22"/>
      <c r="AN19" s="22"/>
      <c r="AO19" s="22"/>
      <c r="AP19" s="22"/>
      <c r="AQ19" s="22"/>
      <c r="AR19" s="22"/>
    </row>
    <row r="20" spans="1:44" hidden="1" x14ac:dyDescent="0.25">
      <c r="A20" s="16"/>
      <c r="B20" s="3" t="s">
        <v>17</v>
      </c>
      <c r="C20" s="3" t="s">
        <v>34</v>
      </c>
      <c r="D20" s="11" t="s">
        <v>19</v>
      </c>
      <c r="E20" s="107">
        <v>1664.959224266534</v>
      </c>
      <c r="F20" s="108">
        <v>2364.2202884137246</v>
      </c>
      <c r="G20" s="109">
        <v>2801.9448035803084</v>
      </c>
      <c r="H20" s="114"/>
      <c r="I20" s="113">
        <v>142.17531921805568</v>
      </c>
      <c r="J20" s="114">
        <v>228.52815747006736</v>
      </c>
      <c r="K20" s="109">
        <v>273.52495565060275</v>
      </c>
      <c r="L20" s="114"/>
      <c r="M20" s="113">
        <v>389.32637540047955</v>
      </c>
      <c r="N20" s="114">
        <v>398.24197758877796</v>
      </c>
      <c r="O20" s="109">
        <v>436.9584793182006</v>
      </c>
      <c r="P20" s="119"/>
      <c r="Q20" s="120">
        <v>0.08</v>
      </c>
      <c r="R20" s="120">
        <v>0.05</v>
      </c>
      <c r="S20" s="120">
        <v>0.03</v>
      </c>
      <c r="T20" s="120">
        <v>1.4999999999999999E-2</v>
      </c>
      <c r="U20" s="120">
        <v>0.02</v>
      </c>
      <c r="V20" s="121">
        <f t="shared" si="0"/>
        <v>0</v>
      </c>
      <c r="W20" s="119"/>
      <c r="X20" s="113">
        <f t="shared" si="1"/>
        <v>2196.4609188850691</v>
      </c>
      <c r="Y20" s="113">
        <f t="shared" si="2"/>
        <v>2990.99042347257</v>
      </c>
      <c r="Z20" s="113">
        <f t="shared" si="3"/>
        <v>3512.4282385491119</v>
      </c>
      <c r="AA20" s="22"/>
      <c r="AB20" s="22"/>
      <c r="AC20" s="22"/>
      <c r="AD20" s="22"/>
      <c r="AE20" s="22"/>
      <c r="AF20" s="22"/>
      <c r="AG20" s="22"/>
      <c r="AH20" s="22"/>
      <c r="AI20" s="22"/>
      <c r="AJ20" s="22"/>
      <c r="AK20" s="22"/>
      <c r="AL20" s="22"/>
      <c r="AM20" s="22"/>
      <c r="AN20" s="22"/>
      <c r="AO20" s="22"/>
      <c r="AP20" s="22"/>
      <c r="AQ20" s="22"/>
      <c r="AR20" s="22"/>
    </row>
    <row r="21" spans="1:44" hidden="1" x14ac:dyDescent="0.25">
      <c r="A21" s="16"/>
      <c r="B21" s="3" t="s">
        <v>17</v>
      </c>
      <c r="C21" s="3" t="s">
        <v>35</v>
      </c>
      <c r="D21" s="11" t="s">
        <v>19</v>
      </c>
      <c r="E21" s="107">
        <v>1749.1123818995525</v>
      </c>
      <c r="F21" s="108">
        <v>2484.2521133764299</v>
      </c>
      <c r="G21" s="109">
        <v>2944.436598707111</v>
      </c>
      <c r="H21" s="114"/>
      <c r="I21" s="113">
        <v>149.36433420642356</v>
      </c>
      <c r="J21" s="114">
        <v>240.08355511821108</v>
      </c>
      <c r="K21" s="109">
        <v>287.35559107086857</v>
      </c>
      <c r="L21" s="114"/>
      <c r="M21" s="113">
        <v>409.01244442789158</v>
      </c>
      <c r="N21" s="114">
        <v>418.37885902241152</v>
      </c>
      <c r="O21" s="109">
        <v>459.05303886896996</v>
      </c>
      <c r="P21" s="119"/>
      <c r="Q21" s="120">
        <v>0.08</v>
      </c>
      <c r="R21" s="120">
        <v>0.05</v>
      </c>
      <c r="S21" s="120">
        <v>0.03</v>
      </c>
      <c r="T21" s="120">
        <v>1.4999999999999999E-2</v>
      </c>
      <c r="U21" s="120">
        <v>0.02</v>
      </c>
      <c r="V21" s="121">
        <f t="shared" si="0"/>
        <v>0</v>
      </c>
      <c r="W21" s="119"/>
      <c r="X21" s="113">
        <f t="shared" si="1"/>
        <v>2307.4891605338676</v>
      </c>
      <c r="Y21" s="113">
        <f t="shared" si="2"/>
        <v>3142.7145275170528</v>
      </c>
      <c r="Z21" s="113">
        <f t="shared" si="3"/>
        <v>3690.8452286469496</v>
      </c>
      <c r="AA21" s="22"/>
      <c r="AB21" s="22"/>
      <c r="AC21" s="22"/>
      <c r="AD21" s="22"/>
      <c r="AE21" s="22"/>
      <c r="AF21" s="22"/>
      <c r="AG21" s="22"/>
      <c r="AH21" s="22"/>
      <c r="AI21" s="22"/>
      <c r="AJ21" s="22"/>
      <c r="AK21" s="22"/>
      <c r="AL21" s="22"/>
      <c r="AM21" s="22"/>
      <c r="AN21" s="22"/>
      <c r="AO21" s="22"/>
      <c r="AP21" s="22"/>
      <c r="AQ21" s="22"/>
      <c r="AR21" s="22"/>
    </row>
    <row r="22" spans="1:44" hidden="1" x14ac:dyDescent="0.25">
      <c r="A22" s="16"/>
      <c r="B22" s="3" t="s">
        <v>17</v>
      </c>
      <c r="C22" s="3" t="s">
        <v>36</v>
      </c>
      <c r="D22" s="11" t="s">
        <v>19</v>
      </c>
      <c r="E22" s="107">
        <v>2064.2401790154154</v>
      </c>
      <c r="F22" s="108">
        <v>2933.7354549975139</v>
      </c>
      <c r="G22" s="109">
        <v>3478.0248632521134</v>
      </c>
      <c r="H22" s="114"/>
      <c r="I22" s="113">
        <v>176.28473124011592</v>
      </c>
      <c r="J22" s="114">
        <v>283.35455859692945</v>
      </c>
      <c r="K22" s="109">
        <v>339.14658014854388</v>
      </c>
      <c r="L22" s="114"/>
      <c r="M22" s="113">
        <v>482.73002536326294</v>
      </c>
      <c r="N22" s="114">
        <v>493.78457789918843</v>
      </c>
      <c r="O22" s="109">
        <v>541.78959128312874</v>
      </c>
      <c r="P22" s="119"/>
      <c r="Q22" s="120">
        <v>0.08</v>
      </c>
      <c r="R22" s="120">
        <v>0.05</v>
      </c>
      <c r="S22" s="120">
        <v>0.03</v>
      </c>
      <c r="T22" s="120">
        <v>1.4999999999999999E-2</v>
      </c>
      <c r="U22" s="120">
        <v>0.02</v>
      </c>
      <c r="V22" s="121">
        <f t="shared" si="0"/>
        <v>0</v>
      </c>
      <c r="W22" s="119"/>
      <c r="X22" s="113">
        <f t="shared" si="1"/>
        <v>2723.2549356187942</v>
      </c>
      <c r="Y22" s="113">
        <f t="shared" si="2"/>
        <v>3710.8745914936317</v>
      </c>
      <c r="Z22" s="113">
        <f t="shared" si="3"/>
        <v>4358.9610346837862</v>
      </c>
      <c r="AA22" s="22"/>
      <c r="AB22" s="22"/>
      <c r="AC22" s="22"/>
      <c r="AD22" s="22"/>
      <c r="AE22" s="22"/>
      <c r="AF22" s="22"/>
      <c r="AG22" s="22"/>
      <c r="AH22" s="22"/>
      <c r="AI22" s="22"/>
      <c r="AJ22" s="22"/>
      <c r="AK22" s="22"/>
      <c r="AL22" s="22"/>
      <c r="AM22" s="22"/>
      <c r="AN22" s="22"/>
      <c r="AO22" s="22"/>
      <c r="AP22" s="22"/>
      <c r="AQ22" s="22"/>
      <c r="AR22" s="22"/>
    </row>
    <row r="23" spans="1:44" hidden="1" x14ac:dyDescent="0.25">
      <c r="A23" s="16"/>
      <c r="B23" s="3" t="s">
        <v>17</v>
      </c>
      <c r="C23" s="3" t="s">
        <v>37</v>
      </c>
      <c r="D23" s="11" t="s">
        <v>19</v>
      </c>
      <c r="E23" s="107">
        <v>1616.6156141223271</v>
      </c>
      <c r="F23" s="108">
        <v>2295.2645450024861</v>
      </c>
      <c r="G23" s="109">
        <v>2720.0875186474391</v>
      </c>
      <c r="H23" s="114"/>
      <c r="I23" s="113">
        <v>138.04548065036482</v>
      </c>
      <c r="J23" s="114">
        <v>221.88998423638728</v>
      </c>
      <c r="K23" s="109">
        <v>265.57973761075937</v>
      </c>
      <c r="L23" s="114"/>
      <c r="M23" s="113">
        <v>378.01741482004144</v>
      </c>
      <c r="N23" s="114">
        <v>386.67404099215133</v>
      </c>
      <c r="O23" s="109">
        <v>424.26592486998317</v>
      </c>
      <c r="P23" s="119"/>
      <c r="Q23" s="120">
        <v>0.08</v>
      </c>
      <c r="R23" s="120">
        <v>0.05</v>
      </c>
      <c r="S23" s="120">
        <v>0.03</v>
      </c>
      <c r="T23" s="120">
        <v>1.4999999999999999E-2</v>
      </c>
      <c r="U23" s="120">
        <v>0.02</v>
      </c>
      <c r="V23" s="121">
        <f t="shared" si="0"/>
        <v>0</v>
      </c>
      <c r="W23" s="119"/>
      <c r="X23" s="113">
        <f t="shared" si="1"/>
        <v>2132.6785095927335</v>
      </c>
      <c r="Y23" s="113">
        <f t="shared" si="2"/>
        <v>2903.8285702310245</v>
      </c>
      <c r="Z23" s="113">
        <f t="shared" si="3"/>
        <v>3409.9331811281818</v>
      </c>
      <c r="AA23" s="22"/>
      <c r="AB23" s="22"/>
      <c r="AC23" s="22"/>
      <c r="AD23" s="22"/>
      <c r="AE23" s="22"/>
      <c r="AF23" s="22"/>
      <c r="AG23" s="22"/>
      <c r="AH23" s="22"/>
      <c r="AI23" s="22"/>
      <c r="AJ23" s="22"/>
      <c r="AK23" s="22"/>
      <c r="AL23" s="22"/>
      <c r="AM23" s="22"/>
      <c r="AN23" s="22"/>
      <c r="AO23" s="22"/>
      <c r="AP23" s="22"/>
      <c r="AQ23" s="22"/>
      <c r="AR23" s="22"/>
    </row>
    <row r="24" spans="1:44" hidden="1" x14ac:dyDescent="0.25">
      <c r="A24" s="16"/>
      <c r="B24" s="3" t="s">
        <v>17</v>
      </c>
      <c r="C24" s="3" t="s">
        <v>38</v>
      </c>
      <c r="D24" s="11" t="s">
        <v>19</v>
      </c>
      <c r="E24" s="107">
        <v>1899.5141720537047</v>
      </c>
      <c r="F24" s="108">
        <v>2698.7782197911488</v>
      </c>
      <c r="G24" s="109">
        <v>3199.1034311287917</v>
      </c>
      <c r="H24" s="114"/>
      <c r="I24" s="113">
        <v>162.21265197226325</v>
      </c>
      <c r="J24" s="114">
        <v>260.73553889265224</v>
      </c>
      <c r="K24" s="109">
        <v>312.07391466187232</v>
      </c>
      <c r="L24" s="114"/>
      <c r="M24" s="113">
        <v>444.19568870178739</v>
      </c>
      <c r="N24" s="114">
        <v>454.36780213784385</v>
      </c>
      <c r="O24" s="109">
        <v>498.54077431866369</v>
      </c>
      <c r="P24" s="119"/>
      <c r="Q24" s="120">
        <v>0.08</v>
      </c>
      <c r="R24" s="120">
        <v>0.05</v>
      </c>
      <c r="S24" s="120">
        <v>0.03</v>
      </c>
      <c r="T24" s="120">
        <v>1.4999999999999999E-2</v>
      </c>
      <c r="U24" s="120">
        <v>0.02</v>
      </c>
      <c r="V24" s="121">
        <f t="shared" si="0"/>
        <v>0</v>
      </c>
      <c r="W24" s="119"/>
      <c r="X24" s="113">
        <f t="shared" si="1"/>
        <v>2505.922512727755</v>
      </c>
      <c r="Y24" s="113">
        <f t="shared" si="2"/>
        <v>3413.8815608216446</v>
      </c>
      <c r="Z24" s="113">
        <f t="shared" si="3"/>
        <v>4009.7181201093276</v>
      </c>
      <c r="AA24" s="22"/>
      <c r="AB24" s="22"/>
      <c r="AC24" s="22"/>
      <c r="AD24" s="22"/>
      <c r="AE24" s="22"/>
      <c r="AF24" s="22"/>
      <c r="AG24" s="22"/>
      <c r="AH24" s="22"/>
      <c r="AI24" s="22"/>
      <c r="AJ24" s="22"/>
      <c r="AK24" s="22"/>
      <c r="AL24" s="22"/>
      <c r="AM24" s="22"/>
      <c r="AN24" s="22"/>
      <c r="AO24" s="22"/>
      <c r="AP24" s="22"/>
      <c r="AQ24" s="22"/>
      <c r="AR24" s="22"/>
    </row>
    <row r="25" spans="1:44" hidden="1" x14ac:dyDescent="0.25">
      <c r="A25" s="16"/>
      <c r="B25" s="3" t="s">
        <v>17</v>
      </c>
      <c r="C25" s="3" t="s">
        <v>39</v>
      </c>
      <c r="D25" s="11" t="s">
        <v>19</v>
      </c>
      <c r="E25" s="107">
        <v>1611.2446544007955</v>
      </c>
      <c r="F25" s="108">
        <v>2287.6031824962706</v>
      </c>
      <c r="G25" s="109">
        <v>2710.9925410243659</v>
      </c>
      <c r="H25" s="114"/>
      <c r="I25" s="113">
        <v>137.58663725407857</v>
      </c>
      <c r="J25" s="114">
        <v>221.15245372478154</v>
      </c>
      <c r="K25" s="109">
        <v>264.69698861951372</v>
      </c>
      <c r="L25" s="114"/>
      <c r="M25" s="113">
        <v>376.76093910164644</v>
      </c>
      <c r="N25" s="114">
        <v>385.38879188882203</v>
      </c>
      <c r="O25" s="109">
        <v>422.85572573141883</v>
      </c>
      <c r="P25" s="119"/>
      <c r="Q25" s="120">
        <v>0.08</v>
      </c>
      <c r="R25" s="120">
        <v>0.05</v>
      </c>
      <c r="S25" s="120">
        <v>0.03</v>
      </c>
      <c r="T25" s="120">
        <v>1.4999999999999999E-2</v>
      </c>
      <c r="U25" s="120">
        <v>0.02</v>
      </c>
      <c r="V25" s="121">
        <f t="shared" si="0"/>
        <v>0</v>
      </c>
      <c r="W25" s="119"/>
      <c r="X25" s="113">
        <f t="shared" si="1"/>
        <v>2125.5922307565206</v>
      </c>
      <c r="Y25" s="113">
        <f t="shared" si="2"/>
        <v>2894.1444281098743</v>
      </c>
      <c r="Z25" s="113">
        <f t="shared" si="3"/>
        <v>3398.5452553752984</v>
      </c>
      <c r="AA25" s="22"/>
      <c r="AB25" s="22"/>
      <c r="AC25" s="22"/>
      <c r="AD25" s="22"/>
      <c r="AE25" s="22"/>
      <c r="AF25" s="22"/>
      <c r="AG25" s="22"/>
      <c r="AH25" s="22"/>
      <c r="AI25" s="22"/>
      <c r="AJ25" s="22"/>
      <c r="AK25" s="22"/>
      <c r="AL25" s="22"/>
      <c r="AM25" s="22"/>
      <c r="AN25" s="22"/>
      <c r="AO25" s="22"/>
      <c r="AP25" s="22"/>
      <c r="AQ25" s="22"/>
      <c r="AR25" s="22"/>
    </row>
    <row r="26" spans="1:44" hidden="1" x14ac:dyDescent="0.25">
      <c r="A26" s="16"/>
      <c r="B26" s="3" t="s">
        <v>17</v>
      </c>
      <c r="C26" s="3" t="s">
        <v>40</v>
      </c>
      <c r="D26" s="11" t="s">
        <v>19</v>
      </c>
      <c r="E26" s="107">
        <v>2275.5186474390848</v>
      </c>
      <c r="F26" s="108">
        <v>3235.0939830929888</v>
      </c>
      <c r="G26" s="109">
        <v>3835.7707608155147</v>
      </c>
      <c r="H26" s="114"/>
      <c r="I26" s="113">
        <v>191.35</v>
      </c>
      <c r="J26" s="114">
        <v>307.57</v>
      </c>
      <c r="K26" s="109">
        <v>368.13</v>
      </c>
      <c r="L26" s="114"/>
      <c r="M26" s="113">
        <v>523.98406659192426</v>
      </c>
      <c r="N26" s="114">
        <v>535.98333965924473</v>
      </c>
      <c r="O26" s="109">
        <v>588.0908548501385</v>
      </c>
      <c r="P26" s="119"/>
      <c r="Q26" s="120">
        <v>0.08</v>
      </c>
      <c r="R26" s="120">
        <v>0.05</v>
      </c>
      <c r="S26" s="120">
        <v>0.03</v>
      </c>
      <c r="T26" s="120">
        <v>1.4999999999999999E-2</v>
      </c>
      <c r="U26" s="120">
        <v>0.02</v>
      </c>
      <c r="V26" s="121">
        <f t="shared" si="0"/>
        <v>0</v>
      </c>
      <c r="W26" s="119"/>
      <c r="X26" s="113">
        <f t="shared" si="1"/>
        <v>2990.8527140310089</v>
      </c>
      <c r="Y26" s="113">
        <f t="shared" si="2"/>
        <v>4078.6473227522338</v>
      </c>
      <c r="Z26" s="113">
        <f t="shared" si="3"/>
        <v>4791.9916156656527</v>
      </c>
      <c r="AA26" s="22"/>
      <c r="AB26" s="22"/>
      <c r="AC26" s="22"/>
      <c r="AD26" s="22"/>
      <c r="AE26" s="22"/>
      <c r="AF26" s="22"/>
      <c r="AG26" s="22"/>
      <c r="AH26" s="22"/>
      <c r="AI26" s="22"/>
      <c r="AJ26" s="22"/>
      <c r="AK26" s="22"/>
      <c r="AL26" s="22"/>
      <c r="AM26" s="22"/>
      <c r="AN26" s="22"/>
      <c r="AO26" s="22"/>
      <c r="AP26" s="22"/>
      <c r="AQ26" s="22"/>
      <c r="AR26" s="22"/>
    </row>
    <row r="27" spans="1:44" hidden="1" x14ac:dyDescent="0.25">
      <c r="A27" s="16"/>
      <c r="B27" s="3" t="s">
        <v>17</v>
      </c>
      <c r="C27" s="3" t="s">
        <v>41</v>
      </c>
      <c r="D27" s="11" t="s">
        <v>19</v>
      </c>
      <c r="E27" s="107">
        <v>2073.1924415713574</v>
      </c>
      <c r="F27" s="108">
        <v>2946.5052212829437</v>
      </c>
      <c r="G27" s="109">
        <v>3493.1829935355545</v>
      </c>
      <c r="H27" s="114"/>
      <c r="I27" s="113">
        <v>177.04952534528516</v>
      </c>
      <c r="J27" s="114">
        <v>284.58386470054535</v>
      </c>
      <c r="K27" s="109">
        <v>340.61793449364944</v>
      </c>
      <c r="L27" s="114"/>
      <c r="M27" s="113">
        <v>484.82430247500639</v>
      </c>
      <c r="N27" s="114">
        <v>495.92681410844017</v>
      </c>
      <c r="O27" s="109">
        <v>544.1400925587667</v>
      </c>
      <c r="P27" s="119"/>
      <c r="Q27" s="120">
        <v>0.08</v>
      </c>
      <c r="R27" s="120">
        <v>0.05</v>
      </c>
      <c r="S27" s="120">
        <v>0.03</v>
      </c>
      <c r="T27" s="120">
        <v>1.4999999999999999E-2</v>
      </c>
      <c r="U27" s="120">
        <v>0.02</v>
      </c>
      <c r="V27" s="121">
        <f t="shared" si="0"/>
        <v>0</v>
      </c>
      <c r="W27" s="119"/>
      <c r="X27" s="113">
        <f t="shared" si="1"/>
        <v>2735.0662693916488</v>
      </c>
      <c r="Y27" s="113">
        <f t="shared" si="2"/>
        <v>3727.0159000919293</v>
      </c>
      <c r="Z27" s="113">
        <f t="shared" si="3"/>
        <v>4377.9410205879703</v>
      </c>
      <c r="AA27" s="22"/>
      <c r="AB27" s="22"/>
      <c r="AC27" s="22"/>
      <c r="AD27" s="22"/>
      <c r="AE27" s="22"/>
      <c r="AF27" s="22"/>
      <c r="AG27" s="22"/>
      <c r="AH27" s="22"/>
      <c r="AI27" s="22"/>
      <c r="AJ27" s="22"/>
      <c r="AK27" s="22"/>
      <c r="AL27" s="22"/>
      <c r="AM27" s="22"/>
      <c r="AN27" s="22"/>
      <c r="AO27" s="22"/>
      <c r="AP27" s="22"/>
      <c r="AQ27" s="22"/>
      <c r="AR27" s="22"/>
    </row>
    <row r="28" spans="1:44" hidden="1" x14ac:dyDescent="0.25">
      <c r="A28" s="16"/>
      <c r="B28" s="3" t="s">
        <v>17</v>
      </c>
      <c r="C28" s="3" t="s">
        <v>42</v>
      </c>
      <c r="D28" s="11" t="s">
        <v>19</v>
      </c>
      <c r="E28" s="107">
        <v>2151.9741422178022</v>
      </c>
      <c r="F28" s="108">
        <v>3058.8766782695175</v>
      </c>
      <c r="G28" s="109">
        <v>3626.5798110392839</v>
      </c>
      <c r="H28" s="114"/>
      <c r="I28" s="113">
        <v>183.77961427032847</v>
      </c>
      <c r="J28" s="114">
        <v>295.40159896067377</v>
      </c>
      <c r="K28" s="109">
        <v>353.56566188312524</v>
      </c>
      <c r="L28" s="114"/>
      <c r="M28" s="113">
        <v>503.25366941239577</v>
      </c>
      <c r="N28" s="114">
        <v>514.77821488319012</v>
      </c>
      <c r="O28" s="109">
        <v>564.82419890392566</v>
      </c>
      <c r="P28" s="119"/>
      <c r="Q28" s="120">
        <v>0.08</v>
      </c>
      <c r="R28" s="120">
        <v>0.05</v>
      </c>
      <c r="S28" s="120">
        <v>0.03</v>
      </c>
      <c r="T28" s="120">
        <v>1.4999999999999999E-2</v>
      </c>
      <c r="U28" s="120">
        <v>0.02</v>
      </c>
      <c r="V28" s="121">
        <f t="shared" si="0"/>
        <v>0</v>
      </c>
      <c r="W28" s="119"/>
      <c r="X28" s="113">
        <f t="shared" si="1"/>
        <v>2839.007425900526</v>
      </c>
      <c r="Y28" s="113">
        <f t="shared" si="2"/>
        <v>3869.0564921133814</v>
      </c>
      <c r="Z28" s="113">
        <f t="shared" si="3"/>
        <v>4544.9696718263349</v>
      </c>
      <c r="AA28" s="22"/>
      <c r="AB28" s="22"/>
      <c r="AC28" s="22"/>
      <c r="AD28" s="22"/>
      <c r="AE28" s="22"/>
      <c r="AF28" s="22"/>
      <c r="AG28" s="22"/>
      <c r="AH28" s="22"/>
      <c r="AI28" s="22"/>
      <c r="AJ28" s="22"/>
      <c r="AK28" s="22"/>
      <c r="AL28" s="22"/>
      <c r="AM28" s="22"/>
      <c r="AN28" s="22"/>
      <c r="AO28" s="22"/>
      <c r="AP28" s="22"/>
      <c r="AQ28" s="22"/>
      <c r="AR28" s="22"/>
    </row>
    <row r="29" spans="1:44" hidden="1" x14ac:dyDescent="0.25">
      <c r="A29" s="16"/>
      <c r="B29" s="3" t="s">
        <v>17</v>
      </c>
      <c r="C29" s="3" t="s">
        <v>43</v>
      </c>
      <c r="D29" s="11" t="s">
        <v>19</v>
      </c>
      <c r="E29" s="107">
        <v>1618.4067628045748</v>
      </c>
      <c r="F29" s="108">
        <v>2297.8189955246148</v>
      </c>
      <c r="G29" s="109">
        <v>2723.1188463451022</v>
      </c>
      <c r="H29" s="114"/>
      <c r="I29" s="113">
        <v>138.19841467128717</v>
      </c>
      <c r="J29" s="114">
        <v>222.13580559418759</v>
      </c>
      <c r="K29" s="109">
        <v>265.87396076791714</v>
      </c>
      <c r="L29" s="114"/>
      <c r="M29" s="113">
        <v>378.43620233090201</v>
      </c>
      <c r="N29" s="114">
        <v>387.10241876733551</v>
      </c>
      <c r="O29" s="109">
        <v>424.73594890499709</v>
      </c>
      <c r="P29" s="119"/>
      <c r="Q29" s="120">
        <v>0.08</v>
      </c>
      <c r="R29" s="120">
        <v>0.05</v>
      </c>
      <c r="S29" s="120">
        <v>0.03</v>
      </c>
      <c r="T29" s="120">
        <v>1.4999999999999999E-2</v>
      </c>
      <c r="U29" s="120">
        <v>0.02</v>
      </c>
      <c r="V29" s="121">
        <f t="shared" si="0"/>
        <v>0</v>
      </c>
      <c r="W29" s="119"/>
      <c r="X29" s="113">
        <f t="shared" si="1"/>
        <v>2135.0413798067639</v>
      </c>
      <c r="Y29" s="113">
        <f t="shared" si="2"/>
        <v>2907.0572198861382</v>
      </c>
      <c r="Z29" s="113">
        <f t="shared" si="3"/>
        <v>3413.7287560180166</v>
      </c>
      <c r="AA29" s="22"/>
      <c r="AB29" s="22"/>
      <c r="AC29" s="22"/>
      <c r="AD29" s="22"/>
      <c r="AE29" s="22"/>
      <c r="AF29" s="22"/>
      <c r="AG29" s="22"/>
      <c r="AH29" s="22"/>
      <c r="AI29" s="22"/>
      <c r="AJ29" s="22"/>
      <c r="AK29" s="22"/>
      <c r="AL29" s="22"/>
      <c r="AM29" s="22"/>
      <c r="AN29" s="22"/>
      <c r="AO29" s="22"/>
      <c r="AP29" s="22"/>
      <c r="AQ29" s="22"/>
      <c r="AR29" s="22"/>
    </row>
    <row r="30" spans="1:44" hidden="1" x14ac:dyDescent="0.25">
      <c r="A30" s="16"/>
      <c r="B30" s="3" t="s">
        <v>17</v>
      </c>
      <c r="C30" s="3" t="s">
        <v>44</v>
      </c>
      <c r="D30" s="11" t="s">
        <v>19</v>
      </c>
      <c r="E30" s="107">
        <v>1634.5206364992541</v>
      </c>
      <c r="F30" s="108">
        <v>2320.8040775733466</v>
      </c>
      <c r="G30" s="109">
        <v>2750.4047737444057</v>
      </c>
      <c r="H30" s="114"/>
      <c r="I30" s="113">
        <v>137.44117137339956</v>
      </c>
      <c r="J30" s="114">
        <v>220.91863642182651</v>
      </c>
      <c r="K30" s="109">
        <v>264.41713309479792</v>
      </c>
      <c r="L30" s="114"/>
      <c r="M30" s="113">
        <v>376.36260200361363</v>
      </c>
      <c r="N30" s="114">
        <v>384.98133284240015</v>
      </c>
      <c r="O30" s="109">
        <v>422.40865411333641</v>
      </c>
      <c r="P30" s="119"/>
      <c r="Q30" s="120">
        <v>0.08</v>
      </c>
      <c r="R30" s="120">
        <v>0.05</v>
      </c>
      <c r="S30" s="120">
        <v>0.03</v>
      </c>
      <c r="T30" s="120">
        <v>1.4999999999999999E-2</v>
      </c>
      <c r="U30" s="120">
        <v>0.02</v>
      </c>
      <c r="V30" s="121">
        <f t="shared" si="0"/>
        <v>0</v>
      </c>
      <c r="W30" s="119"/>
      <c r="X30" s="113">
        <f t="shared" si="1"/>
        <v>2148.3244098762675</v>
      </c>
      <c r="Y30" s="113">
        <f t="shared" si="2"/>
        <v>2926.7040468375735</v>
      </c>
      <c r="Z30" s="113">
        <f t="shared" si="3"/>
        <v>3437.2305609525401</v>
      </c>
      <c r="AA30" s="22"/>
      <c r="AB30" s="22"/>
      <c r="AC30" s="22"/>
      <c r="AD30" s="22"/>
      <c r="AE30" s="22"/>
      <c r="AF30" s="22"/>
      <c r="AG30" s="22"/>
      <c r="AH30" s="22"/>
      <c r="AI30" s="22"/>
      <c r="AJ30" s="22"/>
      <c r="AK30" s="22"/>
      <c r="AL30" s="22"/>
      <c r="AM30" s="22"/>
      <c r="AN30" s="22"/>
      <c r="AO30" s="22"/>
      <c r="AP30" s="22"/>
      <c r="AQ30" s="22"/>
      <c r="AR30" s="22"/>
    </row>
    <row r="31" spans="1:44" hidden="1" x14ac:dyDescent="0.25">
      <c r="A31" s="16"/>
      <c r="B31" s="3" t="s">
        <v>17</v>
      </c>
      <c r="C31" s="3" t="s">
        <v>45</v>
      </c>
      <c r="D31" s="11" t="s">
        <v>19</v>
      </c>
      <c r="E31" s="107">
        <v>2062.4500248632521</v>
      </c>
      <c r="F31" s="108">
        <v>2931.1819990054701</v>
      </c>
      <c r="G31" s="109">
        <v>3474.9930382894081</v>
      </c>
      <c r="H31" s="114"/>
      <c r="I31" s="113">
        <v>173.43060462133974</v>
      </c>
      <c r="J31" s="114">
        <v>278.76692481518404</v>
      </c>
      <c r="K31" s="109">
        <v>333.65564922526153</v>
      </c>
      <c r="L31" s="114"/>
      <c r="M31" s="113">
        <v>474.91441589226946</v>
      </c>
      <c r="N31" s="114">
        <v>485.78999040537087</v>
      </c>
      <c r="O31" s="109">
        <v>533.01778170337116</v>
      </c>
      <c r="P31" s="119"/>
      <c r="Q31" s="120">
        <v>0.08</v>
      </c>
      <c r="R31" s="120">
        <v>0.05</v>
      </c>
      <c r="S31" s="120">
        <v>0.03</v>
      </c>
      <c r="T31" s="120">
        <v>1.4999999999999999E-2</v>
      </c>
      <c r="U31" s="120">
        <v>0.02</v>
      </c>
      <c r="V31" s="121">
        <f t="shared" si="0"/>
        <v>0</v>
      </c>
      <c r="W31" s="119"/>
      <c r="X31" s="113">
        <f t="shared" si="1"/>
        <v>2710.7950453768613</v>
      </c>
      <c r="Y31" s="113">
        <f t="shared" si="2"/>
        <v>3695.7389142260254</v>
      </c>
      <c r="Z31" s="113">
        <f t="shared" si="3"/>
        <v>4341.6664692180411</v>
      </c>
      <c r="AA31" s="22"/>
      <c r="AB31" s="22"/>
      <c r="AC31" s="22"/>
      <c r="AD31" s="22"/>
      <c r="AE31" s="22"/>
      <c r="AF31" s="22"/>
      <c r="AG31" s="22"/>
      <c r="AH31" s="22"/>
      <c r="AI31" s="22"/>
      <c r="AJ31" s="22"/>
      <c r="AK31" s="22"/>
      <c r="AL31" s="22"/>
      <c r="AM31" s="22"/>
      <c r="AN31" s="22"/>
      <c r="AO31" s="22"/>
      <c r="AP31" s="22"/>
      <c r="AQ31" s="22"/>
      <c r="AR31" s="22"/>
    </row>
    <row r="32" spans="1:44" hidden="1" x14ac:dyDescent="0.25">
      <c r="A32" s="16"/>
      <c r="B32" s="3" t="s">
        <v>17</v>
      </c>
      <c r="C32" s="3" t="s">
        <v>46</v>
      </c>
      <c r="D32" s="11" t="s">
        <v>19</v>
      </c>
      <c r="E32" s="107">
        <v>1657.7971158627549</v>
      </c>
      <c r="F32" s="108">
        <v>2354.0044753853804</v>
      </c>
      <c r="G32" s="109">
        <v>2789.8180009945299</v>
      </c>
      <c r="H32" s="114"/>
      <c r="I32" s="113">
        <v>141.56350046732797</v>
      </c>
      <c r="J32" s="114">
        <v>227.54473916245658</v>
      </c>
      <c r="K32" s="109">
        <v>272.34790398242723</v>
      </c>
      <c r="L32" s="114"/>
      <c r="M32" s="113">
        <v>387.65099898541041</v>
      </c>
      <c r="N32" s="114">
        <v>396.52823493248758</v>
      </c>
      <c r="O32" s="109">
        <v>435.07812911109949</v>
      </c>
      <c r="P32" s="119"/>
      <c r="Q32" s="120">
        <v>0.08</v>
      </c>
      <c r="R32" s="120">
        <v>0.05</v>
      </c>
      <c r="S32" s="120">
        <v>0.03</v>
      </c>
      <c r="T32" s="120">
        <v>1.4999999999999999E-2</v>
      </c>
      <c r="U32" s="120">
        <v>0.02</v>
      </c>
      <c r="V32" s="121">
        <f t="shared" si="0"/>
        <v>0</v>
      </c>
      <c r="W32" s="119"/>
      <c r="X32" s="113">
        <f t="shared" si="1"/>
        <v>2187.0116153154931</v>
      </c>
      <c r="Y32" s="113">
        <f t="shared" si="2"/>
        <v>2978.0774494803245</v>
      </c>
      <c r="Z32" s="113">
        <f t="shared" si="3"/>
        <v>3497.2440340880567</v>
      </c>
      <c r="AA32" s="22"/>
      <c r="AB32" s="22"/>
      <c r="AC32" s="22"/>
      <c r="AD32" s="22"/>
      <c r="AE32" s="22"/>
      <c r="AF32" s="22"/>
      <c r="AG32" s="22"/>
      <c r="AH32" s="22"/>
      <c r="AI32" s="22"/>
      <c r="AJ32" s="22"/>
      <c r="AK32" s="22"/>
      <c r="AL32" s="22"/>
      <c r="AM32" s="22"/>
      <c r="AN32" s="22"/>
      <c r="AO32" s="22"/>
      <c r="AP32" s="22"/>
      <c r="AQ32" s="22"/>
      <c r="AR32" s="22"/>
    </row>
    <row r="33" spans="1:44" hidden="1" x14ac:dyDescent="0.25">
      <c r="A33" s="16"/>
      <c r="B33" s="3" t="s">
        <v>17</v>
      </c>
      <c r="C33" s="3" t="s">
        <v>47</v>
      </c>
      <c r="D33" s="11" t="s">
        <v>19</v>
      </c>
      <c r="E33" s="107">
        <v>1770.59870711089</v>
      </c>
      <c r="F33" s="108">
        <v>2514.8990551964198</v>
      </c>
      <c r="G33" s="109">
        <v>2980.8180009945299</v>
      </c>
      <c r="H33" s="114"/>
      <c r="I33" s="113">
        <v>148.88548828020626</v>
      </c>
      <c r="J33" s="114">
        <v>239.31387316615127</v>
      </c>
      <c r="K33" s="109">
        <v>286.43436007625991</v>
      </c>
      <c r="L33" s="114"/>
      <c r="M33" s="113">
        <v>407.7011946986504</v>
      </c>
      <c r="N33" s="114">
        <v>417.0375815794215</v>
      </c>
      <c r="O33" s="109">
        <v>457.58136439763149</v>
      </c>
      <c r="P33" s="119"/>
      <c r="Q33" s="120">
        <v>0.08</v>
      </c>
      <c r="R33" s="120">
        <v>0.05</v>
      </c>
      <c r="S33" s="120">
        <v>0.03</v>
      </c>
      <c r="T33" s="120">
        <v>1.4999999999999999E-2</v>
      </c>
      <c r="U33" s="120">
        <v>0.02</v>
      </c>
      <c r="V33" s="121">
        <f t="shared" si="0"/>
        <v>0</v>
      </c>
      <c r="W33" s="119"/>
      <c r="X33" s="113">
        <f t="shared" si="1"/>
        <v>2327.1853900897468</v>
      </c>
      <c r="Y33" s="113">
        <f t="shared" si="2"/>
        <v>3171.2505099419923</v>
      </c>
      <c r="Z33" s="113">
        <f t="shared" si="3"/>
        <v>3724.8337254684216</v>
      </c>
      <c r="AA33" s="22"/>
      <c r="AB33" s="22"/>
      <c r="AC33" s="22"/>
      <c r="AD33" s="22"/>
      <c r="AE33" s="22"/>
      <c r="AF33" s="22"/>
      <c r="AG33" s="22"/>
      <c r="AH33" s="22"/>
      <c r="AI33" s="22"/>
      <c r="AJ33" s="22"/>
      <c r="AK33" s="22"/>
      <c r="AL33" s="22"/>
      <c r="AM33" s="22"/>
      <c r="AN33" s="22"/>
      <c r="AO33" s="22"/>
      <c r="AP33" s="22"/>
      <c r="AQ33" s="22"/>
      <c r="AR33" s="22"/>
    </row>
    <row r="34" spans="1:44" hidden="1" x14ac:dyDescent="0.25">
      <c r="A34" s="16"/>
      <c r="B34" s="3" t="s">
        <v>17</v>
      </c>
      <c r="C34" s="3" t="s">
        <v>48</v>
      </c>
      <c r="D34" s="11" t="s">
        <v>19</v>
      </c>
      <c r="E34" s="107">
        <v>2005.1536548980607</v>
      </c>
      <c r="F34" s="108">
        <v>2849.4574838388862</v>
      </c>
      <c r="G34" s="109">
        <v>3377.9771258080559</v>
      </c>
      <c r="H34" s="114"/>
      <c r="I34" s="113">
        <v>171.23712321281425</v>
      </c>
      <c r="J34" s="114">
        <v>275.24119146362835</v>
      </c>
      <c r="K34" s="109">
        <v>329.43570508666483</v>
      </c>
      <c r="L34" s="114"/>
      <c r="M34" s="113">
        <v>468.90788697440712</v>
      </c>
      <c r="N34" s="114">
        <v>479.64591154034889</v>
      </c>
      <c r="O34" s="109">
        <v>526.27638449073652</v>
      </c>
      <c r="P34" s="119"/>
      <c r="Q34" s="120">
        <v>0.08</v>
      </c>
      <c r="R34" s="120">
        <v>0.05</v>
      </c>
      <c r="S34" s="120">
        <v>0.03</v>
      </c>
      <c r="T34" s="120">
        <v>1.4999999999999999E-2</v>
      </c>
      <c r="U34" s="120">
        <v>0.02</v>
      </c>
      <c r="V34" s="121">
        <f t="shared" si="0"/>
        <v>0</v>
      </c>
      <c r="W34" s="119"/>
      <c r="X34" s="113">
        <f t="shared" si="1"/>
        <v>2645.2986650852822</v>
      </c>
      <c r="Y34" s="113">
        <f t="shared" si="2"/>
        <v>3604.3445868428635</v>
      </c>
      <c r="Z34" s="113">
        <f t="shared" si="3"/>
        <v>4233.6892153854569</v>
      </c>
      <c r="AA34" s="22"/>
      <c r="AB34" s="22"/>
      <c r="AC34" s="22"/>
      <c r="AD34" s="22"/>
      <c r="AE34" s="22"/>
      <c r="AF34" s="22"/>
      <c r="AG34" s="22"/>
      <c r="AH34" s="22"/>
      <c r="AI34" s="22"/>
      <c r="AJ34" s="22"/>
      <c r="AK34" s="22"/>
      <c r="AL34" s="22"/>
      <c r="AM34" s="22"/>
      <c r="AN34" s="22"/>
      <c r="AO34" s="22"/>
      <c r="AP34" s="22"/>
      <c r="AQ34" s="22"/>
      <c r="AR34" s="22"/>
    </row>
    <row r="35" spans="1:44" hidden="1" x14ac:dyDescent="0.25">
      <c r="A35" s="16"/>
      <c r="B35" s="3" t="s">
        <v>17</v>
      </c>
      <c r="C35" s="3" t="s">
        <v>241</v>
      </c>
      <c r="D35" s="11" t="s">
        <v>19</v>
      </c>
      <c r="E35" s="107">
        <v>2048.1253107906514</v>
      </c>
      <c r="F35" s="108">
        <v>2910.7508702138239</v>
      </c>
      <c r="G35" s="109">
        <v>3450.7389358528094</v>
      </c>
      <c r="H35" s="114"/>
      <c r="I35" s="113">
        <v>172.22596565863475</v>
      </c>
      <c r="J35" s="114">
        <v>276.8306258564217</v>
      </c>
      <c r="K35" s="109">
        <v>331.33809635700658</v>
      </c>
      <c r="L35" s="114"/>
      <c r="M35" s="113">
        <v>471.61568778956109</v>
      </c>
      <c r="N35" s="114">
        <v>482.41572119024528</v>
      </c>
      <c r="O35" s="109">
        <v>529.31547097766975</v>
      </c>
      <c r="P35" s="119"/>
      <c r="Q35" s="120">
        <v>0.08</v>
      </c>
      <c r="R35" s="120">
        <v>0.05</v>
      </c>
      <c r="S35" s="120">
        <v>0.03</v>
      </c>
      <c r="T35" s="120">
        <v>1.4999999999999999E-2</v>
      </c>
      <c r="U35" s="120">
        <v>0.02</v>
      </c>
      <c r="V35" s="121">
        <f t="shared" si="0"/>
        <v>0</v>
      </c>
      <c r="W35" s="119"/>
      <c r="X35" s="113">
        <f t="shared" si="1"/>
        <v>2691.9669642388471</v>
      </c>
      <c r="Y35" s="113">
        <f t="shared" si="2"/>
        <v>3669.9972172604907</v>
      </c>
      <c r="Z35" s="113">
        <f t="shared" si="3"/>
        <v>4311.392503187486</v>
      </c>
      <c r="AA35" s="22"/>
      <c r="AB35" s="22"/>
      <c r="AC35" s="22"/>
      <c r="AD35" s="22"/>
      <c r="AE35" s="22"/>
      <c r="AF35" s="22"/>
      <c r="AG35" s="22"/>
      <c r="AH35" s="22"/>
      <c r="AI35" s="22"/>
      <c r="AJ35" s="22"/>
      <c r="AK35" s="22"/>
      <c r="AL35" s="22"/>
      <c r="AM35" s="22"/>
      <c r="AN35" s="22"/>
      <c r="AO35" s="22"/>
      <c r="AP35" s="22"/>
      <c r="AQ35" s="22"/>
      <c r="AR35" s="22"/>
    </row>
    <row r="36" spans="1:44" hidden="1" x14ac:dyDescent="0.25">
      <c r="A36" s="16"/>
      <c r="B36" s="3" t="s">
        <v>17</v>
      </c>
      <c r="C36" s="3" t="s">
        <v>50</v>
      </c>
      <c r="D36" s="11" t="s">
        <v>19</v>
      </c>
      <c r="E36" s="107">
        <v>1670.3311785181502</v>
      </c>
      <c r="F36" s="108">
        <v>2371.8816509199405</v>
      </c>
      <c r="G36" s="109">
        <v>2811.0397812033816</v>
      </c>
      <c r="H36" s="114"/>
      <c r="I36" s="113">
        <v>140.45285103386516</v>
      </c>
      <c r="J36" s="114">
        <v>225.7595160307599</v>
      </c>
      <c r="K36" s="109">
        <v>270.21117350978199</v>
      </c>
      <c r="L36" s="114"/>
      <c r="M36" s="113">
        <v>384.6096475001537</v>
      </c>
      <c r="N36" s="114">
        <v>393.4172362779903</v>
      </c>
      <c r="O36" s="109">
        <v>431.66468372430063</v>
      </c>
      <c r="P36" s="119"/>
      <c r="Q36" s="120">
        <v>0.08</v>
      </c>
      <c r="R36" s="120">
        <v>0.05</v>
      </c>
      <c r="S36" s="120">
        <v>0.03</v>
      </c>
      <c r="T36" s="120">
        <v>1.4999999999999999E-2</v>
      </c>
      <c r="U36" s="120">
        <v>0.02</v>
      </c>
      <c r="V36" s="121">
        <f t="shared" si="0"/>
        <v>0</v>
      </c>
      <c r="W36" s="119"/>
      <c r="X36" s="113">
        <f t="shared" si="1"/>
        <v>2195.3936770521691</v>
      </c>
      <c r="Y36" s="113">
        <f t="shared" si="2"/>
        <v>2991.0584032286911</v>
      </c>
      <c r="Z36" s="113">
        <f t="shared" si="3"/>
        <v>3512.9156384374642</v>
      </c>
      <c r="AA36" s="22"/>
      <c r="AB36" s="22"/>
      <c r="AC36" s="22"/>
      <c r="AD36" s="22"/>
      <c r="AE36" s="22"/>
      <c r="AF36" s="22"/>
      <c r="AG36" s="22"/>
      <c r="AH36" s="22"/>
      <c r="AI36" s="22"/>
      <c r="AJ36" s="22"/>
      <c r="AK36" s="22"/>
      <c r="AL36" s="22"/>
      <c r="AM36" s="22"/>
      <c r="AN36" s="22"/>
      <c r="AO36" s="22"/>
      <c r="AP36" s="22"/>
      <c r="AQ36" s="22"/>
      <c r="AR36" s="22"/>
    </row>
    <row r="37" spans="1:44" hidden="1" x14ac:dyDescent="0.25">
      <c r="A37" s="16"/>
      <c r="B37" s="3" t="s">
        <v>17</v>
      </c>
      <c r="C37" s="3" t="s">
        <v>51</v>
      </c>
      <c r="D37" s="11" t="s">
        <v>19</v>
      </c>
      <c r="E37" s="107">
        <v>1999.7817006464445</v>
      </c>
      <c r="F37" s="108">
        <v>2841.7956240676281</v>
      </c>
      <c r="G37" s="109">
        <v>3368.8816509199405</v>
      </c>
      <c r="H37" s="114"/>
      <c r="I37" s="113">
        <v>170.77827981652806</v>
      </c>
      <c r="J37" s="114">
        <v>274.50366095202264</v>
      </c>
      <c r="K37" s="109">
        <v>328.55295609541923</v>
      </c>
      <c r="L37" s="114"/>
      <c r="M37" s="113">
        <v>467.65141125601207</v>
      </c>
      <c r="N37" s="114">
        <v>478.36066243701958</v>
      </c>
      <c r="O37" s="109">
        <v>524.86618535217212</v>
      </c>
      <c r="P37" s="119"/>
      <c r="Q37" s="120">
        <v>0.08</v>
      </c>
      <c r="R37" s="120">
        <v>0.05</v>
      </c>
      <c r="S37" s="120">
        <v>0.03</v>
      </c>
      <c r="T37" s="120">
        <v>1.4999999999999999E-2</v>
      </c>
      <c r="U37" s="120">
        <v>0.02</v>
      </c>
      <c r="V37" s="121">
        <f t="shared" si="0"/>
        <v>0</v>
      </c>
      <c r="W37" s="119"/>
      <c r="X37" s="113">
        <f t="shared" si="1"/>
        <v>2638.2113917189845</v>
      </c>
      <c r="Y37" s="113">
        <f t="shared" si="2"/>
        <v>3594.6599474566701</v>
      </c>
      <c r="Z37" s="113">
        <f t="shared" si="3"/>
        <v>4222.3007923675323</v>
      </c>
      <c r="AA37" s="22"/>
      <c r="AB37" s="22"/>
      <c r="AC37" s="22"/>
      <c r="AD37" s="22"/>
      <c r="AE37" s="22"/>
      <c r="AF37" s="22"/>
      <c r="AG37" s="22"/>
      <c r="AH37" s="22"/>
      <c r="AI37" s="22"/>
      <c r="AJ37" s="22"/>
      <c r="AK37" s="22"/>
      <c r="AL37" s="22"/>
      <c r="AM37" s="22"/>
      <c r="AN37" s="22"/>
      <c r="AO37" s="22"/>
      <c r="AP37" s="22"/>
      <c r="AQ37" s="22"/>
      <c r="AR37" s="22"/>
    </row>
    <row r="38" spans="1:44" hidden="1" x14ac:dyDescent="0.25">
      <c r="A38" s="16"/>
      <c r="B38" s="3" t="s">
        <v>17</v>
      </c>
      <c r="C38" s="3" t="s">
        <v>52</v>
      </c>
      <c r="D38" s="11" t="s">
        <v>19</v>
      </c>
      <c r="E38" s="107">
        <v>2268.3570363003482</v>
      </c>
      <c r="F38" s="108">
        <v>3224.8781700646446</v>
      </c>
      <c r="G38" s="109">
        <v>3823.6444554947789</v>
      </c>
      <c r="H38" s="114"/>
      <c r="I38" s="113">
        <v>190.74772226550184</v>
      </c>
      <c r="J38" s="114">
        <v>306.60191762320568</v>
      </c>
      <c r="K38" s="109">
        <v>366.97130388084241</v>
      </c>
      <c r="L38" s="114"/>
      <c r="M38" s="113">
        <v>522.33481685824188</v>
      </c>
      <c r="N38" s="114">
        <v>534.29632198723675</v>
      </c>
      <c r="O38" s="109">
        <v>586.2398277911459</v>
      </c>
      <c r="P38" s="119"/>
      <c r="Q38" s="120">
        <v>0.08</v>
      </c>
      <c r="R38" s="120">
        <v>0.05</v>
      </c>
      <c r="S38" s="120">
        <v>0.03</v>
      </c>
      <c r="T38" s="120">
        <v>1.4999999999999999E-2</v>
      </c>
      <c r="U38" s="120">
        <v>0.02</v>
      </c>
      <c r="V38" s="121">
        <f t="shared" si="0"/>
        <v>0</v>
      </c>
      <c r="W38" s="119"/>
      <c r="X38" s="113">
        <f t="shared" si="1"/>
        <v>2981.4395754240923</v>
      </c>
      <c r="Y38" s="113">
        <f t="shared" si="2"/>
        <v>4065.7764096750871</v>
      </c>
      <c r="Z38" s="113">
        <f t="shared" si="3"/>
        <v>4776.8555871667677</v>
      </c>
      <c r="AA38" s="22"/>
      <c r="AB38" s="22"/>
      <c r="AC38" s="22"/>
      <c r="AD38" s="22"/>
      <c r="AE38" s="22"/>
      <c r="AF38" s="22"/>
      <c r="AG38" s="22"/>
      <c r="AH38" s="22"/>
      <c r="AI38" s="22"/>
      <c r="AJ38" s="22"/>
      <c r="AK38" s="22"/>
      <c r="AL38" s="22"/>
      <c r="AM38" s="22"/>
      <c r="AN38" s="22"/>
      <c r="AO38" s="22"/>
      <c r="AP38" s="22"/>
      <c r="AQ38" s="22"/>
      <c r="AR38" s="22"/>
    </row>
    <row r="39" spans="1:44" hidden="1" x14ac:dyDescent="0.25">
      <c r="A39" s="16"/>
      <c r="B39" s="3" t="s">
        <v>17</v>
      </c>
      <c r="C39" s="3" t="s">
        <v>53</v>
      </c>
      <c r="D39" s="11" t="s">
        <v>19</v>
      </c>
      <c r="E39" s="107">
        <v>2220.0134261561411</v>
      </c>
      <c r="F39" s="108">
        <v>3155.923421183491</v>
      </c>
      <c r="G39" s="109">
        <v>3741.7866732968673</v>
      </c>
      <c r="H39" s="114"/>
      <c r="I39" s="113">
        <v>189.59201640279935</v>
      </c>
      <c r="J39" s="114">
        <v>304.74427219759076</v>
      </c>
      <c r="K39" s="109">
        <v>364.74789129010986</v>
      </c>
      <c r="L39" s="114"/>
      <c r="M39" s="113">
        <v>519.17008491299509</v>
      </c>
      <c r="N39" s="114">
        <v>531.0591174512814</v>
      </c>
      <c r="O39" s="109">
        <v>582.68790697195584</v>
      </c>
      <c r="P39" s="119"/>
      <c r="Q39" s="120">
        <v>0.08</v>
      </c>
      <c r="R39" s="120">
        <v>0.05</v>
      </c>
      <c r="S39" s="120">
        <v>0.03</v>
      </c>
      <c r="T39" s="120">
        <v>1.4999999999999999E-2</v>
      </c>
      <c r="U39" s="120">
        <v>0.02</v>
      </c>
      <c r="V39" s="121">
        <f t="shared" si="0"/>
        <v>0</v>
      </c>
      <c r="W39" s="119"/>
      <c r="X39" s="113">
        <f t="shared" si="1"/>
        <v>2928.7755274719357</v>
      </c>
      <c r="Y39" s="113">
        <f t="shared" si="2"/>
        <v>3991.7268108323633</v>
      </c>
      <c r="Z39" s="113">
        <f t="shared" si="3"/>
        <v>4689.2224715589336</v>
      </c>
      <c r="AA39" s="22"/>
      <c r="AB39" s="22"/>
      <c r="AC39" s="22"/>
      <c r="AD39" s="22"/>
      <c r="AE39" s="22"/>
      <c r="AF39" s="22"/>
      <c r="AG39" s="22"/>
      <c r="AH39" s="22"/>
      <c r="AI39" s="22"/>
      <c r="AJ39" s="22"/>
      <c r="AK39" s="22"/>
      <c r="AL39" s="22"/>
      <c r="AM39" s="22"/>
      <c r="AN39" s="22"/>
      <c r="AO39" s="22"/>
      <c r="AP39" s="22"/>
      <c r="AQ39" s="22"/>
      <c r="AR39" s="22"/>
    </row>
    <row r="40" spans="1:44" hidden="1" x14ac:dyDescent="0.25">
      <c r="A40" s="16"/>
      <c r="B40" s="3" t="s">
        <v>17</v>
      </c>
      <c r="C40" s="3" t="s">
        <v>54</v>
      </c>
      <c r="D40" s="11" t="s">
        <v>19</v>
      </c>
      <c r="E40" s="107">
        <v>1906.6762804574839</v>
      </c>
      <c r="F40" s="108">
        <v>2708.994032819493</v>
      </c>
      <c r="G40" s="109">
        <v>3211.230730979612</v>
      </c>
      <c r="H40" s="114"/>
      <c r="I40" s="113">
        <v>160.32984693386734</v>
      </c>
      <c r="J40" s="114">
        <v>257.70917701306286</v>
      </c>
      <c r="K40" s="109">
        <v>308.45166737269182</v>
      </c>
      <c r="L40" s="114"/>
      <c r="M40" s="113">
        <v>439.03990171135905</v>
      </c>
      <c r="N40" s="114">
        <v>449.09394725199752</v>
      </c>
      <c r="O40" s="109">
        <v>492.75420298578467</v>
      </c>
      <c r="P40" s="119"/>
      <c r="Q40" s="120">
        <v>0.08</v>
      </c>
      <c r="R40" s="120">
        <v>0.05</v>
      </c>
      <c r="S40" s="120">
        <v>0.03</v>
      </c>
      <c r="T40" s="120">
        <v>1.4999999999999999E-2</v>
      </c>
      <c r="U40" s="120">
        <v>0.02</v>
      </c>
      <c r="V40" s="121">
        <f t="shared" si="0"/>
        <v>0</v>
      </c>
      <c r="W40" s="119"/>
      <c r="X40" s="113">
        <f t="shared" si="1"/>
        <v>2506.0460291027102</v>
      </c>
      <c r="Y40" s="113">
        <f t="shared" si="2"/>
        <v>3415.7971570845534</v>
      </c>
      <c r="Z40" s="113">
        <f t="shared" si="3"/>
        <v>4012.4366013380882</v>
      </c>
      <c r="AA40" s="22"/>
      <c r="AB40" s="22"/>
      <c r="AC40" s="22"/>
      <c r="AD40" s="22"/>
      <c r="AE40" s="22"/>
      <c r="AF40" s="22"/>
      <c r="AG40" s="22"/>
      <c r="AH40" s="22"/>
      <c r="AI40" s="22"/>
      <c r="AJ40" s="22"/>
      <c r="AK40" s="22"/>
      <c r="AL40" s="22"/>
      <c r="AM40" s="22"/>
      <c r="AN40" s="22"/>
      <c r="AO40" s="22"/>
      <c r="AP40" s="22"/>
      <c r="AQ40" s="22"/>
      <c r="AR40" s="22"/>
    </row>
    <row r="41" spans="1:44" hidden="1" x14ac:dyDescent="0.25">
      <c r="A41" s="16"/>
      <c r="B41" s="3" t="s">
        <v>17</v>
      </c>
      <c r="C41" s="3" t="s">
        <v>55</v>
      </c>
      <c r="D41" s="11" t="s">
        <v>19</v>
      </c>
      <c r="E41" s="107">
        <v>1756.2744903033317</v>
      </c>
      <c r="F41" s="108">
        <v>2494.4679264047736</v>
      </c>
      <c r="G41" s="109">
        <v>2956.5638985579312</v>
      </c>
      <c r="H41" s="114"/>
      <c r="I41" s="113">
        <v>147.68084931750127</v>
      </c>
      <c r="J41" s="114">
        <v>237.3775742073889</v>
      </c>
      <c r="K41" s="109">
        <v>284.11680720800496</v>
      </c>
      <c r="L41" s="114"/>
      <c r="M41" s="113">
        <v>404.40246659594203</v>
      </c>
      <c r="N41" s="114">
        <v>413.66331236429585</v>
      </c>
      <c r="O41" s="109">
        <v>453.87905367193002</v>
      </c>
      <c r="P41" s="119"/>
      <c r="Q41" s="120">
        <v>0.08</v>
      </c>
      <c r="R41" s="120">
        <v>0.05</v>
      </c>
      <c r="S41" s="120">
        <v>0.03</v>
      </c>
      <c r="T41" s="120">
        <v>1.4999999999999999E-2</v>
      </c>
      <c r="U41" s="120">
        <v>0.02</v>
      </c>
      <c r="V41" s="121">
        <f t="shared" si="0"/>
        <v>0</v>
      </c>
      <c r="W41" s="119"/>
      <c r="X41" s="113">
        <f t="shared" si="1"/>
        <v>2308.3578062167749</v>
      </c>
      <c r="Y41" s="113">
        <f t="shared" si="2"/>
        <v>3145.5088129764586</v>
      </c>
      <c r="Z41" s="113">
        <f t="shared" si="3"/>
        <v>3694.559759437866</v>
      </c>
      <c r="AA41" s="22"/>
      <c r="AB41" s="22"/>
      <c r="AC41" s="22"/>
      <c r="AD41" s="22"/>
      <c r="AE41" s="22"/>
      <c r="AF41" s="22"/>
      <c r="AG41" s="22"/>
      <c r="AH41" s="22"/>
      <c r="AI41" s="22"/>
      <c r="AJ41" s="22"/>
      <c r="AK41" s="22"/>
      <c r="AL41" s="22"/>
      <c r="AM41" s="22"/>
      <c r="AN41" s="22"/>
      <c r="AO41" s="22"/>
      <c r="AP41" s="22"/>
      <c r="AQ41" s="22"/>
      <c r="AR41" s="22"/>
    </row>
    <row r="42" spans="1:44" hidden="1" x14ac:dyDescent="0.25">
      <c r="A42" s="16"/>
      <c r="B42" s="3" t="s">
        <v>17</v>
      </c>
      <c r="C42" s="3" t="s">
        <v>242</v>
      </c>
      <c r="D42" s="11" t="s">
        <v>19</v>
      </c>
      <c r="E42" s="107">
        <v>1980.0865241173547</v>
      </c>
      <c r="F42" s="108">
        <v>2813.7031327697664</v>
      </c>
      <c r="G42" s="109">
        <v>3335.5325708602686</v>
      </c>
      <c r="H42" s="114"/>
      <c r="I42" s="113">
        <v>166.50376566504463</v>
      </c>
      <c r="J42" s="114">
        <v>267.63294071386349</v>
      </c>
      <c r="K42" s="109">
        <v>320.32940294890454</v>
      </c>
      <c r="L42" s="114"/>
      <c r="M42" s="113">
        <v>455.94627769029989</v>
      </c>
      <c r="N42" s="114">
        <v>466.38748046506868</v>
      </c>
      <c r="O42" s="109">
        <v>511.72898816683158</v>
      </c>
      <c r="P42" s="119"/>
      <c r="Q42" s="120">
        <v>0.08</v>
      </c>
      <c r="R42" s="120">
        <v>0.05</v>
      </c>
      <c r="S42" s="120">
        <v>0.03</v>
      </c>
      <c r="T42" s="120">
        <v>1.4999999999999999E-2</v>
      </c>
      <c r="U42" s="120">
        <v>0.02</v>
      </c>
      <c r="V42" s="121">
        <f t="shared" si="0"/>
        <v>0</v>
      </c>
      <c r="W42" s="119"/>
      <c r="X42" s="113">
        <f t="shared" si="1"/>
        <v>2602.5365674726991</v>
      </c>
      <c r="Y42" s="113">
        <f t="shared" si="2"/>
        <v>3547.7235539486983</v>
      </c>
      <c r="Z42" s="113">
        <f t="shared" si="3"/>
        <v>4167.5909619760041</v>
      </c>
      <c r="AA42" s="22"/>
      <c r="AB42" s="22"/>
      <c r="AC42" s="22"/>
      <c r="AD42" s="22"/>
      <c r="AE42" s="22"/>
      <c r="AF42" s="22"/>
      <c r="AG42" s="22"/>
      <c r="AH42" s="22"/>
      <c r="AI42" s="22"/>
      <c r="AJ42" s="22"/>
      <c r="AK42" s="22"/>
      <c r="AL42" s="22"/>
      <c r="AM42" s="22"/>
      <c r="AN42" s="22"/>
      <c r="AO42" s="22"/>
      <c r="AP42" s="22"/>
      <c r="AQ42" s="22"/>
      <c r="AR42" s="22"/>
    </row>
    <row r="43" spans="1:44" hidden="1" x14ac:dyDescent="0.25">
      <c r="A43" s="16"/>
      <c r="B43" s="3" t="s">
        <v>17</v>
      </c>
      <c r="C43" s="3" t="s">
        <v>57</v>
      </c>
      <c r="D43" s="11" t="s">
        <v>19</v>
      </c>
      <c r="E43" s="107">
        <v>1611.2446544007955</v>
      </c>
      <c r="F43" s="108">
        <v>2287.6031824962706</v>
      </c>
      <c r="G43" s="109">
        <v>2710.9925410243659</v>
      </c>
      <c r="H43" s="114"/>
      <c r="I43" s="113">
        <v>135.48361218557676</v>
      </c>
      <c r="J43" s="114">
        <v>217.77211706254428</v>
      </c>
      <c r="K43" s="109">
        <v>260.6510695263986</v>
      </c>
      <c r="L43" s="114"/>
      <c r="M43" s="113">
        <v>371.0021116778766</v>
      </c>
      <c r="N43" s="114">
        <v>379.49808690004375</v>
      </c>
      <c r="O43" s="109">
        <v>416.39233503214257</v>
      </c>
      <c r="P43" s="119"/>
      <c r="Q43" s="120">
        <v>0.08</v>
      </c>
      <c r="R43" s="120">
        <v>0.05</v>
      </c>
      <c r="S43" s="120">
        <v>0.03</v>
      </c>
      <c r="T43" s="120">
        <v>1.4999999999999999E-2</v>
      </c>
      <c r="U43" s="120">
        <v>0.02</v>
      </c>
      <c r="V43" s="121">
        <f t="shared" si="0"/>
        <v>0</v>
      </c>
      <c r="W43" s="119"/>
      <c r="X43" s="113">
        <f t="shared" si="1"/>
        <v>2117.7303782642489</v>
      </c>
      <c r="Y43" s="113">
        <f t="shared" si="2"/>
        <v>2884.8733864588585</v>
      </c>
      <c r="Z43" s="113">
        <f t="shared" si="3"/>
        <v>3388.0359455829071</v>
      </c>
      <c r="AA43" s="22"/>
      <c r="AB43" s="22"/>
      <c r="AC43" s="22"/>
      <c r="AD43" s="22"/>
      <c r="AE43" s="22"/>
      <c r="AF43" s="22"/>
      <c r="AG43" s="22"/>
      <c r="AH43" s="22"/>
      <c r="AI43" s="22"/>
      <c r="AJ43" s="22"/>
      <c r="AK43" s="22"/>
      <c r="AL43" s="22"/>
      <c r="AM43" s="22"/>
      <c r="AN43" s="22"/>
      <c r="AO43" s="22"/>
      <c r="AP43" s="22"/>
      <c r="AQ43" s="22"/>
      <c r="AR43" s="22"/>
    </row>
    <row r="44" spans="1:44" hidden="1" x14ac:dyDescent="0.25">
      <c r="A44" s="16"/>
      <c r="B44" s="3" t="s">
        <v>17</v>
      </c>
      <c r="C44" s="3" t="s">
        <v>58</v>
      </c>
      <c r="D44" s="11" t="s">
        <v>19</v>
      </c>
      <c r="E44" s="107">
        <v>1779.5509696668323</v>
      </c>
      <c r="F44" s="108">
        <v>2527.6683242168074</v>
      </c>
      <c r="G44" s="109">
        <v>2995.9771258080559</v>
      </c>
      <c r="H44" s="114"/>
      <c r="I44" s="113">
        <v>149.63840809198888</v>
      </c>
      <c r="J44" s="114">
        <v>240.52409290228908</v>
      </c>
      <c r="K44" s="109">
        <v>287.88286998120651</v>
      </c>
      <c r="L44" s="114"/>
      <c r="M44" s="113">
        <v>409.76295578982081</v>
      </c>
      <c r="N44" s="114">
        <v>419.14655714887442</v>
      </c>
      <c r="O44" s="109">
        <v>459.89537148278862</v>
      </c>
      <c r="P44" s="119"/>
      <c r="Q44" s="120">
        <v>0.08</v>
      </c>
      <c r="R44" s="120">
        <v>0.05</v>
      </c>
      <c r="S44" s="120">
        <v>0.03</v>
      </c>
      <c r="T44" s="120">
        <v>1.4999999999999999E-2</v>
      </c>
      <c r="U44" s="120">
        <v>0.02</v>
      </c>
      <c r="V44" s="121">
        <f t="shared" si="0"/>
        <v>0</v>
      </c>
      <c r="W44" s="119"/>
      <c r="X44" s="113">
        <f t="shared" si="1"/>
        <v>2338.9523335486419</v>
      </c>
      <c r="Y44" s="113">
        <f t="shared" si="2"/>
        <v>3187.3389742679706</v>
      </c>
      <c r="Z44" s="113">
        <f t="shared" si="3"/>
        <v>3743.755367272051</v>
      </c>
      <c r="AA44" s="22"/>
      <c r="AB44" s="22"/>
      <c r="AC44" s="22"/>
      <c r="AD44" s="22"/>
      <c r="AE44" s="22"/>
      <c r="AF44" s="22"/>
      <c r="AG44" s="22"/>
      <c r="AH44" s="22"/>
      <c r="AI44" s="22"/>
      <c r="AJ44" s="22"/>
      <c r="AK44" s="22"/>
      <c r="AL44" s="22"/>
      <c r="AM44" s="22"/>
      <c r="AN44" s="22"/>
      <c r="AO44" s="22"/>
      <c r="AP44" s="22"/>
      <c r="AQ44" s="22"/>
      <c r="AR44" s="22"/>
    </row>
    <row r="45" spans="1:44" hidden="1" x14ac:dyDescent="0.25">
      <c r="A45" s="16"/>
      <c r="B45" s="3" t="s">
        <v>17</v>
      </c>
      <c r="C45" s="3" t="s">
        <v>59</v>
      </c>
      <c r="D45" s="11" t="s">
        <v>19</v>
      </c>
      <c r="E45" s="107">
        <v>1553.9482844356041</v>
      </c>
      <c r="F45" s="108">
        <v>2205.879164594729</v>
      </c>
      <c r="G45" s="109">
        <v>2613.9766285430132</v>
      </c>
      <c r="H45" s="114"/>
      <c r="I45" s="113">
        <v>130.66493274753458</v>
      </c>
      <c r="J45" s="114">
        <v>210.02672257726263</v>
      </c>
      <c r="K45" s="109">
        <v>251.38062028926001</v>
      </c>
      <c r="L45" s="114"/>
      <c r="M45" s="113">
        <v>357.80686084146043</v>
      </c>
      <c r="N45" s="114">
        <v>366.00066386398839</v>
      </c>
      <c r="O45" s="109">
        <v>401.58271229910349</v>
      </c>
      <c r="P45" s="119"/>
      <c r="Q45" s="120">
        <v>0.08</v>
      </c>
      <c r="R45" s="120">
        <v>0.05</v>
      </c>
      <c r="S45" s="120">
        <v>0.03</v>
      </c>
      <c r="T45" s="120">
        <v>1.4999999999999999E-2</v>
      </c>
      <c r="U45" s="120">
        <v>0.02</v>
      </c>
      <c r="V45" s="121">
        <f t="shared" si="0"/>
        <v>0</v>
      </c>
      <c r="W45" s="119"/>
      <c r="X45" s="113">
        <f t="shared" si="1"/>
        <v>2042.4200780245992</v>
      </c>
      <c r="Y45" s="113">
        <f t="shared" si="2"/>
        <v>2781.9065510359801</v>
      </c>
      <c r="Z45" s="113">
        <f t="shared" si="3"/>
        <v>3266.939961131377</v>
      </c>
      <c r="AA45" s="22"/>
      <c r="AB45" s="22"/>
      <c r="AC45" s="22"/>
      <c r="AD45" s="22"/>
      <c r="AE45" s="22"/>
      <c r="AF45" s="22"/>
      <c r="AG45" s="22"/>
      <c r="AH45" s="22"/>
      <c r="AI45" s="22"/>
      <c r="AJ45" s="22"/>
      <c r="AK45" s="22"/>
      <c r="AL45" s="22"/>
      <c r="AM45" s="22"/>
      <c r="AN45" s="22"/>
      <c r="AO45" s="22"/>
      <c r="AP45" s="22"/>
      <c r="AQ45" s="22"/>
      <c r="AR45" s="22"/>
    </row>
    <row r="46" spans="1:44" hidden="1" x14ac:dyDescent="0.25">
      <c r="A46" s="16"/>
      <c r="B46" s="3" t="s">
        <v>60</v>
      </c>
      <c r="C46" s="3" t="s">
        <v>61</v>
      </c>
      <c r="D46" s="11" t="s">
        <v>243</v>
      </c>
      <c r="E46" s="107">
        <v>1499.3175599999997</v>
      </c>
      <c r="F46" s="108">
        <v>2127.93516</v>
      </c>
      <c r="G46" s="109">
        <v>2521.4669999999996</v>
      </c>
      <c r="H46" s="114"/>
      <c r="I46" s="113">
        <v>47.177522085522739</v>
      </c>
      <c r="J46" s="114">
        <v>75.831672160147534</v>
      </c>
      <c r="K46" s="109">
        <v>90.762796996830346</v>
      </c>
      <c r="L46" s="114"/>
      <c r="M46" s="113">
        <v>132.19315323320973</v>
      </c>
      <c r="N46" s="114">
        <v>135.22038601452778</v>
      </c>
      <c r="O46" s="109">
        <v>148.36631387648347</v>
      </c>
      <c r="P46" s="119"/>
      <c r="Q46" s="120">
        <v>0.08</v>
      </c>
      <c r="R46" s="120">
        <v>0.05</v>
      </c>
      <c r="S46" s="120">
        <v>0.03</v>
      </c>
      <c r="T46" s="120">
        <v>1.4999999999999999E-2</v>
      </c>
      <c r="U46" s="120">
        <v>0.02</v>
      </c>
      <c r="V46" s="121">
        <f t="shared" si="0"/>
        <v>0</v>
      </c>
      <c r="W46" s="119"/>
      <c r="X46" s="113">
        <f t="shared" si="1"/>
        <v>1678.688235318732</v>
      </c>
      <c r="Y46" s="113">
        <f t="shared" si="2"/>
        <v>2338.9872181746755</v>
      </c>
      <c r="Z46" s="113">
        <f t="shared" si="3"/>
        <v>2760.5961108733136</v>
      </c>
      <c r="AA46" s="22"/>
      <c r="AB46" s="22"/>
      <c r="AC46" s="22"/>
      <c r="AD46" s="22"/>
      <c r="AE46" s="22"/>
      <c r="AF46" s="22"/>
      <c r="AG46" s="22"/>
      <c r="AH46" s="22"/>
      <c r="AI46" s="22"/>
      <c r="AJ46" s="22"/>
      <c r="AK46" s="22"/>
      <c r="AL46" s="22"/>
      <c r="AM46" s="22"/>
      <c r="AN46" s="22"/>
      <c r="AO46" s="22"/>
      <c r="AP46" s="22"/>
      <c r="AQ46" s="22"/>
      <c r="AR46" s="22"/>
    </row>
    <row r="47" spans="1:44" hidden="1" x14ac:dyDescent="0.25">
      <c r="A47" s="16"/>
      <c r="B47" s="3" t="s">
        <v>62</v>
      </c>
      <c r="C47" s="3" t="s">
        <v>63</v>
      </c>
      <c r="D47" s="11" t="s">
        <v>243</v>
      </c>
      <c r="E47" s="107">
        <v>1639.3571999999999</v>
      </c>
      <c r="F47" s="108">
        <v>2327.7149999999997</v>
      </c>
      <c r="G47" s="109">
        <v>2758.5979199999997</v>
      </c>
      <c r="H47" s="114"/>
      <c r="I47" s="113">
        <v>139.46030088870825</v>
      </c>
      <c r="J47" s="114">
        <v>224.16412199811862</v>
      </c>
      <c r="K47" s="109">
        <v>268.30164915683395</v>
      </c>
      <c r="L47" s="114"/>
      <c r="M47" s="113">
        <v>390.77289586999876</v>
      </c>
      <c r="N47" s="114">
        <v>399.72162348179359</v>
      </c>
      <c r="O47" s="109">
        <v>438.58197421759849</v>
      </c>
      <c r="P47" s="119"/>
      <c r="Q47" s="120">
        <v>0.08</v>
      </c>
      <c r="R47" s="120">
        <v>0.05</v>
      </c>
      <c r="S47" s="120">
        <v>0.03</v>
      </c>
      <c r="T47" s="120">
        <v>1.4999999999999999E-2</v>
      </c>
      <c r="U47" s="120">
        <v>0.02</v>
      </c>
      <c r="V47" s="121">
        <f t="shared" si="0"/>
        <v>0</v>
      </c>
      <c r="W47" s="119"/>
      <c r="X47" s="113">
        <f t="shared" si="1"/>
        <v>2169.5903967587069</v>
      </c>
      <c r="Y47" s="113">
        <f t="shared" si="2"/>
        <v>2951.6007454799119</v>
      </c>
      <c r="Z47" s="113">
        <f t="shared" si="3"/>
        <v>3465.481543374432</v>
      </c>
      <c r="AA47" s="22"/>
      <c r="AB47" s="22"/>
      <c r="AC47" s="22"/>
      <c r="AD47" s="22"/>
      <c r="AE47" s="22"/>
      <c r="AF47" s="22"/>
      <c r="AG47" s="22"/>
      <c r="AH47" s="22"/>
      <c r="AI47" s="22"/>
      <c r="AJ47" s="22"/>
      <c r="AK47" s="22"/>
      <c r="AL47" s="22"/>
      <c r="AM47" s="22"/>
      <c r="AN47" s="22"/>
      <c r="AO47" s="22"/>
      <c r="AP47" s="22"/>
      <c r="AQ47" s="22"/>
      <c r="AR47" s="22"/>
    </row>
    <row r="48" spans="1:44" hidden="1" x14ac:dyDescent="0.25">
      <c r="A48" s="16"/>
      <c r="B48" s="3" t="s">
        <v>64</v>
      </c>
      <c r="C48" s="3" t="s">
        <v>65</v>
      </c>
      <c r="D48" s="11" t="s">
        <v>243</v>
      </c>
      <c r="E48" s="107">
        <v>1587.0441599999999</v>
      </c>
      <c r="F48" s="108">
        <v>2253.0128399999999</v>
      </c>
      <c r="G48" s="109">
        <v>2669.9025599999995</v>
      </c>
      <c r="H48" s="114"/>
      <c r="I48" s="113">
        <v>67.497819330494323</v>
      </c>
      <c r="J48" s="114">
        <v>108.49388184729625</v>
      </c>
      <c r="K48" s="109">
        <v>129.85613916976678</v>
      </c>
      <c r="L48" s="114"/>
      <c r="M48" s="113">
        <v>189.13137399392252</v>
      </c>
      <c r="N48" s="114">
        <v>193.46249615363126</v>
      </c>
      <c r="O48" s="109">
        <v>212.27063665218213</v>
      </c>
      <c r="P48" s="119"/>
      <c r="Q48" s="120">
        <v>0.08</v>
      </c>
      <c r="R48" s="120">
        <v>0.05</v>
      </c>
      <c r="S48" s="120">
        <v>0.03</v>
      </c>
      <c r="T48" s="120">
        <v>1.4999999999999999E-2</v>
      </c>
      <c r="U48" s="120">
        <v>0.02</v>
      </c>
      <c r="V48" s="121">
        <f t="shared" si="0"/>
        <v>0</v>
      </c>
      <c r="W48" s="119"/>
      <c r="X48" s="113">
        <f t="shared" si="1"/>
        <v>1843.6733533244169</v>
      </c>
      <c r="Y48" s="113">
        <f t="shared" si="2"/>
        <v>2554.969218000927</v>
      </c>
      <c r="Z48" s="113">
        <f t="shared" si="3"/>
        <v>3012.0293358219483</v>
      </c>
      <c r="AA48" s="22"/>
      <c r="AB48" s="22"/>
      <c r="AC48" s="22"/>
      <c r="AD48" s="22"/>
      <c r="AE48" s="22"/>
      <c r="AF48" s="22"/>
      <c r="AG48" s="22"/>
      <c r="AH48" s="22"/>
      <c r="AI48" s="22"/>
      <c r="AJ48" s="22"/>
      <c r="AK48" s="22"/>
      <c r="AL48" s="22"/>
      <c r="AM48" s="22"/>
      <c r="AN48" s="22"/>
      <c r="AO48" s="22"/>
      <c r="AP48" s="22"/>
      <c r="AQ48" s="22"/>
      <c r="AR48" s="22"/>
    </row>
    <row r="49" spans="1:44" hidden="1" x14ac:dyDescent="0.25">
      <c r="A49" s="16"/>
      <c r="B49" s="3" t="s">
        <v>66</v>
      </c>
      <c r="C49" s="3" t="s">
        <v>67</v>
      </c>
      <c r="D49" s="11" t="s">
        <v>243</v>
      </c>
      <c r="E49" s="107">
        <v>1587.0441599999999</v>
      </c>
      <c r="F49" s="108">
        <v>2253.0128399999999</v>
      </c>
      <c r="G49" s="109">
        <v>2669.9025599999995</v>
      </c>
      <c r="H49" s="114"/>
      <c r="I49" s="113">
        <v>67.497819330494323</v>
      </c>
      <c r="J49" s="114">
        <v>108.49388184729625</v>
      </c>
      <c r="K49" s="109">
        <v>129.85613916976678</v>
      </c>
      <c r="L49" s="114"/>
      <c r="M49" s="113">
        <v>189.13137399392252</v>
      </c>
      <c r="N49" s="114">
        <v>193.46249615363126</v>
      </c>
      <c r="O49" s="109">
        <v>212.27063665218213</v>
      </c>
      <c r="P49" s="119"/>
      <c r="Q49" s="120">
        <v>0.08</v>
      </c>
      <c r="R49" s="120">
        <v>0.05</v>
      </c>
      <c r="S49" s="120">
        <v>0.03</v>
      </c>
      <c r="T49" s="120">
        <v>1.4999999999999999E-2</v>
      </c>
      <c r="U49" s="120">
        <v>0.02</v>
      </c>
      <c r="V49" s="121">
        <f t="shared" si="0"/>
        <v>0</v>
      </c>
      <c r="W49" s="119"/>
      <c r="X49" s="113">
        <f t="shared" si="1"/>
        <v>1843.6733533244169</v>
      </c>
      <c r="Y49" s="113">
        <f t="shared" si="2"/>
        <v>2554.969218000927</v>
      </c>
      <c r="Z49" s="113">
        <f t="shared" si="3"/>
        <v>3012.0293358219483</v>
      </c>
      <c r="AA49" s="22"/>
      <c r="AB49" s="22"/>
      <c r="AC49" s="22"/>
      <c r="AD49" s="22"/>
      <c r="AE49" s="22"/>
      <c r="AF49" s="22"/>
      <c r="AG49" s="22"/>
      <c r="AH49" s="22"/>
      <c r="AI49" s="22"/>
      <c r="AJ49" s="22"/>
      <c r="AK49" s="22"/>
      <c r="AL49" s="22"/>
      <c r="AM49" s="22"/>
      <c r="AN49" s="22"/>
      <c r="AO49" s="22"/>
      <c r="AP49" s="22"/>
      <c r="AQ49" s="22"/>
      <c r="AR49" s="22"/>
    </row>
    <row r="50" spans="1:44" hidden="1" x14ac:dyDescent="0.25">
      <c r="A50" s="16"/>
      <c r="B50" s="3" t="s">
        <v>68</v>
      </c>
      <c r="C50" s="3" t="s">
        <v>69</v>
      </c>
      <c r="D50" s="11" t="s">
        <v>243</v>
      </c>
      <c r="E50" s="107">
        <v>1964.2147199999997</v>
      </c>
      <c r="F50" s="108">
        <v>2791.1052</v>
      </c>
      <c r="G50" s="109">
        <v>3308.6383199999996</v>
      </c>
      <c r="H50" s="114"/>
      <c r="I50" s="113">
        <v>167.07141839320261</v>
      </c>
      <c r="J50" s="114">
        <v>268.54536793936416</v>
      </c>
      <c r="K50" s="109">
        <v>321.42148551392569</v>
      </c>
      <c r="L50" s="114"/>
      <c r="M50" s="113">
        <v>468.14026333357833</v>
      </c>
      <c r="N50" s="114">
        <v>478.86070926256048</v>
      </c>
      <c r="O50" s="109">
        <v>525.4148459976401</v>
      </c>
      <c r="P50" s="119"/>
      <c r="Q50" s="120">
        <v>0.08</v>
      </c>
      <c r="R50" s="120">
        <v>0.05</v>
      </c>
      <c r="S50" s="120">
        <v>0.03</v>
      </c>
      <c r="T50" s="120">
        <v>1.4999999999999999E-2</v>
      </c>
      <c r="U50" s="120">
        <v>0.02</v>
      </c>
      <c r="V50" s="121">
        <f t="shared" si="0"/>
        <v>0</v>
      </c>
      <c r="W50" s="119"/>
      <c r="X50" s="113">
        <f t="shared" si="1"/>
        <v>2599.4264017267806</v>
      </c>
      <c r="Y50" s="113">
        <f t="shared" si="2"/>
        <v>3538.5112772019247</v>
      </c>
      <c r="Z50" s="113">
        <f t="shared" si="3"/>
        <v>4155.4746515115658</v>
      </c>
      <c r="AA50" s="22"/>
      <c r="AB50" s="22"/>
      <c r="AC50" s="22"/>
      <c r="AD50" s="22"/>
      <c r="AE50" s="22"/>
      <c r="AF50" s="22"/>
      <c r="AG50" s="22"/>
      <c r="AH50" s="22"/>
      <c r="AI50" s="22"/>
      <c r="AJ50" s="22"/>
      <c r="AK50" s="22"/>
      <c r="AL50" s="22"/>
      <c r="AM50" s="22"/>
      <c r="AN50" s="22"/>
      <c r="AO50" s="22"/>
      <c r="AP50" s="22"/>
      <c r="AQ50" s="22"/>
      <c r="AR50" s="22"/>
    </row>
    <row r="51" spans="1:44" hidden="1" x14ac:dyDescent="0.25">
      <c r="A51" s="16"/>
      <c r="B51" s="3" t="s">
        <v>70</v>
      </c>
      <c r="C51" s="3" t="s">
        <v>71</v>
      </c>
      <c r="D51" s="11" t="s">
        <v>243</v>
      </c>
      <c r="E51" s="107">
        <v>1966.9057199999997</v>
      </c>
      <c r="F51" s="108">
        <v>2794.8725999999997</v>
      </c>
      <c r="G51" s="109">
        <v>3313.2668399999998</v>
      </c>
      <c r="H51" s="114"/>
      <c r="I51" s="113">
        <v>138.84007967502984</v>
      </c>
      <c r="J51" s="114">
        <v>223.16719783459067</v>
      </c>
      <c r="K51" s="109">
        <v>267.10843235311592</v>
      </c>
      <c r="L51" s="114"/>
      <c r="M51" s="113">
        <v>389.03501320228145</v>
      </c>
      <c r="N51" s="114">
        <v>397.9439431751432</v>
      </c>
      <c r="O51" s="109">
        <v>436.63147043542324</v>
      </c>
      <c r="P51" s="119"/>
      <c r="Q51" s="120">
        <v>0.08</v>
      </c>
      <c r="R51" s="120">
        <v>0.05</v>
      </c>
      <c r="S51" s="120">
        <v>0.03</v>
      </c>
      <c r="T51" s="120">
        <v>1.4999999999999999E-2</v>
      </c>
      <c r="U51" s="120">
        <v>0.02</v>
      </c>
      <c r="V51" s="121">
        <f t="shared" si="0"/>
        <v>0</v>
      </c>
      <c r="W51" s="119"/>
      <c r="X51" s="113">
        <f t="shared" si="1"/>
        <v>2494.7808128773108</v>
      </c>
      <c r="Y51" s="113">
        <f t="shared" si="2"/>
        <v>3415.9837410097334</v>
      </c>
      <c r="Z51" s="113">
        <f t="shared" si="3"/>
        <v>4017.0067427885388</v>
      </c>
      <c r="AA51" s="22"/>
      <c r="AB51" s="22"/>
      <c r="AC51" s="22"/>
      <c r="AD51" s="22"/>
      <c r="AE51" s="22"/>
      <c r="AF51" s="22"/>
      <c r="AG51" s="22"/>
      <c r="AH51" s="22"/>
      <c r="AI51" s="22"/>
      <c r="AJ51" s="22"/>
      <c r="AK51" s="22"/>
      <c r="AL51" s="22"/>
      <c r="AM51" s="22"/>
      <c r="AN51" s="22"/>
      <c r="AO51" s="22"/>
      <c r="AP51" s="22"/>
      <c r="AQ51" s="22"/>
      <c r="AR51" s="22"/>
    </row>
    <row r="52" spans="1:44" hidden="1" x14ac:dyDescent="0.25">
      <c r="A52" s="16"/>
      <c r="B52" s="3" t="s">
        <v>72</v>
      </c>
      <c r="C52" s="3" t="s">
        <v>73</v>
      </c>
      <c r="D52" s="11" t="s">
        <v>243</v>
      </c>
      <c r="E52" s="107">
        <v>1045.29204</v>
      </c>
      <c r="F52" s="108">
        <v>1480.2652800000001</v>
      </c>
      <c r="G52" s="109">
        <v>1752.7021199999999</v>
      </c>
      <c r="H52" s="114"/>
      <c r="I52" s="113">
        <v>32.892839761543328</v>
      </c>
      <c r="J52" s="114">
        <v>52.870920958755583</v>
      </c>
      <c r="K52" s="109">
        <v>63.281113673461959</v>
      </c>
      <c r="L52" s="114"/>
      <c r="M52" s="113">
        <v>92.166947619477355</v>
      </c>
      <c r="N52" s="114">
        <v>94.277577393891534</v>
      </c>
      <c r="O52" s="109">
        <v>103.44310537342923</v>
      </c>
      <c r="P52" s="119"/>
      <c r="Q52" s="120">
        <v>0.08</v>
      </c>
      <c r="R52" s="120">
        <v>0.05</v>
      </c>
      <c r="S52" s="120">
        <v>0.03</v>
      </c>
      <c r="T52" s="120">
        <v>1.4999999999999999E-2</v>
      </c>
      <c r="U52" s="120">
        <v>0.02</v>
      </c>
      <c r="V52" s="121">
        <f t="shared" si="0"/>
        <v>0</v>
      </c>
      <c r="W52" s="119"/>
      <c r="X52" s="113">
        <f t="shared" si="1"/>
        <v>1170.3518273810209</v>
      </c>
      <c r="Y52" s="113">
        <f t="shared" si="2"/>
        <v>1627.4137783526471</v>
      </c>
      <c r="Z52" s="113">
        <f t="shared" si="3"/>
        <v>1919.4263390468911</v>
      </c>
      <c r="AA52" s="22"/>
      <c r="AB52" s="22"/>
      <c r="AC52" s="22"/>
      <c r="AD52" s="22"/>
      <c r="AE52" s="22"/>
      <c r="AF52" s="22"/>
      <c r="AG52" s="22"/>
      <c r="AH52" s="22"/>
      <c r="AI52" s="22"/>
      <c r="AJ52" s="22"/>
      <c r="AK52" s="22"/>
      <c r="AL52" s="22"/>
      <c r="AM52" s="22"/>
      <c r="AN52" s="22"/>
      <c r="AO52" s="22"/>
      <c r="AP52" s="22"/>
      <c r="AQ52" s="22"/>
      <c r="AR52" s="22"/>
    </row>
    <row r="53" spans="1:44" hidden="1" x14ac:dyDescent="0.25">
      <c r="A53" s="16"/>
      <c r="B53" s="3" t="s">
        <v>74</v>
      </c>
      <c r="C53" s="3" t="s">
        <v>75</v>
      </c>
      <c r="D53" s="11" t="s">
        <v>243</v>
      </c>
      <c r="E53" s="107">
        <v>1974.1176</v>
      </c>
      <c r="F53" s="108">
        <v>2805.0983999999999</v>
      </c>
      <c r="G53" s="109">
        <v>3325.3225199999997</v>
      </c>
      <c r="H53" s="114"/>
      <c r="I53" s="113">
        <v>83.947281265689682</v>
      </c>
      <c r="J53" s="114">
        <v>134.93423202972656</v>
      </c>
      <c r="K53" s="109">
        <v>161.50254848360777</v>
      </c>
      <c r="L53" s="114"/>
      <c r="M53" s="113">
        <v>235.22337175211794</v>
      </c>
      <c r="N53" s="114">
        <v>240.61000399807068</v>
      </c>
      <c r="O53" s="109">
        <v>264.0017561491382</v>
      </c>
      <c r="P53" s="119"/>
      <c r="Q53" s="120">
        <v>0.08</v>
      </c>
      <c r="R53" s="120">
        <v>0.05</v>
      </c>
      <c r="S53" s="120">
        <v>0.03</v>
      </c>
      <c r="T53" s="120">
        <v>1.4999999999999999E-2</v>
      </c>
      <c r="U53" s="120">
        <v>0.02</v>
      </c>
      <c r="V53" s="121">
        <f t="shared" si="0"/>
        <v>0</v>
      </c>
      <c r="W53" s="119"/>
      <c r="X53" s="113">
        <f t="shared" si="1"/>
        <v>2293.2882530178076</v>
      </c>
      <c r="Y53" s="113">
        <f t="shared" si="2"/>
        <v>3180.6426360277969</v>
      </c>
      <c r="Z53" s="113">
        <f t="shared" si="3"/>
        <v>3750.8268246327457</v>
      </c>
      <c r="AA53" s="22"/>
      <c r="AB53" s="22"/>
      <c r="AC53" s="22"/>
      <c r="AD53" s="22"/>
      <c r="AE53" s="22"/>
      <c r="AF53" s="22"/>
      <c r="AG53" s="22"/>
      <c r="AH53" s="22"/>
      <c r="AI53" s="22"/>
      <c r="AJ53" s="22"/>
      <c r="AK53" s="22"/>
      <c r="AL53" s="22"/>
      <c r="AM53" s="22"/>
      <c r="AN53" s="22"/>
      <c r="AO53" s="22"/>
      <c r="AP53" s="22"/>
      <c r="AQ53" s="22"/>
      <c r="AR53" s="22"/>
    </row>
    <row r="54" spans="1:44" hidden="1" x14ac:dyDescent="0.25">
      <c r="A54" s="16"/>
      <c r="B54" s="3" t="s">
        <v>76</v>
      </c>
      <c r="C54" s="3" t="s">
        <v>77</v>
      </c>
      <c r="D54" s="11" t="s">
        <v>243</v>
      </c>
      <c r="E54" s="107">
        <v>1648.1836799999999</v>
      </c>
      <c r="F54" s="108">
        <v>2340.3088799999996</v>
      </c>
      <c r="G54" s="109">
        <v>2773.5598799999998</v>
      </c>
      <c r="H54" s="114"/>
      <c r="I54" s="113">
        <v>78.4785621337723</v>
      </c>
      <c r="J54" s="114">
        <v>126.14398408928324</v>
      </c>
      <c r="K54" s="109">
        <v>150.98151595665325</v>
      </c>
      <c r="L54" s="114"/>
      <c r="M54" s="113">
        <v>219.89981947049475</v>
      </c>
      <c r="N54" s="114">
        <v>224.93554125960003</v>
      </c>
      <c r="O54" s="109">
        <v>246.80344510267122</v>
      </c>
      <c r="P54" s="119"/>
      <c r="Q54" s="120">
        <v>0.08</v>
      </c>
      <c r="R54" s="120">
        <v>0.05</v>
      </c>
      <c r="S54" s="120">
        <v>0.03</v>
      </c>
      <c r="T54" s="120">
        <v>1.4999999999999999E-2</v>
      </c>
      <c r="U54" s="120">
        <v>0.02</v>
      </c>
      <c r="V54" s="121">
        <f t="shared" si="0"/>
        <v>0</v>
      </c>
      <c r="W54" s="119"/>
      <c r="X54" s="113">
        <f t="shared" si="1"/>
        <v>1946.562061604267</v>
      </c>
      <c r="Y54" s="113">
        <f t="shared" si="2"/>
        <v>2691.3884053488828</v>
      </c>
      <c r="Z54" s="113">
        <f t="shared" si="3"/>
        <v>3171.3448410593242</v>
      </c>
      <c r="AA54" s="22"/>
      <c r="AB54" s="22"/>
      <c r="AC54" s="22"/>
      <c r="AD54" s="22"/>
      <c r="AE54" s="22"/>
      <c r="AF54" s="22"/>
      <c r="AG54" s="22"/>
      <c r="AH54" s="22"/>
      <c r="AI54" s="22"/>
      <c r="AJ54" s="22"/>
      <c r="AK54" s="22"/>
      <c r="AL54" s="22"/>
      <c r="AM54" s="22"/>
      <c r="AN54" s="22"/>
      <c r="AO54" s="22"/>
      <c r="AP54" s="22"/>
      <c r="AQ54" s="22"/>
      <c r="AR54" s="22"/>
    </row>
    <row r="55" spans="1:44" hidden="1" x14ac:dyDescent="0.25">
      <c r="A55" s="16"/>
      <c r="B55" s="3" t="s">
        <v>78</v>
      </c>
      <c r="C55" s="3" t="s">
        <v>79</v>
      </c>
      <c r="D55" s="11" t="s">
        <v>243</v>
      </c>
      <c r="E55" s="107">
        <v>1730.2053599999999</v>
      </c>
      <c r="F55" s="108">
        <v>2457.2059199999999</v>
      </c>
      <c r="G55" s="109">
        <v>2912.4154799999997</v>
      </c>
      <c r="H55" s="114"/>
      <c r="I55" s="113">
        <v>22.073236370532346</v>
      </c>
      <c r="J55" s="114">
        <v>35.479829163755596</v>
      </c>
      <c r="K55" s="109">
        <v>42.465746041724969</v>
      </c>
      <c r="L55" s="114"/>
      <c r="M55" s="113">
        <v>61.850020706747948</v>
      </c>
      <c r="N55" s="114">
        <v>63.266390659572643</v>
      </c>
      <c r="O55" s="109">
        <v>69.417056488966836</v>
      </c>
      <c r="P55" s="119"/>
      <c r="Q55" s="120">
        <v>0.08</v>
      </c>
      <c r="R55" s="120">
        <v>0.05</v>
      </c>
      <c r="S55" s="120">
        <v>0.03</v>
      </c>
      <c r="T55" s="120">
        <v>1.4999999999999999E-2</v>
      </c>
      <c r="U55" s="120">
        <v>0.02</v>
      </c>
      <c r="V55" s="121">
        <f t="shared" si="0"/>
        <v>0</v>
      </c>
      <c r="W55" s="119"/>
      <c r="X55" s="113">
        <f t="shared" si="1"/>
        <v>1814.1286170772803</v>
      </c>
      <c r="Y55" s="113">
        <f t="shared" si="2"/>
        <v>2555.9521398233283</v>
      </c>
      <c r="Z55" s="113">
        <f t="shared" si="3"/>
        <v>3024.2982825306913</v>
      </c>
      <c r="AA55" s="22"/>
      <c r="AB55" s="22"/>
      <c r="AC55" s="22"/>
      <c r="AD55" s="22"/>
      <c r="AE55" s="22"/>
      <c r="AF55" s="22"/>
      <c r="AG55" s="22"/>
      <c r="AH55" s="22"/>
      <c r="AI55" s="22"/>
      <c r="AJ55" s="22"/>
      <c r="AK55" s="22"/>
      <c r="AL55" s="22"/>
      <c r="AM55" s="22"/>
      <c r="AN55" s="22"/>
      <c r="AO55" s="22"/>
      <c r="AP55" s="22"/>
      <c r="AQ55" s="22"/>
      <c r="AR55" s="22"/>
    </row>
    <row r="56" spans="1:44" hidden="1" x14ac:dyDescent="0.25">
      <c r="A56" s="16"/>
      <c r="B56" s="3" t="s">
        <v>80</v>
      </c>
      <c r="C56" s="3" t="s">
        <v>81</v>
      </c>
      <c r="D56" s="11" t="s">
        <v>243</v>
      </c>
      <c r="E56" s="107">
        <v>1795.6504799999998</v>
      </c>
      <c r="F56" s="108">
        <v>2550.63744</v>
      </c>
      <c r="G56" s="109">
        <v>3023.17704</v>
      </c>
      <c r="H56" s="114"/>
      <c r="I56" s="113">
        <v>152.71113206957543</v>
      </c>
      <c r="J56" s="114">
        <v>245.46309323563793</v>
      </c>
      <c r="K56" s="109">
        <v>293.79435092120622</v>
      </c>
      <c r="L56" s="114"/>
      <c r="M56" s="113">
        <v>427.9022125302584</v>
      </c>
      <c r="N56" s="114">
        <v>437.70120418215515</v>
      </c>
      <c r="O56" s="109">
        <v>480.25387412240781</v>
      </c>
      <c r="P56" s="119"/>
      <c r="Q56" s="120">
        <v>0.08</v>
      </c>
      <c r="R56" s="120">
        <v>0.05</v>
      </c>
      <c r="S56" s="120">
        <v>0.03</v>
      </c>
      <c r="T56" s="120">
        <v>1.4999999999999999E-2</v>
      </c>
      <c r="U56" s="120">
        <v>0.02</v>
      </c>
      <c r="V56" s="121">
        <f t="shared" si="0"/>
        <v>0</v>
      </c>
      <c r="W56" s="119"/>
      <c r="X56" s="113">
        <f t="shared" si="1"/>
        <v>2376.2638245998337</v>
      </c>
      <c r="Y56" s="113">
        <f t="shared" si="2"/>
        <v>3233.8017374177934</v>
      </c>
      <c r="Z56" s="113">
        <f t="shared" si="3"/>
        <v>3797.2252650436144</v>
      </c>
      <c r="AA56" s="22"/>
      <c r="AB56" s="22"/>
      <c r="AC56" s="22"/>
      <c r="AD56" s="22"/>
      <c r="AE56" s="22"/>
      <c r="AF56" s="22"/>
      <c r="AG56" s="22"/>
      <c r="AH56" s="22"/>
      <c r="AI56" s="22"/>
      <c r="AJ56" s="22"/>
      <c r="AK56" s="22"/>
      <c r="AL56" s="22"/>
      <c r="AM56" s="22"/>
      <c r="AN56" s="22"/>
      <c r="AO56" s="22"/>
      <c r="AP56" s="22"/>
      <c r="AQ56" s="22"/>
      <c r="AR56" s="22"/>
    </row>
    <row r="57" spans="1:44" hidden="1" x14ac:dyDescent="0.25">
      <c r="A57" s="16"/>
      <c r="B57" s="3" t="s">
        <v>82</v>
      </c>
      <c r="C57" s="3" t="s">
        <v>83</v>
      </c>
      <c r="D57" s="11" t="s">
        <v>243</v>
      </c>
      <c r="E57" s="107">
        <v>1416.65004</v>
      </c>
      <c r="F57" s="108">
        <v>2009.9617199999998</v>
      </c>
      <c r="G57" s="109">
        <v>2381.4273600000001</v>
      </c>
      <c r="H57" s="114"/>
      <c r="I57" s="113">
        <v>148.38486344288444</v>
      </c>
      <c r="J57" s="114">
        <v>238.50918447414668</v>
      </c>
      <c r="K57" s="109">
        <v>285.47122957527591</v>
      </c>
      <c r="L57" s="114"/>
      <c r="M57" s="113">
        <v>415.77984861170717</v>
      </c>
      <c r="N57" s="114">
        <v>425.30123725207301</v>
      </c>
      <c r="O57" s="109">
        <v>466.64840057044705</v>
      </c>
      <c r="P57" s="119"/>
      <c r="Q57" s="120">
        <v>0.08</v>
      </c>
      <c r="R57" s="120">
        <v>0.05</v>
      </c>
      <c r="S57" s="120">
        <v>0.03</v>
      </c>
      <c r="T57" s="120">
        <v>1.4999999999999999E-2</v>
      </c>
      <c r="U57" s="120">
        <v>0.02</v>
      </c>
      <c r="V57" s="121">
        <f t="shared" si="0"/>
        <v>0</v>
      </c>
      <c r="W57" s="119"/>
      <c r="X57" s="113">
        <f t="shared" si="1"/>
        <v>1980.8147520545915</v>
      </c>
      <c r="Y57" s="113">
        <f t="shared" si="2"/>
        <v>2673.7721417262196</v>
      </c>
      <c r="Z57" s="113">
        <f t="shared" si="3"/>
        <v>3133.5469901457232</v>
      </c>
      <c r="AA57" s="22"/>
      <c r="AB57" s="22"/>
      <c r="AC57" s="22"/>
      <c r="AD57" s="22"/>
      <c r="AE57" s="22"/>
      <c r="AF57" s="22"/>
      <c r="AG57" s="22"/>
      <c r="AH57" s="22"/>
      <c r="AI57" s="22"/>
      <c r="AJ57" s="22"/>
      <c r="AK57" s="22"/>
      <c r="AL57" s="22"/>
      <c r="AM57" s="22"/>
      <c r="AN57" s="22"/>
      <c r="AO57" s="22"/>
      <c r="AP57" s="22"/>
      <c r="AQ57" s="22"/>
      <c r="AR57" s="22"/>
    </row>
    <row r="58" spans="1:44" hidden="1" x14ac:dyDescent="0.25">
      <c r="A58" s="16"/>
      <c r="B58" s="3" t="s">
        <v>82</v>
      </c>
      <c r="C58" s="3" t="s">
        <v>84</v>
      </c>
      <c r="D58" s="11" t="s">
        <v>243</v>
      </c>
      <c r="E58" s="107">
        <v>1653.1489384465935</v>
      </c>
      <c r="F58" s="108">
        <v>2258.4410380955492</v>
      </c>
      <c r="G58" s="109">
        <v>2985.2047706226499</v>
      </c>
      <c r="H58" s="114"/>
      <c r="I58" s="113">
        <v>148.38486344288444</v>
      </c>
      <c r="J58" s="114">
        <v>238.50918447414668</v>
      </c>
      <c r="K58" s="109">
        <v>285.47122957527591</v>
      </c>
      <c r="L58" s="114"/>
      <c r="M58" s="113">
        <v>415.77984861170717</v>
      </c>
      <c r="N58" s="114">
        <v>425.30123725207301</v>
      </c>
      <c r="O58" s="109">
        <v>466.64840057044705</v>
      </c>
      <c r="P58" s="119"/>
      <c r="Q58" s="120">
        <v>0.08</v>
      </c>
      <c r="R58" s="120">
        <v>0.05</v>
      </c>
      <c r="S58" s="120">
        <v>0.03</v>
      </c>
      <c r="T58" s="120">
        <v>1.4999999999999999E-2</v>
      </c>
      <c r="U58" s="120">
        <v>0.02</v>
      </c>
      <c r="V58" s="121">
        <f>SUBTOTAL(9,Q58:U58)</f>
        <v>0</v>
      </c>
      <c r="W58" s="119"/>
      <c r="X58" s="113">
        <f t="shared" si="1"/>
        <v>2217.3136505011853</v>
      </c>
      <c r="Y58" s="113">
        <f t="shared" si="2"/>
        <v>2922.251459821769</v>
      </c>
      <c r="Z58" s="113">
        <f t="shared" si="3"/>
        <v>3737.3244007683729</v>
      </c>
      <c r="AA58" s="22"/>
      <c r="AB58" s="22"/>
      <c r="AC58" s="22"/>
      <c r="AD58" s="22"/>
      <c r="AE58" s="22"/>
      <c r="AF58" s="22"/>
      <c r="AG58" s="22"/>
      <c r="AH58" s="22"/>
      <c r="AI58" s="22"/>
      <c r="AJ58" s="22"/>
      <c r="AK58" s="22"/>
      <c r="AL58" s="22"/>
      <c r="AM58" s="22"/>
      <c r="AN58" s="22"/>
      <c r="AO58" s="22"/>
      <c r="AP58" s="22"/>
      <c r="AQ58" s="22"/>
      <c r="AR58" s="22"/>
    </row>
    <row r="59" spans="1:44" hidden="1" x14ac:dyDescent="0.25">
      <c r="A59" s="16"/>
      <c r="B59" s="3" t="s">
        <v>85</v>
      </c>
      <c r="C59" s="3" t="s">
        <v>86</v>
      </c>
      <c r="D59" s="11" t="s">
        <v>243</v>
      </c>
      <c r="E59" s="107">
        <v>989.96610641471898</v>
      </c>
      <c r="F59" s="108">
        <v>1352.4371755345601</v>
      </c>
      <c r="G59" s="109">
        <v>1787.6499055196418</v>
      </c>
      <c r="H59" s="114"/>
      <c r="I59" s="113">
        <v>88.858288625503477</v>
      </c>
      <c r="J59" s="114">
        <v>142.82803152624041</v>
      </c>
      <c r="K59" s="109">
        <v>170.95062342151343</v>
      </c>
      <c r="L59" s="114"/>
      <c r="M59" s="113">
        <v>234.72419121951214</v>
      </c>
      <c r="N59" s="114">
        <v>240.09939219512191</v>
      </c>
      <c r="O59" s="109">
        <v>263.4415034146341</v>
      </c>
      <c r="P59" s="119"/>
      <c r="Q59" s="120">
        <v>0.08</v>
      </c>
      <c r="R59" s="120">
        <v>0.05</v>
      </c>
      <c r="S59" s="120">
        <v>0.03</v>
      </c>
      <c r="T59" s="120">
        <v>1.4999999999999999E-2</v>
      </c>
      <c r="U59" s="120">
        <v>0.02</v>
      </c>
      <c r="V59" s="121">
        <f t="shared" ref="V59:V69" si="4">SUBTOTAL(9,Q59:U59)</f>
        <v>0</v>
      </c>
      <c r="W59" s="119"/>
      <c r="X59" s="113">
        <f t="shared" si="1"/>
        <v>1313.5485862597347</v>
      </c>
      <c r="Y59" s="113">
        <f t="shared" si="2"/>
        <v>1735.3645992559225</v>
      </c>
      <c r="Z59" s="113">
        <f t="shared" si="3"/>
        <v>2222.0420323557892</v>
      </c>
      <c r="AA59" s="22"/>
      <c r="AB59" s="22"/>
      <c r="AC59" s="22"/>
      <c r="AD59" s="22"/>
      <c r="AE59" s="22"/>
      <c r="AF59" s="22"/>
      <c r="AG59" s="22"/>
      <c r="AH59" s="22"/>
      <c r="AI59" s="22"/>
      <c r="AJ59" s="22"/>
      <c r="AK59" s="22"/>
      <c r="AL59" s="22"/>
      <c r="AM59" s="22"/>
      <c r="AN59" s="22"/>
      <c r="AO59" s="22"/>
      <c r="AP59" s="22"/>
      <c r="AQ59" s="22"/>
      <c r="AR59" s="22"/>
    </row>
    <row r="60" spans="1:44" hidden="1" x14ac:dyDescent="0.25">
      <c r="A60" s="16"/>
      <c r="B60" s="3" t="s">
        <v>85</v>
      </c>
      <c r="C60" s="3" t="s">
        <v>87</v>
      </c>
      <c r="D60" s="11" t="s">
        <v>243</v>
      </c>
      <c r="E60" s="107">
        <v>989.96610641471898</v>
      </c>
      <c r="F60" s="108">
        <v>1352.4371755345601</v>
      </c>
      <c r="G60" s="109">
        <v>1787.6499055196418</v>
      </c>
      <c r="H60" s="114"/>
      <c r="I60" s="113">
        <v>88.858288625503477</v>
      </c>
      <c r="J60" s="114">
        <v>142.82803152624041</v>
      </c>
      <c r="K60" s="109">
        <v>170.95062342151343</v>
      </c>
      <c r="L60" s="114"/>
      <c r="M60" s="113">
        <v>234.72419121951214</v>
      </c>
      <c r="N60" s="114">
        <v>240.09939219512191</v>
      </c>
      <c r="O60" s="109">
        <v>263.4415034146341</v>
      </c>
      <c r="P60" s="119"/>
      <c r="Q60" s="120">
        <v>0.08</v>
      </c>
      <c r="R60" s="120">
        <v>0.05</v>
      </c>
      <c r="S60" s="120">
        <v>0.03</v>
      </c>
      <c r="T60" s="120">
        <v>1.4999999999999999E-2</v>
      </c>
      <c r="U60" s="120">
        <v>0.02</v>
      </c>
      <c r="V60" s="121">
        <f t="shared" si="4"/>
        <v>0</v>
      </c>
      <c r="W60" s="119"/>
      <c r="X60" s="113">
        <f t="shared" si="1"/>
        <v>1313.5485862597347</v>
      </c>
      <c r="Y60" s="113">
        <f t="shared" si="2"/>
        <v>1735.3645992559225</v>
      </c>
      <c r="Z60" s="113">
        <f t="shared" si="3"/>
        <v>2222.0420323557892</v>
      </c>
      <c r="AA60" s="22"/>
      <c r="AB60" s="22"/>
      <c r="AC60" s="22"/>
      <c r="AD60" s="22"/>
      <c r="AE60" s="22"/>
      <c r="AF60" s="22"/>
      <c r="AG60" s="22"/>
      <c r="AH60" s="22"/>
      <c r="AI60" s="22"/>
      <c r="AJ60" s="22"/>
      <c r="AK60" s="22"/>
      <c r="AL60" s="22"/>
      <c r="AM60" s="22"/>
      <c r="AN60" s="22"/>
      <c r="AO60" s="22"/>
      <c r="AP60" s="22"/>
      <c r="AQ60" s="22"/>
      <c r="AR60" s="22"/>
    </row>
    <row r="61" spans="1:44" s="34" customFormat="1" hidden="1" x14ac:dyDescent="0.25">
      <c r="A61" s="35"/>
      <c r="B61" s="3" t="s">
        <v>85</v>
      </c>
      <c r="C61" s="3" t="s">
        <v>88</v>
      </c>
      <c r="D61" s="11" t="s">
        <v>243</v>
      </c>
      <c r="E61" s="107">
        <v>989.96610641471898</v>
      </c>
      <c r="F61" s="108">
        <v>1352.4371755345601</v>
      </c>
      <c r="G61" s="109">
        <v>1787.6499055196418</v>
      </c>
      <c r="H61" s="114"/>
      <c r="I61" s="113">
        <v>105.80776282052457</v>
      </c>
      <c r="J61" s="114">
        <v>170.07208576278413</v>
      </c>
      <c r="K61" s="109">
        <v>203.55898472495275</v>
      </c>
      <c r="L61" s="114"/>
      <c r="M61" s="113">
        <v>234.72419121951214</v>
      </c>
      <c r="N61" s="114">
        <v>240.09939219512191</v>
      </c>
      <c r="O61" s="109">
        <v>263.4415034146341</v>
      </c>
      <c r="P61" s="119"/>
      <c r="Q61" s="120">
        <v>0.08</v>
      </c>
      <c r="R61" s="120">
        <v>0.05</v>
      </c>
      <c r="S61" s="120">
        <v>0.03</v>
      </c>
      <c r="T61" s="120">
        <v>1.4999999999999999E-2</v>
      </c>
      <c r="U61" s="120">
        <v>0.02</v>
      </c>
      <c r="V61" s="121">
        <f t="shared" si="4"/>
        <v>0</v>
      </c>
      <c r="W61" s="119"/>
      <c r="X61" s="113">
        <f t="shared" si="1"/>
        <v>1330.4980604547559</v>
      </c>
      <c r="Y61" s="113">
        <f t="shared" si="2"/>
        <v>1762.6086534924661</v>
      </c>
      <c r="Z61" s="113">
        <f t="shared" si="3"/>
        <v>2254.6503936592289</v>
      </c>
      <c r="AA61" s="33"/>
      <c r="AB61" s="33"/>
      <c r="AC61" s="33"/>
      <c r="AD61" s="33"/>
      <c r="AE61" s="33"/>
      <c r="AF61" s="33"/>
      <c r="AG61" s="33"/>
      <c r="AH61" s="33"/>
      <c r="AI61" s="33"/>
      <c r="AJ61" s="33"/>
      <c r="AK61" s="33"/>
      <c r="AL61" s="33"/>
      <c r="AM61" s="33"/>
      <c r="AN61" s="33"/>
      <c r="AO61" s="33"/>
      <c r="AP61" s="33"/>
      <c r="AQ61" s="33"/>
      <c r="AR61" s="33"/>
    </row>
    <row r="62" spans="1:44" hidden="1" x14ac:dyDescent="0.25">
      <c r="A62" s="16"/>
      <c r="B62" s="3" t="s">
        <v>89</v>
      </c>
      <c r="C62" s="3" t="s">
        <v>90</v>
      </c>
      <c r="D62" s="11" t="s">
        <v>243</v>
      </c>
      <c r="E62" s="107">
        <v>1052.5039199999999</v>
      </c>
      <c r="F62" s="108">
        <v>1490.5987199999997</v>
      </c>
      <c r="G62" s="109">
        <v>1764.86544</v>
      </c>
      <c r="H62" s="114"/>
      <c r="I62" s="113">
        <v>105.80776282052457</v>
      </c>
      <c r="J62" s="114">
        <v>170.07208576278413</v>
      </c>
      <c r="K62" s="109">
        <v>203.55898472495275</v>
      </c>
      <c r="L62" s="114"/>
      <c r="M62" s="113">
        <v>281.65338335318052</v>
      </c>
      <c r="N62" s="114">
        <v>288.10326622685488</v>
      </c>
      <c r="O62" s="109">
        <v>316.11224376523535</v>
      </c>
      <c r="P62" s="119"/>
      <c r="Q62" s="120">
        <v>0.08</v>
      </c>
      <c r="R62" s="120">
        <v>0.05</v>
      </c>
      <c r="S62" s="120">
        <v>0.03</v>
      </c>
      <c r="T62" s="120">
        <v>1.4999999999999999E-2</v>
      </c>
      <c r="U62" s="120">
        <v>0.02</v>
      </c>
      <c r="V62" s="121">
        <f t="shared" si="4"/>
        <v>0</v>
      </c>
      <c r="W62" s="119"/>
      <c r="X62" s="113">
        <f t="shared" si="1"/>
        <v>1439.9650661737051</v>
      </c>
      <c r="Y62" s="113">
        <f t="shared" si="2"/>
        <v>1948.7740719896387</v>
      </c>
      <c r="Z62" s="113">
        <f t="shared" si="3"/>
        <v>2284.5366684901883</v>
      </c>
      <c r="AA62" s="22"/>
      <c r="AB62" s="22"/>
      <c r="AC62" s="22"/>
      <c r="AD62" s="22"/>
      <c r="AE62" s="22"/>
      <c r="AF62" s="22"/>
      <c r="AG62" s="22"/>
      <c r="AH62" s="22"/>
      <c r="AI62" s="22"/>
      <c r="AJ62" s="22"/>
      <c r="AK62" s="22"/>
      <c r="AL62" s="22"/>
      <c r="AM62" s="22"/>
      <c r="AN62" s="22"/>
      <c r="AO62" s="22"/>
      <c r="AP62" s="22"/>
      <c r="AQ62" s="22"/>
      <c r="AR62" s="22"/>
    </row>
    <row r="63" spans="1:44" hidden="1" x14ac:dyDescent="0.25">
      <c r="A63" s="16"/>
      <c r="B63" s="3" t="s">
        <v>91</v>
      </c>
      <c r="C63" s="3" t="s">
        <v>92</v>
      </c>
      <c r="D63" s="11" t="s">
        <v>243</v>
      </c>
      <c r="E63" s="107">
        <v>929.79431999999986</v>
      </c>
      <c r="F63" s="108">
        <v>1315.5760799999998</v>
      </c>
      <c r="G63" s="109">
        <v>1557.0126</v>
      </c>
      <c r="H63" s="114"/>
      <c r="I63" s="113">
        <v>105.80776282052457</v>
      </c>
      <c r="J63" s="114">
        <v>170.07208576278413</v>
      </c>
      <c r="K63" s="109">
        <v>203.55898472495275</v>
      </c>
      <c r="L63" s="114"/>
      <c r="M63" s="113">
        <v>259.76609999999994</v>
      </c>
      <c r="N63" s="114">
        <v>265.71476249999995</v>
      </c>
      <c r="O63" s="109">
        <v>291.54716250000001</v>
      </c>
      <c r="P63" s="119"/>
      <c r="Q63" s="120">
        <v>0.08</v>
      </c>
      <c r="R63" s="120">
        <v>0.05</v>
      </c>
      <c r="S63" s="120">
        <v>0.03</v>
      </c>
      <c r="T63" s="120">
        <v>1.4999999999999999E-2</v>
      </c>
      <c r="U63" s="120">
        <v>0.02</v>
      </c>
      <c r="V63" s="121">
        <f t="shared" si="4"/>
        <v>0</v>
      </c>
      <c r="W63" s="119"/>
      <c r="X63" s="113">
        <f t="shared" si="1"/>
        <v>1295.3681828205245</v>
      </c>
      <c r="Y63" s="113">
        <f t="shared" si="2"/>
        <v>1751.362928262784</v>
      </c>
      <c r="Z63" s="113">
        <f t="shared" si="3"/>
        <v>2052.118747224953</v>
      </c>
      <c r="AA63" s="22"/>
      <c r="AB63" s="22"/>
      <c r="AC63" s="22"/>
      <c r="AD63" s="22"/>
      <c r="AE63" s="22"/>
      <c r="AF63" s="22"/>
      <c r="AG63" s="22"/>
      <c r="AH63" s="22"/>
      <c r="AI63" s="22"/>
      <c r="AJ63" s="22"/>
      <c r="AK63" s="22"/>
      <c r="AL63" s="22"/>
      <c r="AM63" s="22"/>
      <c r="AN63" s="22"/>
      <c r="AO63" s="22"/>
      <c r="AP63" s="22"/>
      <c r="AQ63" s="22"/>
      <c r="AR63" s="22"/>
    </row>
    <row r="64" spans="1:44" hidden="1" x14ac:dyDescent="0.25">
      <c r="A64" s="16"/>
      <c r="B64" s="3" t="s">
        <v>93</v>
      </c>
      <c r="C64" s="3" t="s">
        <v>53</v>
      </c>
      <c r="D64" s="11" t="s">
        <v>243</v>
      </c>
      <c r="E64" s="107">
        <v>876.62015999999994</v>
      </c>
      <c r="F64" s="108">
        <v>1239.7975200000001</v>
      </c>
      <c r="G64" s="109">
        <v>1467.0255599999998</v>
      </c>
      <c r="H64" s="114"/>
      <c r="I64" s="113">
        <v>127.91771174690128</v>
      </c>
      <c r="J64" s="114">
        <v>205.61092553955802</v>
      </c>
      <c r="K64" s="109">
        <v>246.09536046713754</v>
      </c>
      <c r="L64" s="114"/>
      <c r="M64" s="113">
        <v>299.29031999999995</v>
      </c>
      <c r="N64" s="114">
        <v>306.14409000000001</v>
      </c>
      <c r="O64" s="109">
        <v>335.90697</v>
      </c>
      <c r="P64" s="119"/>
      <c r="Q64" s="120">
        <v>0.08</v>
      </c>
      <c r="R64" s="120">
        <v>0.05</v>
      </c>
      <c r="S64" s="120">
        <v>0.03</v>
      </c>
      <c r="T64" s="120">
        <v>1.4999999999999999E-2</v>
      </c>
      <c r="U64" s="120">
        <v>0.02</v>
      </c>
      <c r="V64" s="121">
        <f t="shared" si="4"/>
        <v>0</v>
      </c>
      <c r="W64" s="119"/>
      <c r="X64" s="113">
        <f t="shared" si="1"/>
        <v>1303.8281917469012</v>
      </c>
      <c r="Y64" s="113">
        <f t="shared" si="2"/>
        <v>1751.5525355395582</v>
      </c>
      <c r="Z64" s="113">
        <f t="shared" si="3"/>
        <v>2049.0278904671372</v>
      </c>
      <c r="AA64" s="22"/>
      <c r="AB64" s="22"/>
      <c r="AC64" s="22"/>
      <c r="AD64" s="22"/>
      <c r="AE64" s="22"/>
      <c r="AF64" s="22"/>
      <c r="AG64" s="22"/>
      <c r="AH64" s="22"/>
      <c r="AI64" s="22"/>
      <c r="AJ64" s="22"/>
      <c r="AK64" s="22"/>
      <c r="AL64" s="22"/>
      <c r="AM64" s="22"/>
      <c r="AN64" s="22"/>
      <c r="AO64" s="22"/>
      <c r="AP64" s="22"/>
      <c r="AQ64" s="22"/>
      <c r="AR64" s="22"/>
    </row>
    <row r="65" spans="1:44" hidden="1" x14ac:dyDescent="0.25">
      <c r="A65" s="16"/>
      <c r="B65" s="3" t="s">
        <v>94</v>
      </c>
      <c r="C65" s="3" t="s">
        <v>95</v>
      </c>
      <c r="D65" s="11" t="s">
        <v>243</v>
      </c>
      <c r="E65" s="107">
        <v>1032.6000574654399</v>
      </c>
      <c r="F65" s="108">
        <v>1410.6813315387865</v>
      </c>
      <c r="G65" s="109">
        <v>1864.6369640400296</v>
      </c>
      <c r="H65" s="114"/>
      <c r="I65" s="113">
        <v>92.68506603047004</v>
      </c>
      <c r="J65" s="114">
        <v>148.97907373395176</v>
      </c>
      <c r="K65" s="109">
        <v>178.31279518054316</v>
      </c>
      <c r="L65" s="114"/>
      <c r="M65" s="113">
        <v>246.72161794097559</v>
      </c>
      <c r="N65" s="114">
        <v>252.37156085725607</v>
      </c>
      <c r="O65" s="109">
        <v>276.90675433823168</v>
      </c>
      <c r="P65" s="119"/>
      <c r="Q65" s="120">
        <v>0.08</v>
      </c>
      <c r="R65" s="120">
        <v>0.05</v>
      </c>
      <c r="S65" s="120">
        <v>0.03</v>
      </c>
      <c r="T65" s="120">
        <v>1.4999999999999999E-2</v>
      </c>
      <c r="U65" s="120">
        <v>0.02</v>
      </c>
      <c r="V65" s="121">
        <f t="shared" si="4"/>
        <v>0</v>
      </c>
      <c r="W65" s="119"/>
      <c r="X65" s="113">
        <f t="shared" si="1"/>
        <v>1372.0067414368857</v>
      </c>
      <c r="Y65" s="113">
        <f t="shared" si="2"/>
        <v>1812.0319661299943</v>
      </c>
      <c r="Z65" s="113">
        <f t="shared" si="3"/>
        <v>2319.8565135588046</v>
      </c>
      <c r="AA65" s="22"/>
      <c r="AB65" s="22"/>
      <c r="AC65" s="22"/>
      <c r="AD65" s="22"/>
      <c r="AE65" s="22"/>
      <c r="AF65" s="22"/>
      <c r="AG65" s="22"/>
      <c r="AH65" s="22"/>
      <c r="AI65" s="22"/>
      <c r="AJ65" s="22"/>
      <c r="AK65" s="22"/>
      <c r="AL65" s="22"/>
      <c r="AM65" s="22"/>
      <c r="AN65" s="22"/>
      <c r="AO65" s="22"/>
      <c r="AP65" s="22"/>
      <c r="AQ65" s="22"/>
      <c r="AR65" s="22"/>
    </row>
    <row r="66" spans="1:44" hidden="1" x14ac:dyDescent="0.25">
      <c r="A66" s="16"/>
      <c r="B66" s="3" t="s">
        <v>94</v>
      </c>
      <c r="C66" s="3" t="s">
        <v>96</v>
      </c>
      <c r="D66" s="11" t="s">
        <v>243</v>
      </c>
      <c r="E66" s="107">
        <v>1032.6000574654399</v>
      </c>
      <c r="F66" s="108">
        <v>1410.6813315387865</v>
      </c>
      <c r="G66" s="109">
        <v>1864.6369640400296</v>
      </c>
      <c r="H66" s="114"/>
      <c r="I66" s="113">
        <v>92.68506603047004</v>
      </c>
      <c r="J66" s="114">
        <v>148.97907373395176</v>
      </c>
      <c r="K66" s="109">
        <v>178.31279518054316</v>
      </c>
      <c r="L66" s="114"/>
      <c r="M66" s="113">
        <v>246.72161794097559</v>
      </c>
      <c r="N66" s="114">
        <v>252.37156085725607</v>
      </c>
      <c r="O66" s="109">
        <v>276.90675433823168</v>
      </c>
      <c r="P66" s="119"/>
      <c r="Q66" s="120">
        <v>0.08</v>
      </c>
      <c r="R66" s="120">
        <v>0.05</v>
      </c>
      <c r="S66" s="120">
        <v>0.03</v>
      </c>
      <c r="T66" s="120">
        <v>1.4999999999999999E-2</v>
      </c>
      <c r="U66" s="120">
        <v>0.02</v>
      </c>
      <c r="V66" s="121">
        <f t="shared" si="4"/>
        <v>0</v>
      </c>
      <c r="W66" s="119"/>
      <c r="X66" s="113">
        <f t="shared" si="1"/>
        <v>1372.0067414368857</v>
      </c>
      <c r="Y66" s="113">
        <f t="shared" si="2"/>
        <v>1812.0319661299943</v>
      </c>
      <c r="Z66" s="113">
        <f t="shared" si="3"/>
        <v>2319.8565135588046</v>
      </c>
      <c r="AA66" s="22"/>
      <c r="AB66" s="22"/>
      <c r="AC66" s="22"/>
      <c r="AD66" s="22"/>
      <c r="AE66" s="22"/>
      <c r="AF66" s="22"/>
      <c r="AG66" s="22"/>
      <c r="AH66" s="22"/>
      <c r="AI66" s="22"/>
      <c r="AJ66" s="22"/>
      <c r="AK66" s="22"/>
      <c r="AL66" s="22"/>
      <c r="AM66" s="22"/>
      <c r="AN66" s="22"/>
      <c r="AO66" s="22"/>
      <c r="AP66" s="22"/>
      <c r="AQ66" s="22"/>
      <c r="AR66" s="22"/>
    </row>
    <row r="67" spans="1:44" hidden="1" x14ac:dyDescent="0.25">
      <c r="A67" s="16"/>
      <c r="B67" s="3" t="s">
        <v>94</v>
      </c>
      <c r="C67" s="3" t="s">
        <v>97</v>
      </c>
      <c r="D67" s="11" t="s">
        <v>243</v>
      </c>
      <c r="E67" s="107">
        <v>1032.6000574654399</v>
      </c>
      <c r="F67" s="108">
        <v>1410.6813315387865</v>
      </c>
      <c r="G67" s="109">
        <v>1864.6369640400296</v>
      </c>
      <c r="H67" s="114"/>
      <c r="I67" s="113">
        <v>92.68506603047004</v>
      </c>
      <c r="J67" s="114">
        <v>148.97907373395176</v>
      </c>
      <c r="K67" s="109">
        <v>178.31279518054316</v>
      </c>
      <c r="L67" s="114"/>
      <c r="M67" s="113">
        <v>246.72161794097559</v>
      </c>
      <c r="N67" s="114">
        <v>252.37156085725607</v>
      </c>
      <c r="O67" s="109">
        <v>276.90675433823168</v>
      </c>
      <c r="P67" s="119"/>
      <c r="Q67" s="120">
        <v>0.08</v>
      </c>
      <c r="R67" s="120">
        <v>0.05</v>
      </c>
      <c r="S67" s="120">
        <v>0.03</v>
      </c>
      <c r="T67" s="120">
        <v>1.4999999999999999E-2</v>
      </c>
      <c r="U67" s="120">
        <v>0.02</v>
      </c>
      <c r="V67" s="121">
        <f t="shared" si="4"/>
        <v>0</v>
      </c>
      <c r="W67" s="119"/>
      <c r="X67" s="113">
        <f t="shared" si="1"/>
        <v>1372.0067414368857</v>
      </c>
      <c r="Y67" s="113">
        <f t="shared" si="2"/>
        <v>1812.0319661299943</v>
      </c>
      <c r="Z67" s="113">
        <f t="shared" si="3"/>
        <v>2319.8565135588046</v>
      </c>
      <c r="AA67" s="22"/>
      <c r="AB67" s="22"/>
      <c r="AC67" s="22"/>
      <c r="AD67" s="22"/>
      <c r="AE67" s="22"/>
      <c r="AF67" s="22"/>
      <c r="AG67" s="22"/>
      <c r="AH67" s="22"/>
      <c r="AI67" s="22"/>
      <c r="AJ67" s="22"/>
      <c r="AK67" s="22"/>
      <c r="AL67" s="22"/>
      <c r="AM67" s="22"/>
      <c r="AN67" s="22"/>
      <c r="AO67" s="22"/>
      <c r="AP67" s="22"/>
      <c r="AQ67" s="22"/>
      <c r="AR67" s="22"/>
    </row>
    <row r="68" spans="1:44" hidden="1" x14ac:dyDescent="0.25">
      <c r="A68" s="16"/>
      <c r="B68" s="3" t="s">
        <v>94</v>
      </c>
      <c r="C68" s="3" t="s">
        <v>98</v>
      </c>
      <c r="D68" s="11" t="s">
        <v>243</v>
      </c>
      <c r="E68" s="110">
        <v>1032.6000574654399</v>
      </c>
      <c r="F68" s="111">
        <v>1410.6813315387865</v>
      </c>
      <c r="G68" s="112">
        <v>1864.6369640400296</v>
      </c>
      <c r="H68" s="114"/>
      <c r="I68" s="113">
        <v>92.68506603047004</v>
      </c>
      <c r="J68" s="114">
        <v>148.97907373395176</v>
      </c>
      <c r="K68" s="109">
        <v>178.31279518054316</v>
      </c>
      <c r="L68" s="114"/>
      <c r="M68" s="113">
        <v>246.72161794097559</v>
      </c>
      <c r="N68" s="114">
        <v>252.37156085725607</v>
      </c>
      <c r="O68" s="109">
        <v>276.90675433823168</v>
      </c>
      <c r="P68" s="119"/>
      <c r="Q68" s="120">
        <v>0.08</v>
      </c>
      <c r="R68" s="120">
        <v>0.05</v>
      </c>
      <c r="S68" s="120">
        <v>0.03</v>
      </c>
      <c r="T68" s="120">
        <v>1.4999999999999999E-2</v>
      </c>
      <c r="U68" s="120">
        <v>0.02</v>
      </c>
      <c r="V68" s="121">
        <f t="shared" si="4"/>
        <v>0</v>
      </c>
      <c r="W68" s="119"/>
      <c r="X68" s="113">
        <f t="shared" si="1"/>
        <v>1372.0067414368857</v>
      </c>
      <c r="Y68" s="113">
        <f t="shared" si="2"/>
        <v>1812.0319661299943</v>
      </c>
      <c r="Z68" s="113">
        <f t="shared" si="3"/>
        <v>2319.8565135588046</v>
      </c>
      <c r="AA68" s="22"/>
      <c r="AB68" s="22"/>
      <c r="AC68" s="22"/>
      <c r="AD68" s="22"/>
      <c r="AE68" s="22"/>
      <c r="AF68" s="22"/>
      <c r="AG68" s="22"/>
      <c r="AH68" s="22"/>
      <c r="AI68" s="22"/>
      <c r="AJ68" s="22"/>
      <c r="AK68" s="22"/>
      <c r="AL68" s="22"/>
      <c r="AM68" s="22"/>
      <c r="AN68" s="22"/>
      <c r="AO68" s="22"/>
      <c r="AP68" s="22"/>
      <c r="AQ68" s="22"/>
      <c r="AR68" s="22"/>
    </row>
    <row r="69" spans="1:44" hidden="1" x14ac:dyDescent="0.25">
      <c r="A69" s="16"/>
      <c r="B69" s="3" t="s">
        <v>99</v>
      </c>
      <c r="C69" s="3" t="s">
        <v>100</v>
      </c>
      <c r="D69" s="11" t="s">
        <v>243</v>
      </c>
      <c r="E69" s="107">
        <v>1257.88104</v>
      </c>
      <c r="F69" s="108">
        <v>1783.5947999999999</v>
      </c>
      <c r="G69" s="109">
        <v>2112.6502799999998</v>
      </c>
      <c r="H69" s="114"/>
      <c r="I69" s="113">
        <v>214.04883336585365</v>
      </c>
      <c r="J69" s="114">
        <v>373.52931629268289</v>
      </c>
      <c r="K69" s="109">
        <v>548.50391824390238</v>
      </c>
      <c r="L69" s="114"/>
      <c r="M69" s="113">
        <v>390.0563765853658</v>
      </c>
      <c r="N69" s="114">
        <v>398.98869585365844</v>
      </c>
      <c r="O69" s="109">
        <v>437.77779243902438</v>
      </c>
      <c r="P69" s="119"/>
      <c r="Q69" s="120">
        <v>0.08</v>
      </c>
      <c r="R69" s="120">
        <v>0.05</v>
      </c>
      <c r="S69" s="120">
        <v>0.03</v>
      </c>
      <c r="T69" s="120">
        <v>1.4999999999999999E-2</v>
      </c>
      <c r="U69" s="120">
        <v>0.02</v>
      </c>
      <c r="V69" s="121">
        <f t="shared" si="4"/>
        <v>0</v>
      </c>
      <c r="W69" s="119"/>
      <c r="X69" s="113">
        <f t="shared" si="1"/>
        <v>1861.9862499512194</v>
      </c>
      <c r="Y69" s="113">
        <f t="shared" si="2"/>
        <v>2556.1128121463412</v>
      </c>
      <c r="Z69" s="113">
        <f t="shared" si="3"/>
        <v>3098.9319906829264</v>
      </c>
      <c r="AA69" s="22"/>
      <c r="AB69" s="22"/>
      <c r="AC69" s="22"/>
      <c r="AD69" s="22"/>
      <c r="AE69" s="22"/>
      <c r="AF69" s="22"/>
      <c r="AG69" s="22"/>
      <c r="AH69" s="22"/>
      <c r="AI69" s="22"/>
      <c r="AJ69" s="22"/>
      <c r="AK69" s="22"/>
      <c r="AL69" s="22"/>
      <c r="AM69" s="22"/>
      <c r="AN69" s="22"/>
      <c r="AO69" s="22"/>
      <c r="AP69" s="22"/>
      <c r="AQ69" s="22"/>
      <c r="AR69" s="22"/>
    </row>
    <row r="70" spans="1:44" hidden="1" x14ac:dyDescent="0.25">
      <c r="A70" s="16"/>
      <c r="B70" s="3" t="s">
        <v>244</v>
      </c>
      <c r="C70" s="3" t="s">
        <v>245</v>
      </c>
      <c r="D70" s="11" t="s">
        <v>19</v>
      </c>
      <c r="E70" s="107">
        <v>1421.54</v>
      </c>
      <c r="F70" s="108">
        <v>1787.1</v>
      </c>
      <c r="G70" s="109">
        <v>2432.38</v>
      </c>
      <c r="H70" s="114"/>
      <c r="I70" s="113">
        <v>114.80999999999999</v>
      </c>
      <c r="J70" s="114">
        <v>184.542</v>
      </c>
      <c r="K70" s="109">
        <v>220.87799999999999</v>
      </c>
      <c r="L70" s="114"/>
      <c r="M70" s="113">
        <v>301.58388479999996</v>
      </c>
      <c r="N70" s="114">
        <v>308.49017759999998</v>
      </c>
      <c r="O70" s="109">
        <v>338.48114079999999</v>
      </c>
      <c r="P70" s="119"/>
      <c r="Q70" s="120">
        <v>0.08</v>
      </c>
      <c r="R70" s="120">
        <v>0.05</v>
      </c>
      <c r="S70" s="120">
        <v>0.03</v>
      </c>
      <c r="T70" s="120">
        <v>1.4999999999999999E-2</v>
      </c>
      <c r="U70" s="120">
        <v>0.02</v>
      </c>
      <c r="V70" s="121">
        <f t="shared" ref="V70:V73" si="5">SUBTOTAL(9,Q70:U70)</f>
        <v>0</v>
      </c>
      <c r="W70" s="119"/>
      <c r="X70" s="113">
        <f t="shared" ref="X70:X73" si="6">(E70+I70+M70)*(1+V70)</f>
        <v>1837.9338847999998</v>
      </c>
      <c r="Y70" s="113">
        <f t="shared" ref="Y70:Y73" si="7">(F70+J70+N70)*(1+V70)</f>
        <v>2280.1321776</v>
      </c>
      <c r="Z70" s="113">
        <f t="shared" ref="Z70:Z73" si="8">(G70+K70+O70)*(1+V70)</f>
        <v>2991.7391408000003</v>
      </c>
      <c r="AA70" s="22"/>
      <c r="AB70" s="22"/>
      <c r="AC70" s="22"/>
      <c r="AD70" s="22"/>
      <c r="AE70" s="22"/>
      <c r="AF70" s="22"/>
      <c r="AG70" s="22"/>
      <c r="AH70" s="22"/>
      <c r="AI70" s="22"/>
      <c r="AJ70" s="22"/>
      <c r="AK70" s="22"/>
      <c r="AL70" s="22"/>
      <c r="AM70" s="22"/>
      <c r="AN70" s="22"/>
      <c r="AO70" s="22"/>
      <c r="AP70" s="22"/>
      <c r="AQ70" s="22"/>
      <c r="AR70" s="22"/>
    </row>
    <row r="71" spans="1:44" hidden="1" x14ac:dyDescent="0.25">
      <c r="A71" s="16"/>
      <c r="B71" s="3" t="s">
        <v>244</v>
      </c>
      <c r="C71" s="3" t="s">
        <v>246</v>
      </c>
      <c r="D71" s="11" t="s">
        <v>19</v>
      </c>
      <c r="E71" s="107">
        <f t="shared" ref="E71:G72" si="9">E$25*0.58</f>
        <v>934.52189955246138</v>
      </c>
      <c r="F71" s="108">
        <f t="shared" si="9"/>
        <v>1326.8098458478369</v>
      </c>
      <c r="G71" s="109">
        <f t="shared" si="9"/>
        <v>1572.3756737941321</v>
      </c>
      <c r="H71" s="114"/>
      <c r="I71" s="113">
        <v>110.98299999999999</v>
      </c>
      <c r="J71" s="114">
        <v>178.39059999999998</v>
      </c>
      <c r="K71" s="109">
        <v>213.51539999999997</v>
      </c>
      <c r="L71" s="114"/>
      <c r="M71" s="113">
        <v>292.31974364326396</v>
      </c>
      <c r="N71" s="114">
        <v>299.01388693994619</v>
      </c>
      <c r="O71" s="109">
        <v>328.08357904253489</v>
      </c>
      <c r="P71" s="119"/>
      <c r="Q71" s="120">
        <v>0.08</v>
      </c>
      <c r="R71" s="120">
        <v>0.05</v>
      </c>
      <c r="S71" s="120">
        <v>0.03</v>
      </c>
      <c r="T71" s="120">
        <v>1.4999999999999999E-2</v>
      </c>
      <c r="U71" s="120">
        <v>0.02</v>
      </c>
      <c r="V71" s="121">
        <f t="shared" si="5"/>
        <v>0</v>
      </c>
      <c r="W71" s="119"/>
      <c r="X71" s="113">
        <f t="shared" si="6"/>
        <v>1337.8246431957255</v>
      </c>
      <c r="Y71" s="113">
        <f t="shared" si="7"/>
        <v>1804.214332787783</v>
      </c>
      <c r="Z71" s="113">
        <f t="shared" si="8"/>
        <v>2113.9746528366668</v>
      </c>
      <c r="AA71" s="22"/>
      <c r="AB71" s="22"/>
      <c r="AC71" s="22"/>
      <c r="AD71" s="22"/>
      <c r="AE71" s="22"/>
      <c r="AF71" s="22"/>
      <c r="AG71" s="22"/>
      <c r="AH71" s="22"/>
      <c r="AI71" s="22"/>
      <c r="AJ71" s="22"/>
      <c r="AK71" s="22"/>
      <c r="AL71" s="22"/>
      <c r="AM71" s="22"/>
      <c r="AN71" s="22"/>
      <c r="AO71" s="22"/>
      <c r="AP71" s="22"/>
      <c r="AQ71" s="22"/>
      <c r="AR71" s="22"/>
    </row>
    <row r="72" spans="1:44" hidden="1" x14ac:dyDescent="0.25">
      <c r="A72" s="16"/>
      <c r="B72" s="3" t="s">
        <v>244</v>
      </c>
      <c r="C72" s="3" t="s">
        <v>247</v>
      </c>
      <c r="D72" s="11" t="s">
        <v>19</v>
      </c>
      <c r="E72" s="107">
        <f t="shared" si="9"/>
        <v>934.52189955246138</v>
      </c>
      <c r="F72" s="108">
        <f t="shared" si="9"/>
        <v>1326.8098458478369</v>
      </c>
      <c r="G72" s="109">
        <f t="shared" si="9"/>
        <v>1572.3756737941321</v>
      </c>
      <c r="H72" s="114"/>
      <c r="I72" s="113">
        <v>110.98299999999999</v>
      </c>
      <c r="J72" s="114">
        <v>178.39059999999998</v>
      </c>
      <c r="K72" s="109">
        <v>213.51539999999997</v>
      </c>
      <c r="L72" s="114"/>
      <c r="M72" s="113">
        <v>292.31974364326396</v>
      </c>
      <c r="N72" s="114">
        <v>299.01388693994619</v>
      </c>
      <c r="O72" s="109">
        <v>328.08357904253489</v>
      </c>
      <c r="P72" s="119"/>
      <c r="Q72" s="120">
        <v>0.08</v>
      </c>
      <c r="R72" s="120">
        <v>0.05</v>
      </c>
      <c r="S72" s="120">
        <v>0.03</v>
      </c>
      <c r="T72" s="120">
        <v>1.4999999999999999E-2</v>
      </c>
      <c r="U72" s="120">
        <v>0.02</v>
      </c>
      <c r="V72" s="121">
        <f t="shared" si="5"/>
        <v>0</v>
      </c>
      <c r="W72" s="119"/>
      <c r="X72" s="113">
        <f t="shared" si="6"/>
        <v>1337.8246431957255</v>
      </c>
      <c r="Y72" s="113">
        <f t="shared" si="7"/>
        <v>1804.214332787783</v>
      </c>
      <c r="Z72" s="113">
        <f t="shared" si="8"/>
        <v>2113.9746528366668</v>
      </c>
      <c r="AA72" s="22"/>
      <c r="AB72" s="22"/>
      <c r="AC72" s="22"/>
      <c r="AD72" s="22"/>
      <c r="AE72" s="22"/>
      <c r="AF72" s="22"/>
      <c r="AG72" s="22"/>
      <c r="AH72" s="22"/>
      <c r="AI72" s="22"/>
      <c r="AJ72" s="22"/>
      <c r="AK72" s="22"/>
      <c r="AL72" s="22"/>
      <c r="AM72" s="22"/>
      <c r="AN72" s="22"/>
      <c r="AO72" s="22"/>
      <c r="AP72" s="22"/>
      <c r="AQ72" s="22"/>
      <c r="AR72" s="22"/>
    </row>
    <row r="73" spans="1:44" hidden="1" x14ac:dyDescent="0.25">
      <c r="A73" s="16"/>
      <c r="B73" s="3" t="s">
        <v>244</v>
      </c>
      <c r="C73" s="3" t="s">
        <v>248</v>
      </c>
      <c r="D73" s="11" t="s">
        <v>19</v>
      </c>
      <c r="E73" s="107">
        <f t="shared" ref="E73:G73" si="10">E$25*0.59</f>
        <v>950.63434609646936</v>
      </c>
      <c r="F73" s="108">
        <f t="shared" si="10"/>
        <v>1349.6858776727995</v>
      </c>
      <c r="G73" s="109">
        <f t="shared" si="10"/>
        <v>1599.4855992043758</v>
      </c>
      <c r="H73" s="114"/>
      <c r="I73" s="113">
        <v>112.89649999999999</v>
      </c>
      <c r="J73" s="114">
        <v>181.46629999999999</v>
      </c>
      <c r="K73" s="109">
        <v>217.19669999999999</v>
      </c>
      <c r="L73" s="114"/>
      <c r="M73" s="113">
        <v>297.35973922332028</v>
      </c>
      <c r="N73" s="114">
        <v>304.16929878373844</v>
      </c>
      <c r="O73" s="109">
        <v>333.74019247430272</v>
      </c>
      <c r="P73" s="119"/>
      <c r="Q73" s="120">
        <v>0.08</v>
      </c>
      <c r="R73" s="120">
        <v>0.05</v>
      </c>
      <c r="S73" s="120">
        <v>0.03</v>
      </c>
      <c r="T73" s="120">
        <v>1.4999999999999999E-2</v>
      </c>
      <c r="U73" s="120">
        <v>0.02</v>
      </c>
      <c r="V73" s="121">
        <f t="shared" si="5"/>
        <v>0</v>
      </c>
      <c r="W73" s="119"/>
      <c r="X73" s="113">
        <f t="shared" si="6"/>
        <v>1360.8905853197896</v>
      </c>
      <c r="Y73" s="113">
        <f t="shared" si="7"/>
        <v>1835.321476456538</v>
      </c>
      <c r="Z73" s="113">
        <f t="shared" si="8"/>
        <v>2150.4224916786784</v>
      </c>
      <c r="AA73" s="22"/>
      <c r="AB73" s="22"/>
      <c r="AC73" s="22"/>
      <c r="AD73" s="22"/>
      <c r="AE73" s="22"/>
      <c r="AF73" s="22"/>
      <c r="AG73" s="22"/>
      <c r="AH73" s="22"/>
      <c r="AI73" s="22"/>
      <c r="AJ73" s="22"/>
      <c r="AK73" s="22"/>
      <c r="AL73" s="22"/>
      <c r="AM73" s="22"/>
      <c r="AN73" s="22"/>
      <c r="AO73" s="22"/>
      <c r="AP73" s="22"/>
      <c r="AQ73" s="22"/>
      <c r="AR73" s="22"/>
    </row>
    <row r="74" spans="1:44" hidden="1" x14ac:dyDescent="0.25">
      <c r="A74" s="16"/>
      <c r="B74" s="3" t="s">
        <v>101</v>
      </c>
      <c r="C74" s="3" t="s">
        <v>102</v>
      </c>
      <c r="D74" s="11" t="s">
        <v>6</v>
      </c>
      <c r="E74" s="107">
        <v>771.91800596718053</v>
      </c>
      <c r="F74" s="108">
        <v>1008.6306315266038</v>
      </c>
      <c r="G74" s="109">
        <v>1222.5923222277474</v>
      </c>
      <c r="H74" s="114"/>
      <c r="I74" s="113">
        <v>106.59976323095675</v>
      </c>
      <c r="J74" s="114">
        <v>186.02360989542856</v>
      </c>
      <c r="K74" s="109">
        <v>273.16377714665742</v>
      </c>
      <c r="L74" s="114"/>
      <c r="M74" s="113">
        <v>197.95443474710518</v>
      </c>
      <c r="N74" s="114">
        <v>202.48760563695106</v>
      </c>
      <c r="O74" s="109">
        <v>222.17315405978655</v>
      </c>
      <c r="P74" s="119"/>
      <c r="Q74" s="120">
        <v>0.05</v>
      </c>
      <c r="R74" s="120">
        <v>0.08</v>
      </c>
      <c r="S74" s="120">
        <v>0.08</v>
      </c>
      <c r="T74" s="120">
        <v>1.2E-2</v>
      </c>
      <c r="U74" s="120">
        <v>0.02</v>
      </c>
      <c r="V74" s="121">
        <f>SUBTOTAL(9,Q74:U74)</f>
        <v>0</v>
      </c>
      <c r="W74" s="119"/>
      <c r="X74" s="113">
        <f t="shared" si="1"/>
        <v>1076.4722039452424</v>
      </c>
      <c r="Y74" s="113">
        <f t="shared" si="2"/>
        <v>1397.1418470589833</v>
      </c>
      <c r="Z74" s="113">
        <f t="shared" si="3"/>
        <v>1717.9292534341914</v>
      </c>
      <c r="AA74" s="22"/>
      <c r="AB74" s="22"/>
      <c r="AC74" s="22"/>
      <c r="AD74" s="22"/>
      <c r="AE74" s="22"/>
      <c r="AF74" s="22"/>
      <c r="AG74" s="22"/>
      <c r="AH74" s="22"/>
      <c r="AI74" s="22"/>
      <c r="AJ74" s="22"/>
      <c r="AK74" s="22"/>
      <c r="AL74" s="22"/>
      <c r="AM74" s="22"/>
      <c r="AN74" s="22"/>
      <c r="AO74" s="22"/>
      <c r="AP74" s="22"/>
      <c r="AQ74" s="22"/>
      <c r="AR74" s="22"/>
    </row>
    <row r="75" spans="1:44" hidden="1" x14ac:dyDescent="0.25">
      <c r="A75" s="16"/>
      <c r="B75" s="3" t="s">
        <v>103</v>
      </c>
      <c r="C75" s="3" t="s">
        <v>104</v>
      </c>
      <c r="D75" s="11" t="s">
        <v>6</v>
      </c>
      <c r="E75" s="107">
        <v>889.69409249129785</v>
      </c>
      <c r="F75" s="108">
        <v>1329.3587419194432</v>
      </c>
      <c r="G75" s="109">
        <v>1563.1098458478371</v>
      </c>
      <c r="H75" s="114"/>
      <c r="I75" s="113">
        <v>111.42207087617778</v>
      </c>
      <c r="J75" s="114">
        <v>194.43885444195519</v>
      </c>
      <c r="K75" s="109">
        <v>285.52102570899984</v>
      </c>
      <c r="L75" s="114"/>
      <c r="M75" s="113">
        <v>207.8762664341792</v>
      </c>
      <c r="N75" s="114">
        <v>212.6366479881118</v>
      </c>
      <c r="O75" s="109">
        <v>233.3088714423435</v>
      </c>
      <c r="P75" s="119"/>
      <c r="Q75" s="120" t="s">
        <v>249</v>
      </c>
      <c r="R75" s="120">
        <v>0.05</v>
      </c>
      <c r="S75" s="120">
        <v>0.09</v>
      </c>
      <c r="T75" s="120">
        <v>7.0000000000000007E-2</v>
      </c>
      <c r="U75" s="120">
        <v>0.05</v>
      </c>
      <c r="V75" s="121">
        <f t="shared" ref="V75:V90" si="11">SUBTOTAL(9,Q75:U75)</f>
        <v>0</v>
      </c>
      <c r="W75" s="119"/>
      <c r="X75" s="113">
        <f t="shared" ref="X75:X138" si="12">(E75+I75+M75)*(1+V75)</f>
        <v>1208.9924298016549</v>
      </c>
      <c r="Y75" s="113">
        <f t="shared" ref="Y75:Y138" si="13">(F75+J75+N75)*(1+V75)</f>
        <v>1736.4342443495102</v>
      </c>
      <c r="Z75" s="113">
        <f t="shared" ref="Z75:Z138" si="14">(G75+K75+O75)*(1+V75)</f>
        <v>2081.9397429991805</v>
      </c>
      <c r="AA75" s="22"/>
      <c r="AB75" s="22"/>
      <c r="AC75" s="22"/>
      <c r="AD75" s="22"/>
      <c r="AE75" s="22"/>
      <c r="AF75" s="22"/>
      <c r="AG75" s="22"/>
      <c r="AH75" s="22"/>
      <c r="AI75" s="22"/>
      <c r="AJ75" s="22"/>
      <c r="AK75" s="22"/>
      <c r="AL75" s="22"/>
      <c r="AM75" s="22"/>
      <c r="AN75" s="22"/>
      <c r="AO75" s="22"/>
      <c r="AP75" s="22"/>
      <c r="AQ75" s="22"/>
      <c r="AR75" s="22"/>
    </row>
    <row r="76" spans="1:44" hidden="1" x14ac:dyDescent="0.25">
      <c r="A76" s="16"/>
      <c r="B76" s="3" t="s">
        <v>105</v>
      </c>
      <c r="C76" s="3" t="s">
        <v>106</v>
      </c>
      <c r="D76" s="11" t="s">
        <v>6</v>
      </c>
      <c r="E76" s="107">
        <v>887.75782794629538</v>
      </c>
      <c r="F76" s="108">
        <v>1222.5156086524119</v>
      </c>
      <c r="G76" s="109">
        <v>1554.3876931874688</v>
      </c>
      <c r="H76" s="114"/>
      <c r="I76" s="113">
        <v>105.03731724193337</v>
      </c>
      <c r="J76" s="114">
        <v>183.29703870675675</v>
      </c>
      <c r="K76" s="109">
        <v>269.15998168770716</v>
      </c>
      <c r="L76" s="114"/>
      <c r="M76" s="113">
        <v>191.40714165729227</v>
      </c>
      <c r="N76" s="114">
        <v>195.79037906128349</v>
      </c>
      <c r="O76" s="109">
        <v>214.82483292630991</v>
      </c>
      <c r="P76" s="119"/>
      <c r="Q76" s="120">
        <v>0.05</v>
      </c>
      <c r="R76" s="120">
        <v>0.02</v>
      </c>
      <c r="S76" s="120">
        <v>0.04</v>
      </c>
      <c r="T76" s="120">
        <v>0.03</v>
      </c>
      <c r="U76" s="120">
        <v>0.02</v>
      </c>
      <c r="V76" s="121">
        <f t="shared" si="11"/>
        <v>0</v>
      </c>
      <c r="W76" s="119"/>
      <c r="X76" s="113">
        <f t="shared" si="12"/>
        <v>1184.202286845521</v>
      </c>
      <c r="Y76" s="113">
        <f t="shared" si="13"/>
        <v>1601.6030264204519</v>
      </c>
      <c r="Z76" s="113">
        <f t="shared" si="14"/>
        <v>2038.3725078014859</v>
      </c>
      <c r="AA76" s="22"/>
      <c r="AB76" s="22"/>
      <c r="AC76" s="22"/>
      <c r="AD76" s="22"/>
      <c r="AE76" s="22"/>
      <c r="AF76" s="22"/>
      <c r="AG76" s="22"/>
      <c r="AH76" s="22"/>
      <c r="AI76" s="22"/>
      <c r="AJ76" s="22"/>
      <c r="AK76" s="22"/>
      <c r="AL76" s="22"/>
      <c r="AM76" s="22"/>
      <c r="AN76" s="22"/>
      <c r="AO76" s="22"/>
      <c r="AP76" s="22"/>
      <c r="AQ76" s="22"/>
      <c r="AR76" s="22"/>
    </row>
    <row r="77" spans="1:44" hidden="1" x14ac:dyDescent="0.25">
      <c r="A77" s="16"/>
      <c r="B77" s="3" t="s">
        <v>107</v>
      </c>
      <c r="C77" s="3" t="s">
        <v>108</v>
      </c>
      <c r="D77" s="11" t="s">
        <v>6</v>
      </c>
      <c r="E77" s="107">
        <v>967.29903033316759</v>
      </c>
      <c r="F77" s="108">
        <v>967.29903033316759</v>
      </c>
      <c r="G77" s="109">
        <v>967.29903033316759</v>
      </c>
      <c r="H77" s="114"/>
      <c r="I77" s="113">
        <v>118.01362674375963</v>
      </c>
      <c r="J77" s="114">
        <v>205.94155369897268</v>
      </c>
      <c r="K77" s="109">
        <v>302.41200410789907</v>
      </c>
      <c r="L77" s="114"/>
      <c r="M77" s="113">
        <v>215.05357871626691</v>
      </c>
      <c r="N77" s="114">
        <v>219.97832124117778</v>
      </c>
      <c r="O77" s="109">
        <v>241.36429141523087</v>
      </c>
      <c r="P77" s="119"/>
      <c r="Q77" s="120">
        <v>4.4999999999999998E-2</v>
      </c>
      <c r="R77" s="120">
        <v>5.0000000000000001E-3</v>
      </c>
      <c r="S77" s="120">
        <v>7.0000000000000007E-2</v>
      </c>
      <c r="T77" s="120">
        <v>0.03</v>
      </c>
      <c r="U77" s="120">
        <v>0</v>
      </c>
      <c r="V77" s="121">
        <f t="shared" si="11"/>
        <v>0</v>
      </c>
      <c r="W77" s="119"/>
      <c r="X77" s="113">
        <f t="shared" si="12"/>
        <v>1300.3662357931942</v>
      </c>
      <c r="Y77" s="113">
        <f t="shared" si="13"/>
        <v>1393.2189052733181</v>
      </c>
      <c r="Z77" s="113">
        <f t="shared" si="14"/>
        <v>1511.0753258562975</v>
      </c>
      <c r="AA77" s="22"/>
      <c r="AB77" s="22"/>
      <c r="AC77" s="22"/>
      <c r="AD77" s="22"/>
      <c r="AE77" s="22"/>
      <c r="AF77" s="22"/>
      <c r="AG77" s="22"/>
      <c r="AH77" s="22"/>
      <c r="AI77" s="22"/>
      <c r="AJ77" s="22"/>
      <c r="AK77" s="22"/>
      <c r="AL77" s="22"/>
      <c r="AM77" s="22"/>
      <c r="AN77" s="22"/>
      <c r="AO77" s="22"/>
      <c r="AP77" s="22"/>
      <c r="AQ77" s="22"/>
      <c r="AR77" s="22"/>
    </row>
    <row r="78" spans="1:44" hidden="1" x14ac:dyDescent="0.25">
      <c r="A78" s="16"/>
      <c r="B78" s="3" t="s">
        <v>109</v>
      </c>
      <c r="C78" s="3" t="s">
        <v>110</v>
      </c>
      <c r="D78" s="11" t="s">
        <v>6</v>
      </c>
      <c r="E78" s="107">
        <v>1058.3843013426156</v>
      </c>
      <c r="F78" s="108">
        <v>1058.3843013426156</v>
      </c>
      <c r="G78" s="109">
        <v>1058.3843013426156</v>
      </c>
      <c r="H78" s="114"/>
      <c r="I78" s="113">
        <v>129.12074526412496</v>
      </c>
      <c r="J78" s="114">
        <v>225.32420728159067</v>
      </c>
      <c r="K78" s="109">
        <v>330.87419160511757</v>
      </c>
      <c r="L78" s="114"/>
      <c r="M78" s="113">
        <v>235.29383107472259</v>
      </c>
      <c r="N78" s="114">
        <v>240.68207684426503</v>
      </c>
      <c r="O78" s="109">
        <v>264.08083581186963</v>
      </c>
      <c r="P78" s="119"/>
      <c r="Q78" s="120">
        <v>4.4999999999999998E-2</v>
      </c>
      <c r="R78" s="120">
        <v>5.0000000000000001E-3</v>
      </c>
      <c r="S78" s="120">
        <v>7.0000000000000007E-2</v>
      </c>
      <c r="T78" s="120">
        <v>0.03</v>
      </c>
      <c r="U78" s="120" t="s">
        <v>250</v>
      </c>
      <c r="V78" s="121">
        <f t="shared" si="11"/>
        <v>0</v>
      </c>
      <c r="W78" s="119"/>
      <c r="X78" s="113">
        <f t="shared" si="12"/>
        <v>1422.7988776814632</v>
      </c>
      <c r="Y78" s="113">
        <f t="shared" si="13"/>
        <v>1524.3905854684713</v>
      </c>
      <c r="Z78" s="113">
        <f t="shared" si="14"/>
        <v>1653.3393287596027</v>
      </c>
      <c r="AA78" s="22"/>
      <c r="AB78" s="22"/>
      <c r="AC78" s="22"/>
      <c r="AD78" s="22"/>
      <c r="AE78" s="22"/>
      <c r="AF78" s="22"/>
      <c r="AG78" s="22"/>
      <c r="AH78" s="22"/>
      <c r="AI78" s="22"/>
      <c r="AJ78" s="22"/>
      <c r="AK78" s="22"/>
      <c r="AL78" s="22"/>
      <c r="AM78" s="22"/>
      <c r="AN78" s="22"/>
      <c r="AO78" s="22"/>
      <c r="AP78" s="22"/>
      <c r="AQ78" s="22"/>
      <c r="AR78" s="22"/>
    </row>
    <row r="79" spans="1:44" hidden="1" x14ac:dyDescent="0.25">
      <c r="A79" s="16"/>
      <c r="B79" s="3" t="s">
        <v>111</v>
      </c>
      <c r="C79" s="3" t="s">
        <v>112</v>
      </c>
      <c r="D79" s="11" t="s">
        <v>6</v>
      </c>
      <c r="E79" s="107">
        <v>540.41963799104917</v>
      </c>
      <c r="F79" s="108">
        <v>871.09930283441076</v>
      </c>
      <c r="G79" s="109">
        <v>1113.611070611636</v>
      </c>
      <c r="H79" s="114"/>
      <c r="I79" s="113">
        <v>61.582321180639553</v>
      </c>
      <c r="J79" s="114">
        <v>107.46520765662926</v>
      </c>
      <c r="K79" s="109">
        <v>157.80578632914776</v>
      </c>
      <c r="L79" s="114"/>
      <c r="M79" s="113">
        <v>114.8919859837106</v>
      </c>
      <c r="N79" s="114">
        <v>117.52302078221518</v>
      </c>
      <c r="O79" s="109">
        <v>128.94843671880432</v>
      </c>
      <c r="P79" s="119"/>
      <c r="Q79" s="120">
        <v>3.1E-2</v>
      </c>
      <c r="R79" s="120">
        <v>5.3999999999999999E-2</v>
      </c>
      <c r="S79" s="120">
        <v>8.5999999999999993E-2</v>
      </c>
      <c r="T79" s="120">
        <v>1.6E-2</v>
      </c>
      <c r="U79" s="120">
        <v>5.0000000000000001E-3</v>
      </c>
      <c r="V79" s="121">
        <f t="shared" si="11"/>
        <v>0</v>
      </c>
      <c r="W79" s="119"/>
      <c r="X79" s="113">
        <f t="shared" si="12"/>
        <v>716.89394515539925</v>
      </c>
      <c r="Y79" s="113">
        <f t="shared" si="13"/>
        <v>1096.0875312732551</v>
      </c>
      <c r="Z79" s="113">
        <f t="shared" si="14"/>
        <v>1400.3652936595881</v>
      </c>
      <c r="AA79" s="22"/>
      <c r="AB79" s="22"/>
      <c r="AC79" s="22"/>
      <c r="AD79" s="22"/>
      <c r="AE79" s="22"/>
      <c r="AF79" s="22"/>
      <c r="AG79" s="22"/>
      <c r="AH79" s="22"/>
      <c r="AI79" s="22"/>
      <c r="AJ79" s="22"/>
      <c r="AK79" s="22"/>
      <c r="AL79" s="22"/>
      <c r="AM79" s="22"/>
      <c r="AN79" s="22"/>
      <c r="AO79" s="22"/>
      <c r="AP79" s="22"/>
      <c r="AQ79" s="22"/>
      <c r="AR79" s="22"/>
    </row>
    <row r="80" spans="1:44" hidden="1" x14ac:dyDescent="0.25">
      <c r="A80" s="16"/>
      <c r="B80" s="3" t="s">
        <v>113</v>
      </c>
      <c r="C80" s="3" t="s">
        <v>114</v>
      </c>
      <c r="D80" s="11" t="s">
        <v>6</v>
      </c>
      <c r="E80" s="107">
        <v>1247.156943799105</v>
      </c>
      <c r="F80" s="108">
        <v>1703.7971336499254</v>
      </c>
      <c r="G80" s="109">
        <v>2252.0770946643461</v>
      </c>
      <c r="H80" s="114"/>
      <c r="I80" s="113">
        <v>164.30646810731707</v>
      </c>
      <c r="J80" s="114">
        <v>286.72561176585367</v>
      </c>
      <c r="K80" s="109">
        <v>421.03822820487807</v>
      </c>
      <c r="L80" s="114"/>
      <c r="M80" s="113">
        <v>299.41198273170727</v>
      </c>
      <c r="N80" s="114">
        <v>306.26853881707314</v>
      </c>
      <c r="O80" s="109">
        <v>336.04351754878047</v>
      </c>
      <c r="P80" s="119"/>
      <c r="Q80" s="120"/>
      <c r="R80" s="120"/>
      <c r="S80" s="120"/>
      <c r="T80" s="120"/>
      <c r="U80" s="120"/>
      <c r="V80" s="121">
        <v>0.24</v>
      </c>
      <c r="W80" s="119"/>
      <c r="X80" s="113">
        <f t="shared" si="12"/>
        <v>2121.4854893512802</v>
      </c>
      <c r="Y80" s="113">
        <f t="shared" si="13"/>
        <v>2848.0211924487371</v>
      </c>
      <c r="Z80" s="113">
        <f t="shared" si="14"/>
        <v>3731.356962118326</v>
      </c>
      <c r="AA80" s="22"/>
      <c r="AB80" s="22"/>
      <c r="AC80" s="22"/>
      <c r="AD80" s="22"/>
      <c r="AE80" s="22"/>
      <c r="AF80" s="22"/>
      <c r="AG80" s="22"/>
      <c r="AH80" s="22"/>
      <c r="AI80" s="22"/>
      <c r="AJ80" s="22"/>
      <c r="AK80" s="22"/>
      <c r="AL80" s="22"/>
      <c r="AM80" s="22"/>
      <c r="AN80" s="22"/>
      <c r="AO80" s="22"/>
      <c r="AP80" s="22"/>
      <c r="AQ80" s="22"/>
      <c r="AR80" s="22"/>
    </row>
    <row r="81" spans="1:44" hidden="1" x14ac:dyDescent="0.25">
      <c r="A81" s="16"/>
      <c r="B81" s="3" t="s">
        <v>115</v>
      </c>
      <c r="C81" s="3" t="s">
        <v>116</v>
      </c>
      <c r="D81" s="11" t="s">
        <v>6</v>
      </c>
      <c r="E81" s="107">
        <v>1016.1419254102436</v>
      </c>
      <c r="F81" s="108">
        <v>1304.4877384385877</v>
      </c>
      <c r="G81" s="109">
        <v>1843.1820537046244</v>
      </c>
      <c r="H81" s="114"/>
      <c r="I81" s="113">
        <v>101.10103049927471</v>
      </c>
      <c r="J81" s="114">
        <v>176.42795900846116</v>
      </c>
      <c r="K81" s="109">
        <v>259.07317734624417</v>
      </c>
      <c r="L81" s="114"/>
      <c r="M81" s="113">
        <v>182.4795240177676</v>
      </c>
      <c r="N81" s="114">
        <v>186.65831833135331</v>
      </c>
      <c r="O81" s="109">
        <v>204.80496662855833</v>
      </c>
      <c r="P81" s="119"/>
      <c r="Q81" s="120">
        <v>0.05</v>
      </c>
      <c r="R81" s="120">
        <v>0.02</v>
      </c>
      <c r="S81" s="120">
        <v>0.04</v>
      </c>
      <c r="T81" s="120">
        <v>0.03</v>
      </c>
      <c r="U81" s="120">
        <v>0.02</v>
      </c>
      <c r="V81" s="121">
        <f t="shared" si="11"/>
        <v>0</v>
      </c>
      <c r="W81" s="119"/>
      <c r="X81" s="113">
        <f t="shared" si="12"/>
        <v>1299.7224799272858</v>
      </c>
      <c r="Y81" s="113">
        <f t="shared" si="13"/>
        <v>1667.5740157784021</v>
      </c>
      <c r="Z81" s="113">
        <f t="shared" si="14"/>
        <v>2307.0601976794269</v>
      </c>
      <c r="AA81" s="22"/>
      <c r="AB81" s="22"/>
      <c r="AC81" s="22"/>
      <c r="AD81" s="22"/>
      <c r="AE81" s="22"/>
      <c r="AF81" s="22"/>
      <c r="AG81" s="22"/>
      <c r="AH81" s="22"/>
      <c r="AI81" s="22"/>
      <c r="AJ81" s="22"/>
      <c r="AK81" s="22"/>
      <c r="AL81" s="22"/>
      <c r="AM81" s="22"/>
      <c r="AN81" s="22"/>
      <c r="AO81" s="22"/>
      <c r="AP81" s="22"/>
      <c r="AQ81" s="22"/>
      <c r="AR81" s="22"/>
    </row>
    <row r="82" spans="1:44" hidden="1" x14ac:dyDescent="0.25">
      <c r="A82" s="16"/>
      <c r="B82" s="3" t="s">
        <v>117</v>
      </c>
      <c r="C82" s="3" t="s">
        <v>118</v>
      </c>
      <c r="D82" s="11" t="s">
        <v>6</v>
      </c>
      <c r="E82" s="107">
        <v>1145.6441693038291</v>
      </c>
      <c r="F82" s="108">
        <v>1565.1159716086522</v>
      </c>
      <c r="G82" s="109">
        <v>2068.7684939358528</v>
      </c>
      <c r="H82" s="114"/>
      <c r="I82" s="113">
        <v>150.93268581951219</v>
      </c>
      <c r="J82" s="114">
        <v>263.38748057560969</v>
      </c>
      <c r="K82" s="109">
        <v>386.76767474634141</v>
      </c>
      <c r="L82" s="114"/>
      <c r="M82" s="113">
        <v>275.04123995121955</v>
      </c>
      <c r="N82" s="114">
        <v>281.33970426219514</v>
      </c>
      <c r="O82" s="109">
        <v>308.69113821341466</v>
      </c>
      <c r="P82" s="119"/>
      <c r="Q82" s="120">
        <v>0.04</v>
      </c>
      <c r="R82" s="120">
        <v>0.04</v>
      </c>
      <c r="S82" s="120">
        <v>0.08</v>
      </c>
      <c r="T82" s="120">
        <v>5.0000000000000001E-3</v>
      </c>
      <c r="U82" s="120">
        <v>0.02</v>
      </c>
      <c r="V82" s="121">
        <f t="shared" si="11"/>
        <v>0</v>
      </c>
      <c r="W82" s="119"/>
      <c r="X82" s="113">
        <f t="shared" si="12"/>
        <v>1571.6180950745609</v>
      </c>
      <c r="Y82" s="113">
        <f t="shared" si="13"/>
        <v>2109.8431564464572</v>
      </c>
      <c r="Z82" s="113">
        <f t="shared" si="14"/>
        <v>2764.2273068956092</v>
      </c>
      <c r="AA82" s="22"/>
      <c r="AB82" s="22"/>
      <c r="AC82" s="22"/>
      <c r="AD82" s="22"/>
      <c r="AE82" s="22"/>
      <c r="AF82" s="22"/>
      <c r="AG82" s="22"/>
      <c r="AH82" s="22"/>
      <c r="AI82" s="22"/>
      <c r="AJ82" s="22"/>
      <c r="AK82" s="22"/>
      <c r="AL82" s="22"/>
      <c r="AM82" s="22"/>
      <c r="AN82" s="22"/>
      <c r="AO82" s="22"/>
      <c r="AP82" s="22"/>
      <c r="AQ82" s="22"/>
      <c r="AR82" s="22"/>
    </row>
    <row r="83" spans="1:44" hidden="1" x14ac:dyDescent="0.25">
      <c r="A83" s="21"/>
      <c r="B83" s="3" t="s">
        <v>119</v>
      </c>
      <c r="C83" s="3" t="s">
        <v>120</v>
      </c>
      <c r="D83" s="11" t="s">
        <v>6</v>
      </c>
      <c r="E83" s="107">
        <v>1218.1532939433118</v>
      </c>
      <c r="F83" s="108">
        <v>1664.1739444952757</v>
      </c>
      <c r="G83" s="109">
        <v>2199.7032087419193</v>
      </c>
      <c r="H83" s="114"/>
      <c r="I83" s="113">
        <v>160.48538745365857</v>
      </c>
      <c r="J83" s="114">
        <v>280.05757428292685</v>
      </c>
      <c r="K83" s="109">
        <v>411.2466415024391</v>
      </c>
      <c r="L83" s="114"/>
      <c r="M83" s="113">
        <v>292.44891336585368</v>
      </c>
      <c r="N83" s="114">
        <v>299.14601465853656</v>
      </c>
      <c r="O83" s="109">
        <v>328.2285520243903</v>
      </c>
      <c r="P83" s="119"/>
      <c r="Q83" s="120">
        <v>0.1</v>
      </c>
      <c r="R83" s="120">
        <v>0.04</v>
      </c>
      <c r="S83" s="120">
        <v>0.03</v>
      </c>
      <c r="T83" s="120">
        <v>0.02</v>
      </c>
      <c r="U83" s="120" t="s">
        <v>250</v>
      </c>
      <c r="V83" s="121">
        <f t="shared" si="11"/>
        <v>0</v>
      </c>
      <c r="W83" s="119"/>
      <c r="X83" s="113">
        <f t="shared" si="12"/>
        <v>1671.0875947628242</v>
      </c>
      <c r="Y83" s="113">
        <f t="shared" si="13"/>
        <v>2243.3775334367392</v>
      </c>
      <c r="Z83" s="113">
        <f t="shared" si="14"/>
        <v>2939.1784022687489</v>
      </c>
      <c r="AA83" s="22"/>
      <c r="AB83" s="22"/>
      <c r="AC83" s="22"/>
      <c r="AD83" s="22"/>
      <c r="AE83" s="22"/>
      <c r="AF83" s="22"/>
      <c r="AG83" s="22"/>
      <c r="AH83" s="22"/>
      <c r="AI83" s="22"/>
      <c r="AJ83" s="22"/>
      <c r="AK83" s="22"/>
      <c r="AL83" s="22"/>
      <c r="AM83" s="22"/>
      <c r="AN83" s="22"/>
      <c r="AO83" s="22"/>
      <c r="AP83" s="22"/>
      <c r="AQ83" s="22"/>
      <c r="AR83" s="22"/>
    </row>
    <row r="84" spans="1:44" hidden="1" x14ac:dyDescent="0.25">
      <c r="A84" s="21"/>
      <c r="B84" s="3" t="s">
        <v>122</v>
      </c>
      <c r="C84" s="3" t="s">
        <v>124</v>
      </c>
      <c r="D84" s="11" t="s">
        <v>6</v>
      </c>
      <c r="E84" s="107">
        <v>1056.8764047737445</v>
      </c>
      <c r="F84" s="108">
        <v>1265.5226802585778</v>
      </c>
      <c r="G84" s="109">
        <v>1546.8560616608654</v>
      </c>
      <c r="H84" s="114"/>
      <c r="I84" s="113">
        <v>148.67205564289171</v>
      </c>
      <c r="J84" s="114">
        <v>259.44253198147101</v>
      </c>
      <c r="K84" s="109">
        <v>380.9747699681248</v>
      </c>
      <c r="L84" s="114"/>
      <c r="M84" s="113">
        <v>277.37226213003811</v>
      </c>
      <c r="N84" s="114">
        <v>283.72410701770104</v>
      </c>
      <c r="O84" s="109">
        <v>311.30734911221612</v>
      </c>
      <c r="P84" s="119"/>
      <c r="Q84" s="120">
        <v>0.12</v>
      </c>
      <c r="R84" s="120">
        <v>0.06</v>
      </c>
      <c r="S84" s="120">
        <v>0.05</v>
      </c>
      <c r="T84" s="120">
        <v>0.03</v>
      </c>
      <c r="U84" s="120" t="s">
        <v>250</v>
      </c>
      <c r="V84" s="121">
        <f t="shared" si="11"/>
        <v>0</v>
      </c>
      <c r="W84" s="119"/>
      <c r="X84" s="113">
        <f t="shared" si="12"/>
        <v>1482.9207225466744</v>
      </c>
      <c r="Y84" s="113">
        <f t="shared" si="13"/>
        <v>1808.68931925775</v>
      </c>
      <c r="Z84" s="113">
        <f t="shared" si="14"/>
        <v>2239.1381807412063</v>
      </c>
      <c r="AA84" s="22"/>
      <c r="AB84" s="22"/>
      <c r="AC84" s="22"/>
      <c r="AD84" s="22"/>
      <c r="AE84" s="22"/>
      <c r="AF84" s="22"/>
      <c r="AG84" s="22"/>
      <c r="AH84" s="22"/>
      <c r="AI84" s="22"/>
      <c r="AJ84" s="22"/>
      <c r="AK84" s="22"/>
      <c r="AL84" s="22"/>
      <c r="AM84" s="22"/>
      <c r="AN84" s="22"/>
      <c r="AO84" s="22"/>
      <c r="AP84" s="22"/>
      <c r="AQ84" s="22"/>
      <c r="AR84" s="22"/>
    </row>
    <row r="85" spans="1:44" hidden="1" x14ac:dyDescent="0.25">
      <c r="A85" s="21"/>
      <c r="B85" s="3" t="s">
        <v>129</v>
      </c>
      <c r="C85" s="3" t="s">
        <v>130</v>
      </c>
      <c r="D85" s="11" t="s">
        <v>6</v>
      </c>
      <c r="E85" s="107">
        <v>934.80283441074096</v>
      </c>
      <c r="F85" s="108">
        <v>1306.9535355544506</v>
      </c>
      <c r="G85" s="109">
        <v>1665.6792739930384</v>
      </c>
      <c r="H85" s="114"/>
      <c r="I85" s="113">
        <v>116.45131290135927</v>
      </c>
      <c r="J85" s="114">
        <v>203.21521311486424</v>
      </c>
      <c r="K85" s="109">
        <v>298.40854727700577</v>
      </c>
      <c r="L85" s="114"/>
      <c r="M85" s="113">
        <v>210.18559399982186</v>
      </c>
      <c r="N85" s="114">
        <v>214.99885932222904</v>
      </c>
      <c r="O85" s="109">
        <v>235.90073350227414</v>
      </c>
      <c r="P85" s="119"/>
      <c r="Q85" s="120">
        <v>0.05</v>
      </c>
      <c r="R85" s="120">
        <v>0.02</v>
      </c>
      <c r="S85" s="120">
        <v>0.04</v>
      </c>
      <c r="T85" s="120">
        <v>0.03</v>
      </c>
      <c r="U85" s="120">
        <v>0.02</v>
      </c>
      <c r="V85" s="121">
        <f t="shared" si="11"/>
        <v>0</v>
      </c>
      <c r="W85" s="119"/>
      <c r="X85" s="113">
        <f t="shared" si="12"/>
        <v>1261.439741311922</v>
      </c>
      <c r="Y85" s="113">
        <f t="shared" si="13"/>
        <v>1725.1676079915439</v>
      </c>
      <c r="Z85" s="113">
        <f t="shared" si="14"/>
        <v>2199.9885547723184</v>
      </c>
      <c r="AA85" s="22"/>
      <c r="AB85" s="22"/>
      <c r="AC85" s="22"/>
      <c r="AD85" s="22"/>
      <c r="AE85" s="22"/>
      <c r="AF85" s="22"/>
      <c r="AG85" s="22"/>
      <c r="AH85" s="22"/>
      <c r="AI85" s="22"/>
      <c r="AJ85" s="22"/>
      <c r="AK85" s="22"/>
      <c r="AL85" s="22"/>
      <c r="AM85" s="22"/>
      <c r="AN85" s="22"/>
      <c r="AO85" s="22"/>
      <c r="AP85" s="22"/>
      <c r="AQ85" s="22"/>
      <c r="AR85" s="22"/>
    </row>
    <row r="86" spans="1:44" hidden="1" x14ac:dyDescent="0.25">
      <c r="A86" s="21"/>
      <c r="B86" s="3" t="s">
        <v>131</v>
      </c>
      <c r="C86" s="3" t="s">
        <v>132</v>
      </c>
      <c r="D86" s="11" t="s">
        <v>6</v>
      </c>
      <c r="E86" s="107">
        <v>947.13959542516159</v>
      </c>
      <c r="F86" s="108">
        <v>1152.0544320238687</v>
      </c>
      <c r="G86" s="109">
        <v>1234.1369499751368</v>
      </c>
      <c r="H86" s="114"/>
      <c r="I86" s="113">
        <v>118.52665791215887</v>
      </c>
      <c r="J86" s="114">
        <v>206.83682688759814</v>
      </c>
      <c r="K86" s="109">
        <v>303.72665554338369</v>
      </c>
      <c r="L86" s="114"/>
      <c r="M86" s="113">
        <v>215.9884638799675</v>
      </c>
      <c r="N86" s="114">
        <v>220.93461534282338</v>
      </c>
      <c r="O86" s="109">
        <v>242.41355502869033</v>
      </c>
      <c r="P86" s="119"/>
      <c r="Q86" s="120">
        <v>0.06</v>
      </c>
      <c r="R86" s="120">
        <v>0.04</v>
      </c>
      <c r="S86" s="120">
        <v>7.0000000000000007E-2</v>
      </c>
      <c r="T86" s="120">
        <v>0.03</v>
      </c>
      <c r="U86" s="120">
        <v>0.03</v>
      </c>
      <c r="V86" s="121">
        <f t="shared" si="11"/>
        <v>0</v>
      </c>
      <c r="W86" s="119"/>
      <c r="X86" s="113">
        <f t="shared" si="12"/>
        <v>1281.654717217288</v>
      </c>
      <c r="Y86" s="113">
        <f t="shared" si="13"/>
        <v>1579.8258742542903</v>
      </c>
      <c r="Z86" s="113">
        <f t="shared" si="14"/>
        <v>1780.2771605472108</v>
      </c>
      <c r="AA86" s="22"/>
      <c r="AB86" s="22"/>
      <c r="AC86" s="22"/>
      <c r="AD86" s="22"/>
      <c r="AE86" s="22"/>
      <c r="AF86" s="22"/>
      <c r="AG86" s="22"/>
      <c r="AH86" s="22"/>
      <c r="AI86" s="22"/>
      <c r="AJ86" s="22"/>
      <c r="AK86" s="22"/>
      <c r="AL86" s="22"/>
      <c r="AM86" s="22"/>
      <c r="AN86" s="22"/>
      <c r="AO86" s="22"/>
      <c r="AP86" s="22"/>
      <c r="AQ86" s="22"/>
      <c r="AR86" s="22"/>
    </row>
    <row r="87" spans="1:44" hidden="1" x14ac:dyDescent="0.25">
      <c r="A87" s="21"/>
      <c r="B87" s="3" t="s">
        <v>133</v>
      </c>
      <c r="C87" s="3" t="s">
        <v>134</v>
      </c>
      <c r="D87" s="11" t="s">
        <v>6</v>
      </c>
      <c r="E87" s="107">
        <v>1141.8405768274492</v>
      </c>
      <c r="F87" s="108">
        <v>1532.6268175037296</v>
      </c>
      <c r="G87" s="109">
        <v>1918.8994778717058</v>
      </c>
      <c r="H87" s="114"/>
      <c r="I87" s="113">
        <v>140.62102779550858</v>
      </c>
      <c r="J87" s="114">
        <v>245.39295796605799</v>
      </c>
      <c r="K87" s="109">
        <v>360.34386882869876</v>
      </c>
      <c r="L87" s="114"/>
      <c r="M87" s="113">
        <v>261.13149998754506</v>
      </c>
      <c r="N87" s="114">
        <v>267.11143024613017</v>
      </c>
      <c r="O87" s="109">
        <v>293.07961223861599</v>
      </c>
      <c r="P87" s="119"/>
      <c r="Q87" s="120">
        <v>3.3000000000000002E-2</v>
      </c>
      <c r="R87" s="120">
        <v>1.4999999999999999E-2</v>
      </c>
      <c r="S87" s="120">
        <v>2.5000000000000001E-2</v>
      </c>
      <c r="T87" s="120" t="s">
        <v>251</v>
      </c>
      <c r="U87" s="120">
        <v>1.7999999999999999E-2</v>
      </c>
      <c r="V87" s="121">
        <f>SUBTOTAL(9,Q87:U87)</f>
        <v>0</v>
      </c>
      <c r="W87" s="119"/>
      <c r="X87" s="113">
        <f t="shared" si="12"/>
        <v>1543.5931046105029</v>
      </c>
      <c r="Y87" s="113">
        <f t="shared" si="13"/>
        <v>2045.1312057159178</v>
      </c>
      <c r="Z87" s="113">
        <f t="shared" si="14"/>
        <v>2572.3229589390207</v>
      </c>
      <c r="AA87" s="22"/>
      <c r="AB87" s="22"/>
      <c r="AC87" s="22"/>
      <c r="AD87" s="22"/>
      <c r="AE87" s="22"/>
      <c r="AF87" s="22"/>
      <c r="AG87" s="22"/>
      <c r="AH87" s="22"/>
      <c r="AI87" s="22"/>
      <c r="AJ87" s="22"/>
      <c r="AK87" s="22"/>
      <c r="AL87" s="22"/>
      <c r="AM87" s="22"/>
      <c r="AN87" s="22"/>
      <c r="AO87" s="22"/>
      <c r="AP87" s="22"/>
      <c r="AQ87" s="22"/>
      <c r="AR87" s="22"/>
    </row>
    <row r="88" spans="1:44" x14ac:dyDescent="0.25">
      <c r="A88" s="21"/>
      <c r="B88" s="3" t="s">
        <v>135</v>
      </c>
      <c r="C88" s="3" t="s">
        <v>136</v>
      </c>
      <c r="D88" s="11" t="s">
        <v>6</v>
      </c>
      <c r="E88" s="107">
        <v>1170.9677274987569</v>
      </c>
      <c r="F88" s="108">
        <v>1170.9677274987569</v>
      </c>
      <c r="G88" s="109">
        <v>1170.9677274987569</v>
      </c>
      <c r="H88" s="114"/>
      <c r="I88" s="113">
        <v>142.86287919170175</v>
      </c>
      <c r="J88" s="114">
        <v>249.3051363511583</v>
      </c>
      <c r="K88" s="109">
        <v>366.08865265020535</v>
      </c>
      <c r="L88" s="114"/>
      <c r="M88" s="113">
        <v>269.26161206158048</v>
      </c>
      <c r="N88" s="114">
        <v>275.427722475373</v>
      </c>
      <c r="O88" s="109">
        <v>302.20440221695429</v>
      </c>
      <c r="P88" s="119"/>
      <c r="Q88" s="120">
        <v>0.05</v>
      </c>
      <c r="R88" s="120">
        <v>0.02</v>
      </c>
      <c r="S88" s="120">
        <v>0.05</v>
      </c>
      <c r="T88" s="120">
        <v>0.02</v>
      </c>
      <c r="U88" s="120">
        <v>0.03</v>
      </c>
      <c r="V88" s="121">
        <f t="shared" si="11"/>
        <v>0.17</v>
      </c>
      <c r="W88" s="119"/>
      <c r="X88" s="113">
        <f t="shared" si="12"/>
        <v>1852.2178959398857</v>
      </c>
      <c r="Y88" s="113">
        <f t="shared" si="13"/>
        <v>1983.969686000587</v>
      </c>
      <c r="Z88" s="113">
        <f t="shared" si="14"/>
        <v>2151.9351153681223</v>
      </c>
      <c r="AA88" s="22"/>
      <c r="AB88" s="22"/>
      <c r="AC88" s="22"/>
      <c r="AD88" s="22"/>
      <c r="AE88" s="22"/>
      <c r="AF88" s="22"/>
      <c r="AG88" s="22"/>
      <c r="AH88" s="22"/>
      <c r="AI88" s="22"/>
      <c r="AJ88" s="22"/>
      <c r="AK88" s="22"/>
      <c r="AL88" s="22"/>
      <c r="AM88" s="22"/>
      <c r="AN88" s="22"/>
      <c r="AO88" s="22"/>
      <c r="AP88" s="22"/>
      <c r="AQ88" s="22"/>
      <c r="AR88" s="22"/>
    </row>
    <row r="89" spans="1:44" hidden="1" x14ac:dyDescent="0.25">
      <c r="A89" s="16"/>
      <c r="B89" s="3" t="s">
        <v>137</v>
      </c>
      <c r="C89" s="3" t="s">
        <v>138</v>
      </c>
      <c r="D89" s="11" t="s">
        <v>6</v>
      </c>
      <c r="E89" s="107">
        <v>681.51125310790655</v>
      </c>
      <c r="F89" s="108">
        <v>947.87421183490801</v>
      </c>
      <c r="G89" s="109">
        <v>1253.1269617105918</v>
      </c>
      <c r="H89" s="114"/>
      <c r="I89" s="113">
        <v>93.431520908998195</v>
      </c>
      <c r="J89" s="114">
        <v>163.0441594870704</v>
      </c>
      <c r="K89" s="109">
        <v>239.4199234829743</v>
      </c>
      <c r="L89" s="114"/>
      <c r="M89" s="113">
        <v>174.31192564544222</v>
      </c>
      <c r="N89" s="114">
        <v>178.3036813648753</v>
      </c>
      <c r="O89" s="109">
        <v>195.63810409379693</v>
      </c>
      <c r="P89" s="119"/>
      <c r="Q89" s="120">
        <v>0.05</v>
      </c>
      <c r="R89" s="120">
        <v>0.04</v>
      </c>
      <c r="S89" s="120">
        <v>0.02</v>
      </c>
      <c r="T89" s="120">
        <v>0.01</v>
      </c>
      <c r="U89" s="120">
        <v>0.02</v>
      </c>
      <c r="V89" s="121">
        <f t="shared" si="11"/>
        <v>0</v>
      </c>
      <c r="W89" s="119"/>
      <c r="X89" s="113">
        <f t="shared" si="12"/>
        <v>949.25469966234698</v>
      </c>
      <c r="Y89" s="113">
        <f t="shared" si="13"/>
        <v>1289.2220526868537</v>
      </c>
      <c r="Z89" s="113">
        <f t="shared" si="14"/>
        <v>1688.1849892873631</v>
      </c>
      <c r="AA89" s="22"/>
      <c r="AB89" s="22"/>
      <c r="AC89" s="22"/>
      <c r="AD89" s="22"/>
      <c r="AE89" s="22"/>
      <c r="AF89" s="22"/>
      <c r="AG89" s="22"/>
      <c r="AH89" s="22"/>
      <c r="AI89" s="22"/>
      <c r="AJ89" s="22"/>
      <c r="AK89" s="22"/>
      <c r="AL89" s="22"/>
      <c r="AM89" s="22"/>
      <c r="AN89" s="22"/>
      <c r="AO89" s="22"/>
      <c r="AP89" s="22"/>
      <c r="AQ89" s="22"/>
      <c r="AR89" s="22"/>
    </row>
    <row r="90" spans="1:44" hidden="1" x14ac:dyDescent="0.25">
      <c r="A90" s="16"/>
      <c r="B90" s="3" t="s">
        <v>139</v>
      </c>
      <c r="C90" s="3" t="s">
        <v>140</v>
      </c>
      <c r="D90" s="11" t="s">
        <v>6</v>
      </c>
      <c r="E90" s="107">
        <v>731.07117941322724</v>
      </c>
      <c r="F90" s="108">
        <v>1020.2901305818002</v>
      </c>
      <c r="G90" s="109">
        <v>1294.1182460467428</v>
      </c>
      <c r="H90" s="114"/>
      <c r="I90" s="113">
        <v>91.038898602719911</v>
      </c>
      <c r="J90" s="114">
        <v>158.86887593070918</v>
      </c>
      <c r="K90" s="109">
        <v>233.28878653989972</v>
      </c>
      <c r="L90" s="114"/>
      <c r="M90" s="113">
        <v>164.3181558297303</v>
      </c>
      <c r="N90" s="114">
        <v>168.08105349672175</v>
      </c>
      <c r="O90" s="109">
        <v>184.42164731807074</v>
      </c>
      <c r="P90" s="119"/>
      <c r="Q90" s="120">
        <v>0.05</v>
      </c>
      <c r="R90" s="120">
        <v>0.02</v>
      </c>
      <c r="S90" s="120">
        <v>0.04</v>
      </c>
      <c r="T90" s="120">
        <v>0.03</v>
      </c>
      <c r="U90" s="120">
        <v>0.02</v>
      </c>
      <c r="V90" s="121">
        <f t="shared" si="11"/>
        <v>0</v>
      </c>
      <c r="W90" s="119"/>
      <c r="X90" s="113">
        <f t="shared" si="12"/>
        <v>986.42823384567737</v>
      </c>
      <c r="Y90" s="113">
        <f t="shared" si="13"/>
        <v>1347.2400600092312</v>
      </c>
      <c r="Z90" s="113">
        <f t="shared" si="14"/>
        <v>1711.8286799047132</v>
      </c>
      <c r="AA90" s="22"/>
      <c r="AB90" s="22"/>
      <c r="AC90" s="22"/>
      <c r="AD90" s="22"/>
      <c r="AE90" s="22"/>
      <c r="AF90" s="22"/>
      <c r="AG90" s="22"/>
      <c r="AH90" s="22"/>
      <c r="AI90" s="22"/>
      <c r="AJ90" s="22"/>
      <c r="AK90" s="22"/>
      <c r="AL90" s="22"/>
      <c r="AM90" s="22"/>
      <c r="AN90" s="22"/>
      <c r="AO90" s="22"/>
      <c r="AP90" s="22"/>
      <c r="AQ90" s="22"/>
      <c r="AR90" s="22"/>
    </row>
    <row r="91" spans="1:44" hidden="1" x14ac:dyDescent="0.25">
      <c r="A91" s="16"/>
      <c r="B91" s="3" t="s">
        <v>141</v>
      </c>
      <c r="C91" s="3" t="s">
        <v>141</v>
      </c>
      <c r="D91" s="11" t="s">
        <v>6</v>
      </c>
      <c r="E91" s="107">
        <v>972.71954251616114</v>
      </c>
      <c r="F91" s="108">
        <v>1430.9517652909001</v>
      </c>
      <c r="G91" s="109">
        <v>1594.3575335653904</v>
      </c>
      <c r="H91" s="114"/>
      <c r="I91" s="113">
        <v>123.1476454250582</v>
      </c>
      <c r="J91" s="114">
        <v>214.90075453975263</v>
      </c>
      <c r="K91" s="109">
        <v>315.56801770885386</v>
      </c>
      <c r="L91" s="114"/>
      <c r="M91" s="113">
        <v>224.40918553111982</v>
      </c>
      <c r="N91" s="114">
        <v>229.54817212954245</v>
      </c>
      <c r="O91" s="109">
        <v>251.86450918935935</v>
      </c>
      <c r="P91" s="119"/>
      <c r="Q91" s="120"/>
      <c r="R91" s="120"/>
      <c r="S91" s="120"/>
      <c r="T91" s="120"/>
      <c r="U91" s="120"/>
      <c r="V91" s="121">
        <v>0.22</v>
      </c>
      <c r="W91" s="119"/>
      <c r="X91" s="113">
        <f t="shared" si="12"/>
        <v>1610.7371756362538</v>
      </c>
      <c r="Y91" s="113">
        <f t="shared" si="13"/>
        <v>2287.9888441914381</v>
      </c>
      <c r="Z91" s="113">
        <f t="shared" si="14"/>
        <v>2637.3838737655965</v>
      </c>
      <c r="AA91" s="22"/>
      <c r="AB91" s="22"/>
      <c r="AC91" s="22"/>
      <c r="AD91" s="22"/>
      <c r="AE91" s="22"/>
      <c r="AF91" s="22"/>
      <c r="AG91" s="22"/>
      <c r="AH91" s="22"/>
      <c r="AI91" s="22"/>
      <c r="AJ91" s="22"/>
      <c r="AK91" s="22"/>
      <c r="AL91" s="22"/>
      <c r="AM91" s="22"/>
      <c r="AN91" s="22"/>
      <c r="AO91" s="22"/>
      <c r="AP91" s="22"/>
      <c r="AQ91" s="22"/>
      <c r="AR91" s="22"/>
    </row>
    <row r="92" spans="1:44" hidden="1" x14ac:dyDescent="0.25">
      <c r="A92" s="16"/>
      <c r="B92" s="3" t="s">
        <v>142</v>
      </c>
      <c r="C92" s="3" t="s">
        <v>143</v>
      </c>
      <c r="D92" s="11" t="s">
        <v>6</v>
      </c>
      <c r="E92" s="107">
        <v>1143.2607080495277</v>
      </c>
      <c r="F92" s="108">
        <v>1561.859818104127</v>
      </c>
      <c r="G92" s="109">
        <v>2064.4645139728495</v>
      </c>
      <c r="H92" s="114"/>
      <c r="I92" s="113">
        <v>150.61867714360977</v>
      </c>
      <c r="J92" s="114">
        <v>262.83951474848783</v>
      </c>
      <c r="K92" s="109">
        <v>385.96302196507321</v>
      </c>
      <c r="L92" s="114"/>
      <c r="M92" s="113">
        <v>271.8550382485854</v>
      </c>
      <c r="N92" s="114">
        <v>278.08053830985369</v>
      </c>
      <c r="O92" s="109">
        <v>305.11512092110576</v>
      </c>
      <c r="P92" s="119"/>
      <c r="Q92" s="120">
        <v>0.05</v>
      </c>
      <c r="R92" s="120">
        <v>0.02</v>
      </c>
      <c r="S92" s="120">
        <v>0.04</v>
      </c>
      <c r="T92" s="120">
        <v>0.03</v>
      </c>
      <c r="U92" s="120">
        <v>0.02</v>
      </c>
      <c r="V92" s="121">
        <f t="shared" ref="V92:V95" si="15">SUBTOTAL(9,Q92:U92)</f>
        <v>0</v>
      </c>
      <c r="W92" s="119"/>
      <c r="X92" s="113">
        <f t="shared" si="12"/>
        <v>1565.7344234417228</v>
      </c>
      <c r="Y92" s="113">
        <f t="shared" si="13"/>
        <v>2102.7798711624687</v>
      </c>
      <c r="Z92" s="113">
        <f t="shared" si="14"/>
        <v>2755.5426568590283</v>
      </c>
      <c r="AA92" s="22"/>
      <c r="AB92" s="22"/>
      <c r="AC92" s="22"/>
      <c r="AD92" s="22"/>
      <c r="AE92" s="22"/>
      <c r="AF92" s="22"/>
      <c r="AG92" s="22"/>
      <c r="AH92" s="22"/>
      <c r="AI92" s="22"/>
      <c r="AJ92" s="22"/>
      <c r="AK92" s="22"/>
      <c r="AL92" s="22"/>
      <c r="AM92" s="22"/>
      <c r="AN92" s="22"/>
      <c r="AO92" s="22"/>
      <c r="AP92" s="22"/>
      <c r="AQ92" s="22"/>
      <c r="AR92" s="22"/>
    </row>
    <row r="93" spans="1:44" hidden="1" x14ac:dyDescent="0.25">
      <c r="A93" s="16"/>
      <c r="B93" s="3" t="s">
        <v>144</v>
      </c>
      <c r="C93" s="3" t="s">
        <v>145</v>
      </c>
      <c r="D93" s="11" t="s">
        <v>6</v>
      </c>
      <c r="E93" s="107">
        <v>778.28000994530089</v>
      </c>
      <c r="F93" s="108">
        <v>974.37520139234221</v>
      </c>
      <c r="G93" s="109">
        <v>1199.1065937344606</v>
      </c>
      <c r="H93" s="114"/>
      <c r="I93" s="113">
        <v>91.754453346513685</v>
      </c>
      <c r="J93" s="114">
        <v>160.11756610115472</v>
      </c>
      <c r="K93" s="109">
        <v>235.12240821639844</v>
      </c>
      <c r="L93" s="114"/>
      <c r="M93" s="113">
        <v>167.99827778779343</v>
      </c>
      <c r="N93" s="114">
        <v>171.84545051410694</v>
      </c>
      <c r="O93" s="109">
        <v>188.55201349952114</v>
      </c>
      <c r="P93" s="119"/>
      <c r="Q93" s="120">
        <v>0.04</v>
      </c>
      <c r="R93" s="120">
        <v>0.03</v>
      </c>
      <c r="S93" s="120">
        <v>0.06</v>
      </c>
      <c r="T93" s="120">
        <v>2.5000000000000001E-2</v>
      </c>
      <c r="U93" s="120">
        <v>0.02</v>
      </c>
      <c r="V93" s="121">
        <f t="shared" si="15"/>
        <v>0</v>
      </c>
      <c r="W93" s="119"/>
      <c r="X93" s="113">
        <f t="shared" si="12"/>
        <v>1038.0327410796081</v>
      </c>
      <c r="Y93" s="113">
        <f t="shared" si="13"/>
        <v>1306.3382180076039</v>
      </c>
      <c r="Z93" s="113">
        <f t="shared" si="14"/>
        <v>1622.7810154503802</v>
      </c>
      <c r="AA93" s="22"/>
      <c r="AB93" s="22"/>
      <c r="AC93" s="22"/>
      <c r="AD93" s="22"/>
      <c r="AE93" s="22"/>
      <c r="AF93" s="22"/>
      <c r="AG93" s="22"/>
      <c r="AH93" s="22"/>
      <c r="AI93" s="22"/>
      <c r="AJ93" s="22"/>
      <c r="AK93" s="22"/>
      <c r="AL93" s="22"/>
      <c r="AM93" s="22"/>
      <c r="AN93" s="22"/>
      <c r="AO93" s="22"/>
      <c r="AP93" s="22"/>
      <c r="AQ93" s="22"/>
      <c r="AR93" s="22"/>
    </row>
    <row r="94" spans="1:44" hidden="1" x14ac:dyDescent="0.25">
      <c r="A94" s="16"/>
      <c r="B94" s="3" t="s">
        <v>146</v>
      </c>
      <c r="C94" s="3" t="s">
        <v>147</v>
      </c>
      <c r="D94" s="11" t="s">
        <v>6</v>
      </c>
      <c r="E94" s="107">
        <v>939.43483262058669</v>
      </c>
      <c r="F94" s="108">
        <v>1316.8858406762804</v>
      </c>
      <c r="G94" s="109">
        <v>1755.0051246146195</v>
      </c>
      <c r="H94" s="114"/>
      <c r="I94" s="113">
        <v>117.5298240884232</v>
      </c>
      <c r="J94" s="114">
        <v>205.09728619128896</v>
      </c>
      <c r="K94" s="109">
        <v>301.17225125367418</v>
      </c>
      <c r="L94" s="114"/>
      <c r="M94" s="113">
        <v>212.1322231003499</v>
      </c>
      <c r="N94" s="114">
        <v>216.99006637011715</v>
      </c>
      <c r="O94" s="109">
        <v>238.08552278270324</v>
      </c>
      <c r="P94" s="119"/>
      <c r="Q94" s="120">
        <v>0.05</v>
      </c>
      <c r="R94" s="120">
        <v>0.02</v>
      </c>
      <c r="S94" s="120">
        <v>0.04</v>
      </c>
      <c r="T94" s="120">
        <v>0.03</v>
      </c>
      <c r="U94" s="120">
        <v>0.02</v>
      </c>
      <c r="V94" s="121">
        <f t="shared" si="15"/>
        <v>0</v>
      </c>
      <c r="W94" s="119"/>
      <c r="X94" s="113">
        <f t="shared" si="12"/>
        <v>1269.0968798093597</v>
      </c>
      <c r="Y94" s="113">
        <f t="shared" si="13"/>
        <v>1738.9731932376865</v>
      </c>
      <c r="Z94" s="113">
        <f t="shared" si="14"/>
        <v>2294.2628986509972</v>
      </c>
      <c r="AA94" s="22"/>
      <c r="AB94" s="22"/>
      <c r="AC94" s="22"/>
      <c r="AD94" s="22"/>
      <c r="AE94" s="22"/>
      <c r="AF94" s="22"/>
      <c r="AG94" s="22"/>
      <c r="AH94" s="22"/>
      <c r="AI94" s="22"/>
      <c r="AJ94" s="22"/>
      <c r="AK94" s="22"/>
      <c r="AL94" s="22"/>
      <c r="AM94" s="22"/>
      <c r="AN94" s="22"/>
      <c r="AO94" s="22"/>
      <c r="AP94" s="22"/>
      <c r="AQ94" s="22"/>
      <c r="AR94" s="22"/>
    </row>
    <row r="95" spans="1:44" hidden="1" x14ac:dyDescent="0.25">
      <c r="A95" s="16"/>
      <c r="B95" s="3" t="s">
        <v>148</v>
      </c>
      <c r="C95" s="3" t="s">
        <v>149</v>
      </c>
      <c r="D95" s="11" t="s">
        <v>6</v>
      </c>
      <c r="E95" s="113">
        <v>1156.5632597513677</v>
      </c>
      <c r="F95" s="114">
        <v>1580.0330316459474</v>
      </c>
      <c r="G95" s="109">
        <v>2088.4858467628046</v>
      </c>
      <c r="H95" s="114"/>
      <c r="I95" s="113">
        <v>152.37121943414638</v>
      </c>
      <c r="J95" s="114">
        <v>265.89781650731709</v>
      </c>
      <c r="K95" s="109">
        <v>390.45394255609762</v>
      </c>
      <c r="L95" s="114"/>
      <c r="M95" s="113">
        <v>277.66264741463419</v>
      </c>
      <c r="N95" s="114">
        <v>284.02114214634145</v>
      </c>
      <c r="O95" s="109">
        <v>311.63326156097565</v>
      </c>
      <c r="P95" s="119"/>
      <c r="Q95" s="120">
        <v>0.04</v>
      </c>
      <c r="R95" s="120">
        <v>0.04</v>
      </c>
      <c r="S95" s="120">
        <v>0.08</v>
      </c>
      <c r="T95" s="120">
        <v>5.0000000000000001E-3</v>
      </c>
      <c r="U95" s="120">
        <v>0.02</v>
      </c>
      <c r="V95" s="121">
        <f t="shared" si="15"/>
        <v>0</v>
      </c>
      <c r="W95" s="119"/>
      <c r="X95" s="113">
        <f t="shared" si="12"/>
        <v>1586.5971266001484</v>
      </c>
      <c r="Y95" s="113">
        <f t="shared" si="13"/>
        <v>2129.9519902996058</v>
      </c>
      <c r="Z95" s="113">
        <f t="shared" si="14"/>
        <v>2790.5730508798779</v>
      </c>
      <c r="AA95" s="22"/>
      <c r="AB95" s="22"/>
      <c r="AC95" s="22"/>
      <c r="AD95" s="22"/>
      <c r="AE95" s="22"/>
      <c r="AF95" s="22"/>
      <c r="AG95" s="22"/>
      <c r="AH95" s="22"/>
      <c r="AI95" s="22"/>
      <c r="AJ95" s="22"/>
      <c r="AK95" s="22"/>
      <c r="AL95" s="22"/>
      <c r="AM95" s="22"/>
      <c r="AN95" s="22"/>
      <c r="AO95" s="22"/>
      <c r="AP95" s="22"/>
      <c r="AQ95" s="22"/>
      <c r="AR95" s="22"/>
    </row>
    <row r="96" spans="1:44" hidden="1" x14ac:dyDescent="0.25">
      <c r="A96" s="16"/>
      <c r="B96" s="3" t="s">
        <v>150</v>
      </c>
      <c r="C96" s="3" t="s">
        <v>151</v>
      </c>
      <c r="D96" s="11" t="s">
        <v>6</v>
      </c>
      <c r="E96" s="107">
        <v>952.93867727498753</v>
      </c>
      <c r="F96" s="108">
        <v>1288.2369368473394</v>
      </c>
      <c r="G96" s="109">
        <v>1490.6664942814518</v>
      </c>
      <c r="H96" s="114"/>
      <c r="I96" s="113">
        <v>122.31760301379268</v>
      </c>
      <c r="J96" s="114">
        <v>213.45227584683673</v>
      </c>
      <c r="K96" s="109">
        <v>313.44101936119364</v>
      </c>
      <c r="L96" s="114"/>
      <c r="M96" s="113">
        <v>228.20368023802047</v>
      </c>
      <c r="N96" s="114">
        <v>233.42956103999541</v>
      </c>
      <c r="O96" s="109">
        <v>256.12324104435567</v>
      </c>
      <c r="P96" s="119"/>
      <c r="Q96" s="120"/>
      <c r="R96" s="120"/>
      <c r="S96" s="120"/>
      <c r="T96" s="120"/>
      <c r="U96" s="120"/>
      <c r="V96" s="121">
        <v>0.14000000000000001</v>
      </c>
      <c r="W96" s="119"/>
      <c r="X96" s="113">
        <f t="shared" si="12"/>
        <v>1485.9443550005528</v>
      </c>
      <c r="Y96" s="113">
        <f t="shared" si="13"/>
        <v>1978.0354020569557</v>
      </c>
      <c r="Z96" s="113">
        <f t="shared" si="14"/>
        <v>2348.6630603431813</v>
      </c>
      <c r="AA96" s="22"/>
      <c r="AB96" s="22"/>
      <c r="AC96" s="22"/>
      <c r="AD96" s="22"/>
      <c r="AE96" s="22"/>
      <c r="AF96" s="22"/>
      <c r="AG96" s="22"/>
      <c r="AH96" s="22"/>
      <c r="AI96" s="22"/>
      <c r="AJ96" s="22"/>
      <c r="AK96" s="22"/>
      <c r="AL96" s="22"/>
      <c r="AM96" s="22"/>
      <c r="AN96" s="22"/>
      <c r="AO96" s="22"/>
      <c r="AP96" s="22"/>
      <c r="AQ96" s="22"/>
      <c r="AR96" s="22"/>
    </row>
    <row r="97" spans="1:44" hidden="1" x14ac:dyDescent="0.25">
      <c r="A97" s="16"/>
      <c r="B97" s="3" t="s">
        <v>152</v>
      </c>
      <c r="C97" s="3" t="s">
        <v>153</v>
      </c>
      <c r="D97" s="11" t="s">
        <v>6</v>
      </c>
      <c r="E97" s="107">
        <v>760.85922426653406</v>
      </c>
      <c r="F97" s="108">
        <v>1340.9206762804574</v>
      </c>
      <c r="G97" s="109">
        <v>1581.3148184982595</v>
      </c>
      <c r="H97" s="114"/>
      <c r="I97" s="113">
        <v>96.530290662904193</v>
      </c>
      <c r="J97" s="114">
        <v>168.45171686229133</v>
      </c>
      <c r="K97" s="109">
        <v>247.36057573987318</v>
      </c>
      <c r="L97" s="114"/>
      <c r="M97" s="113">
        <v>176.74262113991662</v>
      </c>
      <c r="N97" s="114">
        <v>180.79003996218299</v>
      </c>
      <c r="O97" s="109">
        <v>198.36618283199851</v>
      </c>
      <c r="P97" s="119"/>
      <c r="Q97" s="120">
        <v>0.04</v>
      </c>
      <c r="R97" s="120">
        <v>0.03</v>
      </c>
      <c r="S97" s="120">
        <v>0.06</v>
      </c>
      <c r="T97" s="120">
        <v>0.04</v>
      </c>
      <c r="U97" s="120">
        <v>0.02</v>
      </c>
      <c r="V97" s="121">
        <f t="shared" ref="V97:V104" si="16">SUBTOTAL(9,Q97:U97)</f>
        <v>0</v>
      </c>
      <c r="W97" s="119"/>
      <c r="X97" s="113">
        <f t="shared" si="12"/>
        <v>1034.1321360693548</v>
      </c>
      <c r="Y97" s="113">
        <f t="shared" si="13"/>
        <v>1690.1624331049318</v>
      </c>
      <c r="Z97" s="113">
        <f t="shared" si="14"/>
        <v>2027.0415770701311</v>
      </c>
      <c r="AA97" s="22"/>
      <c r="AB97" s="22"/>
      <c r="AC97" s="22"/>
      <c r="AD97" s="22"/>
      <c r="AE97" s="22"/>
      <c r="AF97" s="22"/>
      <c r="AG97" s="22"/>
      <c r="AH97" s="22"/>
      <c r="AI97" s="22"/>
      <c r="AJ97" s="22"/>
      <c r="AK97" s="22"/>
      <c r="AL97" s="22"/>
      <c r="AM97" s="22"/>
      <c r="AN97" s="22"/>
      <c r="AO97" s="22"/>
      <c r="AP97" s="22"/>
      <c r="AQ97" s="22"/>
      <c r="AR97" s="22"/>
    </row>
    <row r="98" spans="1:44" hidden="1" x14ac:dyDescent="0.25">
      <c r="A98" s="16"/>
      <c r="B98" s="3" t="s">
        <v>154</v>
      </c>
      <c r="C98" s="3" t="s">
        <v>155</v>
      </c>
      <c r="D98" s="11" t="s">
        <v>6</v>
      </c>
      <c r="E98" s="107">
        <v>866.77743454997506</v>
      </c>
      <c r="F98" s="108">
        <v>1236.1546660815513</v>
      </c>
      <c r="G98" s="109">
        <v>1577.309375743411</v>
      </c>
      <c r="H98" s="114"/>
      <c r="I98" s="113">
        <v>100.72683602678097</v>
      </c>
      <c r="J98" s="114">
        <v>175.77496500109748</v>
      </c>
      <c r="K98" s="109">
        <v>258.11429739758671</v>
      </c>
      <c r="L98" s="114"/>
      <c r="M98" s="113">
        <v>181.80413199759201</v>
      </c>
      <c r="N98" s="114">
        <v>185.96745978500968</v>
      </c>
      <c r="O98" s="109">
        <v>204.04694382628605</v>
      </c>
      <c r="P98" s="119"/>
      <c r="Q98" s="120">
        <v>0.05</v>
      </c>
      <c r="R98" s="120">
        <v>0.02</v>
      </c>
      <c r="S98" s="120">
        <v>0.04</v>
      </c>
      <c r="T98" s="120">
        <v>0.03</v>
      </c>
      <c r="U98" s="120">
        <v>0.02</v>
      </c>
      <c r="V98" s="121">
        <f t="shared" si="16"/>
        <v>0</v>
      </c>
      <c r="W98" s="119"/>
      <c r="X98" s="113">
        <f t="shared" si="12"/>
        <v>1149.3084025743481</v>
      </c>
      <c r="Y98" s="113">
        <f t="shared" si="13"/>
        <v>1597.8970908676586</v>
      </c>
      <c r="Z98" s="113">
        <f t="shared" si="14"/>
        <v>2039.4706169672838</v>
      </c>
      <c r="AA98" s="22"/>
      <c r="AB98" s="22"/>
      <c r="AC98" s="22"/>
      <c r="AD98" s="22"/>
      <c r="AE98" s="22"/>
      <c r="AF98" s="22"/>
      <c r="AG98" s="22"/>
      <c r="AH98" s="22"/>
      <c r="AI98" s="22"/>
      <c r="AJ98" s="22"/>
      <c r="AK98" s="22"/>
      <c r="AL98" s="22"/>
      <c r="AM98" s="22"/>
      <c r="AN98" s="22"/>
      <c r="AO98" s="22"/>
      <c r="AP98" s="22"/>
      <c r="AQ98" s="22"/>
      <c r="AR98" s="22"/>
    </row>
    <row r="99" spans="1:44" hidden="1" x14ac:dyDescent="0.25">
      <c r="A99" s="16"/>
      <c r="B99" s="3" t="s">
        <v>156</v>
      </c>
      <c r="C99" s="3" t="s">
        <v>157</v>
      </c>
      <c r="D99" s="11" t="s">
        <v>6</v>
      </c>
      <c r="E99" s="107">
        <v>962.629915464943</v>
      </c>
      <c r="F99" s="108">
        <v>1296.9146542018896</v>
      </c>
      <c r="G99" s="109">
        <v>1922.9498120338144</v>
      </c>
      <c r="H99" s="114"/>
      <c r="I99" s="113">
        <v>117.21858689220616</v>
      </c>
      <c r="J99" s="114">
        <v>204.55415677880998</v>
      </c>
      <c r="K99" s="109">
        <v>300.37470043807821</v>
      </c>
      <c r="L99" s="114"/>
      <c r="M99" s="113">
        <v>211.57046408422676</v>
      </c>
      <c r="N99" s="114">
        <v>216.41544303184705</v>
      </c>
      <c r="O99" s="109">
        <v>237.45503540517592</v>
      </c>
      <c r="P99" s="119"/>
      <c r="Q99" s="120">
        <v>0.05</v>
      </c>
      <c r="R99" s="120">
        <v>0.02</v>
      </c>
      <c r="S99" s="120">
        <v>0.04</v>
      </c>
      <c r="T99" s="120">
        <v>0.03</v>
      </c>
      <c r="U99" s="120">
        <v>0.02</v>
      </c>
      <c r="V99" s="121">
        <f t="shared" si="16"/>
        <v>0</v>
      </c>
      <c r="W99" s="119"/>
      <c r="X99" s="113">
        <f t="shared" si="12"/>
        <v>1291.4189664413759</v>
      </c>
      <c r="Y99" s="113">
        <f t="shared" si="13"/>
        <v>1717.8842540125465</v>
      </c>
      <c r="Z99" s="113">
        <f t="shared" si="14"/>
        <v>2460.7795478770681</v>
      </c>
      <c r="AA99" s="22"/>
      <c r="AB99" s="22"/>
      <c r="AC99" s="22"/>
      <c r="AD99" s="22"/>
      <c r="AE99" s="22"/>
      <c r="AF99" s="22"/>
      <c r="AG99" s="22"/>
      <c r="AH99" s="22"/>
      <c r="AI99" s="22"/>
      <c r="AJ99" s="22"/>
      <c r="AK99" s="22"/>
      <c r="AL99" s="22"/>
      <c r="AM99" s="22"/>
      <c r="AN99" s="22"/>
      <c r="AO99" s="22"/>
      <c r="AP99" s="22"/>
      <c r="AQ99" s="22"/>
      <c r="AR99" s="22"/>
    </row>
    <row r="100" spans="1:44" hidden="1" x14ac:dyDescent="0.25">
      <c r="A100" s="16"/>
      <c r="B100" s="3" t="s">
        <v>158</v>
      </c>
      <c r="C100" s="3" t="s">
        <v>159</v>
      </c>
      <c r="D100" s="11" t="s">
        <v>6</v>
      </c>
      <c r="E100" s="107">
        <v>925.81870059671814</v>
      </c>
      <c r="F100" s="108">
        <v>925.81870059671814</v>
      </c>
      <c r="G100" s="109">
        <v>925.81870059671814</v>
      </c>
      <c r="H100" s="114"/>
      <c r="I100" s="113">
        <v>112.95260065003868</v>
      </c>
      <c r="J100" s="114">
        <v>197.10972973244884</v>
      </c>
      <c r="K100" s="109">
        <v>289.4430353025619</v>
      </c>
      <c r="L100" s="114"/>
      <c r="M100" s="113">
        <v>205.83098465266522</v>
      </c>
      <c r="N100" s="114">
        <v>210.54452910569967</v>
      </c>
      <c r="O100" s="109">
        <v>231.0133598266502</v>
      </c>
      <c r="P100" s="119"/>
      <c r="Q100" s="120">
        <v>4.4999999999999998E-2</v>
      </c>
      <c r="R100" s="120">
        <v>5.0000000000000001E-3</v>
      </c>
      <c r="S100" s="120">
        <v>7.0000000000000007E-2</v>
      </c>
      <c r="T100" s="120">
        <v>0.03</v>
      </c>
      <c r="U100" s="120" t="s">
        <v>250</v>
      </c>
      <c r="V100" s="121">
        <f t="shared" si="16"/>
        <v>0</v>
      </c>
      <c r="W100" s="119"/>
      <c r="X100" s="113">
        <f t="shared" si="12"/>
        <v>1244.602285899422</v>
      </c>
      <c r="Y100" s="113">
        <f t="shared" si="13"/>
        <v>1333.4729594348667</v>
      </c>
      <c r="Z100" s="113">
        <f t="shared" si="14"/>
        <v>1446.2750957259302</v>
      </c>
      <c r="AA100" s="22"/>
      <c r="AB100" s="22"/>
      <c r="AC100" s="22"/>
      <c r="AD100" s="22"/>
      <c r="AE100" s="22"/>
      <c r="AF100" s="22"/>
      <c r="AG100" s="22"/>
      <c r="AH100" s="22"/>
      <c r="AI100" s="22"/>
      <c r="AJ100" s="22"/>
      <c r="AK100" s="22"/>
      <c r="AL100" s="22"/>
      <c r="AM100" s="22"/>
      <c r="AN100" s="22"/>
      <c r="AO100" s="22"/>
      <c r="AP100" s="22"/>
      <c r="AQ100" s="22"/>
      <c r="AR100" s="22"/>
    </row>
    <row r="101" spans="1:44" hidden="1" x14ac:dyDescent="0.25">
      <c r="A101" s="16"/>
      <c r="B101" s="3" t="s">
        <v>160</v>
      </c>
      <c r="C101" s="3" t="s">
        <v>161</v>
      </c>
      <c r="D101" s="11" t="s">
        <v>6</v>
      </c>
      <c r="E101" s="107">
        <v>1440.09070611636</v>
      </c>
      <c r="F101" s="108">
        <v>1682.1240676280459</v>
      </c>
      <c r="G101" s="109">
        <v>1781.2898160119344</v>
      </c>
      <c r="H101" s="114"/>
      <c r="I101" s="113">
        <v>175.99128175491211</v>
      </c>
      <c r="J101" s="114">
        <v>307.11638140547859</v>
      </c>
      <c r="K101" s="109">
        <v>450.98076967484769</v>
      </c>
      <c r="L101" s="114"/>
      <c r="M101" s="113">
        <v>354.30261798224149</v>
      </c>
      <c r="N101" s="114">
        <v>362.41617358954664</v>
      </c>
      <c r="O101" s="109">
        <v>397.64974313062407</v>
      </c>
      <c r="P101" s="119"/>
      <c r="Q101" s="122"/>
      <c r="R101" s="122"/>
      <c r="S101" s="122"/>
      <c r="T101" s="122"/>
      <c r="U101" s="122"/>
      <c r="V101" s="121">
        <v>0.192</v>
      </c>
      <c r="W101" s="119"/>
      <c r="X101" s="113">
        <f t="shared" si="12"/>
        <v>2348.6984501773882</v>
      </c>
      <c r="Y101" s="113">
        <f t="shared" si="13"/>
        <v>2803.1746941667006</v>
      </c>
      <c r="Z101" s="113">
        <f t="shared" si="14"/>
        <v>3134.8650319503477</v>
      </c>
      <c r="AA101" s="22"/>
      <c r="AB101" s="22"/>
      <c r="AC101" s="22"/>
      <c r="AD101" s="22"/>
      <c r="AE101" s="22"/>
      <c r="AF101" s="22"/>
      <c r="AG101" s="22"/>
      <c r="AH101" s="22"/>
      <c r="AI101" s="22"/>
      <c r="AJ101" s="22"/>
      <c r="AK101" s="22"/>
      <c r="AL101" s="22"/>
      <c r="AM101" s="22"/>
      <c r="AN101" s="22"/>
      <c r="AO101" s="22"/>
      <c r="AP101" s="22"/>
      <c r="AQ101" s="22"/>
      <c r="AR101" s="22"/>
    </row>
    <row r="102" spans="1:44" hidden="1" x14ac:dyDescent="0.25">
      <c r="A102" s="16"/>
      <c r="B102" s="3" t="s">
        <v>162</v>
      </c>
      <c r="C102" s="3" t="s">
        <v>163</v>
      </c>
      <c r="D102" s="11" t="s">
        <v>6</v>
      </c>
      <c r="E102" s="107">
        <v>1137.7632968672301</v>
      </c>
      <c r="F102" s="108">
        <v>1137.7632968672301</v>
      </c>
      <c r="G102" s="109">
        <v>1137.7632968672301</v>
      </c>
      <c r="H102" s="114"/>
      <c r="I102" s="113">
        <v>138.81639378216241</v>
      </c>
      <c r="J102" s="114">
        <v>242.24375271899382</v>
      </c>
      <c r="K102" s="109">
        <v>355.71946227739215</v>
      </c>
      <c r="L102" s="114"/>
      <c r="M102" s="113">
        <v>252.96199338199852</v>
      </c>
      <c r="N102" s="114">
        <v>258.75484134775212</v>
      </c>
      <c r="O102" s="109">
        <v>283.91060800799431</v>
      </c>
      <c r="P102" s="119"/>
      <c r="Q102" s="120">
        <v>4.4999999999999998E-2</v>
      </c>
      <c r="R102" s="120">
        <v>5.0000000000000001E-3</v>
      </c>
      <c r="S102" s="120">
        <v>7.0000000000000007E-2</v>
      </c>
      <c r="T102" s="120">
        <v>0.03</v>
      </c>
      <c r="U102" s="120" t="s">
        <v>250</v>
      </c>
      <c r="V102" s="121">
        <f t="shared" si="16"/>
        <v>0</v>
      </c>
      <c r="W102" s="119"/>
      <c r="X102" s="113">
        <f t="shared" si="12"/>
        <v>1529.541684031391</v>
      </c>
      <c r="Y102" s="113">
        <f t="shared" si="13"/>
        <v>1638.761890933976</v>
      </c>
      <c r="Z102" s="113">
        <f t="shared" si="14"/>
        <v>1777.3933671526167</v>
      </c>
      <c r="AA102" s="22"/>
      <c r="AB102" s="22"/>
      <c r="AC102" s="22"/>
      <c r="AD102" s="22"/>
      <c r="AE102" s="22"/>
      <c r="AF102" s="22"/>
      <c r="AG102" s="22"/>
      <c r="AH102" s="22"/>
      <c r="AI102" s="22"/>
      <c r="AJ102" s="22"/>
      <c r="AK102" s="22"/>
      <c r="AL102" s="22"/>
      <c r="AM102" s="22"/>
      <c r="AN102" s="22"/>
      <c r="AO102" s="22"/>
      <c r="AP102" s="22"/>
      <c r="AQ102" s="22"/>
      <c r="AR102" s="22"/>
    </row>
    <row r="103" spans="1:44" hidden="1" x14ac:dyDescent="0.25">
      <c r="A103" s="16"/>
      <c r="B103" s="3" t="s">
        <v>164</v>
      </c>
      <c r="C103" s="3" t="s">
        <v>165</v>
      </c>
      <c r="D103" s="11" t="s">
        <v>6</v>
      </c>
      <c r="E103" s="107">
        <v>789.99886623570353</v>
      </c>
      <c r="F103" s="108">
        <v>1107.3345609149676</v>
      </c>
      <c r="G103" s="109">
        <v>1324.5906534062653</v>
      </c>
      <c r="H103" s="114"/>
      <c r="I103" s="113">
        <v>93.660424680193458</v>
      </c>
      <c r="J103" s="114">
        <v>163.44361164855565</v>
      </c>
      <c r="K103" s="109">
        <v>240.0064934419276</v>
      </c>
      <c r="L103" s="114"/>
      <c r="M103" s="113">
        <v>169.04980721305591</v>
      </c>
      <c r="N103" s="114">
        <v>172.92106003935055</v>
      </c>
      <c r="O103" s="109">
        <v>189.73219220729143</v>
      </c>
      <c r="P103" s="119"/>
      <c r="Q103" s="120">
        <v>0.05</v>
      </c>
      <c r="R103" s="120">
        <v>0.02</v>
      </c>
      <c r="S103" s="120">
        <v>0.04</v>
      </c>
      <c r="T103" s="120">
        <v>0.03</v>
      </c>
      <c r="U103" s="120">
        <v>0.02</v>
      </c>
      <c r="V103" s="121">
        <f t="shared" si="16"/>
        <v>0</v>
      </c>
      <c r="W103" s="119"/>
      <c r="X103" s="113">
        <f t="shared" si="12"/>
        <v>1052.709098128953</v>
      </c>
      <c r="Y103" s="113">
        <f t="shared" si="13"/>
        <v>1443.6992326028737</v>
      </c>
      <c r="Z103" s="113">
        <f t="shared" si="14"/>
        <v>1754.3293390554845</v>
      </c>
      <c r="AA103" s="22"/>
      <c r="AB103" s="22"/>
      <c r="AC103" s="22"/>
      <c r="AD103" s="22"/>
      <c r="AE103" s="22"/>
      <c r="AF103" s="22"/>
      <c r="AG103" s="22"/>
      <c r="AH103" s="22"/>
      <c r="AI103" s="22"/>
      <c r="AJ103" s="22"/>
      <c r="AK103" s="22"/>
      <c r="AL103" s="22"/>
      <c r="AM103" s="22"/>
      <c r="AN103" s="22"/>
      <c r="AO103" s="22"/>
      <c r="AP103" s="22"/>
      <c r="AQ103" s="22"/>
      <c r="AR103" s="22"/>
    </row>
    <row r="104" spans="1:44" hidden="1" x14ac:dyDescent="0.25">
      <c r="A104" s="16"/>
      <c r="B104" s="3" t="s">
        <v>166</v>
      </c>
      <c r="C104" s="3" t="s">
        <v>167</v>
      </c>
      <c r="D104" s="11" t="s">
        <v>6</v>
      </c>
      <c r="E104" s="107">
        <v>681.51125310790655</v>
      </c>
      <c r="F104" s="108">
        <v>947.87421183490801</v>
      </c>
      <c r="G104" s="109">
        <v>1253.1269617105918</v>
      </c>
      <c r="H104" s="114"/>
      <c r="I104" s="113">
        <v>83.70128331877207</v>
      </c>
      <c r="J104" s="114">
        <v>146.06425383988395</v>
      </c>
      <c r="K104" s="109">
        <v>214.48601770194642</v>
      </c>
      <c r="L104" s="114"/>
      <c r="M104" s="113">
        <v>168.50598229981094</v>
      </c>
      <c r="N104" s="114">
        <v>172.3647814962132</v>
      </c>
      <c r="O104" s="109">
        <v>189.12183307900881</v>
      </c>
      <c r="P104" s="119"/>
      <c r="Q104" s="120">
        <v>0.05</v>
      </c>
      <c r="R104" s="120">
        <v>0.03</v>
      </c>
      <c r="S104" s="120">
        <v>0.03</v>
      </c>
      <c r="T104" s="120">
        <v>0.02</v>
      </c>
      <c r="U104" s="120">
        <v>0.05</v>
      </c>
      <c r="V104" s="121">
        <f t="shared" si="16"/>
        <v>0</v>
      </c>
      <c r="W104" s="119"/>
      <c r="X104" s="113">
        <f t="shared" si="12"/>
        <v>933.71851872648961</v>
      </c>
      <c r="Y104" s="113">
        <f t="shared" si="13"/>
        <v>1266.3032471710053</v>
      </c>
      <c r="Z104" s="113">
        <f t="shared" si="14"/>
        <v>1656.734812491547</v>
      </c>
      <c r="AA104" s="22"/>
      <c r="AB104" s="22"/>
      <c r="AC104" s="22"/>
      <c r="AD104" s="22"/>
      <c r="AE104" s="22"/>
      <c r="AF104" s="22"/>
      <c r="AG104" s="22"/>
      <c r="AH104" s="22"/>
      <c r="AI104" s="22"/>
      <c r="AJ104" s="22"/>
      <c r="AK104" s="22"/>
      <c r="AL104" s="22"/>
      <c r="AM104" s="22"/>
      <c r="AN104" s="22"/>
      <c r="AO104" s="22"/>
      <c r="AP104" s="22"/>
      <c r="AQ104" s="22"/>
      <c r="AR104" s="22"/>
    </row>
    <row r="105" spans="1:44" hidden="1" x14ac:dyDescent="0.25">
      <c r="A105" s="16"/>
      <c r="B105" s="3" t="s">
        <v>168</v>
      </c>
      <c r="C105" s="3" t="s">
        <v>169</v>
      </c>
      <c r="D105" s="11" t="s">
        <v>6</v>
      </c>
      <c r="E105" s="107">
        <v>1155.3753004236698</v>
      </c>
      <c r="F105" s="108">
        <v>1578.4101070353058</v>
      </c>
      <c r="G105" s="109">
        <v>2086.3406668761809</v>
      </c>
      <c r="H105" s="114"/>
      <c r="I105" s="113">
        <v>152.21471194536588</v>
      </c>
      <c r="J105" s="114">
        <v>265.62470062829271</v>
      </c>
      <c r="K105" s="109">
        <v>390.0528893502439</v>
      </c>
      <c r="L105" s="114"/>
      <c r="M105" s="113">
        <v>283.98167227317072</v>
      </c>
      <c r="N105" s="114">
        <v>290.48487313170727</v>
      </c>
      <c r="O105" s="109">
        <v>318.72538700487803</v>
      </c>
      <c r="P105" s="119"/>
      <c r="Q105" s="120"/>
      <c r="R105" s="120"/>
      <c r="S105" s="120"/>
      <c r="T105" s="120"/>
      <c r="U105" s="120"/>
      <c r="V105" s="121">
        <v>0.16</v>
      </c>
      <c r="W105" s="119"/>
      <c r="X105" s="113">
        <f t="shared" si="12"/>
        <v>1846.2231541849594</v>
      </c>
      <c r="Y105" s="113">
        <f t="shared" si="13"/>
        <v>2476.0428297225544</v>
      </c>
      <c r="Z105" s="113">
        <f t="shared" si="14"/>
        <v>3242.3379741483109</v>
      </c>
      <c r="AA105" s="22"/>
      <c r="AB105" s="22"/>
      <c r="AC105" s="22"/>
      <c r="AD105" s="22"/>
      <c r="AE105" s="22"/>
      <c r="AF105" s="22"/>
      <c r="AG105" s="22"/>
      <c r="AH105" s="22"/>
      <c r="AI105" s="22"/>
      <c r="AJ105" s="22"/>
      <c r="AK105" s="22"/>
      <c r="AL105" s="22"/>
      <c r="AM105" s="22"/>
      <c r="AN105" s="22"/>
      <c r="AO105" s="22"/>
      <c r="AP105" s="22"/>
      <c r="AQ105" s="22"/>
      <c r="AR105" s="22"/>
    </row>
    <row r="106" spans="1:44" hidden="1" x14ac:dyDescent="0.25">
      <c r="A106" s="16"/>
      <c r="B106" s="3" t="s">
        <v>170</v>
      </c>
      <c r="C106" s="3" t="s">
        <v>171</v>
      </c>
      <c r="D106" s="11" t="s">
        <v>6</v>
      </c>
      <c r="E106" s="107">
        <v>1192.5263749378419</v>
      </c>
      <c r="F106" s="108">
        <v>1626.9779462953757</v>
      </c>
      <c r="G106" s="109">
        <v>1914.6340875186477</v>
      </c>
      <c r="H106" s="114"/>
      <c r="I106" s="113">
        <v>158.42114272157403</v>
      </c>
      <c r="J106" s="114">
        <v>276.45533122786463</v>
      </c>
      <c r="K106" s="109">
        <v>405.95697789643634</v>
      </c>
      <c r="L106" s="114"/>
      <c r="M106" s="113">
        <v>283.18848114189836</v>
      </c>
      <c r="N106" s="114">
        <v>289.67351786609282</v>
      </c>
      <c r="O106" s="109">
        <v>317.83515296878704</v>
      </c>
      <c r="P106" s="119"/>
      <c r="Q106" s="120">
        <v>0.14000000000000001</v>
      </c>
      <c r="R106" s="120">
        <v>0.08</v>
      </c>
      <c r="S106" s="120">
        <v>0.04</v>
      </c>
      <c r="T106" s="120">
        <v>0.02</v>
      </c>
      <c r="U106" s="120">
        <v>0.01</v>
      </c>
      <c r="V106" s="121">
        <f t="shared" ref="V106:V111" si="17">SUBTOTAL(9,Q106:U106)</f>
        <v>0</v>
      </c>
      <c r="W106" s="119"/>
      <c r="X106" s="113">
        <f t="shared" si="12"/>
        <v>1634.1359988013144</v>
      </c>
      <c r="Y106" s="113">
        <f t="shared" si="13"/>
        <v>2193.106795389333</v>
      </c>
      <c r="Z106" s="113">
        <f t="shared" si="14"/>
        <v>2638.4262183838709</v>
      </c>
      <c r="AA106" s="22"/>
      <c r="AB106" s="22"/>
      <c r="AC106" s="22"/>
      <c r="AD106" s="22"/>
      <c r="AE106" s="22"/>
      <c r="AF106" s="22"/>
      <c r="AG106" s="22"/>
      <c r="AH106" s="22"/>
      <c r="AI106" s="22"/>
      <c r="AJ106" s="22"/>
      <c r="AK106" s="22"/>
      <c r="AL106" s="22"/>
      <c r="AM106" s="22"/>
      <c r="AN106" s="22"/>
      <c r="AO106" s="22"/>
      <c r="AP106" s="22"/>
      <c r="AQ106" s="22"/>
      <c r="AR106" s="22"/>
    </row>
    <row r="107" spans="1:44" hidden="1" x14ac:dyDescent="0.25">
      <c r="A107" s="16"/>
      <c r="B107" s="3" t="s">
        <v>170</v>
      </c>
      <c r="C107" s="3" t="s">
        <v>172</v>
      </c>
      <c r="D107" s="11" t="s">
        <v>6</v>
      </c>
      <c r="E107" s="107">
        <v>1856.2925173247145</v>
      </c>
      <c r="F107" s="108">
        <v>2535.9646081103933</v>
      </c>
      <c r="G107" s="109">
        <v>3352.0351067677784</v>
      </c>
      <c r="H107" s="114"/>
      <c r="I107" s="113">
        <v>244.5569251024391</v>
      </c>
      <c r="J107" s="114">
        <v>426.76794632195129</v>
      </c>
      <c r="K107" s="109">
        <v>626.68144246829286</v>
      </c>
      <c r="L107" s="114"/>
      <c r="M107" s="113">
        <v>437.16200364878057</v>
      </c>
      <c r="N107" s="114">
        <v>447.17304518780492</v>
      </c>
      <c r="O107" s="109">
        <v>490.64655363658545</v>
      </c>
      <c r="P107" s="119"/>
      <c r="Q107" s="120">
        <v>0.14000000000000001</v>
      </c>
      <c r="R107" s="120">
        <v>0.08</v>
      </c>
      <c r="S107" s="120">
        <v>0.04</v>
      </c>
      <c r="T107" s="120">
        <v>0.02</v>
      </c>
      <c r="U107" s="120">
        <v>0.01</v>
      </c>
      <c r="V107" s="121">
        <f t="shared" si="17"/>
        <v>0</v>
      </c>
      <c r="W107" s="119"/>
      <c r="X107" s="113">
        <f t="shared" si="12"/>
        <v>2538.0114460759341</v>
      </c>
      <c r="Y107" s="113">
        <f t="shared" si="13"/>
        <v>3409.9055996201496</v>
      </c>
      <c r="Z107" s="113">
        <f t="shared" si="14"/>
        <v>4469.3631028726568</v>
      </c>
      <c r="AA107" s="22"/>
      <c r="AB107" s="22"/>
      <c r="AC107" s="22"/>
      <c r="AD107" s="22"/>
      <c r="AE107" s="22"/>
      <c r="AF107" s="22"/>
      <c r="AG107" s="22"/>
      <c r="AH107" s="22"/>
      <c r="AI107" s="22"/>
      <c r="AJ107" s="22"/>
      <c r="AK107" s="22"/>
      <c r="AL107" s="22"/>
      <c r="AM107" s="22"/>
      <c r="AN107" s="22"/>
      <c r="AO107" s="22"/>
      <c r="AP107" s="22"/>
      <c r="AQ107" s="22"/>
      <c r="AR107" s="22"/>
    </row>
    <row r="108" spans="1:44" hidden="1" x14ac:dyDescent="0.25">
      <c r="A108" s="16"/>
      <c r="B108" s="3" t="s">
        <v>173</v>
      </c>
      <c r="C108" s="3" t="s">
        <v>174</v>
      </c>
      <c r="D108" s="11" t="s">
        <v>6</v>
      </c>
      <c r="E108" s="107">
        <v>1010.8791404127301</v>
      </c>
      <c r="F108" s="108">
        <v>1381.0074108677277</v>
      </c>
      <c r="G108" s="109">
        <v>1825.4140097737445</v>
      </c>
      <c r="H108" s="114"/>
      <c r="I108" s="113">
        <v>133.17809123414636</v>
      </c>
      <c r="J108" s="114">
        <v>232.40454330731708</v>
      </c>
      <c r="K108" s="109">
        <v>341.27121235609758</v>
      </c>
      <c r="L108" s="114"/>
      <c r="M108" s="113">
        <v>346.69634487804876</v>
      </c>
      <c r="N108" s="114">
        <v>354.63571628048777</v>
      </c>
      <c r="O108" s="109">
        <v>389.11288115853665</v>
      </c>
      <c r="P108" s="119"/>
      <c r="Q108" s="120">
        <v>0.05</v>
      </c>
      <c r="R108" s="120">
        <v>0.01</v>
      </c>
      <c r="S108" s="120">
        <v>0.03</v>
      </c>
      <c r="T108" s="120">
        <v>0.01</v>
      </c>
      <c r="U108" s="120">
        <v>0.01</v>
      </c>
      <c r="V108" s="121">
        <f t="shared" si="17"/>
        <v>0</v>
      </c>
      <c r="W108" s="119"/>
      <c r="X108" s="113">
        <f t="shared" si="12"/>
        <v>1490.7535765249254</v>
      </c>
      <c r="Y108" s="113">
        <f t="shared" si="13"/>
        <v>1968.0476704555324</v>
      </c>
      <c r="Z108" s="113">
        <f t="shared" si="14"/>
        <v>2555.798103288379</v>
      </c>
      <c r="AA108" s="22"/>
      <c r="AB108" s="22"/>
      <c r="AC108" s="22"/>
      <c r="AD108" s="22"/>
      <c r="AE108" s="22"/>
      <c r="AF108" s="22"/>
      <c r="AG108" s="22"/>
      <c r="AH108" s="22"/>
      <c r="AI108" s="22"/>
      <c r="AJ108" s="22"/>
      <c r="AK108" s="22"/>
      <c r="AL108" s="22"/>
      <c r="AM108" s="22"/>
      <c r="AN108" s="22"/>
      <c r="AO108" s="22"/>
      <c r="AP108" s="22"/>
      <c r="AQ108" s="22"/>
      <c r="AR108" s="22"/>
    </row>
    <row r="109" spans="1:44" hidden="1" x14ac:dyDescent="0.25">
      <c r="A109" s="16"/>
      <c r="B109" s="3" t="s">
        <v>175</v>
      </c>
      <c r="C109" s="3" t="s">
        <v>176</v>
      </c>
      <c r="D109" s="11" t="s">
        <v>6</v>
      </c>
      <c r="E109" s="107">
        <v>1388.9578032322227</v>
      </c>
      <c r="F109" s="108">
        <v>1897.5176586026853</v>
      </c>
      <c r="G109" s="109">
        <v>2508.1366620835406</v>
      </c>
      <c r="H109" s="114"/>
      <c r="I109" s="113">
        <v>99.735135558085958</v>
      </c>
      <c r="J109" s="114">
        <v>184.04478779335827</v>
      </c>
      <c r="K109" s="109">
        <v>197.66564373155114</v>
      </c>
      <c r="L109" s="114"/>
      <c r="M109" s="113">
        <v>322.3397489268292</v>
      </c>
      <c r="N109" s="114">
        <v>329.72135251829258</v>
      </c>
      <c r="O109" s="109">
        <v>361.77637944512185</v>
      </c>
      <c r="P109" s="119"/>
      <c r="Q109" s="120" t="s">
        <v>252</v>
      </c>
      <c r="R109" s="120" t="s">
        <v>252</v>
      </c>
      <c r="S109" s="120" t="s">
        <v>252</v>
      </c>
      <c r="T109" s="120" t="s">
        <v>252</v>
      </c>
      <c r="U109" s="120">
        <v>0.12</v>
      </c>
      <c r="V109" s="121">
        <f t="shared" si="17"/>
        <v>0</v>
      </c>
      <c r="W109" s="119"/>
      <c r="X109" s="113">
        <f t="shared" si="12"/>
        <v>1811.0326877171378</v>
      </c>
      <c r="Y109" s="113">
        <f t="shared" si="13"/>
        <v>2411.2837989143359</v>
      </c>
      <c r="Z109" s="113">
        <f t="shared" si="14"/>
        <v>3067.5786852602132</v>
      </c>
      <c r="AA109" s="22"/>
      <c r="AB109" s="22"/>
      <c r="AC109" s="22"/>
      <c r="AD109" s="22"/>
      <c r="AE109" s="22"/>
      <c r="AF109" s="22"/>
      <c r="AG109" s="22"/>
      <c r="AH109" s="22"/>
      <c r="AI109" s="22"/>
      <c r="AJ109" s="22"/>
      <c r="AK109" s="22"/>
      <c r="AL109" s="22"/>
      <c r="AM109" s="22"/>
      <c r="AN109" s="22"/>
      <c r="AO109" s="22"/>
      <c r="AP109" s="22"/>
      <c r="AQ109" s="22"/>
      <c r="AR109" s="22"/>
    </row>
    <row r="110" spans="1:44" hidden="1" x14ac:dyDescent="0.25">
      <c r="A110" s="16"/>
      <c r="B110" s="3" t="s">
        <v>175</v>
      </c>
      <c r="C110" s="3" t="s">
        <v>177</v>
      </c>
      <c r="D110" s="11" t="s">
        <v>6</v>
      </c>
      <c r="E110" s="107">
        <v>1388.9578032322227</v>
      </c>
      <c r="F110" s="108">
        <v>1897.5176586026853</v>
      </c>
      <c r="G110" s="109">
        <v>2508.1366620835406</v>
      </c>
      <c r="H110" s="114"/>
      <c r="I110" s="113">
        <v>99.735135558085958</v>
      </c>
      <c r="J110" s="114">
        <v>184.04478779335827</v>
      </c>
      <c r="K110" s="109">
        <v>197.66564373155114</v>
      </c>
      <c r="L110" s="114"/>
      <c r="M110" s="113">
        <v>322.3397489268292</v>
      </c>
      <c r="N110" s="114">
        <v>329.72135251829258</v>
      </c>
      <c r="O110" s="109">
        <v>361.77637944512185</v>
      </c>
      <c r="P110" s="119"/>
      <c r="Q110" s="120" t="s">
        <v>252</v>
      </c>
      <c r="R110" s="120" t="s">
        <v>252</v>
      </c>
      <c r="S110" s="120" t="s">
        <v>252</v>
      </c>
      <c r="T110" s="120" t="s">
        <v>252</v>
      </c>
      <c r="U110" s="120">
        <v>0.12</v>
      </c>
      <c r="V110" s="121">
        <f t="shared" si="17"/>
        <v>0</v>
      </c>
      <c r="W110" s="119"/>
      <c r="X110" s="113">
        <f t="shared" si="12"/>
        <v>1811.0326877171378</v>
      </c>
      <c r="Y110" s="113">
        <f t="shared" si="13"/>
        <v>2411.2837989143359</v>
      </c>
      <c r="Z110" s="113">
        <f t="shared" si="14"/>
        <v>3067.5786852602132</v>
      </c>
      <c r="AA110" s="22"/>
      <c r="AB110" s="22"/>
      <c r="AC110" s="22"/>
      <c r="AD110" s="22"/>
      <c r="AE110" s="22"/>
      <c r="AF110" s="22"/>
      <c r="AG110" s="22"/>
      <c r="AH110" s="22"/>
      <c r="AI110" s="22"/>
      <c r="AJ110" s="22"/>
      <c r="AK110" s="22"/>
      <c r="AL110" s="22"/>
      <c r="AM110" s="22"/>
      <c r="AN110" s="22"/>
      <c r="AO110" s="22"/>
      <c r="AP110" s="22"/>
      <c r="AQ110" s="22"/>
      <c r="AR110" s="22"/>
    </row>
    <row r="111" spans="1:44" hidden="1" x14ac:dyDescent="0.25">
      <c r="A111" s="16"/>
      <c r="B111" s="3" t="s">
        <v>178</v>
      </c>
      <c r="C111" s="3" t="s">
        <v>179</v>
      </c>
      <c r="D111" s="11" t="s">
        <v>6</v>
      </c>
      <c r="E111" s="107">
        <v>932.79404394331186</v>
      </c>
      <c r="F111" s="108">
        <v>1261.8555845101939</v>
      </c>
      <c r="G111" s="109">
        <v>1878.1089415464944</v>
      </c>
      <c r="H111" s="114"/>
      <c r="I111" s="113">
        <v>115.38704637646364</v>
      </c>
      <c r="J111" s="114">
        <v>201.35799791239691</v>
      </c>
      <c r="K111" s="109">
        <v>295.68134549888009</v>
      </c>
      <c r="L111" s="114"/>
      <c r="M111" s="113">
        <v>208.2646754104471</v>
      </c>
      <c r="N111" s="114">
        <v>213.0339515580614</v>
      </c>
      <c r="O111" s="109">
        <v>233.74480028340642</v>
      </c>
      <c r="P111" s="119"/>
      <c r="Q111" s="120">
        <v>0.05</v>
      </c>
      <c r="R111" s="120">
        <v>0.02</v>
      </c>
      <c r="S111" s="120">
        <v>0.04</v>
      </c>
      <c r="T111" s="120">
        <v>0.03</v>
      </c>
      <c r="U111" s="120">
        <v>0.02</v>
      </c>
      <c r="V111" s="121">
        <f t="shared" si="17"/>
        <v>0</v>
      </c>
      <c r="W111" s="119"/>
      <c r="X111" s="113">
        <f t="shared" si="12"/>
        <v>1256.4457657302225</v>
      </c>
      <c r="Y111" s="113">
        <f t="shared" si="13"/>
        <v>1676.2475339806524</v>
      </c>
      <c r="Z111" s="113">
        <f t="shared" si="14"/>
        <v>2407.5350873287807</v>
      </c>
      <c r="AA111" s="22"/>
      <c r="AB111" s="22"/>
      <c r="AC111" s="22"/>
      <c r="AD111" s="22"/>
      <c r="AE111" s="22"/>
      <c r="AF111" s="22"/>
      <c r="AG111" s="22"/>
      <c r="AH111" s="22"/>
      <c r="AI111" s="22"/>
      <c r="AJ111" s="22"/>
      <c r="AK111" s="22"/>
      <c r="AL111" s="22"/>
      <c r="AM111" s="22"/>
      <c r="AN111" s="22"/>
      <c r="AO111" s="22"/>
      <c r="AP111" s="22"/>
      <c r="AQ111" s="22"/>
      <c r="AR111" s="22"/>
    </row>
    <row r="112" spans="1:44" hidden="1" x14ac:dyDescent="0.25">
      <c r="A112" s="16"/>
      <c r="B112" s="3" t="s">
        <v>180</v>
      </c>
      <c r="C112" s="3" t="s">
        <v>181</v>
      </c>
      <c r="D112" s="11" t="s">
        <v>8</v>
      </c>
      <c r="E112" s="107">
        <v>974.33342839383386</v>
      </c>
      <c r="F112" s="108">
        <v>1340.6164572352063</v>
      </c>
      <c r="G112" s="109">
        <v>1916.1050728493285</v>
      </c>
      <c r="H112" s="114"/>
      <c r="I112" s="113">
        <v>71.487000000000009</v>
      </c>
      <c r="J112" s="114">
        <v>131.91749999999999</v>
      </c>
      <c r="K112" s="109">
        <v>141.68049999999999</v>
      </c>
      <c r="L112" s="114"/>
      <c r="M112" s="113">
        <v>204.82992000000002</v>
      </c>
      <c r="N112" s="114">
        <v>209.52053999999998</v>
      </c>
      <c r="O112" s="109">
        <v>229.88981999999999</v>
      </c>
      <c r="P112" s="119"/>
      <c r="Q112" s="120">
        <v>0.04</v>
      </c>
      <c r="R112" s="120">
        <v>0.02</v>
      </c>
      <c r="S112" s="120">
        <v>0.04</v>
      </c>
      <c r="T112" s="120">
        <v>0.02</v>
      </c>
      <c r="U112" s="120">
        <v>0.02</v>
      </c>
      <c r="V112" s="121">
        <f>SUBTOTAL(9,Q112:U112)</f>
        <v>0</v>
      </c>
      <c r="W112" s="119"/>
      <c r="X112" s="113">
        <f t="shared" si="12"/>
        <v>1250.6503483938341</v>
      </c>
      <c r="Y112" s="113">
        <f t="shared" si="13"/>
        <v>1682.0544972352063</v>
      </c>
      <c r="Z112" s="113">
        <f t="shared" si="14"/>
        <v>2287.6753928493285</v>
      </c>
      <c r="AA112" s="22"/>
      <c r="AB112" s="22"/>
      <c r="AC112" s="22"/>
      <c r="AD112" s="22"/>
      <c r="AE112" s="22"/>
      <c r="AF112" s="22"/>
      <c r="AG112" s="22"/>
      <c r="AH112" s="22"/>
      <c r="AI112" s="22"/>
      <c r="AJ112" s="22"/>
      <c r="AK112" s="22"/>
      <c r="AL112" s="22"/>
      <c r="AM112" s="22"/>
      <c r="AN112" s="22"/>
      <c r="AO112" s="22"/>
      <c r="AP112" s="22"/>
      <c r="AQ112" s="22"/>
      <c r="AR112" s="22"/>
    </row>
    <row r="113" spans="1:44" hidden="1" x14ac:dyDescent="0.25">
      <c r="A113" s="16"/>
      <c r="B113" s="3" t="s">
        <v>182</v>
      </c>
      <c r="C113" s="3" t="s">
        <v>183</v>
      </c>
      <c r="D113" s="11" t="s">
        <v>8</v>
      </c>
      <c r="E113" s="107">
        <v>1138.3512282446543</v>
      </c>
      <c r="F113" s="108">
        <v>1628.4400596718051</v>
      </c>
      <c r="G113" s="109">
        <v>2066.7633615116856</v>
      </c>
      <c r="H113" s="114"/>
      <c r="I113" s="113">
        <v>82.490475923086876</v>
      </c>
      <c r="J113" s="114">
        <v>152.2226049153526</v>
      </c>
      <c r="K113" s="109">
        <v>163.488352763732</v>
      </c>
      <c r="L113" s="114"/>
      <c r="M113" s="113">
        <v>276.5005056</v>
      </c>
      <c r="N113" s="114">
        <v>282.83238719999997</v>
      </c>
      <c r="O113" s="109">
        <v>310.32893760000007</v>
      </c>
      <c r="P113" s="119"/>
      <c r="Q113" s="120">
        <v>0.05</v>
      </c>
      <c r="R113" s="120">
        <v>0.05</v>
      </c>
      <c r="S113" s="120">
        <v>0.03</v>
      </c>
      <c r="T113" s="120">
        <v>0.05</v>
      </c>
      <c r="U113" s="120">
        <v>5.0000000000000001E-3</v>
      </c>
      <c r="V113" s="121">
        <f t="shared" ref="V113:V135" si="18">SUBTOTAL(9,Q113:U113)</f>
        <v>0</v>
      </c>
      <c r="W113" s="119"/>
      <c r="X113" s="113">
        <f t="shared" si="12"/>
        <v>1497.3422097677412</v>
      </c>
      <c r="Y113" s="113">
        <f t="shared" si="13"/>
        <v>2063.4950517871575</v>
      </c>
      <c r="Z113" s="113">
        <f t="shared" si="14"/>
        <v>2540.580651875418</v>
      </c>
      <c r="AA113" s="22"/>
      <c r="AB113" s="22"/>
      <c r="AC113" s="22"/>
      <c r="AD113" s="22"/>
      <c r="AE113" s="22"/>
      <c r="AF113" s="22"/>
      <c r="AG113" s="22"/>
      <c r="AH113" s="22"/>
      <c r="AI113" s="22"/>
      <c r="AJ113" s="22"/>
      <c r="AK113" s="22"/>
      <c r="AL113" s="22"/>
      <c r="AM113" s="22"/>
      <c r="AN113" s="22"/>
      <c r="AO113" s="22"/>
      <c r="AP113" s="22"/>
      <c r="AQ113" s="22"/>
      <c r="AR113" s="22"/>
    </row>
    <row r="114" spans="1:44" hidden="1" x14ac:dyDescent="0.25">
      <c r="A114" s="21"/>
      <c r="B114" s="3" t="s">
        <v>182</v>
      </c>
      <c r="C114" s="3" t="s">
        <v>184</v>
      </c>
      <c r="D114" s="11" t="s">
        <v>8</v>
      </c>
      <c r="E114" s="107">
        <v>1161.1182528095474</v>
      </c>
      <c r="F114" s="108">
        <v>1661.0088608652413</v>
      </c>
      <c r="G114" s="109">
        <v>2108.0986287419196</v>
      </c>
      <c r="H114" s="114"/>
      <c r="I114" s="113">
        <v>84.140285441548613</v>
      </c>
      <c r="J114" s="114">
        <v>155.26705701365967</v>
      </c>
      <c r="K114" s="109">
        <v>166.75811981900665</v>
      </c>
      <c r="L114" s="114"/>
      <c r="M114" s="113">
        <v>282.03051571200001</v>
      </c>
      <c r="N114" s="114">
        <v>288.48903494399997</v>
      </c>
      <c r="O114" s="109">
        <v>316.53551635200006</v>
      </c>
      <c r="P114" s="119"/>
      <c r="Q114" s="120">
        <v>0.05</v>
      </c>
      <c r="R114" s="120">
        <v>0.05</v>
      </c>
      <c r="S114" s="120">
        <v>0.03</v>
      </c>
      <c r="T114" s="120">
        <v>0.05</v>
      </c>
      <c r="U114" s="120">
        <v>5.0000000000000001E-3</v>
      </c>
      <c r="V114" s="121">
        <f t="shared" si="18"/>
        <v>0</v>
      </c>
      <c r="W114" s="119"/>
      <c r="X114" s="113">
        <f t="shared" si="12"/>
        <v>1527.2890539630962</v>
      </c>
      <c r="Y114" s="113">
        <f t="shared" si="13"/>
        <v>2104.7649528229013</v>
      </c>
      <c r="Z114" s="113">
        <f t="shared" si="14"/>
        <v>2591.3922649129263</v>
      </c>
      <c r="AA114" s="22"/>
      <c r="AB114" s="22"/>
      <c r="AC114" s="22"/>
      <c r="AD114" s="22"/>
      <c r="AE114" s="22"/>
      <c r="AF114" s="22"/>
      <c r="AG114" s="22"/>
      <c r="AH114" s="22"/>
      <c r="AI114" s="22"/>
      <c r="AJ114" s="22"/>
      <c r="AK114" s="22"/>
      <c r="AL114" s="22"/>
      <c r="AM114" s="22"/>
      <c r="AN114" s="22"/>
      <c r="AO114" s="22"/>
      <c r="AP114" s="22"/>
      <c r="AQ114" s="22"/>
      <c r="AR114" s="22"/>
    </row>
    <row r="115" spans="1:44" hidden="1" x14ac:dyDescent="0.25">
      <c r="A115" s="21"/>
      <c r="B115" s="3" t="s">
        <v>182</v>
      </c>
      <c r="C115" s="3" t="s">
        <v>185</v>
      </c>
      <c r="D115" s="11" t="s">
        <v>8</v>
      </c>
      <c r="E115" s="107">
        <v>1183.8852773744404</v>
      </c>
      <c r="F115" s="108">
        <v>1693.5776620586773</v>
      </c>
      <c r="G115" s="109">
        <v>2149.4338959721531</v>
      </c>
      <c r="H115" s="114"/>
      <c r="I115" s="113">
        <v>85.79009496001035</v>
      </c>
      <c r="J115" s="114">
        <v>158.31150911196673</v>
      </c>
      <c r="K115" s="109">
        <v>170.02788687428128</v>
      </c>
      <c r="L115" s="114"/>
      <c r="M115" s="113">
        <v>287.56052582400002</v>
      </c>
      <c r="N115" s="114">
        <v>294.14568268799997</v>
      </c>
      <c r="O115" s="109">
        <v>322.7420951040001</v>
      </c>
      <c r="P115" s="119"/>
      <c r="Q115" s="120">
        <v>0.05</v>
      </c>
      <c r="R115" s="120">
        <v>0.05</v>
      </c>
      <c r="S115" s="120">
        <v>0.03</v>
      </c>
      <c r="T115" s="120">
        <v>0.05</v>
      </c>
      <c r="U115" s="120">
        <v>5.0000000000000001E-3</v>
      </c>
      <c r="V115" s="121">
        <f t="shared" si="18"/>
        <v>0</v>
      </c>
      <c r="W115" s="119"/>
      <c r="X115" s="113">
        <f t="shared" si="12"/>
        <v>1557.2358981584507</v>
      </c>
      <c r="Y115" s="113">
        <f t="shared" si="13"/>
        <v>2146.0348538586441</v>
      </c>
      <c r="Z115" s="113">
        <f t="shared" si="14"/>
        <v>2642.2038779504346</v>
      </c>
      <c r="AA115" s="22"/>
      <c r="AB115" s="22"/>
      <c r="AC115" s="22"/>
      <c r="AD115" s="22"/>
      <c r="AE115" s="22"/>
      <c r="AF115" s="22"/>
      <c r="AG115" s="22"/>
      <c r="AH115" s="22"/>
      <c r="AI115" s="22"/>
      <c r="AJ115" s="22"/>
      <c r="AK115" s="22"/>
      <c r="AL115" s="22"/>
      <c r="AM115" s="22"/>
      <c r="AN115" s="22"/>
      <c r="AO115" s="22"/>
      <c r="AP115" s="22"/>
      <c r="AQ115" s="22"/>
      <c r="AR115" s="22"/>
    </row>
    <row r="116" spans="1:44" hidden="1" x14ac:dyDescent="0.25">
      <c r="A116" s="21"/>
      <c r="B116" s="3" t="s">
        <v>182</v>
      </c>
      <c r="C116" s="3" t="s">
        <v>186</v>
      </c>
      <c r="D116" s="11" t="s">
        <v>8</v>
      </c>
      <c r="E116" s="107">
        <v>1172.501765091994</v>
      </c>
      <c r="F116" s="108">
        <v>1677.2932614619592</v>
      </c>
      <c r="G116" s="109">
        <v>2128.7662623570363</v>
      </c>
      <c r="H116" s="114"/>
      <c r="I116" s="113">
        <v>84.965190200779489</v>
      </c>
      <c r="J116" s="114">
        <v>156.78928306281318</v>
      </c>
      <c r="K116" s="109">
        <v>168.39300334664395</v>
      </c>
      <c r="L116" s="114"/>
      <c r="M116" s="113">
        <v>284.79552076800002</v>
      </c>
      <c r="N116" s="114">
        <v>291.31735881599997</v>
      </c>
      <c r="O116" s="109">
        <v>319.63880572800008</v>
      </c>
      <c r="P116" s="119"/>
      <c r="Q116" s="120">
        <v>0.05</v>
      </c>
      <c r="R116" s="120">
        <v>0.05</v>
      </c>
      <c r="S116" s="120">
        <v>0.03</v>
      </c>
      <c r="T116" s="120">
        <v>0.05</v>
      </c>
      <c r="U116" s="120">
        <v>5.0000000000000001E-3</v>
      </c>
      <c r="V116" s="121">
        <f t="shared" si="18"/>
        <v>0</v>
      </c>
      <c r="W116" s="119"/>
      <c r="X116" s="113">
        <f t="shared" si="12"/>
        <v>1542.2624760607735</v>
      </c>
      <c r="Y116" s="113">
        <f t="shared" si="13"/>
        <v>2125.3999033407722</v>
      </c>
      <c r="Z116" s="113">
        <f t="shared" si="14"/>
        <v>2616.7980714316805</v>
      </c>
      <c r="AA116" s="22"/>
      <c r="AB116" s="22"/>
      <c r="AC116" s="22"/>
      <c r="AD116" s="22"/>
      <c r="AE116" s="22"/>
      <c r="AF116" s="22"/>
      <c r="AG116" s="22"/>
      <c r="AH116" s="22"/>
      <c r="AI116" s="22"/>
      <c r="AJ116" s="22"/>
      <c r="AK116" s="22"/>
      <c r="AL116" s="22"/>
      <c r="AM116" s="22"/>
      <c r="AN116" s="22"/>
      <c r="AO116" s="22"/>
      <c r="AP116" s="22"/>
      <c r="AQ116" s="22"/>
      <c r="AR116" s="22"/>
    </row>
    <row r="117" spans="1:44" hidden="1" x14ac:dyDescent="0.25">
      <c r="A117" s="16"/>
      <c r="B117" s="3" t="s">
        <v>180</v>
      </c>
      <c r="C117" s="3" t="s">
        <v>187</v>
      </c>
      <c r="D117" s="11" t="s">
        <v>8</v>
      </c>
      <c r="E117" s="107">
        <v>836.66473224266542</v>
      </c>
      <c r="F117" s="108">
        <v>1313.8716672302337</v>
      </c>
      <c r="G117" s="109">
        <v>1710.136038756837</v>
      </c>
      <c r="H117" s="114"/>
      <c r="I117" s="113">
        <v>68.187600000000003</v>
      </c>
      <c r="J117" s="114">
        <v>125.82899999999999</v>
      </c>
      <c r="K117" s="109">
        <v>135.1414</v>
      </c>
      <c r="L117" s="114"/>
      <c r="M117" s="113">
        <v>196.079904</v>
      </c>
      <c r="N117" s="114">
        <v>200.57014799999996</v>
      </c>
      <c r="O117" s="109">
        <v>220.06928400000001</v>
      </c>
      <c r="P117" s="119"/>
      <c r="Q117" s="120">
        <v>0.05</v>
      </c>
      <c r="R117" s="120">
        <v>0.02</v>
      </c>
      <c r="S117" s="120">
        <v>0.04</v>
      </c>
      <c r="T117" s="120">
        <v>0.02</v>
      </c>
      <c r="U117" s="120">
        <v>0.02</v>
      </c>
      <c r="V117" s="121">
        <f t="shared" si="18"/>
        <v>0</v>
      </c>
      <c r="W117" s="119"/>
      <c r="X117" s="113">
        <f t="shared" si="12"/>
        <v>1100.9322362426653</v>
      </c>
      <c r="Y117" s="113">
        <f t="shared" si="13"/>
        <v>1640.2708152302337</v>
      </c>
      <c r="Z117" s="113">
        <f t="shared" si="14"/>
        <v>2065.3467227568372</v>
      </c>
      <c r="AA117" s="22"/>
      <c r="AB117" s="22"/>
      <c r="AC117" s="22"/>
      <c r="AD117" s="22"/>
      <c r="AE117" s="22"/>
      <c r="AF117" s="22"/>
      <c r="AG117" s="22"/>
      <c r="AH117" s="22"/>
      <c r="AI117" s="22"/>
      <c r="AJ117" s="22"/>
      <c r="AK117" s="22"/>
      <c r="AL117" s="22"/>
      <c r="AM117" s="22"/>
      <c r="AN117" s="22"/>
      <c r="AO117" s="22"/>
      <c r="AP117" s="22"/>
      <c r="AQ117" s="22"/>
      <c r="AR117" s="22"/>
    </row>
    <row r="118" spans="1:44" hidden="1" x14ac:dyDescent="0.25">
      <c r="A118" s="16"/>
      <c r="B118" s="3" t="s">
        <v>180</v>
      </c>
      <c r="C118" s="3" t="s">
        <v>188</v>
      </c>
      <c r="D118" s="11" t="s">
        <v>8</v>
      </c>
      <c r="E118" s="107">
        <v>805.82636232222785</v>
      </c>
      <c r="F118" s="108">
        <v>1262.8163976131277</v>
      </c>
      <c r="G118" s="109">
        <v>1640.0522896220787</v>
      </c>
      <c r="H118" s="114"/>
      <c r="I118" s="113">
        <v>65.988</v>
      </c>
      <c r="J118" s="114">
        <v>121.76999999999998</v>
      </c>
      <c r="K118" s="109">
        <v>130.78199999999998</v>
      </c>
      <c r="L118" s="114"/>
      <c r="M118" s="113">
        <v>192.69921599999998</v>
      </c>
      <c r="N118" s="114">
        <v>197.11204199999997</v>
      </c>
      <c r="O118" s="109">
        <v>216.27498599999998</v>
      </c>
      <c r="P118" s="119"/>
      <c r="Q118" s="120">
        <v>0.05</v>
      </c>
      <c r="R118" s="120">
        <v>0.02</v>
      </c>
      <c r="S118" s="120">
        <v>0.04</v>
      </c>
      <c r="T118" s="120">
        <v>0.02</v>
      </c>
      <c r="U118" s="120">
        <v>0.02</v>
      </c>
      <c r="V118" s="121">
        <f t="shared" si="18"/>
        <v>0</v>
      </c>
      <c r="W118" s="119"/>
      <c r="X118" s="113">
        <f t="shared" si="12"/>
        <v>1064.5135783222279</v>
      </c>
      <c r="Y118" s="113">
        <f t="shared" si="13"/>
        <v>1581.6984396131277</v>
      </c>
      <c r="Z118" s="113">
        <f t="shared" si="14"/>
        <v>1987.1092756220785</v>
      </c>
      <c r="AA118" s="22"/>
      <c r="AB118" s="22"/>
      <c r="AC118" s="22"/>
      <c r="AD118" s="22"/>
      <c r="AE118" s="22"/>
      <c r="AF118" s="22"/>
      <c r="AG118" s="22"/>
      <c r="AH118" s="22"/>
      <c r="AI118" s="22"/>
      <c r="AJ118" s="22"/>
      <c r="AK118" s="22"/>
      <c r="AL118" s="22"/>
      <c r="AM118" s="22"/>
      <c r="AN118" s="22"/>
      <c r="AO118" s="22"/>
      <c r="AP118" s="22"/>
      <c r="AQ118" s="22"/>
      <c r="AR118" s="22"/>
    </row>
    <row r="119" spans="1:44" hidden="1" x14ac:dyDescent="0.25">
      <c r="A119" s="16"/>
      <c r="B119" s="3" t="s">
        <v>180</v>
      </c>
      <c r="C119" s="3" t="s">
        <v>189</v>
      </c>
      <c r="D119" s="11" t="s">
        <v>8</v>
      </c>
      <c r="E119" s="107">
        <v>823.0158639731477</v>
      </c>
      <c r="F119" s="108">
        <v>1192.2828180009944</v>
      </c>
      <c r="G119" s="109">
        <v>1590.3650812779711</v>
      </c>
      <c r="H119" s="114"/>
      <c r="I119" s="113">
        <v>68.187600000000003</v>
      </c>
      <c r="J119" s="114">
        <v>125.82899999999999</v>
      </c>
      <c r="K119" s="109">
        <v>135.1414</v>
      </c>
      <c r="L119" s="114"/>
      <c r="M119" s="113">
        <v>189.31852800000001</v>
      </c>
      <c r="N119" s="114">
        <v>193.65393599999999</v>
      </c>
      <c r="O119" s="109">
        <v>212.48068800000004</v>
      </c>
      <c r="P119" s="119"/>
      <c r="Q119" s="120">
        <v>0.05</v>
      </c>
      <c r="R119" s="120">
        <v>0.02</v>
      </c>
      <c r="S119" s="120">
        <v>0.04</v>
      </c>
      <c r="T119" s="120">
        <v>0.02</v>
      </c>
      <c r="U119" s="120">
        <v>0.02</v>
      </c>
      <c r="V119" s="121">
        <f t="shared" si="18"/>
        <v>0</v>
      </c>
      <c r="W119" s="119"/>
      <c r="X119" s="113">
        <f t="shared" si="12"/>
        <v>1080.5219919731476</v>
      </c>
      <c r="Y119" s="113">
        <f t="shared" si="13"/>
        <v>1511.7657540009943</v>
      </c>
      <c r="Z119" s="113">
        <f t="shared" si="14"/>
        <v>1937.9871692779711</v>
      </c>
      <c r="AA119" s="22"/>
      <c r="AB119" s="22"/>
      <c r="AC119" s="22"/>
      <c r="AD119" s="22"/>
      <c r="AE119" s="22"/>
      <c r="AF119" s="22"/>
      <c r="AG119" s="22"/>
      <c r="AH119" s="22"/>
      <c r="AI119" s="22"/>
      <c r="AJ119" s="22"/>
      <c r="AK119" s="22"/>
      <c r="AL119" s="22"/>
      <c r="AM119" s="22"/>
      <c r="AN119" s="22"/>
      <c r="AO119" s="22"/>
      <c r="AP119" s="22"/>
      <c r="AQ119" s="22"/>
      <c r="AR119" s="22"/>
    </row>
    <row r="120" spans="1:44" hidden="1" x14ac:dyDescent="0.25">
      <c r="A120" s="16"/>
      <c r="B120" s="3" t="s">
        <v>190</v>
      </c>
      <c r="C120" s="3" t="s">
        <v>191</v>
      </c>
      <c r="D120" s="11" t="s">
        <v>8</v>
      </c>
      <c r="E120" s="107">
        <v>416.57961810044759</v>
      </c>
      <c r="F120" s="108">
        <v>578.66105818000995</v>
      </c>
      <c r="G120" s="109">
        <v>702.95440278468425</v>
      </c>
      <c r="H120" s="114"/>
      <c r="I120" s="113">
        <v>29.694600000000005</v>
      </c>
      <c r="J120" s="114">
        <v>54.796500000000002</v>
      </c>
      <c r="K120" s="109">
        <v>58.851900000000001</v>
      </c>
      <c r="L120" s="114"/>
      <c r="M120" s="113">
        <v>99.39980684643551</v>
      </c>
      <c r="N120" s="114">
        <v>101.67606962088773</v>
      </c>
      <c r="O120" s="109">
        <v>111.5608681776658</v>
      </c>
      <c r="P120" s="119"/>
      <c r="Q120" s="120">
        <v>0.03</v>
      </c>
      <c r="R120" s="120">
        <v>1.4999999999999999E-2</v>
      </c>
      <c r="S120" s="120">
        <v>0.05</v>
      </c>
      <c r="T120" s="120">
        <v>2.5000000000000001E-2</v>
      </c>
      <c r="U120" s="120">
        <v>0.03</v>
      </c>
      <c r="V120" s="121">
        <f t="shared" si="18"/>
        <v>0</v>
      </c>
      <c r="W120" s="119"/>
      <c r="X120" s="113">
        <f t="shared" si="12"/>
        <v>545.67402494688304</v>
      </c>
      <c r="Y120" s="113">
        <f t="shared" si="13"/>
        <v>735.13362780089767</v>
      </c>
      <c r="Z120" s="113">
        <f t="shared" si="14"/>
        <v>873.36717096235009</v>
      </c>
      <c r="AA120" s="22"/>
      <c r="AB120" s="22"/>
      <c r="AC120" s="22"/>
      <c r="AD120" s="22"/>
      <c r="AE120" s="22"/>
      <c r="AF120" s="22"/>
      <c r="AG120" s="22"/>
      <c r="AH120" s="22"/>
      <c r="AI120" s="22"/>
      <c r="AJ120" s="22"/>
      <c r="AK120" s="22"/>
      <c r="AL120" s="22"/>
      <c r="AM120" s="22"/>
      <c r="AN120" s="22"/>
      <c r="AO120" s="22"/>
      <c r="AP120" s="22"/>
      <c r="AQ120" s="22"/>
      <c r="AR120" s="22"/>
    </row>
    <row r="121" spans="1:44" hidden="1" x14ac:dyDescent="0.25">
      <c r="A121" s="21"/>
      <c r="B121" s="3" t="s">
        <v>190</v>
      </c>
      <c r="C121" s="3" t="s">
        <v>192</v>
      </c>
      <c r="D121" s="11" t="s">
        <v>8</v>
      </c>
      <c r="E121" s="107">
        <v>412.45506742618574</v>
      </c>
      <c r="F121" s="108">
        <v>572.93174077228707</v>
      </c>
      <c r="G121" s="109">
        <v>695.99445820265771</v>
      </c>
      <c r="H121" s="114"/>
      <c r="I121" s="113">
        <v>29.400594059405947</v>
      </c>
      <c r="J121" s="114">
        <v>54.253960396039602</v>
      </c>
      <c r="K121" s="109">
        <v>58.269207920792077</v>
      </c>
      <c r="L121" s="114"/>
      <c r="M121" s="113">
        <v>98.415650343005453</v>
      </c>
      <c r="N121" s="114">
        <v>100.66937586226508</v>
      </c>
      <c r="O121" s="109">
        <v>110.45630512640177</v>
      </c>
      <c r="P121" s="119"/>
      <c r="Q121" s="120">
        <v>0.03</v>
      </c>
      <c r="R121" s="120">
        <v>1.4999999999999999E-2</v>
      </c>
      <c r="S121" s="120">
        <v>0.05</v>
      </c>
      <c r="T121" s="120">
        <v>2.5000000000000001E-2</v>
      </c>
      <c r="U121" s="120">
        <v>0.03</v>
      </c>
      <c r="V121" s="121">
        <f t="shared" si="18"/>
        <v>0</v>
      </c>
      <c r="W121" s="119"/>
      <c r="X121" s="113">
        <f t="shared" si="12"/>
        <v>540.27131182859716</v>
      </c>
      <c r="Y121" s="113">
        <f t="shared" si="13"/>
        <v>727.8550770305917</v>
      </c>
      <c r="Z121" s="113">
        <f t="shared" si="14"/>
        <v>864.71997124985148</v>
      </c>
      <c r="AA121" s="22"/>
      <c r="AB121" s="22"/>
      <c r="AC121" s="22"/>
      <c r="AD121" s="22"/>
      <c r="AE121" s="22"/>
      <c r="AF121" s="22"/>
      <c r="AG121" s="22"/>
      <c r="AH121" s="22"/>
      <c r="AI121" s="22"/>
      <c r="AJ121" s="22"/>
      <c r="AK121" s="22"/>
      <c r="AL121" s="22"/>
      <c r="AM121" s="22"/>
      <c r="AN121" s="22"/>
      <c r="AO121" s="22"/>
      <c r="AP121" s="22"/>
      <c r="AQ121" s="22"/>
      <c r="AR121" s="22"/>
    </row>
    <row r="122" spans="1:44" hidden="1" x14ac:dyDescent="0.25">
      <c r="A122" s="21"/>
      <c r="B122" s="3" t="s">
        <v>190</v>
      </c>
      <c r="C122" s="3" t="s">
        <v>193</v>
      </c>
      <c r="D122" s="11" t="s">
        <v>8</v>
      </c>
      <c r="E122" s="107">
        <v>412.45506742618574</v>
      </c>
      <c r="F122" s="108">
        <v>572.93174077228707</v>
      </c>
      <c r="G122" s="109">
        <v>695.99445820265771</v>
      </c>
      <c r="H122" s="114"/>
      <c r="I122" s="113">
        <v>29.400594059405947</v>
      </c>
      <c r="J122" s="114">
        <v>54.253960396039602</v>
      </c>
      <c r="K122" s="109">
        <v>58.269207920792077</v>
      </c>
      <c r="L122" s="114"/>
      <c r="M122" s="113">
        <v>98.415650343005453</v>
      </c>
      <c r="N122" s="114">
        <v>100.66937586226508</v>
      </c>
      <c r="O122" s="109">
        <v>110.45630512640177</v>
      </c>
      <c r="P122" s="119"/>
      <c r="Q122" s="120">
        <v>0.03</v>
      </c>
      <c r="R122" s="120">
        <v>1.4999999999999999E-2</v>
      </c>
      <c r="S122" s="120">
        <v>0.05</v>
      </c>
      <c r="T122" s="120">
        <v>2.5000000000000001E-2</v>
      </c>
      <c r="U122" s="120">
        <v>0.03</v>
      </c>
      <c r="V122" s="121">
        <f t="shared" si="18"/>
        <v>0</v>
      </c>
      <c r="W122" s="119"/>
      <c r="X122" s="113">
        <f t="shared" si="12"/>
        <v>540.27131182859716</v>
      </c>
      <c r="Y122" s="113">
        <f t="shared" si="13"/>
        <v>727.8550770305917</v>
      </c>
      <c r="Z122" s="113">
        <f t="shared" si="14"/>
        <v>864.71997124985148</v>
      </c>
      <c r="AA122" s="22"/>
      <c r="AB122" s="22"/>
      <c r="AC122" s="22"/>
      <c r="AD122" s="22"/>
      <c r="AE122" s="22"/>
      <c r="AF122" s="22"/>
      <c r="AG122" s="22"/>
      <c r="AH122" s="22"/>
      <c r="AI122" s="22"/>
      <c r="AJ122" s="22"/>
      <c r="AK122" s="22"/>
      <c r="AL122" s="22"/>
      <c r="AM122" s="22"/>
      <c r="AN122" s="22"/>
      <c r="AO122" s="22"/>
      <c r="AP122" s="22"/>
      <c r="AQ122" s="22"/>
      <c r="AR122" s="22"/>
    </row>
    <row r="123" spans="1:44" hidden="1" x14ac:dyDescent="0.25">
      <c r="A123" s="21"/>
      <c r="B123" s="3" t="s">
        <v>190</v>
      </c>
      <c r="C123" s="3" t="s">
        <v>194</v>
      </c>
      <c r="D123" s="11" t="s">
        <v>8</v>
      </c>
      <c r="E123" s="107">
        <v>408.41139029455644</v>
      </c>
      <c r="F123" s="108">
        <v>567.31476292157834</v>
      </c>
      <c r="G123" s="109">
        <v>689.17098312223948</v>
      </c>
      <c r="H123" s="114"/>
      <c r="I123" s="113">
        <v>29.112352941176475</v>
      </c>
      <c r="J123" s="114">
        <v>53.722058823529416</v>
      </c>
      <c r="K123" s="109">
        <v>57.697941176470586</v>
      </c>
      <c r="L123" s="114"/>
      <c r="M123" s="113">
        <v>97.450791025917169</v>
      </c>
      <c r="N123" s="114">
        <v>99.682421196948752</v>
      </c>
      <c r="O123" s="109">
        <v>109.37340017418215</v>
      </c>
      <c r="P123" s="119"/>
      <c r="Q123" s="120">
        <v>0.03</v>
      </c>
      <c r="R123" s="120">
        <v>1.4999999999999999E-2</v>
      </c>
      <c r="S123" s="120">
        <v>0.05</v>
      </c>
      <c r="T123" s="120">
        <v>2.5000000000000001E-2</v>
      </c>
      <c r="U123" s="120">
        <v>0.03</v>
      </c>
      <c r="V123" s="121">
        <f t="shared" si="18"/>
        <v>0</v>
      </c>
      <c r="W123" s="119"/>
      <c r="X123" s="113">
        <f t="shared" si="12"/>
        <v>534.97453426165009</v>
      </c>
      <c r="Y123" s="113">
        <f t="shared" si="13"/>
        <v>720.71924294205655</v>
      </c>
      <c r="Z123" s="113">
        <f t="shared" si="14"/>
        <v>856.24232447289228</v>
      </c>
      <c r="AA123" s="22"/>
      <c r="AB123" s="22"/>
      <c r="AC123" s="22"/>
      <c r="AD123" s="22"/>
      <c r="AE123" s="22"/>
      <c r="AF123" s="22"/>
      <c r="AG123" s="22"/>
      <c r="AH123" s="22"/>
      <c r="AI123" s="22"/>
      <c r="AJ123" s="22"/>
      <c r="AK123" s="22"/>
      <c r="AL123" s="22"/>
      <c r="AM123" s="22"/>
      <c r="AN123" s="22"/>
      <c r="AO123" s="22"/>
      <c r="AP123" s="22"/>
      <c r="AQ123" s="22"/>
      <c r="AR123" s="22"/>
    </row>
    <row r="124" spans="1:44" hidden="1" x14ac:dyDescent="0.25">
      <c r="A124" s="21"/>
      <c r="B124" s="3" t="s">
        <v>190</v>
      </c>
      <c r="C124" s="3" t="s">
        <v>195</v>
      </c>
      <c r="D124" s="11" t="s">
        <v>8</v>
      </c>
      <c r="E124" s="107">
        <v>449.90598754848344</v>
      </c>
      <c r="F124" s="108">
        <v>624.95394283441078</v>
      </c>
      <c r="G124" s="109">
        <v>759.19075500745907</v>
      </c>
      <c r="H124" s="114"/>
      <c r="I124" s="113">
        <v>32.07016800000001</v>
      </c>
      <c r="J124" s="114">
        <v>59.180220000000006</v>
      </c>
      <c r="K124" s="109">
        <v>63.560052000000006</v>
      </c>
      <c r="L124" s="114"/>
      <c r="M124" s="113">
        <v>107.35179139415035</v>
      </c>
      <c r="N124" s="114">
        <v>109.81015519055876</v>
      </c>
      <c r="O124" s="109">
        <v>120.48573763187906</v>
      </c>
      <c r="P124" s="119"/>
      <c r="Q124" s="120">
        <v>0.03</v>
      </c>
      <c r="R124" s="120">
        <v>1.4999999999999999E-2</v>
      </c>
      <c r="S124" s="120">
        <v>0.05</v>
      </c>
      <c r="T124" s="120">
        <v>2.5000000000000001E-2</v>
      </c>
      <c r="U124" s="120">
        <v>0.03</v>
      </c>
      <c r="V124" s="121">
        <f t="shared" si="18"/>
        <v>0</v>
      </c>
      <c r="W124" s="119"/>
      <c r="X124" s="113">
        <f t="shared" si="12"/>
        <v>589.32794694263384</v>
      </c>
      <c r="Y124" s="113">
        <f t="shared" si="13"/>
        <v>793.94431802496956</v>
      </c>
      <c r="Z124" s="113">
        <f t="shared" si="14"/>
        <v>943.23654463933815</v>
      </c>
      <c r="AA124" s="22"/>
      <c r="AB124" s="22"/>
      <c r="AC124" s="22"/>
      <c r="AD124" s="22"/>
      <c r="AE124" s="22"/>
      <c r="AF124" s="22"/>
      <c r="AG124" s="22"/>
      <c r="AH124" s="22"/>
      <c r="AI124" s="22"/>
      <c r="AJ124" s="22"/>
      <c r="AK124" s="22"/>
      <c r="AL124" s="22"/>
      <c r="AM124" s="22"/>
      <c r="AN124" s="22"/>
      <c r="AO124" s="22"/>
      <c r="AP124" s="22"/>
      <c r="AQ124" s="22"/>
      <c r="AR124" s="22"/>
    </row>
    <row r="125" spans="1:44" hidden="1" x14ac:dyDescent="0.25">
      <c r="A125" s="21"/>
      <c r="B125" s="3" t="s">
        <v>190</v>
      </c>
      <c r="C125" s="3" t="s">
        <v>196</v>
      </c>
      <c r="D125" s="11" t="s">
        <v>8</v>
      </c>
      <c r="E125" s="107">
        <v>437.40859900546997</v>
      </c>
      <c r="F125" s="108">
        <v>607.59411108901043</v>
      </c>
      <c r="G125" s="109">
        <v>738.1021229239185</v>
      </c>
      <c r="H125" s="114"/>
      <c r="I125" s="113">
        <v>31.179330000000007</v>
      </c>
      <c r="J125" s="114">
        <v>57.536325000000005</v>
      </c>
      <c r="K125" s="109">
        <v>61.794495000000005</v>
      </c>
      <c r="L125" s="114"/>
      <c r="M125" s="113">
        <v>104.36979718875729</v>
      </c>
      <c r="N125" s="114">
        <v>106.75987310193211</v>
      </c>
      <c r="O125" s="109">
        <v>117.13891158654909</v>
      </c>
      <c r="P125" s="119"/>
      <c r="Q125" s="120">
        <v>0.03</v>
      </c>
      <c r="R125" s="120">
        <v>1.4999999999999999E-2</v>
      </c>
      <c r="S125" s="120">
        <v>0.05</v>
      </c>
      <c r="T125" s="120">
        <v>2.5000000000000001E-2</v>
      </c>
      <c r="U125" s="120">
        <v>0.03</v>
      </c>
      <c r="V125" s="121">
        <f t="shared" si="18"/>
        <v>0</v>
      </c>
      <c r="W125" s="119"/>
      <c r="X125" s="113">
        <f t="shared" si="12"/>
        <v>572.95772619422723</v>
      </c>
      <c r="Y125" s="113">
        <f t="shared" si="13"/>
        <v>771.89030919094262</v>
      </c>
      <c r="Z125" s="113">
        <f t="shared" si="14"/>
        <v>917.03552951046754</v>
      </c>
      <c r="AA125" s="22"/>
      <c r="AB125" s="22"/>
      <c r="AC125" s="22"/>
      <c r="AD125" s="22"/>
      <c r="AE125" s="22"/>
      <c r="AF125" s="22"/>
      <c r="AG125" s="22"/>
      <c r="AH125" s="22"/>
      <c r="AI125" s="22"/>
      <c r="AJ125" s="22"/>
      <c r="AK125" s="22"/>
      <c r="AL125" s="22"/>
      <c r="AM125" s="22"/>
      <c r="AN125" s="22"/>
      <c r="AO125" s="22"/>
      <c r="AP125" s="22"/>
      <c r="AQ125" s="22"/>
      <c r="AR125" s="22"/>
    </row>
    <row r="126" spans="1:44" hidden="1" x14ac:dyDescent="0.25">
      <c r="A126" s="21"/>
      <c r="B126" s="3" t="s">
        <v>190</v>
      </c>
      <c r="C126" s="3" t="s">
        <v>197</v>
      </c>
      <c r="D126" s="11" t="s">
        <v>8</v>
      </c>
      <c r="E126" s="107">
        <v>412.45506742618574</v>
      </c>
      <c r="F126" s="108">
        <v>572.93174077228707</v>
      </c>
      <c r="G126" s="109">
        <v>695.99445820265771</v>
      </c>
      <c r="H126" s="114"/>
      <c r="I126" s="113">
        <v>29.400594059405947</v>
      </c>
      <c r="J126" s="114">
        <v>54.253960396039602</v>
      </c>
      <c r="K126" s="109">
        <v>58.269207920792077</v>
      </c>
      <c r="L126" s="114"/>
      <c r="M126" s="113">
        <v>98.415650343005453</v>
      </c>
      <c r="N126" s="114">
        <v>100.66937586226508</v>
      </c>
      <c r="O126" s="109">
        <v>110.45630512640177</v>
      </c>
      <c r="P126" s="119"/>
      <c r="Q126" s="120">
        <v>0.03</v>
      </c>
      <c r="R126" s="120">
        <v>1.4999999999999999E-2</v>
      </c>
      <c r="S126" s="120">
        <v>0.05</v>
      </c>
      <c r="T126" s="120">
        <v>2.5000000000000001E-2</v>
      </c>
      <c r="U126" s="120">
        <v>0.03</v>
      </c>
      <c r="V126" s="121">
        <f t="shared" si="18"/>
        <v>0</v>
      </c>
      <c r="W126" s="119"/>
      <c r="X126" s="113">
        <f t="shared" si="12"/>
        <v>540.27131182859716</v>
      </c>
      <c r="Y126" s="113">
        <f t="shared" si="13"/>
        <v>727.8550770305917</v>
      </c>
      <c r="Z126" s="113">
        <f t="shared" si="14"/>
        <v>864.71997124985148</v>
      </c>
      <c r="AA126" s="22"/>
      <c r="AB126" s="22"/>
      <c r="AC126" s="22"/>
      <c r="AD126" s="22"/>
      <c r="AE126" s="22"/>
      <c r="AF126" s="22"/>
      <c r="AG126" s="22"/>
      <c r="AH126" s="22"/>
      <c r="AI126" s="22"/>
      <c r="AJ126" s="22"/>
      <c r="AK126" s="22"/>
      <c r="AL126" s="22"/>
      <c r="AM126" s="22"/>
      <c r="AN126" s="22"/>
      <c r="AO126" s="22"/>
      <c r="AP126" s="22"/>
      <c r="AQ126" s="22"/>
      <c r="AR126" s="22"/>
    </row>
    <row r="127" spans="1:44" hidden="1" x14ac:dyDescent="0.25">
      <c r="A127" s="16"/>
      <c r="B127" s="3" t="s">
        <v>198</v>
      </c>
      <c r="C127" s="3" t="s">
        <v>199</v>
      </c>
      <c r="D127" s="11" t="s">
        <v>8</v>
      </c>
      <c r="E127" s="107">
        <v>705.51674946705123</v>
      </c>
      <c r="F127" s="108">
        <v>811.55899723998004</v>
      </c>
      <c r="G127" s="109">
        <v>1082.7055860186574</v>
      </c>
      <c r="H127" s="114"/>
      <c r="I127" s="113">
        <v>51.690599999999996</v>
      </c>
      <c r="J127" s="114">
        <v>95.386499999999984</v>
      </c>
      <c r="K127" s="109">
        <v>102.44589999999999</v>
      </c>
      <c r="L127" s="114"/>
      <c r="M127" s="113">
        <v>167.04576</v>
      </c>
      <c r="N127" s="114">
        <v>170.87111999999999</v>
      </c>
      <c r="O127" s="109">
        <v>187.48295999999999</v>
      </c>
      <c r="P127" s="119"/>
      <c r="Q127" s="120">
        <v>2.1000000000000001E-2</v>
      </c>
      <c r="R127" s="120">
        <v>1.4E-2</v>
      </c>
      <c r="S127" s="120">
        <v>2.1000000000000001E-2</v>
      </c>
      <c r="T127" s="120">
        <v>1.4E-2</v>
      </c>
      <c r="U127" s="120">
        <v>3.5000000000000003E-2</v>
      </c>
      <c r="V127" s="121">
        <f>SUBTOTAL(9,Q127:U127)</f>
        <v>0</v>
      </c>
      <c r="W127" s="119"/>
      <c r="X127" s="113">
        <f t="shared" si="12"/>
        <v>924.25310946705122</v>
      </c>
      <c r="Y127" s="113">
        <f t="shared" si="13"/>
        <v>1077.8166172399799</v>
      </c>
      <c r="Z127" s="113">
        <f t="shared" si="14"/>
        <v>1372.6344460186574</v>
      </c>
      <c r="AA127" s="22"/>
      <c r="AB127" s="22"/>
      <c r="AC127" s="22"/>
      <c r="AD127" s="22"/>
      <c r="AE127" s="22"/>
      <c r="AF127" s="22"/>
      <c r="AG127" s="22"/>
      <c r="AH127" s="22"/>
      <c r="AI127" s="22"/>
      <c r="AJ127" s="22"/>
      <c r="AK127" s="22"/>
      <c r="AL127" s="22"/>
      <c r="AM127" s="22"/>
      <c r="AN127" s="22"/>
      <c r="AO127" s="22"/>
      <c r="AP127" s="22"/>
      <c r="AQ127" s="22"/>
      <c r="AR127" s="22"/>
    </row>
    <row r="128" spans="1:44" hidden="1" x14ac:dyDescent="0.25">
      <c r="A128" s="16"/>
      <c r="B128" s="3" t="s">
        <v>200</v>
      </c>
      <c r="C128" s="3" t="s">
        <v>201</v>
      </c>
      <c r="D128" s="11" t="s">
        <v>8</v>
      </c>
      <c r="E128" s="107">
        <v>1561.5775945300845</v>
      </c>
      <c r="F128" s="108">
        <v>2098.6411864743909</v>
      </c>
      <c r="G128" s="109">
        <v>2413.9908766782696</v>
      </c>
      <c r="H128" s="114"/>
      <c r="I128" s="113">
        <v>118.15123247839796</v>
      </c>
      <c r="J128" s="114">
        <v>218.02866549818935</v>
      </c>
      <c r="K128" s="109">
        <v>234.16461305070379</v>
      </c>
      <c r="L128" s="114"/>
      <c r="M128" s="113">
        <v>378.09763145775258</v>
      </c>
      <c r="N128" s="114">
        <v>386.7560945966747</v>
      </c>
      <c r="O128" s="109">
        <v>424.35595560574887</v>
      </c>
      <c r="P128" s="119"/>
      <c r="Q128" s="120">
        <v>0.1</v>
      </c>
      <c r="R128" s="120">
        <v>0.02</v>
      </c>
      <c r="S128" s="120">
        <v>0.1</v>
      </c>
      <c r="T128" s="120">
        <v>0.02</v>
      </c>
      <c r="U128" s="120">
        <v>2.5000000000000001E-2</v>
      </c>
      <c r="V128" s="121">
        <f t="shared" si="18"/>
        <v>0</v>
      </c>
      <c r="W128" s="119"/>
      <c r="X128" s="113">
        <f t="shared" si="12"/>
        <v>2057.8264584662352</v>
      </c>
      <c r="Y128" s="113">
        <f t="shared" si="13"/>
        <v>2703.4259465692548</v>
      </c>
      <c r="Z128" s="113">
        <f t="shared" si="14"/>
        <v>3072.5114453347223</v>
      </c>
      <c r="AA128" s="22"/>
      <c r="AB128" s="22"/>
      <c r="AC128" s="22"/>
      <c r="AD128" s="22"/>
      <c r="AE128" s="22"/>
      <c r="AF128" s="22"/>
      <c r="AG128" s="22"/>
      <c r="AH128" s="22"/>
      <c r="AI128" s="22"/>
      <c r="AJ128" s="22"/>
      <c r="AK128" s="22"/>
      <c r="AL128" s="22"/>
      <c r="AM128" s="22"/>
      <c r="AN128" s="22"/>
      <c r="AO128" s="22"/>
      <c r="AP128" s="22"/>
      <c r="AQ128" s="22"/>
      <c r="AR128" s="22"/>
    </row>
    <row r="129" spans="1:44" hidden="1" x14ac:dyDescent="0.25">
      <c r="A129" s="16"/>
      <c r="B129" s="3" t="s">
        <v>202</v>
      </c>
      <c r="C129" s="3" t="s">
        <v>203</v>
      </c>
      <c r="D129" s="11" t="s">
        <v>8</v>
      </c>
      <c r="E129" s="107">
        <v>689.8920835405271</v>
      </c>
      <c r="F129" s="108">
        <v>983.19264047737431</v>
      </c>
      <c r="G129" s="109">
        <v>1177.3131526603679</v>
      </c>
      <c r="H129" s="114"/>
      <c r="I129" s="113">
        <v>51.536670385142585</v>
      </c>
      <c r="J129" s="114">
        <v>95.102448214808931</v>
      </c>
      <c r="K129" s="109">
        <v>102.14082600335996</v>
      </c>
      <c r="L129" s="114"/>
      <c r="M129" s="113">
        <v>167.38485765203467</v>
      </c>
      <c r="N129" s="114">
        <v>171.21798301282078</v>
      </c>
      <c r="O129" s="109">
        <v>187.86354452685367</v>
      </c>
      <c r="P129" s="119"/>
      <c r="Q129" s="120">
        <v>0.03</v>
      </c>
      <c r="R129" s="120">
        <v>1.4999999999999999E-2</v>
      </c>
      <c r="S129" s="120">
        <v>0.02</v>
      </c>
      <c r="T129" s="120">
        <v>0.01</v>
      </c>
      <c r="U129" s="120">
        <v>5.0000000000000001E-3</v>
      </c>
      <c r="V129" s="121">
        <f>SUBTOTAL(9,Q129:U129)</f>
        <v>0</v>
      </c>
      <c r="W129" s="119"/>
      <c r="X129" s="113">
        <f t="shared" si="12"/>
        <v>908.81361157770425</v>
      </c>
      <c r="Y129" s="113">
        <f t="shared" si="13"/>
        <v>1249.513071705004</v>
      </c>
      <c r="Z129" s="113">
        <f t="shared" si="14"/>
        <v>1467.3175231905816</v>
      </c>
      <c r="AA129" s="22"/>
      <c r="AB129" s="22"/>
      <c r="AC129" s="22"/>
      <c r="AD129" s="22"/>
      <c r="AE129" s="22"/>
      <c r="AF129" s="22"/>
      <c r="AG129" s="22"/>
      <c r="AH129" s="22"/>
      <c r="AI129" s="22"/>
      <c r="AJ129" s="22"/>
      <c r="AK129" s="22"/>
      <c r="AL129" s="22"/>
      <c r="AM129" s="22"/>
      <c r="AN129" s="22"/>
      <c r="AO129" s="22"/>
      <c r="AP129" s="22"/>
      <c r="AQ129" s="22"/>
      <c r="AR129" s="22"/>
    </row>
    <row r="130" spans="1:44" hidden="1" x14ac:dyDescent="0.25">
      <c r="A130" s="16"/>
      <c r="B130" s="3" t="s">
        <v>204</v>
      </c>
      <c r="C130" s="3" t="s">
        <v>205</v>
      </c>
      <c r="D130" s="11" t="s">
        <v>8</v>
      </c>
      <c r="E130" s="107">
        <v>741.19373446046734</v>
      </c>
      <c r="F130" s="108">
        <v>1057.8186573843857</v>
      </c>
      <c r="G130" s="109">
        <v>1359.4351069119841</v>
      </c>
      <c r="H130" s="114"/>
      <c r="I130" s="113">
        <v>69.727163442266104</v>
      </c>
      <c r="J130" s="114">
        <v>128.67001109845339</v>
      </c>
      <c r="K130" s="109">
        <v>138.19266971731898</v>
      </c>
      <c r="L130" s="114"/>
      <c r="M130" s="113">
        <v>234.23624455159489</v>
      </c>
      <c r="N130" s="114">
        <v>239.60027151317649</v>
      </c>
      <c r="O130" s="109">
        <v>262.89385895108552</v>
      </c>
      <c r="P130" s="119"/>
      <c r="Q130" s="120">
        <v>0.04</v>
      </c>
      <c r="R130" s="120">
        <v>0.03</v>
      </c>
      <c r="S130" s="120">
        <v>0.04</v>
      </c>
      <c r="T130" s="120">
        <v>0.02</v>
      </c>
      <c r="U130" s="120">
        <v>0.02</v>
      </c>
      <c r="V130" s="121">
        <f t="shared" si="18"/>
        <v>0</v>
      </c>
      <c r="W130" s="119"/>
      <c r="X130" s="113">
        <f t="shared" si="12"/>
        <v>1045.1571424543283</v>
      </c>
      <c r="Y130" s="113">
        <f t="shared" si="13"/>
        <v>1426.0889399960156</v>
      </c>
      <c r="Z130" s="113">
        <f t="shared" si="14"/>
        <v>1760.5216355803886</v>
      </c>
      <c r="AA130" s="22"/>
      <c r="AB130" s="22"/>
      <c r="AC130" s="22"/>
      <c r="AD130" s="22"/>
      <c r="AE130" s="22"/>
      <c r="AF130" s="22"/>
      <c r="AG130" s="22"/>
      <c r="AH130" s="22"/>
      <c r="AI130" s="22"/>
      <c r="AJ130" s="22"/>
      <c r="AK130" s="22"/>
      <c r="AL130" s="22"/>
      <c r="AM130" s="22"/>
      <c r="AN130" s="22"/>
      <c r="AO130" s="22"/>
      <c r="AP130" s="22"/>
      <c r="AQ130" s="22"/>
      <c r="AR130" s="22"/>
    </row>
    <row r="131" spans="1:44" hidden="1" x14ac:dyDescent="0.25">
      <c r="A131" s="16"/>
      <c r="B131" s="3" t="s">
        <v>206</v>
      </c>
      <c r="C131" s="3" t="s">
        <v>207</v>
      </c>
      <c r="D131" s="11" t="s">
        <v>8</v>
      </c>
      <c r="E131" s="107">
        <v>744.78635504724014</v>
      </c>
      <c r="F131" s="108">
        <v>771.44873980606656</v>
      </c>
      <c r="G131" s="109">
        <v>837.44498085529585</v>
      </c>
      <c r="H131" s="114"/>
      <c r="I131" s="113">
        <v>38.493000000000002</v>
      </c>
      <c r="J131" s="114">
        <v>71.032499999999985</v>
      </c>
      <c r="K131" s="109">
        <v>76.28949999999999</v>
      </c>
      <c r="L131" s="114"/>
      <c r="M131" s="113">
        <v>127.6044</v>
      </c>
      <c r="N131" s="114">
        <v>130.52654999999999</v>
      </c>
      <c r="O131" s="109">
        <v>143.21615</v>
      </c>
      <c r="P131" s="119"/>
      <c r="Q131" s="120">
        <v>0.02</v>
      </c>
      <c r="R131" s="120">
        <v>1.4999999999999999E-2</v>
      </c>
      <c r="S131" s="120">
        <v>1.4999999999999999E-2</v>
      </c>
      <c r="T131" s="122" t="s">
        <v>251</v>
      </c>
      <c r="U131" s="122" t="s">
        <v>250</v>
      </c>
      <c r="V131" s="121">
        <f>SUBTOTAL(9,Q131:U131)</f>
        <v>0</v>
      </c>
      <c r="W131" s="119"/>
      <c r="X131" s="113">
        <f t="shared" si="12"/>
        <v>910.88375504724013</v>
      </c>
      <c r="Y131" s="113">
        <f t="shared" si="13"/>
        <v>973.00778980606651</v>
      </c>
      <c r="Z131" s="113">
        <f t="shared" si="14"/>
        <v>1056.9506308552959</v>
      </c>
      <c r="AA131" s="22"/>
      <c r="AB131" s="22"/>
      <c r="AC131" s="22"/>
      <c r="AD131" s="22"/>
      <c r="AE131" s="22"/>
      <c r="AF131" s="22"/>
      <c r="AG131" s="22"/>
      <c r="AH131" s="22"/>
      <c r="AI131" s="22"/>
      <c r="AJ131" s="22"/>
      <c r="AK131" s="22"/>
      <c r="AL131" s="22"/>
      <c r="AM131" s="22"/>
      <c r="AN131" s="22"/>
      <c r="AO131" s="22"/>
      <c r="AP131" s="22"/>
      <c r="AQ131" s="22"/>
      <c r="AR131" s="22"/>
    </row>
    <row r="132" spans="1:44" hidden="1" x14ac:dyDescent="0.25">
      <c r="A132" s="16"/>
      <c r="B132" s="3" t="s">
        <v>208</v>
      </c>
      <c r="C132" s="3" t="s">
        <v>209</v>
      </c>
      <c r="D132" s="11" t="s">
        <v>8</v>
      </c>
      <c r="E132" s="107">
        <v>849.3382866235703</v>
      </c>
      <c r="F132" s="108">
        <v>1010.882260069617</v>
      </c>
      <c r="G132" s="109">
        <v>1280.2124815017403</v>
      </c>
      <c r="H132" s="114"/>
      <c r="I132" s="113">
        <v>54.99</v>
      </c>
      <c r="J132" s="114">
        <v>101.47499999999999</v>
      </c>
      <c r="K132" s="109">
        <v>108.985</v>
      </c>
      <c r="L132" s="114"/>
      <c r="M132" s="113">
        <v>180.93309600000003</v>
      </c>
      <c r="N132" s="114">
        <v>185.07647700000001</v>
      </c>
      <c r="O132" s="109">
        <v>203.06934100000004</v>
      </c>
      <c r="P132" s="119"/>
      <c r="Q132" s="120">
        <v>0.03</v>
      </c>
      <c r="R132" s="120">
        <v>0.03</v>
      </c>
      <c r="S132" s="120">
        <v>0.03</v>
      </c>
      <c r="T132" s="120">
        <v>0.01</v>
      </c>
      <c r="U132" s="120">
        <v>0.01</v>
      </c>
      <c r="V132" s="121">
        <f t="shared" si="18"/>
        <v>0</v>
      </c>
      <c r="W132" s="119"/>
      <c r="X132" s="113">
        <f t="shared" si="12"/>
        <v>1085.2613826235704</v>
      </c>
      <c r="Y132" s="113">
        <f t="shared" si="13"/>
        <v>1297.4337370696171</v>
      </c>
      <c r="Z132" s="113">
        <f t="shared" si="14"/>
        <v>1592.2668225017403</v>
      </c>
      <c r="AA132" s="22"/>
      <c r="AB132" s="22"/>
      <c r="AC132" s="22"/>
      <c r="AD132" s="22"/>
      <c r="AE132" s="22"/>
      <c r="AF132" s="22"/>
      <c r="AG132" s="22"/>
      <c r="AH132" s="22"/>
      <c r="AI132" s="22"/>
      <c r="AJ132" s="22"/>
      <c r="AK132" s="22"/>
      <c r="AL132" s="22"/>
      <c r="AM132" s="22"/>
      <c r="AN132" s="22"/>
      <c r="AO132" s="22"/>
      <c r="AP132" s="22"/>
      <c r="AQ132" s="22"/>
      <c r="AR132" s="22"/>
    </row>
    <row r="133" spans="1:44" hidden="1" x14ac:dyDescent="0.25">
      <c r="A133" s="16"/>
      <c r="B133" s="3" t="s">
        <v>210</v>
      </c>
      <c r="C133" s="3" t="s">
        <v>210</v>
      </c>
      <c r="D133" s="11" t="s">
        <v>8</v>
      </c>
      <c r="E133" s="107">
        <v>1220.2865862754848</v>
      </c>
      <c r="F133" s="108">
        <v>1907.1311277971158</v>
      </c>
      <c r="G133" s="109">
        <v>2217.8611939333664</v>
      </c>
      <c r="H133" s="114"/>
      <c r="I133" s="113">
        <v>98.981999999999999</v>
      </c>
      <c r="J133" s="114">
        <v>182.655</v>
      </c>
      <c r="K133" s="109">
        <v>196.173</v>
      </c>
      <c r="L133" s="114"/>
      <c r="M133" s="113">
        <v>319.17671999999999</v>
      </c>
      <c r="N133" s="114">
        <v>326.48589000000004</v>
      </c>
      <c r="O133" s="109">
        <v>358.22637000000003</v>
      </c>
      <c r="P133" s="119"/>
      <c r="Q133" s="120">
        <v>7.0000000000000007E-2</v>
      </c>
      <c r="R133" s="120">
        <v>7.0000000000000007E-2</v>
      </c>
      <c r="S133" s="120">
        <v>0.1</v>
      </c>
      <c r="T133" s="120" t="s">
        <v>251</v>
      </c>
      <c r="U133" s="120" t="s">
        <v>250</v>
      </c>
      <c r="V133" s="121">
        <f t="shared" si="18"/>
        <v>0</v>
      </c>
      <c r="W133" s="119"/>
      <c r="X133" s="113">
        <f t="shared" si="12"/>
        <v>1638.4453062754847</v>
      </c>
      <c r="Y133" s="113">
        <f t="shared" si="13"/>
        <v>2416.272017797116</v>
      </c>
      <c r="Z133" s="113">
        <f t="shared" si="14"/>
        <v>2772.2605639333665</v>
      </c>
      <c r="AA133" s="22"/>
      <c r="AB133" s="22"/>
      <c r="AC133" s="22"/>
      <c r="AD133" s="22"/>
      <c r="AE133" s="22"/>
      <c r="AF133" s="22"/>
      <c r="AG133" s="22"/>
      <c r="AH133" s="22"/>
      <c r="AI133" s="22"/>
      <c r="AJ133" s="22"/>
      <c r="AK133" s="22"/>
      <c r="AL133" s="22"/>
      <c r="AM133" s="22"/>
      <c r="AN133" s="22"/>
      <c r="AO133" s="22"/>
      <c r="AP133" s="22"/>
      <c r="AQ133" s="22"/>
      <c r="AR133" s="22"/>
    </row>
    <row r="134" spans="1:44" hidden="1" x14ac:dyDescent="0.25">
      <c r="A134" s="16"/>
      <c r="B134" s="3" t="s">
        <v>211</v>
      </c>
      <c r="C134" s="3" t="s">
        <v>212</v>
      </c>
      <c r="D134" s="11" t="s">
        <v>8</v>
      </c>
      <c r="E134" s="107">
        <v>894.42944076578817</v>
      </c>
      <c r="F134" s="108">
        <v>1243.1706337364496</v>
      </c>
      <c r="G134" s="109">
        <v>1324.9437379890603</v>
      </c>
      <c r="H134" s="114"/>
      <c r="I134" s="113">
        <v>65.988</v>
      </c>
      <c r="J134" s="114">
        <v>121.76999999999998</v>
      </c>
      <c r="K134" s="109">
        <v>130.78199999999998</v>
      </c>
      <c r="L134" s="114"/>
      <c r="M134" s="113">
        <v>191.77118400000001</v>
      </c>
      <c r="N134" s="114">
        <v>196.162758</v>
      </c>
      <c r="O134" s="109">
        <v>215.23341400000001</v>
      </c>
      <c r="P134" s="119"/>
      <c r="Q134" s="120">
        <v>0.03</v>
      </c>
      <c r="R134" s="120">
        <v>0.02</v>
      </c>
      <c r="S134" s="120">
        <v>0.04</v>
      </c>
      <c r="T134" s="120">
        <v>1.4999999999999999E-2</v>
      </c>
      <c r="U134" s="120">
        <v>1.4999999999999999E-2</v>
      </c>
      <c r="V134" s="121">
        <f t="shared" si="18"/>
        <v>0</v>
      </c>
      <c r="W134" s="119"/>
      <c r="X134" s="113">
        <f t="shared" si="12"/>
        <v>1152.1886247657881</v>
      </c>
      <c r="Y134" s="113">
        <f t="shared" si="13"/>
        <v>1561.1033917364496</v>
      </c>
      <c r="Z134" s="113">
        <f t="shared" si="14"/>
        <v>1670.9591519890603</v>
      </c>
      <c r="AA134" s="22"/>
      <c r="AB134" s="22"/>
      <c r="AC134" s="22"/>
      <c r="AD134" s="22"/>
      <c r="AE134" s="22"/>
      <c r="AF134" s="22"/>
      <c r="AG134" s="22"/>
      <c r="AH134" s="22"/>
      <c r="AI134" s="22"/>
      <c r="AJ134" s="22"/>
      <c r="AK134" s="22"/>
      <c r="AL134" s="22"/>
      <c r="AM134" s="22"/>
      <c r="AN134" s="22"/>
      <c r="AO134" s="22"/>
      <c r="AP134" s="22"/>
      <c r="AQ134" s="22"/>
      <c r="AR134" s="22"/>
    </row>
    <row r="135" spans="1:44" hidden="1" x14ac:dyDescent="0.25">
      <c r="A135" s="16"/>
      <c r="B135" s="3" t="s">
        <v>213</v>
      </c>
      <c r="C135" s="3" t="s">
        <v>214</v>
      </c>
      <c r="D135" s="11" t="s">
        <v>8</v>
      </c>
      <c r="E135" s="107">
        <v>807.84112961710582</v>
      </c>
      <c r="F135" s="108">
        <v>1155.7776893088017</v>
      </c>
      <c r="G135" s="109">
        <v>1511.2864640775731</v>
      </c>
      <c r="H135" s="114"/>
      <c r="I135" s="113">
        <v>57.189600000000006</v>
      </c>
      <c r="J135" s="114">
        <v>105.53399999999999</v>
      </c>
      <c r="K135" s="109">
        <v>113.34440000000001</v>
      </c>
      <c r="L135" s="114"/>
      <c r="M135" s="113">
        <v>183.78220319467542</v>
      </c>
      <c r="N135" s="114">
        <v>187.99082895574099</v>
      </c>
      <c r="O135" s="109">
        <v>206.26702198403123</v>
      </c>
      <c r="P135" s="119"/>
      <c r="Q135" s="120">
        <v>0.04</v>
      </c>
      <c r="R135" s="120">
        <v>0.02</v>
      </c>
      <c r="S135" s="120">
        <v>0.04</v>
      </c>
      <c r="T135" s="120">
        <v>0.02</v>
      </c>
      <c r="U135" s="120">
        <v>0.02</v>
      </c>
      <c r="V135" s="121">
        <f t="shared" si="18"/>
        <v>0</v>
      </c>
      <c r="W135" s="119"/>
      <c r="X135" s="113">
        <f t="shared" si="12"/>
        <v>1048.8129328117814</v>
      </c>
      <c r="Y135" s="113">
        <f t="shared" si="13"/>
        <v>1449.3025182645429</v>
      </c>
      <c r="Z135" s="113">
        <f t="shared" si="14"/>
        <v>1830.8978860616044</v>
      </c>
      <c r="AA135" s="22"/>
      <c r="AB135" s="22"/>
      <c r="AC135" s="22"/>
      <c r="AD135" s="22"/>
      <c r="AE135" s="22"/>
      <c r="AF135" s="22"/>
      <c r="AG135" s="22"/>
      <c r="AH135" s="22"/>
      <c r="AI135" s="22"/>
      <c r="AJ135" s="22"/>
      <c r="AK135" s="22"/>
      <c r="AL135" s="22"/>
      <c r="AM135" s="22"/>
      <c r="AN135" s="22"/>
      <c r="AO135" s="22"/>
      <c r="AP135" s="22"/>
      <c r="AQ135" s="22"/>
      <c r="AR135" s="22"/>
    </row>
    <row r="136" spans="1:44" hidden="1" x14ac:dyDescent="0.25">
      <c r="A136" s="16"/>
      <c r="B136" s="3" t="s">
        <v>215</v>
      </c>
      <c r="C136" s="3" t="s">
        <v>216</v>
      </c>
      <c r="D136" s="11" t="s">
        <v>8</v>
      </c>
      <c r="E136" s="107">
        <v>508.8425519641969</v>
      </c>
      <c r="F136" s="108">
        <v>708.67977722526109</v>
      </c>
      <c r="G136" s="109">
        <v>921.57452610641485</v>
      </c>
      <c r="H136" s="114"/>
      <c r="I136" s="113">
        <v>34.60354972378984</v>
      </c>
      <c r="J136" s="114">
        <v>63.855159269350317</v>
      </c>
      <c r="K136" s="109">
        <v>68.580975934665133</v>
      </c>
      <c r="L136" s="114"/>
      <c r="M136" s="113">
        <v>110.73536785143243</v>
      </c>
      <c r="N136" s="114">
        <v>113.27121579372175</v>
      </c>
      <c r="O136" s="109">
        <v>124.28327747723374</v>
      </c>
      <c r="P136" s="119"/>
      <c r="Q136" s="120">
        <v>0.03</v>
      </c>
      <c r="R136" s="120">
        <v>1.4999999999999999E-2</v>
      </c>
      <c r="S136" s="120">
        <v>0.03</v>
      </c>
      <c r="T136" s="120" t="s">
        <v>250</v>
      </c>
      <c r="U136" s="120">
        <v>1.4999999999999999E-2</v>
      </c>
      <c r="V136" s="121">
        <f>SUBTOTAL(9,Q136:U136)</f>
        <v>0</v>
      </c>
      <c r="W136" s="119"/>
      <c r="X136" s="113">
        <f t="shared" si="12"/>
        <v>654.18146953941914</v>
      </c>
      <c r="Y136" s="113">
        <f t="shared" si="13"/>
        <v>885.80615228833312</v>
      </c>
      <c r="Z136" s="113">
        <f t="shared" si="14"/>
        <v>1114.4387795183138</v>
      </c>
      <c r="AA136" s="22"/>
      <c r="AB136" s="22"/>
      <c r="AC136" s="22"/>
      <c r="AD136" s="22"/>
      <c r="AE136" s="22"/>
      <c r="AF136" s="22"/>
      <c r="AG136" s="22"/>
      <c r="AH136" s="22"/>
      <c r="AI136" s="22"/>
      <c r="AJ136" s="22"/>
      <c r="AK136" s="22"/>
      <c r="AL136" s="22"/>
      <c r="AM136" s="22"/>
      <c r="AN136" s="22"/>
      <c r="AO136" s="22"/>
      <c r="AP136" s="22"/>
      <c r="AQ136" s="22"/>
      <c r="AR136" s="22"/>
    </row>
    <row r="137" spans="1:44" hidden="1" x14ac:dyDescent="0.25">
      <c r="A137" s="16"/>
      <c r="B137" s="3" t="s">
        <v>217</v>
      </c>
      <c r="C137" s="3" t="s">
        <v>218</v>
      </c>
      <c r="D137" s="11" t="s">
        <v>8</v>
      </c>
      <c r="E137" s="107">
        <v>558.45171978965686</v>
      </c>
      <c r="F137" s="108">
        <v>699.53923815763301</v>
      </c>
      <c r="G137" s="109">
        <v>863.94799935007461</v>
      </c>
      <c r="H137" s="114"/>
      <c r="I137" s="113">
        <v>40.704989818351898</v>
      </c>
      <c r="J137" s="114">
        <v>75.11436337183595</v>
      </c>
      <c r="K137" s="109">
        <v>80.673455452865639</v>
      </c>
      <c r="L137" s="114"/>
      <c r="M137" s="113">
        <v>134.14906158745211</v>
      </c>
      <c r="N137" s="114">
        <v>137.22108481171216</v>
      </c>
      <c r="O137" s="109">
        <v>150.5615176801723</v>
      </c>
      <c r="P137" s="119"/>
      <c r="Q137" s="120">
        <v>0.03</v>
      </c>
      <c r="R137" s="120">
        <v>0.03</v>
      </c>
      <c r="S137" s="120">
        <v>0.04</v>
      </c>
      <c r="T137" s="120">
        <v>0.03</v>
      </c>
      <c r="U137" s="120">
        <v>1.4999999999999999E-2</v>
      </c>
      <c r="V137" s="121">
        <f>SUBTOTAL(9,Q137:U137)</f>
        <v>0</v>
      </c>
      <c r="W137" s="119"/>
      <c r="X137" s="113">
        <f t="shared" si="12"/>
        <v>733.30577119546092</v>
      </c>
      <c r="Y137" s="113">
        <f t="shared" si="13"/>
        <v>911.87468634118113</v>
      </c>
      <c r="Z137" s="113">
        <f t="shared" si="14"/>
        <v>1095.1829724831125</v>
      </c>
      <c r="AA137" s="22"/>
      <c r="AB137" s="22"/>
      <c r="AC137" s="22"/>
      <c r="AD137" s="22"/>
      <c r="AE137" s="22"/>
      <c r="AF137" s="22"/>
      <c r="AG137" s="22"/>
      <c r="AH137" s="22"/>
      <c r="AI137" s="22"/>
      <c r="AJ137" s="22"/>
      <c r="AK137" s="22"/>
      <c r="AL137" s="22"/>
      <c r="AM137" s="22"/>
      <c r="AN137" s="22"/>
      <c r="AO137" s="22"/>
      <c r="AP137" s="22"/>
      <c r="AQ137" s="22"/>
      <c r="AR137" s="22"/>
    </row>
    <row r="138" spans="1:44" x14ac:dyDescent="0.25">
      <c r="A138" s="16"/>
      <c r="B138" s="3" t="s">
        <v>219</v>
      </c>
      <c r="C138" s="3" t="s">
        <v>220</v>
      </c>
      <c r="D138" s="11" t="s">
        <v>6</v>
      </c>
      <c r="E138" s="107">
        <v>1449.5932272501243</v>
      </c>
      <c r="F138" s="108">
        <v>1980.3544356041768</v>
      </c>
      <c r="G138" s="109">
        <v>2617.6302187966185</v>
      </c>
      <c r="H138" s="114"/>
      <c r="I138" s="113">
        <v>190.97640000000001</v>
      </c>
      <c r="J138" s="114">
        <v>333.26640000000003</v>
      </c>
      <c r="K138" s="109">
        <v>489.38040000000001</v>
      </c>
      <c r="L138" s="114"/>
      <c r="M138" s="113">
        <v>353.64648</v>
      </c>
      <c r="N138" s="114">
        <v>361.74500999999998</v>
      </c>
      <c r="O138" s="109">
        <v>396.91332999999997</v>
      </c>
      <c r="P138" s="119"/>
      <c r="Q138" s="120">
        <v>0.05</v>
      </c>
      <c r="R138" s="120">
        <v>0.01</v>
      </c>
      <c r="S138" s="120">
        <v>0.05</v>
      </c>
      <c r="T138" s="120">
        <v>0.02</v>
      </c>
      <c r="U138" s="120">
        <v>0.02</v>
      </c>
      <c r="V138" s="121">
        <f t="shared" ref="V138:V139" si="19">SUBTOTAL(9,Q138:U138)</f>
        <v>0.15</v>
      </c>
      <c r="W138" s="119"/>
      <c r="X138" s="113">
        <f t="shared" si="12"/>
        <v>2293.3485233376427</v>
      </c>
      <c r="Y138" s="113">
        <f t="shared" si="13"/>
        <v>3076.6707224448037</v>
      </c>
      <c r="Z138" s="113">
        <f t="shared" si="14"/>
        <v>4029.5125411161107</v>
      </c>
      <c r="AA138" s="22"/>
      <c r="AB138" s="22"/>
      <c r="AC138" s="22"/>
      <c r="AD138" s="22"/>
      <c r="AE138" s="22"/>
      <c r="AF138" s="22"/>
      <c r="AG138" s="22"/>
      <c r="AH138" s="22"/>
      <c r="AI138" s="22"/>
      <c r="AJ138" s="22"/>
      <c r="AK138" s="22"/>
      <c r="AL138" s="22"/>
      <c r="AM138" s="22"/>
      <c r="AN138" s="22"/>
      <c r="AO138" s="22"/>
      <c r="AP138" s="22"/>
      <c r="AQ138" s="22"/>
      <c r="AR138" s="22"/>
    </row>
    <row r="139" spans="1:44" hidden="1" x14ac:dyDescent="0.25">
      <c r="A139" s="16"/>
      <c r="B139" s="3" t="s">
        <v>221</v>
      </c>
      <c r="C139" s="3" t="s">
        <v>222</v>
      </c>
      <c r="D139" s="11" t="s">
        <v>6</v>
      </c>
      <c r="E139" s="107">
        <v>960.3429413227251</v>
      </c>
      <c r="F139" s="108">
        <v>1289.4044826951765</v>
      </c>
      <c r="G139" s="109">
        <v>1905.6578397314772</v>
      </c>
      <c r="H139" s="114"/>
      <c r="I139" s="113">
        <v>115.38704637646364</v>
      </c>
      <c r="J139" s="114">
        <v>201.35799791239691</v>
      </c>
      <c r="K139" s="109">
        <v>295.68134549888009</v>
      </c>
      <c r="L139" s="114"/>
      <c r="M139" s="113">
        <v>206.81856000000002</v>
      </c>
      <c r="N139" s="114">
        <v>211.55471999999997</v>
      </c>
      <c r="O139" s="109">
        <v>232.12175999999999</v>
      </c>
      <c r="P139" s="119"/>
      <c r="Q139" s="120">
        <v>0.05</v>
      </c>
      <c r="R139" s="120">
        <v>0.02</v>
      </c>
      <c r="S139" s="120">
        <v>0.04</v>
      </c>
      <c r="T139" s="120">
        <v>0.03</v>
      </c>
      <c r="U139" s="120">
        <v>0.02</v>
      </c>
      <c r="V139" s="121">
        <f t="shared" si="19"/>
        <v>0</v>
      </c>
      <c r="W139" s="119"/>
      <c r="X139" s="113">
        <f>(E139+I139+M139)*(1+V139)</f>
        <v>1282.5485476991887</v>
      </c>
      <c r="Y139" s="113">
        <f t="shared" ref="Y139" si="20">(F139+J139+N139)*(1+V139)</f>
        <v>1702.3172006075733</v>
      </c>
      <c r="Z139" s="113">
        <f t="shared" ref="Z139" si="21">(G139+K139+O139)*(1+V139)</f>
        <v>2433.4609452303575</v>
      </c>
      <c r="AA139" s="22"/>
      <c r="AB139" s="22"/>
      <c r="AC139" s="22"/>
      <c r="AD139" s="22"/>
      <c r="AE139" s="22"/>
      <c r="AF139" s="22"/>
      <c r="AG139" s="22"/>
      <c r="AH139" s="22"/>
      <c r="AI139" s="22"/>
      <c r="AJ139" s="22"/>
      <c r="AK139" s="22"/>
      <c r="AL139" s="22"/>
      <c r="AM139" s="22"/>
      <c r="AN139" s="22"/>
      <c r="AO139" s="22"/>
      <c r="AP139" s="22"/>
      <c r="AQ139" s="22"/>
      <c r="AR139" s="22"/>
    </row>
    <row r="140" spans="1:44" x14ac:dyDescent="0.25">
      <c r="A140" s="16"/>
      <c r="B140" s="17"/>
      <c r="C140" s="3"/>
      <c r="D140" s="1"/>
      <c r="F140" s="4"/>
      <c r="G140" s="4"/>
      <c r="H140" s="4"/>
      <c r="I140" s="4"/>
      <c r="J140" s="4"/>
      <c r="K140" s="4"/>
      <c r="L140" s="4"/>
      <c r="M140" s="4"/>
      <c r="N140" s="4"/>
      <c r="O140" s="4"/>
      <c r="P140" s="4"/>
      <c r="Q140" s="4"/>
      <c r="R140" s="4"/>
      <c r="S140" s="4"/>
      <c r="T140" s="4"/>
      <c r="U140" s="4"/>
      <c r="V140" s="4"/>
      <c r="W140" s="4"/>
      <c r="X140" s="4"/>
      <c r="Y140" s="4"/>
      <c r="Z140" s="4"/>
    </row>
    <row r="141" spans="1:44" x14ac:dyDescent="0.25">
      <c r="A141" s="16"/>
      <c r="B141" s="17"/>
      <c r="C141" s="3"/>
      <c r="D141" s="1"/>
      <c r="F141" s="4"/>
      <c r="G141" s="4"/>
      <c r="H141" s="4"/>
      <c r="I141" s="4"/>
      <c r="J141" s="4"/>
      <c r="K141" s="4"/>
      <c r="L141" s="4"/>
      <c r="M141" s="4"/>
      <c r="N141" s="4"/>
      <c r="O141" s="4"/>
      <c r="P141" s="4"/>
      <c r="Q141" s="4"/>
      <c r="R141" s="4"/>
      <c r="S141" s="4"/>
      <c r="T141" s="4"/>
      <c r="U141" s="4"/>
      <c r="V141" s="4"/>
      <c r="W141" s="4"/>
      <c r="X141" s="4"/>
      <c r="Y141" s="4"/>
      <c r="Z141" s="4"/>
    </row>
    <row r="142" spans="1:44" x14ac:dyDescent="0.25">
      <c r="A142" s="16"/>
      <c r="B142" s="17"/>
      <c r="C142" s="3"/>
      <c r="D142" s="1"/>
      <c r="F142" s="4"/>
      <c r="G142" s="4"/>
      <c r="H142" s="4"/>
      <c r="I142" s="4"/>
      <c r="J142" s="4"/>
      <c r="K142" s="4"/>
      <c r="L142" s="4"/>
      <c r="M142" s="4"/>
      <c r="N142" s="4"/>
      <c r="O142" s="4"/>
      <c r="P142" s="4"/>
      <c r="Q142" s="4"/>
      <c r="R142" s="4"/>
      <c r="S142" s="4"/>
      <c r="T142" s="4"/>
      <c r="U142" s="4"/>
      <c r="V142" s="4"/>
      <c r="W142" s="4"/>
      <c r="X142" s="4"/>
      <c r="Y142" s="4"/>
      <c r="Z142" s="4"/>
    </row>
    <row r="143" spans="1:44" x14ac:dyDescent="0.25">
      <c r="A143" s="16"/>
      <c r="B143" s="17"/>
      <c r="C143" s="3"/>
      <c r="D143" s="1"/>
      <c r="F143" s="4"/>
      <c r="G143" s="4"/>
      <c r="H143" s="4"/>
      <c r="I143" s="4"/>
      <c r="J143" s="4"/>
      <c r="K143" s="4"/>
      <c r="L143" s="4"/>
      <c r="M143" s="4"/>
      <c r="N143" s="4"/>
      <c r="O143" s="4"/>
      <c r="P143" s="4"/>
      <c r="Q143" s="4"/>
      <c r="R143" s="4"/>
      <c r="S143" s="4"/>
      <c r="T143" s="4"/>
      <c r="U143" s="4"/>
      <c r="V143" s="4"/>
      <c r="W143" s="4"/>
      <c r="X143" s="4"/>
      <c r="Y143" s="4"/>
      <c r="Z143" s="4"/>
    </row>
    <row r="144" spans="1:44" x14ac:dyDescent="0.25">
      <c r="A144" s="16"/>
      <c r="B144" s="17"/>
      <c r="C144" s="3"/>
      <c r="D144" s="1"/>
      <c r="F144" s="4"/>
      <c r="G144" s="4"/>
      <c r="H144" s="4"/>
      <c r="I144" s="4"/>
      <c r="J144" s="4"/>
      <c r="K144" s="4"/>
      <c r="L144" s="4"/>
      <c r="M144" s="4"/>
      <c r="N144" s="4"/>
      <c r="O144" s="4"/>
      <c r="P144" s="4"/>
      <c r="Q144" s="4"/>
      <c r="R144" s="4"/>
      <c r="S144" s="4"/>
      <c r="T144" s="4"/>
      <c r="U144" s="4"/>
      <c r="V144" s="4"/>
      <c r="W144" s="4"/>
      <c r="X144" s="4"/>
      <c r="Y144" s="4"/>
      <c r="Z144" s="4"/>
    </row>
    <row r="145" spans="1:26" x14ac:dyDescent="0.25">
      <c r="A145" s="16"/>
      <c r="B145" s="17"/>
      <c r="C145" s="3"/>
      <c r="D145" s="1"/>
      <c r="F145" s="4"/>
      <c r="G145" s="4"/>
      <c r="H145" s="4"/>
      <c r="I145" s="4"/>
      <c r="J145" s="4"/>
      <c r="K145" s="4"/>
      <c r="L145" s="4"/>
      <c r="M145" s="4"/>
      <c r="N145" s="4"/>
      <c r="O145" s="4"/>
      <c r="P145" s="4"/>
      <c r="Q145" s="4"/>
      <c r="R145" s="4"/>
      <c r="S145" s="4"/>
      <c r="T145" s="4"/>
      <c r="U145" s="4"/>
      <c r="V145" s="4"/>
      <c r="W145" s="4"/>
      <c r="X145" s="4"/>
      <c r="Y145" s="4"/>
      <c r="Z145" s="4"/>
    </row>
    <row r="146" spans="1:26" x14ac:dyDescent="0.25">
      <c r="A146" s="16"/>
      <c r="B146" s="17"/>
      <c r="C146" s="3"/>
      <c r="D146" s="1"/>
      <c r="F146" s="4"/>
      <c r="G146" s="4"/>
      <c r="H146" s="4"/>
      <c r="I146" s="4"/>
      <c r="J146" s="4"/>
      <c r="K146" s="4"/>
      <c r="L146" s="4"/>
      <c r="M146" s="4"/>
      <c r="N146" s="4"/>
      <c r="O146" s="4"/>
      <c r="P146" s="4"/>
      <c r="Q146" s="4"/>
      <c r="R146" s="4"/>
      <c r="S146" s="4"/>
      <c r="T146" s="4"/>
      <c r="U146" s="4"/>
      <c r="V146" s="4"/>
      <c r="W146" s="4"/>
      <c r="X146" s="4"/>
      <c r="Y146" s="4"/>
      <c r="Z146" s="4"/>
    </row>
    <row r="147" spans="1:26" x14ac:dyDescent="0.25">
      <c r="A147" s="16"/>
      <c r="B147" s="17"/>
      <c r="C147" s="3"/>
      <c r="D147" s="1"/>
      <c r="F147" s="4"/>
      <c r="G147" s="4"/>
      <c r="H147" s="4"/>
      <c r="I147" s="4"/>
      <c r="J147" s="4"/>
      <c r="K147" s="4"/>
      <c r="L147" s="4"/>
      <c r="M147" s="4"/>
      <c r="N147" s="4"/>
      <c r="O147" s="4"/>
      <c r="P147" s="4"/>
      <c r="Q147" s="4"/>
      <c r="R147" s="4"/>
      <c r="S147" s="4"/>
      <c r="T147" s="4"/>
      <c r="U147" s="4"/>
      <c r="V147" s="4"/>
      <c r="W147" s="4"/>
      <c r="X147" s="4"/>
      <c r="Y147" s="4"/>
      <c r="Z147" s="4"/>
    </row>
    <row r="148" spans="1:26" x14ac:dyDescent="0.25">
      <c r="A148" s="16"/>
      <c r="B148" s="17"/>
      <c r="C148" s="3"/>
      <c r="D148" s="1"/>
      <c r="F148" s="4"/>
      <c r="G148" s="4"/>
      <c r="H148" s="4"/>
      <c r="I148" s="4"/>
      <c r="J148" s="4"/>
      <c r="K148" s="4"/>
      <c r="L148" s="4"/>
      <c r="M148" s="4"/>
      <c r="N148" s="4"/>
      <c r="O148" s="4"/>
      <c r="P148" s="4"/>
      <c r="Q148" s="4"/>
      <c r="R148" s="4"/>
      <c r="S148" s="4"/>
      <c r="T148" s="4"/>
      <c r="U148" s="4"/>
      <c r="V148" s="4"/>
      <c r="W148" s="4"/>
      <c r="X148" s="4"/>
      <c r="Y148" s="4"/>
      <c r="Z148" s="4"/>
    </row>
    <row r="149" spans="1:26" x14ac:dyDescent="0.25">
      <c r="A149" s="16"/>
      <c r="B149" s="17"/>
      <c r="C149" s="3"/>
      <c r="D149" s="1"/>
      <c r="F149" s="4"/>
      <c r="G149" s="4"/>
      <c r="H149" s="4"/>
      <c r="I149" s="4"/>
      <c r="J149" s="4"/>
      <c r="K149" s="4"/>
      <c r="L149" s="4"/>
      <c r="M149" s="4"/>
      <c r="N149" s="4"/>
      <c r="O149" s="4"/>
      <c r="P149" s="4"/>
      <c r="Q149" s="4"/>
      <c r="R149" s="4"/>
      <c r="S149" s="4"/>
      <c r="T149" s="4"/>
      <c r="U149" s="4"/>
      <c r="V149" s="4"/>
      <c r="W149" s="4"/>
      <c r="X149" s="4"/>
      <c r="Y149" s="4"/>
      <c r="Z149" s="4"/>
    </row>
    <row r="150" spans="1:26" x14ac:dyDescent="0.25">
      <c r="A150" s="16"/>
      <c r="B150" s="17"/>
      <c r="C150" s="3"/>
      <c r="D150" s="1"/>
      <c r="F150" s="4"/>
      <c r="G150" s="4"/>
      <c r="H150" s="4"/>
      <c r="I150" s="4"/>
      <c r="J150" s="4"/>
      <c r="K150" s="4"/>
      <c r="L150" s="4"/>
      <c r="M150" s="4"/>
      <c r="N150" s="4"/>
      <c r="O150" s="4"/>
      <c r="P150" s="4"/>
      <c r="Q150" s="4"/>
      <c r="R150" s="4"/>
      <c r="S150" s="4"/>
      <c r="T150" s="4"/>
      <c r="U150" s="4"/>
      <c r="V150" s="4"/>
      <c r="W150" s="4"/>
      <c r="X150" s="4"/>
      <c r="Y150" s="4"/>
      <c r="Z150" s="4"/>
    </row>
    <row r="151" spans="1:26" x14ac:dyDescent="0.25">
      <c r="A151" s="16"/>
      <c r="B151" s="17"/>
      <c r="C151" s="3"/>
      <c r="D151" s="1"/>
      <c r="F151" s="4"/>
      <c r="G151" s="4"/>
      <c r="H151" s="4"/>
      <c r="I151" s="4"/>
      <c r="J151" s="4"/>
      <c r="K151" s="4"/>
      <c r="L151" s="4"/>
      <c r="M151" s="4"/>
      <c r="N151" s="4"/>
      <c r="O151" s="4"/>
      <c r="P151" s="4"/>
      <c r="Q151" s="4"/>
      <c r="R151" s="4"/>
      <c r="S151" s="4"/>
      <c r="T151" s="4"/>
      <c r="U151" s="4"/>
      <c r="V151" s="4"/>
      <c r="W151" s="4"/>
      <c r="X151" s="4"/>
      <c r="Y151" s="4"/>
      <c r="Z151" s="4"/>
    </row>
    <row r="152" spans="1:26" x14ac:dyDescent="0.25">
      <c r="A152" s="16"/>
      <c r="B152" s="17"/>
      <c r="C152" s="3"/>
      <c r="D152" s="1"/>
      <c r="F152" s="4"/>
      <c r="G152" s="4"/>
      <c r="H152" s="4"/>
      <c r="I152" s="4"/>
      <c r="J152" s="4"/>
      <c r="K152" s="4"/>
      <c r="L152" s="4"/>
      <c r="M152" s="4"/>
      <c r="N152" s="4"/>
      <c r="O152" s="4"/>
      <c r="P152" s="4"/>
      <c r="Q152" s="4"/>
      <c r="R152" s="4"/>
      <c r="S152" s="4"/>
      <c r="T152" s="4"/>
      <c r="U152" s="4"/>
      <c r="V152" s="4"/>
      <c r="W152" s="4"/>
      <c r="X152" s="4"/>
      <c r="Y152" s="4"/>
      <c r="Z152" s="4"/>
    </row>
    <row r="153" spans="1:26" x14ac:dyDescent="0.25">
      <c r="A153" s="16"/>
      <c r="B153" s="17"/>
      <c r="C153" s="3"/>
      <c r="D153" s="1"/>
      <c r="F153" s="4"/>
      <c r="G153" s="4"/>
      <c r="H153" s="4"/>
      <c r="I153" s="4"/>
      <c r="J153" s="4"/>
      <c r="K153" s="4"/>
      <c r="L153" s="4"/>
      <c r="M153" s="4"/>
      <c r="N153" s="4"/>
      <c r="O153" s="4"/>
      <c r="P153" s="4"/>
      <c r="Q153" s="4"/>
      <c r="R153" s="4"/>
      <c r="S153" s="4"/>
      <c r="T153" s="4"/>
      <c r="U153" s="4"/>
      <c r="V153" s="4"/>
      <c r="W153" s="4"/>
      <c r="X153" s="4"/>
      <c r="Y153" s="4"/>
      <c r="Z153" s="4"/>
    </row>
    <row r="154" spans="1:26" x14ac:dyDescent="0.25">
      <c r="A154" s="16"/>
      <c r="B154" s="17"/>
      <c r="C154" s="3"/>
      <c r="D154" s="1"/>
      <c r="F154" s="4"/>
      <c r="G154" s="4"/>
      <c r="H154" s="4"/>
      <c r="I154" s="4"/>
      <c r="J154" s="4"/>
      <c r="K154" s="4"/>
      <c r="L154" s="4"/>
      <c r="M154" s="4"/>
      <c r="N154" s="4"/>
      <c r="O154" s="4"/>
      <c r="P154" s="4"/>
      <c r="Q154" s="4"/>
      <c r="R154" s="4"/>
      <c r="S154" s="4"/>
      <c r="T154" s="4"/>
      <c r="U154" s="4"/>
      <c r="V154" s="4"/>
      <c r="W154" s="4"/>
      <c r="X154" s="4"/>
      <c r="Y154" s="4"/>
      <c r="Z154" s="4"/>
    </row>
    <row r="155" spans="1:26" x14ac:dyDescent="0.25">
      <c r="A155" s="16"/>
      <c r="B155" s="17"/>
      <c r="C155" s="3"/>
      <c r="D155" s="1"/>
      <c r="F155" s="4"/>
      <c r="G155" s="4"/>
      <c r="H155" s="4"/>
      <c r="I155" s="4"/>
      <c r="J155" s="4"/>
      <c r="K155" s="4"/>
      <c r="L155" s="4"/>
      <c r="M155" s="4"/>
      <c r="N155" s="4"/>
      <c r="O155" s="4"/>
      <c r="P155" s="4"/>
      <c r="Q155" s="4"/>
      <c r="R155" s="4"/>
      <c r="S155" s="4"/>
      <c r="T155" s="4"/>
      <c r="U155" s="4"/>
      <c r="V155" s="4"/>
      <c r="W155" s="4"/>
      <c r="X155" s="4"/>
      <c r="Y155" s="4"/>
      <c r="Z155" s="4"/>
    </row>
    <row r="156" spans="1:26" x14ac:dyDescent="0.25">
      <c r="A156" s="16"/>
      <c r="B156" s="17"/>
      <c r="C156" s="3"/>
      <c r="D156" s="1"/>
      <c r="F156" s="4"/>
      <c r="G156" s="4"/>
      <c r="H156" s="4"/>
      <c r="I156" s="4"/>
      <c r="J156" s="4"/>
      <c r="K156" s="4"/>
      <c r="L156" s="4"/>
      <c r="M156" s="4"/>
      <c r="N156" s="4"/>
      <c r="O156" s="4"/>
      <c r="P156" s="4"/>
      <c r="Q156" s="4"/>
      <c r="R156" s="4"/>
      <c r="S156" s="4"/>
      <c r="T156" s="4"/>
      <c r="U156" s="4"/>
      <c r="V156" s="4"/>
      <c r="W156" s="4"/>
      <c r="X156" s="4"/>
      <c r="Y156" s="4"/>
      <c r="Z156" s="4"/>
    </row>
    <row r="157" spans="1:26" x14ac:dyDescent="0.25">
      <c r="A157" s="16"/>
      <c r="B157" s="17"/>
      <c r="C157" s="3"/>
      <c r="D157" s="1"/>
      <c r="F157" s="4"/>
      <c r="G157" s="4"/>
      <c r="H157" s="4"/>
      <c r="I157" s="4"/>
      <c r="J157" s="4"/>
      <c r="K157" s="4"/>
      <c r="L157" s="4"/>
      <c r="M157" s="4"/>
      <c r="N157" s="4"/>
      <c r="O157" s="4"/>
      <c r="P157" s="4"/>
      <c r="Q157" s="4"/>
      <c r="R157" s="4"/>
      <c r="S157" s="4"/>
      <c r="T157" s="4"/>
      <c r="U157" s="4"/>
      <c r="V157" s="4"/>
      <c r="W157" s="4"/>
      <c r="X157" s="4"/>
      <c r="Y157" s="4"/>
      <c r="Z157" s="4"/>
    </row>
    <row r="158" spans="1:26" x14ac:dyDescent="0.25">
      <c r="A158" s="16"/>
      <c r="B158" s="17"/>
      <c r="C158" s="3"/>
      <c r="D158" s="1"/>
      <c r="F158" s="4"/>
      <c r="G158" s="4"/>
      <c r="H158" s="4"/>
      <c r="I158" s="4"/>
      <c r="J158" s="4"/>
      <c r="K158" s="4"/>
      <c r="L158" s="4"/>
      <c r="M158" s="4"/>
      <c r="N158" s="4"/>
      <c r="O158" s="4"/>
      <c r="P158" s="4"/>
      <c r="Q158" s="4"/>
      <c r="R158" s="4"/>
      <c r="S158" s="4"/>
      <c r="T158" s="4"/>
      <c r="U158" s="4"/>
      <c r="V158" s="4"/>
      <c r="W158" s="4"/>
      <c r="X158" s="4"/>
      <c r="Y158" s="4"/>
      <c r="Z158" s="4"/>
    </row>
    <row r="159" spans="1:26" x14ac:dyDescent="0.25">
      <c r="A159" s="16"/>
      <c r="B159" s="17"/>
      <c r="C159" s="3"/>
      <c r="D159" s="1"/>
      <c r="F159" s="4"/>
      <c r="G159" s="4"/>
      <c r="H159" s="4"/>
      <c r="I159" s="4"/>
      <c r="J159" s="4"/>
      <c r="K159" s="4"/>
      <c r="L159" s="4"/>
      <c r="M159" s="4"/>
      <c r="N159" s="4"/>
      <c r="O159" s="4"/>
      <c r="P159" s="4"/>
      <c r="Q159" s="4"/>
      <c r="R159" s="4"/>
      <c r="S159" s="4"/>
      <c r="T159" s="4"/>
      <c r="U159" s="4"/>
      <c r="V159" s="4"/>
      <c r="W159" s="4"/>
      <c r="X159" s="4"/>
      <c r="Y159" s="4"/>
      <c r="Z159" s="4"/>
    </row>
  </sheetData>
  <autoFilter ref="B5:D139" xr:uid="{B593B8AD-AE04-4543-B232-6D3D3239B900}">
    <filterColumn colId="0">
      <filters>
        <filter val="Israel"/>
        <filter val="United Kingdom"/>
      </filters>
    </filterColumn>
    <sortState xmlns:xlrd2="http://schemas.microsoft.com/office/spreadsheetml/2017/richdata2" ref="B69:D139">
      <sortCondition ref="B5:B139"/>
    </sortState>
  </autoFilter>
  <mergeCells count="10">
    <mergeCell ref="E3:G3"/>
    <mergeCell ref="I3:K3"/>
    <mergeCell ref="M3:O3"/>
    <mergeCell ref="X3:Z3"/>
    <mergeCell ref="E1:Z1"/>
    <mergeCell ref="E2:G2"/>
    <mergeCell ref="I2:K2"/>
    <mergeCell ref="M2:O2"/>
    <mergeCell ref="X2:Z2"/>
    <mergeCell ref="Q2:V4"/>
  </mergeCells>
  <pageMargins left="0.70866141732283472" right="0.70866141732283472" top="0.74803149606299213" bottom="0.74803149606299213" header="0.31496062992125984" footer="0.31496062992125984"/>
  <pageSetup paperSize="8" scale="70" orientation="landscape" horizontalDpi="1200" verticalDpi="1200" r:id="rId1"/>
  <colBreaks count="2" manualBreakCount="2">
    <brk id="26" max="1048575" man="1"/>
    <brk id="27"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E1917-E326-4106-80B6-92A3848F3543}">
  <sheetPr filterMode="1">
    <tabColor rgb="FF002060"/>
  </sheetPr>
  <dimension ref="A1:AR159"/>
  <sheetViews>
    <sheetView view="pageBreakPreview" zoomScaleNormal="100" zoomScaleSheetLayoutView="100" workbookViewId="0">
      <selection activeCell="M72" sqref="M72"/>
    </sheetView>
  </sheetViews>
  <sheetFormatPr defaultColWidth="8.83203125" defaultRowHeight="13.5" x14ac:dyDescent="0.25"/>
  <cols>
    <col min="1" max="1" width="4.58203125" customWidth="1"/>
    <col min="2" max="2" width="21" customWidth="1"/>
    <col min="3" max="3" width="14.58203125" customWidth="1"/>
    <col min="4" max="4" width="10.08203125" bestFit="1" customWidth="1"/>
    <col min="5" max="5" width="11" style="4" bestFit="1" customWidth="1"/>
    <col min="6" max="6" width="11" bestFit="1" customWidth="1"/>
    <col min="7" max="7" width="8.83203125" bestFit="1" customWidth="1"/>
    <col min="8" max="8" width="2.83203125" customWidth="1"/>
    <col min="9" max="11" width="11" customWidth="1"/>
    <col min="12" max="12" width="4" customWidth="1"/>
    <col min="13" max="15" width="10.83203125" customWidth="1"/>
    <col min="16" max="16" width="3.83203125" customWidth="1"/>
    <col min="17" max="17" width="7.83203125" hidden="1" customWidth="1"/>
    <col min="18" max="18" width="7" hidden="1" customWidth="1"/>
    <col min="19" max="19" width="5" hidden="1" customWidth="1"/>
    <col min="20" max="20" width="7.5" hidden="1" customWidth="1"/>
    <col min="21" max="21" width="5" hidden="1" customWidth="1"/>
    <col min="22" max="22" width="13.33203125" customWidth="1"/>
    <col min="23" max="23" width="4" customWidth="1"/>
    <col min="24" max="24" width="11" customWidth="1"/>
    <col min="25" max="25" width="9.5" customWidth="1"/>
    <col min="26" max="26" width="11" customWidth="1"/>
    <col min="27" max="44" width="6" customWidth="1"/>
  </cols>
  <sheetData>
    <row r="1" spans="1:44" ht="18.5" thickBot="1" x14ac:dyDescent="0.35">
      <c r="E1" s="136" t="s">
        <v>257</v>
      </c>
      <c r="F1" s="137"/>
      <c r="G1" s="137"/>
      <c r="H1" s="138"/>
      <c r="I1" s="138"/>
      <c r="J1" s="138"/>
      <c r="K1" s="138"/>
      <c r="L1" s="138"/>
      <c r="M1" s="138"/>
      <c r="N1" s="138"/>
      <c r="O1" s="138"/>
      <c r="P1" s="138"/>
      <c r="Q1" s="138"/>
      <c r="R1" s="138"/>
      <c r="S1" s="138"/>
      <c r="T1" s="138"/>
      <c r="U1" s="138"/>
      <c r="V1" s="138"/>
      <c r="W1" s="138"/>
      <c r="X1" s="138"/>
      <c r="Y1" s="138"/>
      <c r="Z1" s="138"/>
      <c r="AA1" s="53"/>
    </row>
    <row r="2" spans="1:44" ht="17.5" customHeight="1" x14ac:dyDescent="0.25">
      <c r="A2" s="20"/>
      <c r="B2" s="15"/>
      <c r="C2" s="2"/>
      <c r="D2" s="38"/>
      <c r="E2" s="150" t="s">
        <v>253</v>
      </c>
      <c r="F2" s="151"/>
      <c r="G2" s="152"/>
      <c r="H2" s="54"/>
      <c r="I2" s="139" t="s">
        <v>254</v>
      </c>
      <c r="J2" s="140"/>
      <c r="K2" s="141"/>
      <c r="L2" s="54"/>
      <c r="M2" s="145" t="s">
        <v>255</v>
      </c>
      <c r="N2" s="146"/>
      <c r="O2" s="160"/>
      <c r="P2" s="100"/>
      <c r="Q2" s="154" t="s">
        <v>232</v>
      </c>
      <c r="R2" s="140"/>
      <c r="S2" s="140"/>
      <c r="T2" s="140"/>
      <c r="U2" s="140"/>
      <c r="V2" s="140"/>
      <c r="W2" s="100"/>
      <c r="X2" s="147" t="s">
        <v>256</v>
      </c>
      <c r="Y2" s="148"/>
      <c r="Z2" s="149"/>
      <c r="AA2" s="22"/>
      <c r="AB2" s="22"/>
      <c r="AC2" s="22"/>
      <c r="AD2" s="22"/>
      <c r="AE2" s="22"/>
      <c r="AF2" s="22"/>
      <c r="AG2" s="22"/>
      <c r="AH2" s="22"/>
      <c r="AI2" s="22"/>
      <c r="AJ2" s="22"/>
      <c r="AK2" s="22"/>
      <c r="AL2" s="22"/>
      <c r="AM2" s="22"/>
      <c r="AN2" s="22"/>
      <c r="AO2" s="22"/>
      <c r="AP2" s="22"/>
      <c r="AQ2" s="22"/>
      <c r="AR2" s="22"/>
    </row>
    <row r="3" spans="1:44" x14ac:dyDescent="0.25">
      <c r="A3" s="16"/>
      <c r="B3" s="16"/>
      <c r="C3" s="1"/>
      <c r="D3" s="1"/>
      <c r="E3" s="142"/>
      <c r="F3" s="133"/>
      <c r="G3" s="143"/>
      <c r="H3" s="36"/>
      <c r="I3" s="142"/>
      <c r="J3" s="133"/>
      <c r="K3" s="143"/>
      <c r="L3" s="36"/>
      <c r="M3" s="142"/>
      <c r="N3" s="133"/>
      <c r="O3" s="143"/>
      <c r="P3" s="101"/>
      <c r="Q3" s="162"/>
      <c r="R3" s="162"/>
      <c r="S3" s="162"/>
      <c r="T3" s="162"/>
      <c r="U3" s="162"/>
      <c r="V3" s="162"/>
      <c r="W3" s="101"/>
      <c r="X3" s="142"/>
      <c r="Y3" s="133"/>
      <c r="Z3" s="143"/>
      <c r="AA3" s="22"/>
      <c r="AB3" s="22"/>
      <c r="AC3" s="22"/>
      <c r="AD3" s="22"/>
      <c r="AE3" s="22"/>
      <c r="AF3" s="22"/>
      <c r="AG3" s="22"/>
      <c r="AH3" s="22"/>
      <c r="AI3" s="22"/>
      <c r="AJ3" s="22"/>
      <c r="AK3" s="22"/>
      <c r="AL3" s="22"/>
      <c r="AM3" s="22"/>
      <c r="AN3" s="22"/>
      <c r="AO3" s="22"/>
      <c r="AP3" s="22"/>
      <c r="AQ3" s="22"/>
      <c r="AR3" s="22"/>
    </row>
    <row r="4" spans="1:44" x14ac:dyDescent="0.25">
      <c r="A4" s="16"/>
      <c r="B4" s="16"/>
      <c r="C4" s="1"/>
      <c r="D4" s="1"/>
      <c r="E4" s="39" t="s">
        <v>9</v>
      </c>
      <c r="F4" s="6" t="s">
        <v>10</v>
      </c>
      <c r="G4" s="40" t="s">
        <v>11</v>
      </c>
      <c r="H4" s="36"/>
      <c r="I4" s="48" t="s">
        <v>9</v>
      </c>
      <c r="J4" s="36" t="s">
        <v>10</v>
      </c>
      <c r="K4" s="49" t="s">
        <v>11</v>
      </c>
      <c r="L4" s="36"/>
      <c r="M4" s="48" t="s">
        <v>9</v>
      </c>
      <c r="N4" s="36" t="s">
        <v>10</v>
      </c>
      <c r="O4" s="49" t="s">
        <v>11</v>
      </c>
      <c r="P4" s="101"/>
      <c r="Q4" s="162"/>
      <c r="R4" s="162"/>
      <c r="S4" s="162"/>
      <c r="T4" s="162"/>
      <c r="U4" s="162"/>
      <c r="V4" s="162"/>
      <c r="W4" s="101"/>
      <c r="X4" s="48" t="s">
        <v>9</v>
      </c>
      <c r="Y4" s="36" t="s">
        <v>10</v>
      </c>
      <c r="Z4" s="49" t="s">
        <v>11</v>
      </c>
      <c r="AA4" s="22"/>
      <c r="AB4" s="22"/>
      <c r="AC4" s="22"/>
      <c r="AD4" s="22"/>
      <c r="AE4" s="22"/>
      <c r="AF4" s="22"/>
      <c r="AG4" s="22"/>
      <c r="AH4" s="22"/>
      <c r="AI4" s="22"/>
      <c r="AJ4" s="22"/>
      <c r="AK4" s="22"/>
      <c r="AL4" s="22"/>
      <c r="AM4" s="22"/>
      <c r="AN4" s="22"/>
      <c r="AO4" s="22"/>
      <c r="AP4" s="22"/>
      <c r="AQ4" s="22"/>
      <c r="AR4" s="22"/>
    </row>
    <row r="5" spans="1:44" x14ac:dyDescent="0.25">
      <c r="A5" s="16"/>
      <c r="B5" s="12" t="s">
        <v>14</v>
      </c>
      <c r="C5" s="12" t="s">
        <v>15</v>
      </c>
      <c r="D5" s="37" t="s">
        <v>16</v>
      </c>
      <c r="E5" s="41"/>
      <c r="F5" s="14"/>
      <c r="G5" s="42"/>
      <c r="H5" s="37"/>
      <c r="I5" s="50"/>
      <c r="J5" s="37"/>
      <c r="K5" s="51"/>
      <c r="L5" s="37"/>
      <c r="M5" s="50"/>
      <c r="N5" s="37"/>
      <c r="O5" s="51"/>
      <c r="P5" s="115"/>
      <c r="Q5" s="36" t="s">
        <v>234</v>
      </c>
      <c r="R5" s="36" t="s">
        <v>235</v>
      </c>
      <c r="S5" s="36" t="s">
        <v>236</v>
      </c>
      <c r="T5" s="36" t="s">
        <v>237</v>
      </c>
      <c r="U5" s="36" t="s">
        <v>238</v>
      </c>
      <c r="V5" s="36" t="s">
        <v>239</v>
      </c>
      <c r="W5" s="115"/>
      <c r="X5" s="50"/>
      <c r="Y5" s="37"/>
      <c r="Z5" s="51"/>
      <c r="AA5" s="22"/>
      <c r="AB5" s="22"/>
      <c r="AC5" s="22"/>
      <c r="AD5" s="22"/>
      <c r="AE5" s="22"/>
      <c r="AF5" s="22"/>
      <c r="AG5" s="22"/>
      <c r="AH5" s="22"/>
      <c r="AI5" s="22"/>
      <c r="AJ5" s="22"/>
      <c r="AK5" s="22"/>
      <c r="AL5" s="22"/>
      <c r="AM5" s="22"/>
      <c r="AN5" s="22"/>
      <c r="AO5" s="22"/>
      <c r="AP5" s="22"/>
      <c r="AQ5" s="22"/>
      <c r="AR5" s="22"/>
    </row>
    <row r="6" spans="1:44" hidden="1" x14ac:dyDescent="0.25">
      <c r="A6" s="16"/>
      <c r="B6" s="3" t="s">
        <v>17</v>
      </c>
      <c r="C6" s="3" t="s">
        <v>18</v>
      </c>
      <c r="D6" s="11" t="s">
        <v>19</v>
      </c>
      <c r="E6" s="116">
        <v>162.03595055066893</v>
      </c>
      <c r="F6" s="117">
        <v>230.29094907236305</v>
      </c>
      <c r="G6" s="118">
        <v>272.49510311183383</v>
      </c>
      <c r="H6" s="114"/>
      <c r="I6" s="113">
        <v>14.000947100295081</v>
      </c>
      <c r="J6" s="114">
        <v>22.497584851261553</v>
      </c>
      <c r="K6" s="109">
        <v>26.930955614740817</v>
      </c>
      <c r="L6" s="114"/>
      <c r="M6" s="113">
        <v>38.343304224021395</v>
      </c>
      <c r="N6" s="114">
        <v>39.214742956385514</v>
      </c>
      <c r="O6" s="109">
        <v>43.073971628283772</v>
      </c>
      <c r="P6" s="119"/>
      <c r="Q6" s="120">
        <v>0.08</v>
      </c>
      <c r="R6" s="120">
        <v>0.05</v>
      </c>
      <c r="S6" s="120">
        <v>0.03</v>
      </c>
      <c r="T6" s="120">
        <v>1.4999999999999999E-2</v>
      </c>
      <c r="U6" s="120">
        <v>0.02</v>
      </c>
      <c r="V6" s="121">
        <f t="shared" ref="V6:V57" si="0">SUBTOTAL(9,Q6:U6)</f>
        <v>0</v>
      </c>
      <c r="W6" s="119"/>
      <c r="X6" s="113">
        <f>(E6+I6+M6)*(1+V6)</f>
        <v>214.3802018749854</v>
      </c>
      <c r="Y6" s="113">
        <f>(F6+J6+N6)*(1+V6)</f>
        <v>292.00327688001011</v>
      </c>
      <c r="Z6" s="113">
        <f>(G6+K6+O6)*(1+V6)</f>
        <v>342.50003035485838</v>
      </c>
      <c r="AA6" s="22"/>
      <c r="AB6" s="22"/>
      <c r="AC6" s="22"/>
      <c r="AD6" s="22"/>
      <c r="AE6" s="22"/>
      <c r="AF6" s="22"/>
      <c r="AG6" s="22"/>
      <c r="AH6" s="22"/>
      <c r="AI6" s="22"/>
      <c r="AJ6" s="22"/>
      <c r="AK6" s="22"/>
      <c r="AL6" s="22"/>
      <c r="AM6" s="22"/>
      <c r="AN6" s="22"/>
      <c r="AO6" s="22"/>
      <c r="AP6" s="22"/>
      <c r="AQ6" s="22"/>
      <c r="AR6" s="22"/>
    </row>
    <row r="7" spans="1:44" hidden="1" x14ac:dyDescent="0.25">
      <c r="A7" s="16"/>
      <c r="B7" s="3" t="s">
        <v>17</v>
      </c>
      <c r="C7" s="3" t="s">
        <v>20</v>
      </c>
      <c r="D7" s="11" t="s">
        <v>19</v>
      </c>
      <c r="E7" s="107">
        <v>155.26189112277328</v>
      </c>
      <c r="F7" s="108">
        <v>220.82794367654665</v>
      </c>
      <c r="G7" s="109">
        <v>260.67415366989428</v>
      </c>
      <c r="H7" s="114"/>
      <c r="I7" s="113">
        <v>13.078397926276066</v>
      </c>
      <c r="J7" s="114">
        <v>21.015175970399728</v>
      </c>
      <c r="K7" s="109">
        <v>25.156423457741365</v>
      </c>
      <c r="L7" s="114"/>
      <c r="M7" s="113">
        <v>35.8167905969336</v>
      </c>
      <c r="N7" s="114">
        <v>36.630808565045733</v>
      </c>
      <c r="O7" s="109">
        <v>40.235745280970868</v>
      </c>
      <c r="P7" s="119"/>
      <c r="Q7" s="120">
        <v>0.08</v>
      </c>
      <c r="R7" s="120">
        <v>0.05</v>
      </c>
      <c r="S7" s="120">
        <v>0.03</v>
      </c>
      <c r="T7" s="120">
        <v>1.4999999999999999E-2</v>
      </c>
      <c r="U7" s="120">
        <v>0.02</v>
      </c>
      <c r="V7" s="121">
        <f t="shared" si="0"/>
        <v>0</v>
      </c>
      <c r="W7" s="119"/>
      <c r="X7" s="113">
        <f t="shared" ref="X7:X74" si="1">(E7+I7+M7)*(1+V7)</f>
        <v>204.15707964598295</v>
      </c>
      <c r="Y7" s="113">
        <f t="shared" ref="Y7:Y74" si="2">(F7+J7+N7)*(1+V7)</f>
        <v>278.47392821199213</v>
      </c>
      <c r="Z7" s="113">
        <f t="shared" ref="Z7:Z74" si="3">(G7+K7+O7)*(1+V7)</f>
        <v>326.06632240860654</v>
      </c>
      <c r="AA7" s="22"/>
      <c r="AB7" s="22"/>
      <c r="AC7" s="22"/>
      <c r="AD7" s="22"/>
      <c r="AE7" s="22"/>
      <c r="AF7" s="22"/>
      <c r="AG7" s="22"/>
      <c r="AH7" s="22"/>
      <c r="AI7" s="22"/>
      <c r="AJ7" s="22"/>
      <c r="AK7" s="22"/>
      <c r="AL7" s="22"/>
      <c r="AM7" s="22"/>
      <c r="AN7" s="22"/>
      <c r="AO7" s="22"/>
      <c r="AP7" s="22"/>
      <c r="AQ7" s="22"/>
      <c r="AR7" s="22"/>
    </row>
    <row r="8" spans="1:44" hidden="1" x14ac:dyDescent="0.25">
      <c r="A8" s="16"/>
      <c r="B8" s="3" t="s">
        <v>17</v>
      </c>
      <c r="C8" s="3" t="s">
        <v>240</v>
      </c>
      <c r="D8" s="11" t="s">
        <v>19</v>
      </c>
      <c r="E8" s="107">
        <v>155.26189112277328</v>
      </c>
      <c r="F8" s="108">
        <v>220.82794367654665</v>
      </c>
      <c r="G8" s="109">
        <v>260.67415366989428</v>
      </c>
      <c r="H8" s="114"/>
      <c r="I8" s="113">
        <v>13.078397926276066</v>
      </c>
      <c r="J8" s="114">
        <v>21.015175970399728</v>
      </c>
      <c r="K8" s="109">
        <v>25.156423457741365</v>
      </c>
      <c r="L8" s="114"/>
      <c r="M8" s="113">
        <v>35.8167905969336</v>
      </c>
      <c r="N8" s="114">
        <v>36.630808565045733</v>
      </c>
      <c r="O8" s="109">
        <v>40.235745280970868</v>
      </c>
      <c r="P8" s="119"/>
      <c r="Q8" s="120">
        <v>0.08</v>
      </c>
      <c r="R8" s="120">
        <v>0.05</v>
      </c>
      <c r="S8" s="120">
        <v>0.03</v>
      </c>
      <c r="T8" s="120">
        <v>1.4999999999999999E-2</v>
      </c>
      <c r="U8" s="120">
        <v>0.02</v>
      </c>
      <c r="V8" s="121">
        <f t="shared" si="0"/>
        <v>0</v>
      </c>
      <c r="W8" s="119"/>
      <c r="X8" s="113">
        <f t="shared" si="1"/>
        <v>204.15707964598295</v>
      </c>
      <c r="Y8" s="113">
        <f t="shared" si="2"/>
        <v>278.47392821199213</v>
      </c>
      <c r="Z8" s="113">
        <f t="shared" si="3"/>
        <v>326.06632240860654</v>
      </c>
      <c r="AA8" s="22"/>
      <c r="AB8" s="22"/>
      <c r="AC8" s="22"/>
      <c r="AD8" s="22"/>
      <c r="AE8" s="22"/>
      <c r="AF8" s="22"/>
      <c r="AG8" s="22"/>
      <c r="AH8" s="22"/>
      <c r="AI8" s="22"/>
      <c r="AJ8" s="22"/>
      <c r="AK8" s="22"/>
      <c r="AL8" s="22"/>
      <c r="AM8" s="22"/>
      <c r="AN8" s="22"/>
      <c r="AO8" s="22"/>
      <c r="AP8" s="22"/>
      <c r="AQ8" s="22"/>
      <c r="AR8" s="22"/>
    </row>
    <row r="9" spans="1:44" hidden="1" x14ac:dyDescent="0.25">
      <c r="A9" s="16"/>
      <c r="B9" s="3" t="s">
        <v>17</v>
      </c>
      <c r="C9" s="3" t="s">
        <v>22</v>
      </c>
      <c r="D9" s="11" t="s">
        <v>19</v>
      </c>
      <c r="E9" s="107">
        <v>203.40703304013599</v>
      </c>
      <c r="F9" s="108">
        <v>289.61152893783719</v>
      </c>
      <c r="G9" s="109">
        <v>342.00010163352795</v>
      </c>
      <c r="H9" s="114"/>
      <c r="I9" s="113">
        <v>17.134670811418154</v>
      </c>
      <c r="J9" s="114">
        <v>27.533045280214662</v>
      </c>
      <c r="K9" s="109">
        <v>32.958703135573728</v>
      </c>
      <c r="L9" s="114"/>
      <c r="M9" s="113">
        <v>46.925389475031949</v>
      </c>
      <c r="N9" s="114">
        <v>47.991875599464485</v>
      </c>
      <c r="O9" s="109">
        <v>52.714885579094329</v>
      </c>
      <c r="P9" s="119"/>
      <c r="Q9" s="120">
        <v>0.08</v>
      </c>
      <c r="R9" s="120">
        <v>0.05</v>
      </c>
      <c r="S9" s="120">
        <v>0.03</v>
      </c>
      <c r="T9" s="120">
        <v>1.4999999999999999E-2</v>
      </c>
      <c r="U9" s="120">
        <v>0.02</v>
      </c>
      <c r="V9" s="121">
        <f t="shared" si="0"/>
        <v>0</v>
      </c>
      <c r="W9" s="119"/>
      <c r="X9" s="113">
        <f t="shared" si="1"/>
        <v>267.46709332658611</v>
      </c>
      <c r="Y9" s="113">
        <f t="shared" si="2"/>
        <v>365.13644981751634</v>
      </c>
      <c r="Z9" s="113">
        <f t="shared" si="3"/>
        <v>427.67369034819603</v>
      </c>
      <c r="AA9" s="22"/>
      <c r="AB9" s="22"/>
      <c r="AC9" s="22"/>
      <c r="AD9" s="22"/>
      <c r="AE9" s="22"/>
      <c r="AF9" s="22"/>
      <c r="AG9" s="22"/>
      <c r="AH9" s="22"/>
      <c r="AI9" s="22"/>
      <c r="AJ9" s="22"/>
      <c r="AK9" s="22"/>
      <c r="AL9" s="22"/>
      <c r="AM9" s="22"/>
      <c r="AN9" s="22"/>
      <c r="AO9" s="22"/>
      <c r="AP9" s="22"/>
      <c r="AQ9" s="22"/>
      <c r="AR9" s="22"/>
    </row>
    <row r="10" spans="1:44" hidden="1" x14ac:dyDescent="0.25">
      <c r="A10" s="16"/>
      <c r="B10" s="3" t="s">
        <v>17</v>
      </c>
      <c r="C10" s="3" t="s">
        <v>23</v>
      </c>
      <c r="D10" s="11" t="s">
        <v>19</v>
      </c>
      <c r="E10" s="107">
        <v>159.00339086406976</v>
      </c>
      <c r="F10" s="108">
        <v>225.81025020326703</v>
      </c>
      <c r="G10" s="109">
        <v>267.63013711286862</v>
      </c>
      <c r="H10" s="114"/>
      <c r="I10" s="113">
        <v>13.580275953115256</v>
      </c>
      <c r="J10" s="114">
        <v>21.821624520838178</v>
      </c>
      <c r="K10" s="109">
        <v>26.121790640975352</v>
      </c>
      <c r="L10" s="114"/>
      <c r="M10" s="113">
        <v>37.191244891246384</v>
      </c>
      <c r="N10" s="114">
        <v>38.036500456956531</v>
      </c>
      <c r="O10" s="109">
        <v>41.779775105101457</v>
      </c>
      <c r="P10" s="119"/>
      <c r="Q10" s="120">
        <v>0.08</v>
      </c>
      <c r="R10" s="120">
        <v>0.05</v>
      </c>
      <c r="S10" s="120">
        <v>0.03</v>
      </c>
      <c r="T10" s="120">
        <v>1.4999999999999999E-2</v>
      </c>
      <c r="U10" s="120">
        <v>0.02</v>
      </c>
      <c r="V10" s="121">
        <f t="shared" si="0"/>
        <v>0</v>
      </c>
      <c r="W10" s="119"/>
      <c r="X10" s="113">
        <f t="shared" si="1"/>
        <v>209.7749117084314</v>
      </c>
      <c r="Y10" s="113">
        <f t="shared" si="2"/>
        <v>285.66837518106172</v>
      </c>
      <c r="Z10" s="113">
        <f t="shared" si="3"/>
        <v>335.53170285894544</v>
      </c>
      <c r="AA10" s="22"/>
      <c r="AB10" s="22"/>
      <c r="AC10" s="22"/>
      <c r="AD10" s="22"/>
      <c r="AE10" s="22"/>
      <c r="AF10" s="22"/>
      <c r="AG10" s="22"/>
      <c r="AH10" s="22"/>
      <c r="AI10" s="22"/>
      <c r="AJ10" s="22"/>
      <c r="AK10" s="22"/>
      <c r="AL10" s="22"/>
      <c r="AM10" s="22"/>
      <c r="AN10" s="22"/>
      <c r="AO10" s="22"/>
      <c r="AP10" s="22"/>
      <c r="AQ10" s="22"/>
      <c r="AR10" s="22"/>
    </row>
    <row r="11" spans="1:44" hidden="1" x14ac:dyDescent="0.25">
      <c r="A11" s="16"/>
      <c r="B11" s="3" t="s">
        <v>17</v>
      </c>
      <c r="C11" s="3" t="s">
        <v>24</v>
      </c>
      <c r="D11" s="11" t="s">
        <v>19</v>
      </c>
      <c r="E11" s="107">
        <v>198.01897775149678</v>
      </c>
      <c r="F11" s="108">
        <v>281.91366693768941</v>
      </c>
      <c r="G11" s="109">
        <v>332.89868061201861</v>
      </c>
      <c r="H11" s="114"/>
      <c r="I11" s="113">
        <v>16.680720359837629</v>
      </c>
      <c r="J11" s="114">
        <v>26.803609712067551</v>
      </c>
      <c r="K11" s="109">
        <v>32.085525101599941</v>
      </c>
      <c r="L11" s="114"/>
      <c r="M11" s="113">
        <v>45.682190701199204</v>
      </c>
      <c r="N11" s="114">
        <v>46.72042230804464</v>
      </c>
      <c r="O11" s="109">
        <v>51.318305138360145</v>
      </c>
      <c r="P11" s="119"/>
      <c r="Q11" s="120">
        <v>0.08</v>
      </c>
      <c r="R11" s="120">
        <v>0.05</v>
      </c>
      <c r="S11" s="120">
        <v>0.03</v>
      </c>
      <c r="T11" s="120">
        <v>1.4999999999999999E-2</v>
      </c>
      <c r="U11" s="120">
        <v>0.02</v>
      </c>
      <c r="V11" s="121">
        <f t="shared" si="0"/>
        <v>0</v>
      </c>
      <c r="W11" s="119"/>
      <c r="X11" s="113">
        <f t="shared" si="1"/>
        <v>260.38188881253359</v>
      </c>
      <c r="Y11" s="113">
        <f t="shared" si="2"/>
        <v>355.43769895780162</v>
      </c>
      <c r="Z11" s="113">
        <f t="shared" si="3"/>
        <v>416.3025108519787</v>
      </c>
      <c r="AA11" s="22"/>
      <c r="AB11" s="22"/>
      <c r="AC11" s="22"/>
      <c r="AD11" s="22"/>
      <c r="AE11" s="22"/>
      <c r="AF11" s="22"/>
      <c r="AG11" s="22"/>
      <c r="AH11" s="22"/>
      <c r="AI11" s="22"/>
      <c r="AJ11" s="22"/>
      <c r="AK11" s="22"/>
      <c r="AL11" s="22"/>
      <c r="AM11" s="22"/>
      <c r="AN11" s="22"/>
      <c r="AO11" s="22"/>
      <c r="AP11" s="22"/>
      <c r="AQ11" s="22"/>
      <c r="AR11" s="22"/>
    </row>
    <row r="12" spans="1:44" hidden="1" x14ac:dyDescent="0.25">
      <c r="A12" s="16"/>
      <c r="B12" s="3" t="s">
        <v>17</v>
      </c>
      <c r="C12" s="3" t="s">
        <v>25</v>
      </c>
      <c r="D12" s="11" t="s">
        <v>19</v>
      </c>
      <c r="E12" s="107">
        <v>162.16387020474536</v>
      </c>
      <c r="F12" s="108">
        <v>230.31820533668414</v>
      </c>
      <c r="G12" s="109">
        <v>272.98160433143613</v>
      </c>
      <c r="H12" s="114"/>
      <c r="I12" s="113">
        <v>13.638362069647998</v>
      </c>
      <c r="J12" s="114">
        <v>21.914960873444503</v>
      </c>
      <c r="K12" s="109">
        <v>26.233519841505149</v>
      </c>
      <c r="L12" s="114"/>
      <c r="M12" s="113">
        <v>37.350320818142784</v>
      </c>
      <c r="N12" s="114">
        <v>38.199191745827846</v>
      </c>
      <c r="O12" s="109">
        <v>41.958477282718839</v>
      </c>
      <c r="P12" s="119"/>
      <c r="Q12" s="120">
        <v>0.08</v>
      </c>
      <c r="R12" s="120">
        <v>0.05</v>
      </c>
      <c r="S12" s="120">
        <v>0.03</v>
      </c>
      <c r="T12" s="120">
        <v>1.4999999999999999E-2</v>
      </c>
      <c r="U12" s="120">
        <v>0.02</v>
      </c>
      <c r="V12" s="121">
        <f t="shared" si="0"/>
        <v>0</v>
      </c>
      <c r="W12" s="119"/>
      <c r="X12" s="113">
        <f t="shared" si="1"/>
        <v>213.15255309253615</v>
      </c>
      <c r="Y12" s="113">
        <f t="shared" si="2"/>
        <v>290.43235795595649</v>
      </c>
      <c r="Z12" s="113">
        <f t="shared" si="3"/>
        <v>341.1736014556601</v>
      </c>
      <c r="AA12" s="22"/>
      <c r="AB12" s="22"/>
      <c r="AC12" s="22"/>
      <c r="AD12" s="22"/>
      <c r="AE12" s="22"/>
      <c r="AF12" s="22"/>
      <c r="AG12" s="22"/>
      <c r="AH12" s="22"/>
      <c r="AI12" s="22"/>
      <c r="AJ12" s="22"/>
      <c r="AK12" s="22"/>
      <c r="AL12" s="22"/>
      <c r="AM12" s="22"/>
      <c r="AN12" s="22"/>
      <c r="AO12" s="22"/>
      <c r="AP12" s="22"/>
      <c r="AQ12" s="22"/>
      <c r="AR12" s="22"/>
    </row>
    <row r="13" spans="1:44" hidden="1" x14ac:dyDescent="0.25">
      <c r="A13" s="16"/>
      <c r="B13" s="3" t="s">
        <v>17</v>
      </c>
      <c r="C13" s="3" t="s">
        <v>26</v>
      </c>
      <c r="D13" s="11" t="s">
        <v>19</v>
      </c>
      <c r="E13" s="107">
        <v>155.34384470396924</v>
      </c>
      <c r="F13" s="108">
        <v>220.59049079754601</v>
      </c>
      <c r="G13" s="109">
        <v>261.43367950328923</v>
      </c>
      <c r="H13" s="114"/>
      <c r="I13" s="113">
        <v>13.267600277423409</v>
      </c>
      <c r="J13" s="114">
        <v>21.319197971090368</v>
      </c>
      <c r="K13" s="109">
        <v>25.520355989194634</v>
      </c>
      <c r="L13" s="114"/>
      <c r="M13" s="113">
        <v>36.334944351674224</v>
      </c>
      <c r="N13" s="114">
        <v>37.160738541485003</v>
      </c>
      <c r="O13" s="109">
        <v>40.817827096361313</v>
      </c>
      <c r="P13" s="119"/>
      <c r="Q13" s="120">
        <v>0.08</v>
      </c>
      <c r="R13" s="120">
        <v>0.05</v>
      </c>
      <c r="S13" s="120">
        <v>0.03</v>
      </c>
      <c r="T13" s="120">
        <v>1.4999999999999999E-2</v>
      </c>
      <c r="U13" s="120">
        <v>0.02</v>
      </c>
      <c r="V13" s="121">
        <f t="shared" si="0"/>
        <v>0</v>
      </c>
      <c r="W13" s="119"/>
      <c r="X13" s="113">
        <f t="shared" si="1"/>
        <v>204.94638933306686</v>
      </c>
      <c r="Y13" s="113">
        <f t="shared" si="2"/>
        <v>279.07042731012137</v>
      </c>
      <c r="Z13" s="113">
        <f t="shared" si="3"/>
        <v>327.77186258884518</v>
      </c>
      <c r="AA13" s="22"/>
      <c r="AB13" s="22"/>
      <c r="AC13" s="22"/>
      <c r="AD13" s="22"/>
      <c r="AE13" s="22"/>
      <c r="AF13" s="22"/>
      <c r="AG13" s="22"/>
      <c r="AH13" s="22"/>
      <c r="AI13" s="22"/>
      <c r="AJ13" s="22"/>
      <c r="AK13" s="22"/>
      <c r="AL13" s="22"/>
      <c r="AM13" s="22"/>
      <c r="AN13" s="22"/>
      <c r="AO13" s="22"/>
      <c r="AP13" s="22"/>
      <c r="AQ13" s="22"/>
      <c r="AR13" s="22"/>
    </row>
    <row r="14" spans="1:44" hidden="1" x14ac:dyDescent="0.25">
      <c r="A14" s="16"/>
      <c r="B14" s="3" t="s">
        <v>17</v>
      </c>
      <c r="C14" s="3" t="s">
        <v>27</v>
      </c>
      <c r="D14" s="11" t="s">
        <v>19</v>
      </c>
      <c r="E14" s="107">
        <v>153.22104368393821</v>
      </c>
      <c r="F14" s="108">
        <v>217.56255081676397</v>
      </c>
      <c r="G14" s="109">
        <v>257.83922499815208</v>
      </c>
      <c r="H14" s="114"/>
      <c r="I14" s="113">
        <v>12.452443591535083</v>
      </c>
      <c r="J14" s="114">
        <v>20.009353960076339</v>
      </c>
      <c r="K14" s="109">
        <v>23.952394309926873</v>
      </c>
      <c r="L14" s="114"/>
      <c r="M14" s="113">
        <v>34.102538174194827</v>
      </c>
      <c r="N14" s="114">
        <v>34.877595859971976</v>
      </c>
      <c r="O14" s="109">
        <v>38.309994182699377</v>
      </c>
      <c r="P14" s="119"/>
      <c r="Q14" s="120">
        <v>0.08</v>
      </c>
      <c r="R14" s="120">
        <v>0.05</v>
      </c>
      <c r="S14" s="120">
        <v>0.03</v>
      </c>
      <c r="T14" s="120">
        <v>1.4999999999999999E-2</v>
      </c>
      <c r="U14" s="120">
        <v>0.02</v>
      </c>
      <c r="V14" s="121">
        <f t="shared" si="0"/>
        <v>0</v>
      </c>
      <c r="W14" s="119"/>
      <c r="X14" s="113">
        <f t="shared" si="1"/>
        <v>199.77602544966811</v>
      </c>
      <c r="Y14" s="113">
        <f t="shared" si="2"/>
        <v>272.44950063681227</v>
      </c>
      <c r="Z14" s="113">
        <f t="shared" si="3"/>
        <v>320.10161349077833</v>
      </c>
      <c r="AA14" s="22"/>
      <c r="AB14" s="22"/>
      <c r="AC14" s="22"/>
      <c r="AD14" s="22"/>
      <c r="AE14" s="22"/>
      <c r="AF14" s="22"/>
      <c r="AG14" s="22"/>
      <c r="AH14" s="22"/>
      <c r="AI14" s="22"/>
      <c r="AJ14" s="22"/>
      <c r="AK14" s="22"/>
      <c r="AL14" s="22"/>
      <c r="AM14" s="22"/>
      <c r="AN14" s="22"/>
      <c r="AO14" s="22"/>
      <c r="AP14" s="22"/>
      <c r="AQ14" s="22"/>
      <c r="AR14" s="22"/>
    </row>
    <row r="15" spans="1:44" hidden="1" x14ac:dyDescent="0.25">
      <c r="A15" s="16"/>
      <c r="B15" s="3" t="s">
        <v>17</v>
      </c>
      <c r="C15" s="3" t="s">
        <v>28</v>
      </c>
      <c r="D15" s="11" t="s">
        <v>19</v>
      </c>
      <c r="E15" s="107">
        <v>131.20080013304752</v>
      </c>
      <c r="F15" s="108">
        <v>187.13878520215832</v>
      </c>
      <c r="G15" s="109">
        <v>222.15495417251827</v>
      </c>
      <c r="H15" s="114"/>
      <c r="I15" s="113">
        <v>13.139687151853261</v>
      </c>
      <c r="J15" s="114">
        <v>21.113659276065672</v>
      </c>
      <c r="K15" s="109">
        <v>25.27431386914407</v>
      </c>
      <c r="L15" s="114"/>
      <c r="M15" s="113">
        <v>35.984638629293606</v>
      </c>
      <c r="N15" s="114">
        <v>36.802471325413919</v>
      </c>
      <c r="O15" s="109">
        <v>40.424301836803863</v>
      </c>
      <c r="P15" s="119"/>
      <c r="Q15" s="120">
        <v>0.08</v>
      </c>
      <c r="R15" s="120">
        <v>0.05</v>
      </c>
      <c r="S15" s="120">
        <v>0.03</v>
      </c>
      <c r="T15" s="120">
        <v>1.4999999999999999E-2</v>
      </c>
      <c r="U15" s="120">
        <v>0.02</v>
      </c>
      <c r="V15" s="121">
        <f t="shared" si="0"/>
        <v>0</v>
      </c>
      <c r="W15" s="119"/>
      <c r="X15" s="113">
        <f t="shared" si="1"/>
        <v>180.32512591419439</v>
      </c>
      <c r="Y15" s="113">
        <f t="shared" si="2"/>
        <v>245.05491580363793</v>
      </c>
      <c r="Z15" s="113">
        <f t="shared" si="3"/>
        <v>287.8535698784662</v>
      </c>
      <c r="AA15" s="22"/>
      <c r="AB15" s="22"/>
      <c r="AC15" s="22"/>
      <c r="AD15" s="22"/>
      <c r="AE15" s="22"/>
      <c r="AF15" s="22"/>
      <c r="AG15" s="22"/>
      <c r="AH15" s="22"/>
      <c r="AI15" s="22"/>
      <c r="AJ15" s="22"/>
      <c r="AK15" s="22"/>
      <c r="AL15" s="22"/>
      <c r="AM15" s="22"/>
      <c r="AN15" s="22"/>
      <c r="AO15" s="22"/>
      <c r="AP15" s="22"/>
      <c r="AQ15" s="22"/>
      <c r="AR15" s="22"/>
    </row>
    <row r="16" spans="1:44" hidden="1" x14ac:dyDescent="0.25">
      <c r="A16" s="16"/>
      <c r="B16" s="3" t="s">
        <v>17</v>
      </c>
      <c r="C16" s="3" t="s">
        <v>29</v>
      </c>
      <c r="D16" s="11" t="s">
        <v>19</v>
      </c>
      <c r="E16" s="107">
        <v>146.52778291078423</v>
      </c>
      <c r="F16" s="108">
        <v>208.01560536625027</v>
      </c>
      <c r="G16" s="109">
        <v>246.50593170226918</v>
      </c>
      <c r="H16" s="114"/>
      <c r="I16" s="113">
        <v>12.514331959811241</v>
      </c>
      <c r="J16" s="114">
        <v>20.108800005163506</v>
      </c>
      <c r="K16" s="109">
        <v>24.071437178039616</v>
      </c>
      <c r="L16" s="114"/>
      <c r="M16" s="113">
        <v>34.272027032037229</v>
      </c>
      <c r="N16" s="114">
        <v>35.050936737310799</v>
      </c>
      <c r="O16" s="109">
        <v>38.500394003522338</v>
      </c>
      <c r="P16" s="119"/>
      <c r="Q16" s="120">
        <v>0.08</v>
      </c>
      <c r="R16" s="120">
        <v>0.05</v>
      </c>
      <c r="S16" s="120">
        <v>0.03</v>
      </c>
      <c r="T16" s="120">
        <v>1.4999999999999999E-2</v>
      </c>
      <c r="U16" s="120">
        <v>0.02</v>
      </c>
      <c r="V16" s="121">
        <f t="shared" si="0"/>
        <v>0</v>
      </c>
      <c r="W16" s="119"/>
      <c r="X16" s="113">
        <f t="shared" si="1"/>
        <v>193.31414190263268</v>
      </c>
      <c r="Y16" s="113">
        <f t="shared" si="2"/>
        <v>263.17534210872458</v>
      </c>
      <c r="Z16" s="113">
        <f t="shared" si="3"/>
        <v>309.0777628838311</v>
      </c>
      <c r="AA16" s="22"/>
      <c r="AB16" s="22"/>
      <c r="AC16" s="22"/>
      <c r="AD16" s="22"/>
      <c r="AE16" s="22"/>
      <c r="AF16" s="22"/>
      <c r="AG16" s="22"/>
      <c r="AH16" s="22"/>
      <c r="AI16" s="22"/>
      <c r="AJ16" s="22"/>
      <c r="AK16" s="22"/>
      <c r="AL16" s="22"/>
      <c r="AM16" s="22"/>
      <c r="AN16" s="22"/>
      <c r="AO16" s="22"/>
      <c r="AP16" s="22"/>
      <c r="AQ16" s="22"/>
      <c r="AR16" s="22"/>
    </row>
    <row r="17" spans="1:44" hidden="1" x14ac:dyDescent="0.25">
      <c r="A17" s="16"/>
      <c r="B17" s="3" t="s">
        <v>17</v>
      </c>
      <c r="C17" s="3" t="s">
        <v>30</v>
      </c>
      <c r="D17" s="11" t="s">
        <v>19</v>
      </c>
      <c r="E17" s="107">
        <v>156.50824155517776</v>
      </c>
      <c r="F17" s="108">
        <v>222.25132123586368</v>
      </c>
      <c r="G17" s="109">
        <v>263.40527755192545</v>
      </c>
      <c r="H17" s="114"/>
      <c r="I17" s="113">
        <v>13.367088690717782</v>
      </c>
      <c r="J17" s="114">
        <v>21.479062086265863</v>
      </c>
      <c r="K17" s="109">
        <v>25.711722903405409</v>
      </c>
      <c r="L17" s="114"/>
      <c r="M17" s="113">
        <v>36.60740552664938</v>
      </c>
      <c r="N17" s="114">
        <v>37.439392015891407</v>
      </c>
      <c r="O17" s="109">
        <v>41.12390361110613</v>
      </c>
      <c r="P17" s="119"/>
      <c r="Q17" s="120">
        <v>0.08</v>
      </c>
      <c r="R17" s="120">
        <v>0.05</v>
      </c>
      <c r="S17" s="120">
        <v>0.03</v>
      </c>
      <c r="T17" s="120">
        <v>1.4999999999999999E-2</v>
      </c>
      <c r="U17" s="120">
        <v>0.02</v>
      </c>
      <c r="V17" s="121">
        <f t="shared" si="0"/>
        <v>0</v>
      </c>
      <c r="W17" s="119"/>
      <c r="X17" s="113">
        <f t="shared" si="1"/>
        <v>206.48273577254494</v>
      </c>
      <c r="Y17" s="113">
        <f t="shared" si="2"/>
        <v>281.16977533802094</v>
      </c>
      <c r="Z17" s="113">
        <f t="shared" si="3"/>
        <v>330.240904066437</v>
      </c>
      <c r="AA17" s="22"/>
      <c r="AB17" s="22"/>
      <c r="AC17" s="22"/>
      <c r="AD17" s="22"/>
      <c r="AE17" s="22"/>
      <c r="AF17" s="22"/>
      <c r="AG17" s="22"/>
      <c r="AH17" s="22"/>
      <c r="AI17" s="22"/>
      <c r="AJ17" s="22"/>
      <c r="AK17" s="22"/>
      <c r="AL17" s="22"/>
      <c r="AM17" s="22"/>
      <c r="AN17" s="22"/>
      <c r="AO17" s="22"/>
      <c r="AP17" s="22"/>
      <c r="AQ17" s="22"/>
      <c r="AR17" s="22"/>
    </row>
    <row r="18" spans="1:44" hidden="1" x14ac:dyDescent="0.25">
      <c r="A18" s="16"/>
      <c r="B18" s="3" t="s">
        <v>17</v>
      </c>
      <c r="C18" s="3" t="s">
        <v>32</v>
      </c>
      <c r="D18" s="11" t="s">
        <v>19</v>
      </c>
      <c r="E18" s="107">
        <v>164.3263083006874</v>
      </c>
      <c r="F18" s="108">
        <v>233.40264431960972</v>
      </c>
      <c r="G18" s="109">
        <v>276.64313696503802</v>
      </c>
      <c r="H18" s="114"/>
      <c r="I18" s="113">
        <v>14.035082871502631</v>
      </c>
      <c r="J18" s="114">
        <v>22.552436312645114</v>
      </c>
      <c r="K18" s="109">
        <v>26.996616097041056</v>
      </c>
      <c r="L18" s="114"/>
      <c r="M18" s="113">
        <v>38.436789204070003</v>
      </c>
      <c r="N18" s="114">
        <v>39.310352595071599</v>
      </c>
      <c r="O18" s="109">
        <v>43.178990469507212</v>
      </c>
      <c r="P18" s="119"/>
      <c r="Q18" s="120">
        <v>0.08</v>
      </c>
      <c r="R18" s="120">
        <v>0.05</v>
      </c>
      <c r="S18" s="120">
        <v>0.03</v>
      </c>
      <c r="T18" s="120">
        <v>1.4999999999999999E-2</v>
      </c>
      <c r="U18" s="120">
        <v>0.02</v>
      </c>
      <c r="V18" s="121">
        <f t="shared" si="0"/>
        <v>0</v>
      </c>
      <c r="W18" s="119"/>
      <c r="X18" s="113">
        <f t="shared" si="1"/>
        <v>216.79818037626004</v>
      </c>
      <c r="Y18" s="113">
        <f t="shared" si="2"/>
        <v>295.26543322732641</v>
      </c>
      <c r="Z18" s="113">
        <f t="shared" si="3"/>
        <v>346.81874353158628</v>
      </c>
      <c r="AA18" s="22"/>
      <c r="AB18" s="22"/>
      <c r="AC18" s="22"/>
      <c r="AD18" s="22"/>
      <c r="AE18" s="22"/>
      <c r="AF18" s="22"/>
      <c r="AG18" s="22"/>
      <c r="AH18" s="22"/>
      <c r="AI18" s="22"/>
      <c r="AJ18" s="22"/>
      <c r="AK18" s="22"/>
      <c r="AL18" s="22"/>
      <c r="AM18" s="22"/>
      <c r="AN18" s="22"/>
      <c r="AO18" s="22"/>
      <c r="AP18" s="22"/>
      <c r="AQ18" s="22"/>
      <c r="AR18" s="22"/>
    </row>
    <row r="19" spans="1:44" hidden="1" x14ac:dyDescent="0.25">
      <c r="A19" s="16"/>
      <c r="B19" s="3" t="s">
        <v>17</v>
      </c>
      <c r="C19" s="3" t="s">
        <v>33</v>
      </c>
      <c r="D19" s="11" t="s">
        <v>19</v>
      </c>
      <c r="E19" s="107">
        <v>145.52974166605068</v>
      </c>
      <c r="F19" s="108">
        <v>206.59204301870056</v>
      </c>
      <c r="G19" s="109">
        <v>244.81599711730357</v>
      </c>
      <c r="H19" s="114"/>
      <c r="I19" s="113">
        <v>12.429061663642242</v>
      </c>
      <c r="J19" s="114">
        <v>19.971782437022433</v>
      </c>
      <c r="K19" s="109">
        <v>23.907418948063256</v>
      </c>
      <c r="L19" s="114"/>
      <c r="M19" s="113">
        <v>34.038503907932899</v>
      </c>
      <c r="N19" s="114">
        <v>34.812106269476836</v>
      </c>
      <c r="O19" s="109">
        <v>38.238059584885661</v>
      </c>
      <c r="P19" s="119"/>
      <c r="Q19" s="120">
        <v>0.08</v>
      </c>
      <c r="R19" s="120">
        <v>0.05</v>
      </c>
      <c r="S19" s="120">
        <v>0.03</v>
      </c>
      <c r="T19" s="120">
        <v>1.4999999999999999E-2</v>
      </c>
      <c r="U19" s="120">
        <v>0.02</v>
      </c>
      <c r="V19" s="121">
        <f t="shared" si="0"/>
        <v>0</v>
      </c>
      <c r="W19" s="119"/>
      <c r="X19" s="113">
        <f t="shared" si="1"/>
        <v>191.99730723762582</v>
      </c>
      <c r="Y19" s="113">
        <f t="shared" si="2"/>
        <v>261.37593172519985</v>
      </c>
      <c r="Z19" s="113">
        <f t="shared" si="3"/>
        <v>306.96147565025251</v>
      </c>
      <c r="AA19" s="22"/>
      <c r="AB19" s="22"/>
      <c r="AC19" s="22"/>
      <c r="AD19" s="22"/>
      <c r="AE19" s="22"/>
      <c r="AF19" s="22"/>
      <c r="AG19" s="22"/>
      <c r="AH19" s="22"/>
      <c r="AI19" s="22"/>
      <c r="AJ19" s="22"/>
      <c r="AK19" s="22"/>
      <c r="AL19" s="22"/>
      <c r="AM19" s="22"/>
      <c r="AN19" s="22"/>
      <c r="AO19" s="22"/>
      <c r="AP19" s="22"/>
      <c r="AQ19" s="22"/>
      <c r="AR19" s="22"/>
    </row>
    <row r="20" spans="1:44" hidden="1" x14ac:dyDescent="0.25">
      <c r="A20" s="16"/>
      <c r="B20" s="3" t="s">
        <v>17</v>
      </c>
      <c r="C20" s="3" t="s">
        <v>34</v>
      </c>
      <c r="D20" s="11" t="s">
        <v>19</v>
      </c>
      <c r="E20" s="107">
        <v>154.67851467218566</v>
      </c>
      <c r="F20" s="108">
        <v>219.64146463153224</v>
      </c>
      <c r="G20" s="109">
        <v>260.30707184566484</v>
      </c>
      <c r="H20" s="114"/>
      <c r="I20" s="113">
        <v>13.210750852871859</v>
      </c>
      <c r="J20" s="114">
        <v>21.227848811391958</v>
      </c>
      <c r="K20" s="109">
        <v>25.411005577515052</v>
      </c>
      <c r="L20" s="114"/>
      <c r="M20" s="113">
        <v>36.179255256863293</v>
      </c>
      <c r="N20" s="114">
        <v>37.001511058155643</v>
      </c>
      <c r="O20" s="109">
        <v>40.64292960673604</v>
      </c>
      <c r="P20" s="119"/>
      <c r="Q20" s="120">
        <v>0.08</v>
      </c>
      <c r="R20" s="120">
        <v>0.05</v>
      </c>
      <c r="S20" s="120">
        <v>0.03</v>
      </c>
      <c r="T20" s="120">
        <v>1.4999999999999999E-2</v>
      </c>
      <c r="U20" s="120">
        <v>0.02</v>
      </c>
      <c r="V20" s="121">
        <f t="shared" si="0"/>
        <v>0</v>
      </c>
      <c r="W20" s="119"/>
      <c r="X20" s="113">
        <f t="shared" si="1"/>
        <v>204.0685207819208</v>
      </c>
      <c r="Y20" s="113">
        <f t="shared" si="2"/>
        <v>277.87082450107982</v>
      </c>
      <c r="Z20" s="113">
        <f t="shared" si="3"/>
        <v>326.36100702991592</v>
      </c>
      <c r="AA20" s="22"/>
      <c r="AB20" s="22"/>
      <c r="AC20" s="22"/>
      <c r="AD20" s="22"/>
      <c r="AE20" s="22"/>
      <c r="AF20" s="22"/>
      <c r="AG20" s="22"/>
      <c r="AH20" s="22"/>
      <c r="AI20" s="22"/>
      <c r="AJ20" s="22"/>
      <c r="AK20" s="22"/>
      <c r="AL20" s="22"/>
      <c r="AM20" s="22"/>
      <c r="AN20" s="22"/>
      <c r="AO20" s="22"/>
      <c r="AP20" s="22"/>
      <c r="AQ20" s="22"/>
      <c r="AR20" s="22"/>
    </row>
    <row r="21" spans="1:44" hidden="1" x14ac:dyDescent="0.25">
      <c r="A21" s="16"/>
      <c r="B21" s="3" t="s">
        <v>17</v>
      </c>
      <c r="C21" s="3" t="s">
        <v>35</v>
      </c>
      <c r="D21" s="11" t="s">
        <v>19</v>
      </c>
      <c r="E21" s="107">
        <v>162.49653522063713</v>
      </c>
      <c r="F21" s="108">
        <v>230.79269532116194</v>
      </c>
      <c r="G21" s="109">
        <v>273.54488506171924</v>
      </c>
      <c r="H21" s="114"/>
      <c r="I21" s="113">
        <v>13.878745033656708</v>
      </c>
      <c r="J21" s="114">
        <v>22.301223037771209</v>
      </c>
      <c r="K21" s="109">
        <v>26.695898771150699</v>
      </c>
      <c r="L21" s="114"/>
      <c r="M21" s="113">
        <v>38.008638934283915</v>
      </c>
      <c r="N21" s="114">
        <v>38.872471637335821</v>
      </c>
      <c r="O21" s="109">
        <v>42.698016465137137</v>
      </c>
      <c r="P21" s="119"/>
      <c r="Q21" s="120">
        <v>0.08</v>
      </c>
      <c r="R21" s="120">
        <v>0.05</v>
      </c>
      <c r="S21" s="120">
        <v>0.03</v>
      </c>
      <c r="T21" s="120">
        <v>1.4999999999999999E-2</v>
      </c>
      <c r="U21" s="120">
        <v>0.02</v>
      </c>
      <c r="V21" s="121">
        <f t="shared" si="0"/>
        <v>0</v>
      </c>
      <c r="W21" s="119"/>
      <c r="X21" s="113">
        <f t="shared" si="1"/>
        <v>214.38391918857775</v>
      </c>
      <c r="Y21" s="113">
        <f t="shared" si="2"/>
        <v>291.96638999626896</v>
      </c>
      <c r="Z21" s="113">
        <f t="shared" si="3"/>
        <v>342.9388002980071</v>
      </c>
      <c r="AA21" s="22"/>
      <c r="AB21" s="22"/>
      <c r="AC21" s="22"/>
      <c r="AD21" s="22"/>
      <c r="AE21" s="22"/>
      <c r="AF21" s="22"/>
      <c r="AG21" s="22"/>
      <c r="AH21" s="22"/>
      <c r="AI21" s="22"/>
      <c r="AJ21" s="22"/>
      <c r="AK21" s="22"/>
      <c r="AL21" s="22"/>
      <c r="AM21" s="22"/>
      <c r="AN21" s="22"/>
      <c r="AO21" s="22"/>
      <c r="AP21" s="22"/>
      <c r="AQ21" s="22"/>
      <c r="AR21" s="22"/>
    </row>
    <row r="22" spans="1:44" hidden="1" x14ac:dyDescent="0.25">
      <c r="A22" s="16"/>
      <c r="B22" s="3" t="s">
        <v>17</v>
      </c>
      <c r="C22" s="3" t="s">
        <v>36</v>
      </c>
      <c r="D22" s="11" t="s">
        <v>19</v>
      </c>
      <c r="E22" s="107">
        <v>191.77262731909229</v>
      </c>
      <c r="F22" s="108">
        <v>272.55072436987211</v>
      </c>
      <c r="G22" s="109">
        <v>323.11645354423825</v>
      </c>
      <c r="H22" s="114"/>
      <c r="I22" s="113">
        <v>16.380154279849808</v>
      </c>
      <c r="J22" s="114">
        <v>26.32064160716024</v>
      </c>
      <c r="K22" s="109">
        <v>31.507383372939454</v>
      </c>
      <c r="L22" s="114"/>
      <c r="M22" s="113">
        <v>44.859053768973261</v>
      </c>
      <c r="N22" s="114">
        <v>45.878577718268112</v>
      </c>
      <c r="O22" s="109">
        <v>50.393612350859577</v>
      </c>
      <c r="P22" s="119"/>
      <c r="Q22" s="120">
        <v>0.08</v>
      </c>
      <c r="R22" s="120">
        <v>0.05</v>
      </c>
      <c r="S22" s="120">
        <v>0.03</v>
      </c>
      <c r="T22" s="120">
        <v>1.4999999999999999E-2</v>
      </c>
      <c r="U22" s="120">
        <v>0.02</v>
      </c>
      <c r="V22" s="121">
        <f t="shared" si="0"/>
        <v>0</v>
      </c>
      <c r="W22" s="119"/>
      <c r="X22" s="113">
        <f t="shared" si="1"/>
        <v>253.01183536791538</v>
      </c>
      <c r="Y22" s="113">
        <f t="shared" si="2"/>
        <v>344.74994369530049</v>
      </c>
      <c r="Z22" s="113">
        <f t="shared" si="3"/>
        <v>405.0174492680373</v>
      </c>
      <c r="AA22" s="22"/>
      <c r="AB22" s="22"/>
      <c r="AC22" s="22"/>
      <c r="AD22" s="22"/>
      <c r="AE22" s="22"/>
      <c r="AF22" s="22"/>
      <c r="AG22" s="22"/>
      <c r="AH22" s="22"/>
      <c r="AI22" s="22"/>
      <c r="AJ22" s="22"/>
      <c r="AK22" s="22"/>
      <c r="AL22" s="22"/>
      <c r="AM22" s="22"/>
      <c r="AN22" s="22"/>
      <c r="AO22" s="22"/>
      <c r="AP22" s="22"/>
      <c r="AQ22" s="22"/>
      <c r="AR22" s="22"/>
    </row>
    <row r="23" spans="1:44" hidden="1" x14ac:dyDescent="0.25">
      <c r="A23" s="16"/>
      <c r="B23" s="3" t="s">
        <v>17</v>
      </c>
      <c r="C23" s="3" t="s">
        <v>37</v>
      </c>
      <c r="D23" s="11" t="s">
        <v>19</v>
      </c>
      <c r="E23" s="107">
        <v>150.18728287382658</v>
      </c>
      <c r="F23" s="108">
        <v>213.23531857491312</v>
      </c>
      <c r="G23" s="109">
        <v>252.70234311479044</v>
      </c>
      <c r="H23" s="114"/>
      <c r="I23" s="113">
        <v>12.827011476161415</v>
      </c>
      <c r="J23" s="114">
        <v>20.611232726317862</v>
      </c>
      <c r="K23" s="109">
        <v>24.672879217363352</v>
      </c>
      <c r="L23" s="114"/>
      <c r="M23" s="113">
        <v>35.128338089721446</v>
      </c>
      <c r="N23" s="114">
        <v>35.92670940994239</v>
      </c>
      <c r="O23" s="109">
        <v>39.462353828063712</v>
      </c>
      <c r="P23" s="119"/>
      <c r="Q23" s="120">
        <v>0.08</v>
      </c>
      <c r="R23" s="120">
        <v>0.05</v>
      </c>
      <c r="S23" s="120">
        <v>0.03</v>
      </c>
      <c r="T23" s="120">
        <v>1.4999999999999999E-2</v>
      </c>
      <c r="U23" s="120">
        <v>0.02</v>
      </c>
      <c r="V23" s="121">
        <f t="shared" si="0"/>
        <v>0</v>
      </c>
      <c r="W23" s="119"/>
      <c r="X23" s="113">
        <f t="shared" si="1"/>
        <v>198.14263243970942</v>
      </c>
      <c r="Y23" s="113">
        <f t="shared" si="2"/>
        <v>269.77326071117341</v>
      </c>
      <c r="Z23" s="113">
        <f t="shared" si="3"/>
        <v>316.83757616021751</v>
      </c>
      <c r="AA23" s="22"/>
      <c r="AB23" s="22"/>
      <c r="AC23" s="22"/>
      <c r="AD23" s="22"/>
      <c r="AE23" s="22"/>
      <c r="AF23" s="22"/>
      <c r="AG23" s="22"/>
      <c r="AH23" s="22"/>
      <c r="AI23" s="22"/>
      <c r="AJ23" s="22"/>
      <c r="AK23" s="22"/>
      <c r="AL23" s="22"/>
      <c r="AM23" s="22"/>
      <c r="AN23" s="22"/>
      <c r="AO23" s="22"/>
      <c r="AP23" s="22"/>
      <c r="AQ23" s="22"/>
      <c r="AR23" s="22"/>
    </row>
    <row r="24" spans="1:44" hidden="1" x14ac:dyDescent="0.25">
      <c r="A24" s="16"/>
      <c r="B24" s="3" t="s">
        <v>17</v>
      </c>
      <c r="C24" s="3" t="s">
        <v>38</v>
      </c>
      <c r="D24" s="11" t="s">
        <v>19</v>
      </c>
      <c r="E24" s="107">
        <v>176.46920504102297</v>
      </c>
      <c r="F24" s="108">
        <v>250.72266058097418</v>
      </c>
      <c r="G24" s="109">
        <v>297.20401544829622</v>
      </c>
      <c r="H24" s="114"/>
      <c r="I24" s="113">
        <v>15.07259447121422</v>
      </c>
      <c r="J24" s="114">
        <v>24.219573905657494</v>
      </c>
      <c r="K24" s="109">
        <v>28.992279579050976</v>
      </c>
      <c r="L24" s="114"/>
      <c r="M24" s="113">
        <v>41.27814147964957</v>
      </c>
      <c r="N24" s="114">
        <v>42.216281058732513</v>
      </c>
      <c r="O24" s="109">
        <v>46.370899194671267</v>
      </c>
      <c r="P24" s="119"/>
      <c r="Q24" s="120">
        <v>0.08</v>
      </c>
      <c r="R24" s="120">
        <v>0.05</v>
      </c>
      <c r="S24" s="120">
        <v>0.03</v>
      </c>
      <c r="T24" s="120">
        <v>1.4999999999999999E-2</v>
      </c>
      <c r="U24" s="120">
        <v>0.02</v>
      </c>
      <c r="V24" s="121">
        <f t="shared" si="0"/>
        <v>0</v>
      </c>
      <c r="W24" s="119"/>
      <c r="X24" s="113">
        <f t="shared" si="1"/>
        <v>232.81994099188677</v>
      </c>
      <c r="Y24" s="113">
        <f t="shared" si="2"/>
        <v>317.1585155453642</v>
      </c>
      <c r="Z24" s="113">
        <f t="shared" si="3"/>
        <v>372.56719422201849</v>
      </c>
      <c r="AA24" s="22"/>
      <c r="AB24" s="22"/>
      <c r="AC24" s="22"/>
      <c r="AD24" s="22"/>
      <c r="AE24" s="22"/>
      <c r="AF24" s="22"/>
      <c r="AG24" s="22"/>
      <c r="AH24" s="22"/>
      <c r="AI24" s="22"/>
      <c r="AJ24" s="22"/>
      <c r="AK24" s="22"/>
      <c r="AL24" s="22"/>
      <c r="AM24" s="22"/>
      <c r="AN24" s="22"/>
      <c r="AO24" s="22"/>
      <c r="AP24" s="22"/>
      <c r="AQ24" s="22"/>
      <c r="AR24" s="22"/>
    </row>
    <row r="25" spans="1:44" hidden="1" x14ac:dyDescent="0.25">
      <c r="A25" s="16"/>
      <c r="B25" s="3" t="s">
        <v>17</v>
      </c>
      <c r="C25" s="3" t="s">
        <v>39</v>
      </c>
      <c r="D25" s="11" t="s">
        <v>19</v>
      </c>
      <c r="E25" s="107">
        <v>149.688308448518</v>
      </c>
      <c r="F25" s="108">
        <v>212.52356049966735</v>
      </c>
      <c r="G25" s="109">
        <v>251.85739892083672</v>
      </c>
      <c r="H25" s="114"/>
      <c r="I25" s="113">
        <v>12.784376328076913</v>
      </c>
      <c r="J25" s="114">
        <v>20.542723942247324</v>
      </c>
      <c r="K25" s="109">
        <v>24.590870102375167</v>
      </c>
      <c r="L25" s="114"/>
      <c r="M25" s="113">
        <v>35.011576527669291</v>
      </c>
      <c r="N25" s="114">
        <v>35.807294176025408</v>
      </c>
      <c r="O25" s="109">
        <v>39.331186618745377</v>
      </c>
      <c r="P25" s="119"/>
      <c r="Q25" s="120">
        <v>0.08</v>
      </c>
      <c r="R25" s="120">
        <v>0.05</v>
      </c>
      <c r="S25" s="120">
        <v>0.03</v>
      </c>
      <c r="T25" s="120">
        <v>1.4999999999999999E-2</v>
      </c>
      <c r="U25" s="120">
        <v>0.02</v>
      </c>
      <c r="V25" s="121">
        <f t="shared" si="0"/>
        <v>0</v>
      </c>
      <c r="W25" s="119"/>
      <c r="X25" s="113">
        <f t="shared" si="1"/>
        <v>197.48426130426421</v>
      </c>
      <c r="Y25" s="113">
        <f t="shared" si="2"/>
        <v>268.8735786179401</v>
      </c>
      <c r="Z25" s="113">
        <f t="shared" si="3"/>
        <v>315.77945564195727</v>
      </c>
      <c r="AA25" s="22"/>
      <c r="AB25" s="22"/>
      <c r="AC25" s="22"/>
      <c r="AD25" s="22"/>
      <c r="AE25" s="22"/>
      <c r="AF25" s="22"/>
      <c r="AG25" s="22"/>
      <c r="AH25" s="22"/>
      <c r="AI25" s="22"/>
      <c r="AJ25" s="22"/>
      <c r="AK25" s="22"/>
      <c r="AL25" s="22"/>
      <c r="AM25" s="22"/>
      <c r="AN25" s="22"/>
      <c r="AO25" s="22"/>
      <c r="AP25" s="22"/>
      <c r="AQ25" s="22"/>
      <c r="AR25" s="22"/>
    </row>
    <row r="26" spans="1:44" hidden="1" x14ac:dyDescent="0.25">
      <c r="A26" s="16"/>
      <c r="B26" s="3" t="s">
        <v>17</v>
      </c>
      <c r="C26" s="3" t="s">
        <v>40</v>
      </c>
      <c r="D26" s="11" t="s">
        <v>19</v>
      </c>
      <c r="E26" s="107">
        <v>211.40087959198758</v>
      </c>
      <c r="F26" s="108">
        <v>300.54761992756301</v>
      </c>
      <c r="G26" s="109">
        <v>356.3518645132678</v>
      </c>
      <c r="H26" s="114"/>
      <c r="I26" s="113">
        <v>17.78</v>
      </c>
      <c r="J26" s="114">
        <v>28.57</v>
      </c>
      <c r="K26" s="109">
        <v>34.200000000000003</v>
      </c>
      <c r="L26" s="114"/>
      <c r="M26" s="113">
        <v>48.692702302170133</v>
      </c>
      <c r="N26" s="114">
        <v>49.799354627219451</v>
      </c>
      <c r="O26" s="109">
        <v>54.700243495295013</v>
      </c>
      <c r="P26" s="119"/>
      <c r="Q26" s="120">
        <v>0.08</v>
      </c>
      <c r="R26" s="120">
        <v>0.05</v>
      </c>
      <c r="S26" s="120">
        <v>0.03</v>
      </c>
      <c r="T26" s="120">
        <v>1.4999999999999999E-2</v>
      </c>
      <c r="U26" s="120">
        <v>0.02</v>
      </c>
      <c r="V26" s="121">
        <f t="shared" si="0"/>
        <v>0</v>
      </c>
      <c r="W26" s="119"/>
      <c r="X26" s="113">
        <f t="shared" si="1"/>
        <v>277.87358189415772</v>
      </c>
      <c r="Y26" s="113">
        <f t="shared" si="2"/>
        <v>378.91697455478243</v>
      </c>
      <c r="Z26" s="113">
        <f t="shared" si="3"/>
        <v>445.2521080085628</v>
      </c>
      <c r="AA26" s="22"/>
      <c r="AB26" s="22"/>
      <c r="AC26" s="22"/>
      <c r="AD26" s="22"/>
      <c r="AE26" s="22"/>
      <c r="AF26" s="22"/>
      <c r="AG26" s="22"/>
      <c r="AH26" s="22"/>
      <c r="AI26" s="22"/>
      <c r="AJ26" s="22"/>
      <c r="AK26" s="22"/>
      <c r="AL26" s="22"/>
      <c r="AM26" s="22"/>
      <c r="AN26" s="22"/>
      <c r="AO26" s="22"/>
      <c r="AP26" s="22"/>
      <c r="AQ26" s="22"/>
      <c r="AR26" s="22"/>
    </row>
    <row r="27" spans="1:44" hidden="1" x14ac:dyDescent="0.25">
      <c r="A27" s="16"/>
      <c r="B27" s="3" t="s">
        <v>17</v>
      </c>
      <c r="C27" s="3" t="s">
        <v>41</v>
      </c>
      <c r="D27" s="11" t="s">
        <v>19</v>
      </c>
      <c r="E27" s="107">
        <v>192.60431295735086</v>
      </c>
      <c r="F27" s="108">
        <v>273.73706482371199</v>
      </c>
      <c r="G27" s="109">
        <v>324.52467846847509</v>
      </c>
      <c r="H27" s="114"/>
      <c r="I27" s="113">
        <v>16.45121798086841</v>
      </c>
      <c r="J27" s="114">
        <v>26.434831142486527</v>
      </c>
      <c r="K27" s="109">
        <v>31.64407508131044</v>
      </c>
      <c r="L27" s="114"/>
      <c r="M27" s="113">
        <v>45.053670396542955</v>
      </c>
      <c r="N27" s="114">
        <v>46.077617451009843</v>
      </c>
      <c r="O27" s="109">
        <v>50.612240120791768</v>
      </c>
      <c r="P27" s="119"/>
      <c r="Q27" s="120">
        <v>0.08</v>
      </c>
      <c r="R27" s="120">
        <v>0.05</v>
      </c>
      <c r="S27" s="120">
        <v>0.03</v>
      </c>
      <c r="T27" s="120">
        <v>1.4999999999999999E-2</v>
      </c>
      <c r="U27" s="120">
        <v>0.02</v>
      </c>
      <c r="V27" s="121">
        <f t="shared" si="0"/>
        <v>0</v>
      </c>
      <c r="W27" s="119"/>
      <c r="X27" s="113">
        <f t="shared" si="1"/>
        <v>254.10920133476225</v>
      </c>
      <c r="Y27" s="113">
        <f t="shared" si="2"/>
        <v>346.24951341720839</v>
      </c>
      <c r="Z27" s="113">
        <f t="shared" si="3"/>
        <v>406.78099367057735</v>
      </c>
      <c r="AA27" s="22"/>
      <c r="AB27" s="22"/>
      <c r="AC27" s="22"/>
      <c r="AD27" s="22"/>
      <c r="AE27" s="22"/>
      <c r="AF27" s="22"/>
      <c r="AG27" s="22"/>
      <c r="AH27" s="22"/>
      <c r="AI27" s="22"/>
      <c r="AJ27" s="22"/>
      <c r="AK27" s="22"/>
      <c r="AL27" s="22"/>
      <c r="AM27" s="22"/>
      <c r="AN27" s="22"/>
      <c r="AO27" s="22"/>
      <c r="AP27" s="22"/>
      <c r="AQ27" s="22"/>
      <c r="AR27" s="22"/>
    </row>
    <row r="28" spans="1:44" hidden="1" x14ac:dyDescent="0.25">
      <c r="A28" s="16"/>
      <c r="B28" s="3" t="s">
        <v>17</v>
      </c>
      <c r="C28" s="3" t="s">
        <v>42</v>
      </c>
      <c r="D28" s="11" t="s">
        <v>19</v>
      </c>
      <c r="E28" s="107">
        <v>199.92331288343556</v>
      </c>
      <c r="F28" s="108">
        <v>284.17662983221226</v>
      </c>
      <c r="G28" s="109">
        <v>336.91754749057577</v>
      </c>
      <c r="H28" s="114"/>
      <c r="I28" s="113">
        <v>17.076569332252106</v>
      </c>
      <c r="J28" s="114">
        <v>27.43968424198215</v>
      </c>
      <c r="K28" s="109">
        <v>32.846944384871875</v>
      </c>
      <c r="L28" s="114"/>
      <c r="M28" s="113">
        <v>46.766271475687269</v>
      </c>
      <c r="N28" s="114">
        <v>47.829141281952893</v>
      </c>
      <c r="O28" s="109">
        <v>52.53613613827207</v>
      </c>
      <c r="P28" s="119"/>
      <c r="Q28" s="120">
        <v>0.08</v>
      </c>
      <c r="R28" s="120">
        <v>0.05</v>
      </c>
      <c r="S28" s="120">
        <v>0.03</v>
      </c>
      <c r="T28" s="120">
        <v>1.4999999999999999E-2</v>
      </c>
      <c r="U28" s="120">
        <v>0.02</v>
      </c>
      <c r="V28" s="121">
        <f t="shared" si="0"/>
        <v>0</v>
      </c>
      <c r="W28" s="119"/>
      <c r="X28" s="113">
        <f t="shared" si="1"/>
        <v>263.76615369137494</v>
      </c>
      <c r="Y28" s="113">
        <f t="shared" si="2"/>
        <v>359.44545535614731</v>
      </c>
      <c r="Z28" s="113">
        <f t="shared" si="3"/>
        <v>422.30062801371975</v>
      </c>
      <c r="AA28" s="22"/>
      <c r="AB28" s="22"/>
      <c r="AC28" s="22"/>
      <c r="AD28" s="22"/>
      <c r="AE28" s="22"/>
      <c r="AF28" s="22"/>
      <c r="AG28" s="22"/>
      <c r="AH28" s="22"/>
      <c r="AI28" s="22"/>
      <c r="AJ28" s="22"/>
      <c r="AK28" s="22"/>
      <c r="AL28" s="22"/>
      <c r="AM28" s="22"/>
      <c r="AN28" s="22"/>
      <c r="AO28" s="22"/>
      <c r="AP28" s="22"/>
      <c r="AQ28" s="22"/>
      <c r="AR28" s="22"/>
    </row>
    <row r="29" spans="1:44" hidden="1" x14ac:dyDescent="0.25">
      <c r="A29" s="16"/>
      <c r="B29" s="3" t="s">
        <v>17</v>
      </c>
      <c r="C29" s="3" t="s">
        <v>43</v>
      </c>
      <c r="D29" s="11" t="s">
        <v>19</v>
      </c>
      <c r="E29" s="107">
        <v>150.35368467735972</v>
      </c>
      <c r="F29" s="108">
        <v>213.47263286273929</v>
      </c>
      <c r="G29" s="109">
        <v>252.98396038140291</v>
      </c>
      <c r="H29" s="114"/>
      <c r="I29" s="113">
        <v>12.841221911970139</v>
      </c>
      <c r="J29" s="114">
        <v>20.634066930539191</v>
      </c>
      <c r="K29" s="109">
        <v>24.700213126511741</v>
      </c>
      <c r="L29" s="114"/>
      <c r="M29" s="113">
        <v>35.167255104368152</v>
      </c>
      <c r="N29" s="114">
        <v>35.966510902194699</v>
      </c>
      <c r="O29" s="109">
        <v>39.506072292569421</v>
      </c>
      <c r="P29" s="119"/>
      <c r="Q29" s="120">
        <v>0.08</v>
      </c>
      <c r="R29" s="120">
        <v>0.05</v>
      </c>
      <c r="S29" s="120">
        <v>0.03</v>
      </c>
      <c r="T29" s="120">
        <v>1.4999999999999999E-2</v>
      </c>
      <c r="U29" s="120">
        <v>0.02</v>
      </c>
      <c r="V29" s="121">
        <f t="shared" si="0"/>
        <v>0</v>
      </c>
      <c r="W29" s="119"/>
      <c r="X29" s="113">
        <f t="shared" si="1"/>
        <v>198.362161693698</v>
      </c>
      <c r="Y29" s="113">
        <f t="shared" si="2"/>
        <v>270.07321069547322</v>
      </c>
      <c r="Z29" s="113">
        <f t="shared" si="3"/>
        <v>317.19024580048404</v>
      </c>
      <c r="AA29" s="22"/>
      <c r="AB29" s="22"/>
      <c r="AC29" s="22"/>
      <c r="AD29" s="22"/>
      <c r="AE29" s="22"/>
      <c r="AF29" s="22"/>
      <c r="AG29" s="22"/>
      <c r="AH29" s="22"/>
      <c r="AI29" s="22"/>
      <c r="AJ29" s="22"/>
      <c r="AK29" s="22"/>
      <c r="AL29" s="22"/>
      <c r="AM29" s="22"/>
      <c r="AN29" s="22"/>
      <c r="AO29" s="22"/>
      <c r="AP29" s="22"/>
      <c r="AQ29" s="22"/>
      <c r="AR29" s="22"/>
    </row>
    <row r="30" spans="1:44" hidden="1" x14ac:dyDescent="0.25">
      <c r="A30" s="16"/>
      <c r="B30" s="3" t="s">
        <v>17</v>
      </c>
      <c r="C30" s="3" t="s">
        <v>44</v>
      </c>
      <c r="D30" s="11" t="s">
        <v>19</v>
      </c>
      <c r="E30" s="107">
        <v>151.85070034740187</v>
      </c>
      <c r="F30" s="108">
        <v>215.60799948259293</v>
      </c>
      <c r="G30" s="109">
        <v>255.51888535738041</v>
      </c>
      <c r="H30" s="114"/>
      <c r="I30" s="113">
        <v>12.770859822414655</v>
      </c>
      <c r="J30" s="114">
        <v>20.521004787760781</v>
      </c>
      <c r="K30" s="109">
        <v>24.56487097449838</v>
      </c>
      <c r="L30" s="114"/>
      <c r="M30" s="113">
        <v>34.974559925510803</v>
      </c>
      <c r="N30" s="114">
        <v>35.769436287454226</v>
      </c>
      <c r="O30" s="109">
        <v>39.28960303320369</v>
      </c>
      <c r="P30" s="119"/>
      <c r="Q30" s="120">
        <v>0.08</v>
      </c>
      <c r="R30" s="120">
        <v>0.05</v>
      </c>
      <c r="S30" s="120">
        <v>0.03</v>
      </c>
      <c r="T30" s="120">
        <v>1.4999999999999999E-2</v>
      </c>
      <c r="U30" s="120">
        <v>0.02</v>
      </c>
      <c r="V30" s="121">
        <f t="shared" si="0"/>
        <v>0</v>
      </c>
      <c r="W30" s="119"/>
      <c r="X30" s="113">
        <f t="shared" si="1"/>
        <v>199.59612009532731</v>
      </c>
      <c r="Y30" s="113">
        <f t="shared" si="2"/>
        <v>271.89844055780793</v>
      </c>
      <c r="Z30" s="113">
        <f t="shared" si="3"/>
        <v>319.37335936508248</v>
      </c>
      <c r="AA30" s="22"/>
      <c r="AB30" s="22"/>
      <c r="AC30" s="22"/>
      <c r="AD30" s="22"/>
      <c r="AE30" s="22"/>
      <c r="AF30" s="22"/>
      <c r="AG30" s="22"/>
      <c r="AH30" s="22"/>
      <c r="AI30" s="22"/>
      <c r="AJ30" s="22"/>
      <c r="AK30" s="22"/>
      <c r="AL30" s="22"/>
      <c r="AM30" s="22"/>
      <c r="AN30" s="22"/>
      <c r="AO30" s="22"/>
      <c r="AP30" s="22"/>
      <c r="AQ30" s="22"/>
      <c r="AR30" s="22"/>
    </row>
    <row r="31" spans="1:44" hidden="1" x14ac:dyDescent="0.25">
      <c r="A31" s="16"/>
      <c r="B31" s="3" t="s">
        <v>17</v>
      </c>
      <c r="C31" s="3" t="s">
        <v>45</v>
      </c>
      <c r="D31" s="11" t="s">
        <v>19</v>
      </c>
      <c r="E31" s="107">
        <v>191.60631790967551</v>
      </c>
      <c r="F31" s="108">
        <v>272.31350247616228</v>
      </c>
      <c r="G31" s="109">
        <v>322.83479008056764</v>
      </c>
      <c r="H31" s="114"/>
      <c r="I31" s="113">
        <v>16.114952444041919</v>
      </c>
      <c r="J31" s="114">
        <v>25.894498949734395</v>
      </c>
      <c r="K31" s="109">
        <v>30.997265106087376</v>
      </c>
      <c r="L31" s="114"/>
      <c r="M31" s="113">
        <v>44.132766140121589</v>
      </c>
      <c r="N31" s="114">
        <v>45.135783552397079</v>
      </c>
      <c r="O31" s="109">
        <v>49.577717806759971</v>
      </c>
      <c r="P31" s="119"/>
      <c r="Q31" s="120">
        <v>0.08</v>
      </c>
      <c r="R31" s="120">
        <v>0.05</v>
      </c>
      <c r="S31" s="120">
        <v>0.03</v>
      </c>
      <c r="T31" s="120">
        <v>1.4999999999999999E-2</v>
      </c>
      <c r="U31" s="120">
        <v>0.02</v>
      </c>
      <c r="V31" s="121">
        <f t="shared" si="0"/>
        <v>0</v>
      </c>
      <c r="W31" s="119"/>
      <c r="X31" s="113">
        <f t="shared" si="1"/>
        <v>251.85403649383903</v>
      </c>
      <c r="Y31" s="113">
        <f t="shared" si="2"/>
        <v>343.34378497829374</v>
      </c>
      <c r="Z31" s="113">
        <f t="shared" si="3"/>
        <v>403.40977299341495</v>
      </c>
      <c r="AA31" s="22"/>
      <c r="AB31" s="22"/>
      <c r="AC31" s="22"/>
      <c r="AD31" s="22"/>
      <c r="AE31" s="22"/>
      <c r="AF31" s="22"/>
      <c r="AG31" s="22"/>
      <c r="AH31" s="22"/>
      <c r="AI31" s="22"/>
      <c r="AJ31" s="22"/>
      <c r="AK31" s="22"/>
      <c r="AL31" s="22"/>
      <c r="AM31" s="22"/>
      <c r="AN31" s="22"/>
      <c r="AO31" s="22"/>
      <c r="AP31" s="22"/>
      <c r="AQ31" s="22"/>
      <c r="AR31" s="22"/>
    </row>
    <row r="32" spans="1:44" hidden="1" x14ac:dyDescent="0.25">
      <c r="A32" s="16"/>
      <c r="B32" s="3" t="s">
        <v>17</v>
      </c>
      <c r="C32" s="3" t="s">
        <v>46</v>
      </c>
      <c r="D32" s="11" t="s">
        <v>19</v>
      </c>
      <c r="E32" s="107">
        <v>154.01313844334391</v>
      </c>
      <c r="F32" s="108">
        <v>218.69239226846034</v>
      </c>
      <c r="G32" s="109">
        <v>259.1804641880405</v>
      </c>
      <c r="H32" s="114"/>
      <c r="I32" s="113">
        <v>13.153901428320312</v>
      </c>
      <c r="J32" s="114">
        <v>21.136499651693548</v>
      </c>
      <c r="K32" s="109">
        <v>25.30165516583547</v>
      </c>
      <c r="L32" s="114"/>
      <c r="M32" s="113">
        <v>36.023566162052383</v>
      </c>
      <c r="N32" s="114">
        <v>36.842283574826297</v>
      </c>
      <c r="O32" s="109">
        <v>40.468032117110788</v>
      </c>
      <c r="P32" s="119"/>
      <c r="Q32" s="120">
        <v>0.08</v>
      </c>
      <c r="R32" s="120">
        <v>0.05</v>
      </c>
      <c r="S32" s="120">
        <v>0.03</v>
      </c>
      <c r="T32" s="120">
        <v>1.4999999999999999E-2</v>
      </c>
      <c r="U32" s="120">
        <v>0.02</v>
      </c>
      <c r="V32" s="121">
        <f t="shared" si="0"/>
        <v>0</v>
      </c>
      <c r="W32" s="119"/>
      <c r="X32" s="113">
        <f t="shared" si="1"/>
        <v>203.19060603371662</v>
      </c>
      <c r="Y32" s="113">
        <f t="shared" si="2"/>
        <v>276.67117549498016</v>
      </c>
      <c r="Z32" s="113">
        <f t="shared" si="3"/>
        <v>324.95015147098678</v>
      </c>
      <c r="AA32" s="22"/>
      <c r="AB32" s="22"/>
      <c r="AC32" s="22"/>
      <c r="AD32" s="22"/>
      <c r="AE32" s="22"/>
      <c r="AF32" s="22"/>
      <c r="AG32" s="22"/>
      <c r="AH32" s="22"/>
      <c r="AI32" s="22"/>
      <c r="AJ32" s="22"/>
      <c r="AK32" s="22"/>
      <c r="AL32" s="22"/>
      <c r="AM32" s="22"/>
      <c r="AN32" s="22"/>
      <c r="AO32" s="22"/>
      <c r="AP32" s="22"/>
      <c r="AQ32" s="22"/>
      <c r="AR32" s="22"/>
    </row>
    <row r="33" spans="1:44" hidden="1" x14ac:dyDescent="0.25">
      <c r="A33" s="16"/>
      <c r="B33" s="3" t="s">
        <v>17</v>
      </c>
      <c r="C33" s="3" t="s">
        <v>47</v>
      </c>
      <c r="D33" s="11" t="s">
        <v>19</v>
      </c>
      <c r="E33" s="107">
        <v>164.49266390716238</v>
      </c>
      <c r="F33" s="108">
        <v>233.63986621331952</v>
      </c>
      <c r="G33" s="109">
        <v>276.92480042870869</v>
      </c>
      <c r="H33" s="114"/>
      <c r="I33" s="113">
        <v>13.834251275788178</v>
      </c>
      <c r="J33" s="114">
        <v>22.229727724930719</v>
      </c>
      <c r="K33" s="109">
        <v>26.610314602472197</v>
      </c>
      <c r="L33" s="114"/>
      <c r="M33" s="113">
        <v>37.886787342259332</v>
      </c>
      <c r="N33" s="114">
        <v>38.747850690947047</v>
      </c>
      <c r="O33" s="109">
        <v>42.561131235135484</v>
      </c>
      <c r="P33" s="119"/>
      <c r="Q33" s="120">
        <v>0.08</v>
      </c>
      <c r="R33" s="120">
        <v>0.05</v>
      </c>
      <c r="S33" s="120">
        <v>0.03</v>
      </c>
      <c r="T33" s="120">
        <v>1.4999999999999999E-2</v>
      </c>
      <c r="U33" s="120">
        <v>0.02</v>
      </c>
      <c r="V33" s="121">
        <f t="shared" si="0"/>
        <v>0</v>
      </c>
      <c r="W33" s="119"/>
      <c r="X33" s="113">
        <f t="shared" si="1"/>
        <v>216.2137025252099</v>
      </c>
      <c r="Y33" s="113">
        <f t="shared" si="2"/>
        <v>294.61744462919728</v>
      </c>
      <c r="Z33" s="113">
        <f t="shared" si="3"/>
        <v>346.09624626631637</v>
      </c>
      <c r="AA33" s="22"/>
      <c r="AB33" s="22"/>
      <c r="AC33" s="22"/>
      <c r="AD33" s="22"/>
      <c r="AE33" s="22"/>
      <c r="AF33" s="22"/>
      <c r="AG33" s="22"/>
      <c r="AH33" s="22"/>
      <c r="AI33" s="22"/>
      <c r="AJ33" s="22"/>
      <c r="AK33" s="22"/>
      <c r="AL33" s="22"/>
      <c r="AM33" s="22"/>
      <c r="AN33" s="22"/>
      <c r="AO33" s="22"/>
      <c r="AP33" s="22"/>
      <c r="AQ33" s="22"/>
      <c r="AR33" s="22"/>
    </row>
    <row r="34" spans="1:44" hidden="1" x14ac:dyDescent="0.25">
      <c r="A34" s="16"/>
      <c r="B34" s="3" t="s">
        <v>17</v>
      </c>
      <c r="C34" s="3" t="s">
        <v>48</v>
      </c>
      <c r="D34" s="11" t="s">
        <v>19</v>
      </c>
      <c r="E34" s="107">
        <v>186.2833542759997</v>
      </c>
      <c r="F34" s="108">
        <v>264.72110835981965</v>
      </c>
      <c r="G34" s="109">
        <v>313.82179022839824</v>
      </c>
      <c r="H34" s="114"/>
      <c r="I34" s="113">
        <v>15.911136925653713</v>
      </c>
      <c r="J34" s="114">
        <v>25.566995611131976</v>
      </c>
      <c r="K34" s="109">
        <v>30.605224007725365</v>
      </c>
      <c r="L34" s="114"/>
      <c r="M34" s="113">
        <v>43.574592441502951</v>
      </c>
      <c r="N34" s="114">
        <v>44.564924087900749</v>
      </c>
      <c r="O34" s="109">
        <v>48.95067852194812</v>
      </c>
      <c r="P34" s="119"/>
      <c r="Q34" s="120">
        <v>0.08</v>
      </c>
      <c r="R34" s="120">
        <v>0.05</v>
      </c>
      <c r="S34" s="120">
        <v>0.03</v>
      </c>
      <c r="T34" s="120">
        <v>1.4999999999999999E-2</v>
      </c>
      <c r="U34" s="120">
        <v>0.02</v>
      </c>
      <c r="V34" s="121">
        <f t="shared" si="0"/>
        <v>0</v>
      </c>
      <c r="W34" s="119"/>
      <c r="X34" s="113">
        <f t="shared" si="1"/>
        <v>245.76908364315636</v>
      </c>
      <c r="Y34" s="113">
        <f t="shared" si="2"/>
        <v>334.85302805885237</v>
      </c>
      <c r="Z34" s="113">
        <f t="shared" si="3"/>
        <v>393.37769275807176</v>
      </c>
      <c r="AA34" s="22"/>
      <c r="AB34" s="22"/>
      <c r="AC34" s="22"/>
      <c r="AD34" s="22"/>
      <c r="AE34" s="22"/>
      <c r="AF34" s="22"/>
      <c r="AG34" s="22"/>
      <c r="AH34" s="22"/>
      <c r="AI34" s="22"/>
      <c r="AJ34" s="22"/>
      <c r="AK34" s="22"/>
      <c r="AL34" s="22"/>
      <c r="AM34" s="22"/>
      <c r="AN34" s="22"/>
      <c r="AO34" s="22"/>
      <c r="AP34" s="22"/>
      <c r="AQ34" s="22"/>
      <c r="AR34" s="22"/>
    </row>
    <row r="35" spans="1:44" hidden="1" x14ac:dyDescent="0.25">
      <c r="A35" s="16"/>
      <c r="B35" s="3" t="s">
        <v>17</v>
      </c>
      <c r="C35" s="3" t="s">
        <v>241</v>
      </c>
      <c r="D35" s="11" t="s">
        <v>19</v>
      </c>
      <c r="E35" s="107">
        <v>190.27551925493384</v>
      </c>
      <c r="F35" s="108">
        <v>270.41540394707664</v>
      </c>
      <c r="G35" s="109">
        <v>320.58152856826075</v>
      </c>
      <c r="H35" s="114"/>
      <c r="I35" s="113">
        <v>16.003018915132092</v>
      </c>
      <c r="J35" s="114">
        <v>25.714637255642511</v>
      </c>
      <c r="K35" s="109">
        <v>30.781959892998739</v>
      </c>
      <c r="L35" s="114"/>
      <c r="M35" s="113">
        <v>43.826222495530061</v>
      </c>
      <c r="N35" s="114">
        <v>44.822273006792102</v>
      </c>
      <c r="O35" s="109">
        <v>49.23335384238117</v>
      </c>
      <c r="P35" s="119"/>
      <c r="Q35" s="120">
        <v>0.08</v>
      </c>
      <c r="R35" s="120">
        <v>0.05</v>
      </c>
      <c r="S35" s="120">
        <v>0.03</v>
      </c>
      <c r="T35" s="120">
        <v>1.4999999999999999E-2</v>
      </c>
      <c r="U35" s="120">
        <v>0.02</v>
      </c>
      <c r="V35" s="121">
        <f t="shared" si="0"/>
        <v>0</v>
      </c>
      <c r="W35" s="119"/>
      <c r="X35" s="113">
        <f t="shared" si="1"/>
        <v>250.10476066559599</v>
      </c>
      <c r="Y35" s="113">
        <f t="shared" si="2"/>
        <v>340.95231420951126</v>
      </c>
      <c r="Z35" s="113">
        <f t="shared" si="3"/>
        <v>400.59684230364064</v>
      </c>
      <c r="AA35" s="22"/>
      <c r="AB35" s="22"/>
      <c r="AC35" s="22"/>
      <c r="AD35" s="22"/>
      <c r="AE35" s="22"/>
      <c r="AF35" s="22"/>
      <c r="AG35" s="22"/>
      <c r="AH35" s="22"/>
      <c r="AI35" s="22"/>
      <c r="AJ35" s="22"/>
      <c r="AK35" s="22"/>
      <c r="AL35" s="22"/>
      <c r="AM35" s="22"/>
      <c r="AN35" s="22"/>
      <c r="AO35" s="22"/>
      <c r="AP35" s="22"/>
      <c r="AQ35" s="22"/>
      <c r="AR35" s="22"/>
    </row>
    <row r="36" spans="1:44" hidden="1" x14ac:dyDescent="0.25">
      <c r="A36" s="16"/>
      <c r="B36" s="3" t="s">
        <v>17</v>
      </c>
      <c r="C36" s="3" t="s">
        <v>50</v>
      </c>
      <c r="D36" s="11" t="s">
        <v>19</v>
      </c>
      <c r="E36" s="107">
        <v>155.1775814916106</v>
      </c>
      <c r="F36" s="108">
        <v>220.35322270677801</v>
      </c>
      <c r="G36" s="109">
        <v>261.15201603961856</v>
      </c>
      <c r="H36" s="114"/>
      <c r="I36" s="113">
        <v>13.050701287599283</v>
      </c>
      <c r="J36" s="114">
        <v>20.97067130408951</v>
      </c>
      <c r="K36" s="109">
        <v>25.103148708430567</v>
      </c>
      <c r="L36" s="114"/>
      <c r="M36" s="113">
        <v>35.740939968032627</v>
      </c>
      <c r="N36" s="114">
        <v>36.553234058215189</v>
      </c>
      <c r="O36" s="109">
        <v>40.150536457595095</v>
      </c>
      <c r="P36" s="119"/>
      <c r="Q36" s="120">
        <v>0.08</v>
      </c>
      <c r="R36" s="120">
        <v>0.05</v>
      </c>
      <c r="S36" s="120">
        <v>0.03</v>
      </c>
      <c r="T36" s="120">
        <v>1.4999999999999999E-2</v>
      </c>
      <c r="U36" s="120">
        <v>0.02</v>
      </c>
      <c r="V36" s="121">
        <f t="shared" si="0"/>
        <v>0</v>
      </c>
      <c r="W36" s="119"/>
      <c r="X36" s="113">
        <f t="shared" si="1"/>
        <v>203.9692227472425</v>
      </c>
      <c r="Y36" s="113">
        <f t="shared" si="2"/>
        <v>277.87712806908269</v>
      </c>
      <c r="Z36" s="113">
        <f t="shared" si="3"/>
        <v>326.40570120564422</v>
      </c>
      <c r="AA36" s="22"/>
      <c r="AB36" s="22"/>
      <c r="AC36" s="22"/>
      <c r="AD36" s="22"/>
      <c r="AE36" s="22"/>
      <c r="AF36" s="22"/>
      <c r="AG36" s="22"/>
      <c r="AH36" s="22"/>
      <c r="AI36" s="22"/>
      <c r="AJ36" s="22"/>
      <c r="AK36" s="22"/>
      <c r="AL36" s="22"/>
      <c r="AM36" s="22"/>
      <c r="AN36" s="22"/>
      <c r="AO36" s="22"/>
      <c r="AP36" s="22"/>
      <c r="AQ36" s="22"/>
      <c r="AR36" s="22"/>
    </row>
    <row r="37" spans="1:44" hidden="1" x14ac:dyDescent="0.25">
      <c r="A37" s="16"/>
      <c r="B37" s="3" t="s">
        <v>17</v>
      </c>
      <c r="C37" s="3" t="s">
        <v>51</v>
      </c>
      <c r="D37" s="11" t="s">
        <v>19</v>
      </c>
      <c r="E37" s="107">
        <v>185.78428745657476</v>
      </c>
      <c r="F37" s="108">
        <v>264.00930408751572</v>
      </c>
      <c r="G37" s="109">
        <v>312.97679983738635</v>
      </c>
      <c r="H37" s="114"/>
      <c r="I37" s="113">
        <v>15.868501777569215</v>
      </c>
      <c r="J37" s="114">
        <v>25.498486827061441</v>
      </c>
      <c r="K37" s="109">
        <v>30.523214892737183</v>
      </c>
      <c r="L37" s="114"/>
      <c r="M37" s="113">
        <v>43.457830879450796</v>
      </c>
      <c r="N37" s="114">
        <v>44.445508853983767</v>
      </c>
      <c r="O37" s="109">
        <v>48.819511312629785</v>
      </c>
      <c r="P37" s="119"/>
      <c r="Q37" s="120">
        <v>0.08</v>
      </c>
      <c r="R37" s="120">
        <v>0.05</v>
      </c>
      <c r="S37" s="120">
        <v>0.03</v>
      </c>
      <c r="T37" s="120">
        <v>1.4999999999999999E-2</v>
      </c>
      <c r="U37" s="120">
        <v>0.02</v>
      </c>
      <c r="V37" s="121">
        <f t="shared" si="0"/>
        <v>0</v>
      </c>
      <c r="W37" s="119"/>
      <c r="X37" s="113">
        <f t="shared" si="1"/>
        <v>245.11062011359476</v>
      </c>
      <c r="Y37" s="113">
        <f t="shared" si="2"/>
        <v>333.95329976856095</v>
      </c>
      <c r="Z37" s="113">
        <f t="shared" si="3"/>
        <v>392.31952604275335</v>
      </c>
      <c r="AA37" s="22"/>
      <c r="AB37" s="22"/>
      <c r="AC37" s="22"/>
      <c r="AD37" s="22"/>
      <c r="AE37" s="22"/>
      <c r="AF37" s="22"/>
      <c r="AG37" s="22"/>
      <c r="AH37" s="22"/>
      <c r="AI37" s="22"/>
      <c r="AJ37" s="22"/>
      <c r="AK37" s="22"/>
      <c r="AL37" s="22"/>
      <c r="AM37" s="22"/>
      <c r="AN37" s="22"/>
      <c r="AO37" s="22"/>
      <c r="AP37" s="22"/>
      <c r="AQ37" s="22"/>
      <c r="AR37" s="22"/>
    </row>
    <row r="38" spans="1:44" hidden="1" x14ac:dyDescent="0.25">
      <c r="A38" s="16"/>
      <c r="B38" s="3" t="s">
        <v>17</v>
      </c>
      <c r="C38" s="3" t="s">
        <v>52</v>
      </c>
      <c r="D38" s="11" t="s">
        <v>19</v>
      </c>
      <c r="E38" s="107">
        <v>210.73554956020399</v>
      </c>
      <c r="F38" s="108">
        <v>299.59854756449107</v>
      </c>
      <c r="G38" s="109">
        <v>355.22530305270158</v>
      </c>
      <c r="H38" s="114"/>
      <c r="I38" s="113">
        <v>17.724037114609999</v>
      </c>
      <c r="J38" s="114">
        <v>28.48007538607467</v>
      </c>
      <c r="K38" s="109">
        <v>34.092354854874124</v>
      </c>
      <c r="L38" s="114"/>
      <c r="M38" s="113">
        <v>48.53944110316754</v>
      </c>
      <c r="N38" s="114">
        <v>49.642610219148622</v>
      </c>
      <c r="O38" s="109">
        <v>54.528073447064841</v>
      </c>
      <c r="P38" s="119"/>
      <c r="Q38" s="120">
        <v>0.08</v>
      </c>
      <c r="R38" s="120">
        <v>0.05</v>
      </c>
      <c r="S38" s="120">
        <v>0.03</v>
      </c>
      <c r="T38" s="120">
        <v>1.4999999999999999E-2</v>
      </c>
      <c r="U38" s="120">
        <v>0.02</v>
      </c>
      <c r="V38" s="121">
        <f t="shared" si="0"/>
        <v>0</v>
      </c>
      <c r="W38" s="119"/>
      <c r="X38" s="113">
        <f t="shared" si="1"/>
        <v>276.9990277779815</v>
      </c>
      <c r="Y38" s="113">
        <f t="shared" si="2"/>
        <v>377.72123316971431</v>
      </c>
      <c r="Z38" s="113">
        <f t="shared" si="3"/>
        <v>443.84573135464058</v>
      </c>
      <c r="AA38" s="22"/>
      <c r="AB38" s="22"/>
      <c r="AC38" s="22"/>
      <c r="AD38" s="22"/>
      <c r="AE38" s="22"/>
      <c r="AF38" s="22"/>
      <c r="AG38" s="22"/>
      <c r="AH38" s="22"/>
      <c r="AI38" s="22"/>
      <c r="AJ38" s="22"/>
      <c r="AK38" s="22"/>
      <c r="AL38" s="22"/>
      <c r="AM38" s="22"/>
      <c r="AN38" s="22"/>
      <c r="AO38" s="22"/>
      <c r="AP38" s="22"/>
      <c r="AQ38" s="22"/>
      <c r="AR38" s="22"/>
    </row>
    <row r="39" spans="1:44" hidden="1" x14ac:dyDescent="0.25">
      <c r="A39" s="16"/>
      <c r="B39" s="3" t="s">
        <v>17</v>
      </c>
      <c r="C39" s="3" t="s">
        <v>53</v>
      </c>
      <c r="D39" s="11" t="s">
        <v>19</v>
      </c>
      <c r="E39" s="107">
        <v>206.24431776184491</v>
      </c>
      <c r="F39" s="108">
        <v>293.19249390198831</v>
      </c>
      <c r="G39" s="109">
        <v>347.62052812476901</v>
      </c>
      <c r="H39" s="114"/>
      <c r="I39" s="113">
        <v>17.616650387466802</v>
      </c>
      <c r="J39" s="114">
        <v>28.307519773336701</v>
      </c>
      <c r="K39" s="109">
        <v>33.885795458456954</v>
      </c>
      <c r="L39" s="114"/>
      <c r="M39" s="113">
        <v>48.245349430727273</v>
      </c>
      <c r="N39" s="114">
        <v>49.341834645061986</v>
      </c>
      <c r="O39" s="109">
        <v>54.19769773711571</v>
      </c>
      <c r="P39" s="119"/>
      <c r="Q39" s="120">
        <v>0.08</v>
      </c>
      <c r="R39" s="120">
        <v>0.05</v>
      </c>
      <c r="S39" s="120">
        <v>0.03</v>
      </c>
      <c r="T39" s="120">
        <v>1.4999999999999999E-2</v>
      </c>
      <c r="U39" s="120">
        <v>0.02</v>
      </c>
      <c r="V39" s="121">
        <f t="shared" si="0"/>
        <v>0</v>
      </c>
      <c r="W39" s="119"/>
      <c r="X39" s="113">
        <f t="shared" si="1"/>
        <v>272.10631758003899</v>
      </c>
      <c r="Y39" s="113">
        <f t="shared" si="2"/>
        <v>370.84184832038699</v>
      </c>
      <c r="Z39" s="113">
        <f t="shared" si="3"/>
        <v>435.70402132034167</v>
      </c>
      <c r="AA39" s="22"/>
      <c r="AB39" s="22"/>
      <c r="AC39" s="22"/>
      <c r="AD39" s="22"/>
      <c r="AE39" s="22"/>
      <c r="AF39" s="22"/>
      <c r="AG39" s="22"/>
      <c r="AH39" s="22"/>
      <c r="AI39" s="22"/>
      <c r="AJ39" s="22"/>
      <c r="AK39" s="22"/>
      <c r="AL39" s="22"/>
      <c r="AM39" s="22"/>
      <c r="AN39" s="22"/>
      <c r="AO39" s="22"/>
      <c r="AP39" s="22"/>
      <c r="AQ39" s="22"/>
      <c r="AR39" s="22"/>
    </row>
    <row r="40" spans="1:44" hidden="1" x14ac:dyDescent="0.25">
      <c r="A40" s="16"/>
      <c r="B40" s="3" t="s">
        <v>17</v>
      </c>
      <c r="C40" s="3" t="s">
        <v>54</v>
      </c>
      <c r="D40" s="11" t="s">
        <v>19</v>
      </c>
      <c r="E40" s="107">
        <v>177.13458126986473</v>
      </c>
      <c r="F40" s="108">
        <v>251.67173294404611</v>
      </c>
      <c r="G40" s="109">
        <v>298.33066930297878</v>
      </c>
      <c r="H40" s="114"/>
      <c r="I40" s="113">
        <v>14.897646608226609</v>
      </c>
      <c r="J40" s="114">
        <v>23.938456895221268</v>
      </c>
      <c r="K40" s="109">
        <v>28.655765691864456</v>
      </c>
      <c r="L40" s="114"/>
      <c r="M40" s="113">
        <v>40.799025382301046</v>
      </c>
      <c r="N40" s="114">
        <v>41.726275959171531</v>
      </c>
      <c r="O40" s="109">
        <v>45.8326713710265</v>
      </c>
      <c r="P40" s="119"/>
      <c r="Q40" s="120">
        <v>0.08</v>
      </c>
      <c r="R40" s="120">
        <v>0.05</v>
      </c>
      <c r="S40" s="120">
        <v>0.03</v>
      </c>
      <c r="T40" s="120">
        <v>1.4999999999999999E-2</v>
      </c>
      <c r="U40" s="120">
        <v>0.02</v>
      </c>
      <c r="V40" s="121">
        <f t="shared" si="0"/>
        <v>0</v>
      </c>
      <c r="W40" s="119"/>
      <c r="X40" s="113">
        <f t="shared" si="1"/>
        <v>232.83125326039237</v>
      </c>
      <c r="Y40" s="113">
        <f t="shared" si="2"/>
        <v>317.33646579843889</v>
      </c>
      <c r="Z40" s="113">
        <f t="shared" si="3"/>
        <v>372.81910636586974</v>
      </c>
      <c r="AA40" s="22"/>
      <c r="AB40" s="22"/>
      <c r="AC40" s="22"/>
      <c r="AD40" s="22"/>
      <c r="AE40" s="22"/>
      <c r="AF40" s="22"/>
      <c r="AG40" s="22"/>
      <c r="AH40" s="22"/>
      <c r="AI40" s="22"/>
      <c r="AJ40" s="22"/>
      <c r="AK40" s="22"/>
      <c r="AL40" s="22"/>
      <c r="AM40" s="22"/>
      <c r="AN40" s="22"/>
      <c r="AO40" s="22"/>
      <c r="AP40" s="22"/>
      <c r="AQ40" s="22"/>
      <c r="AR40" s="22"/>
    </row>
    <row r="41" spans="1:44" hidden="1" x14ac:dyDescent="0.25">
      <c r="A41" s="16"/>
      <c r="B41" s="3" t="s">
        <v>17</v>
      </c>
      <c r="C41" s="3" t="s">
        <v>55</v>
      </c>
      <c r="D41" s="11" t="s">
        <v>19</v>
      </c>
      <c r="E41" s="107">
        <v>163.16191144947888</v>
      </c>
      <c r="F41" s="108">
        <v>231.74176768423385</v>
      </c>
      <c r="G41" s="109">
        <v>274.6715389164018</v>
      </c>
      <c r="H41" s="114"/>
      <c r="I41" s="113">
        <v>13.722317746878353</v>
      </c>
      <c r="J41" s="114">
        <v>22.049866030838839</v>
      </c>
      <c r="K41" s="109">
        <v>26.39500938938356</v>
      </c>
      <c r="L41" s="114"/>
      <c r="M41" s="113">
        <v>37.580243697667797</v>
      </c>
      <c r="N41" s="114">
        <v>38.43434014534207</v>
      </c>
      <c r="O41" s="109">
        <v>42.216767270756684</v>
      </c>
      <c r="P41" s="119"/>
      <c r="Q41" s="120">
        <v>0.08</v>
      </c>
      <c r="R41" s="120">
        <v>0.05</v>
      </c>
      <c r="S41" s="120">
        <v>0.03</v>
      </c>
      <c r="T41" s="120">
        <v>1.4999999999999999E-2</v>
      </c>
      <c r="U41" s="120">
        <v>0.02</v>
      </c>
      <c r="V41" s="121">
        <f t="shared" si="0"/>
        <v>0</v>
      </c>
      <c r="W41" s="119"/>
      <c r="X41" s="113">
        <f t="shared" si="1"/>
        <v>214.46447289402505</v>
      </c>
      <c r="Y41" s="113">
        <f t="shared" si="2"/>
        <v>292.22597386041474</v>
      </c>
      <c r="Z41" s="113">
        <f t="shared" si="3"/>
        <v>343.28331557654207</v>
      </c>
      <c r="AA41" s="22"/>
      <c r="AB41" s="22"/>
      <c r="AC41" s="22"/>
      <c r="AD41" s="22"/>
      <c r="AE41" s="22"/>
      <c r="AF41" s="22"/>
      <c r="AG41" s="22"/>
      <c r="AH41" s="22"/>
      <c r="AI41" s="22"/>
      <c r="AJ41" s="22"/>
      <c r="AK41" s="22"/>
      <c r="AL41" s="22"/>
      <c r="AM41" s="22"/>
      <c r="AN41" s="22"/>
      <c r="AO41" s="22"/>
      <c r="AP41" s="22"/>
      <c r="AQ41" s="22"/>
      <c r="AR41" s="22"/>
    </row>
    <row r="42" spans="1:44" hidden="1" x14ac:dyDescent="0.25">
      <c r="A42" s="16"/>
      <c r="B42" s="3" t="s">
        <v>17</v>
      </c>
      <c r="C42" s="3" t="s">
        <v>242</v>
      </c>
      <c r="D42" s="11" t="s">
        <v>19</v>
      </c>
      <c r="E42" s="107">
        <v>183.95456057358265</v>
      </c>
      <c r="F42" s="108">
        <v>261.39944748318425</v>
      </c>
      <c r="G42" s="109">
        <v>309.87859413112574</v>
      </c>
      <c r="H42" s="114"/>
      <c r="I42" s="113">
        <v>15.471319328583714</v>
      </c>
      <c r="J42" s="114">
        <v>24.860269584793965</v>
      </c>
      <c r="K42" s="109">
        <v>29.759230654531105</v>
      </c>
      <c r="L42" s="114"/>
      <c r="M42" s="113">
        <v>42.370098216453165</v>
      </c>
      <c r="N42" s="114">
        <v>43.333054994099825</v>
      </c>
      <c r="O42" s="109">
        <v>47.597577866535048</v>
      </c>
      <c r="P42" s="119"/>
      <c r="Q42" s="120">
        <v>0.08</v>
      </c>
      <c r="R42" s="120">
        <v>0.05</v>
      </c>
      <c r="S42" s="120">
        <v>0.03</v>
      </c>
      <c r="T42" s="120">
        <v>1.4999999999999999E-2</v>
      </c>
      <c r="U42" s="120">
        <v>0.02</v>
      </c>
      <c r="V42" s="121">
        <f t="shared" si="0"/>
        <v>0</v>
      </c>
      <c r="W42" s="119"/>
      <c r="X42" s="113">
        <f t="shared" si="1"/>
        <v>241.79597811861953</v>
      </c>
      <c r="Y42" s="113">
        <f t="shared" si="2"/>
        <v>329.59277206207804</v>
      </c>
      <c r="Z42" s="113">
        <f t="shared" si="3"/>
        <v>387.23540265219191</v>
      </c>
      <c r="AA42" s="22"/>
      <c r="AB42" s="22"/>
      <c r="AC42" s="22"/>
      <c r="AD42" s="22"/>
      <c r="AE42" s="22"/>
      <c r="AF42" s="22"/>
      <c r="AG42" s="22"/>
      <c r="AH42" s="22"/>
      <c r="AI42" s="22"/>
      <c r="AJ42" s="22"/>
      <c r="AK42" s="22"/>
      <c r="AL42" s="22"/>
      <c r="AM42" s="22"/>
      <c r="AN42" s="22"/>
      <c r="AO42" s="22"/>
      <c r="AP42" s="22"/>
      <c r="AQ42" s="22"/>
      <c r="AR42" s="22"/>
    </row>
    <row r="43" spans="1:44" hidden="1" x14ac:dyDescent="0.25">
      <c r="A43" s="16"/>
      <c r="B43" s="3" t="s">
        <v>17</v>
      </c>
      <c r="C43" s="3" t="s">
        <v>57</v>
      </c>
      <c r="D43" s="11" t="s">
        <v>19</v>
      </c>
      <c r="E43" s="107">
        <v>149.688308448518</v>
      </c>
      <c r="F43" s="108">
        <v>212.52356049966735</v>
      </c>
      <c r="G43" s="109">
        <v>251.85739892083672</v>
      </c>
      <c r="H43" s="114"/>
      <c r="I43" s="113">
        <v>12.588965898403737</v>
      </c>
      <c r="J43" s="114">
        <v>20.228726418301168</v>
      </c>
      <c r="K43" s="109">
        <v>24.214996272520125</v>
      </c>
      <c r="L43" s="114"/>
      <c r="M43" s="113">
        <v>34.47642119140297</v>
      </c>
      <c r="N43" s="114">
        <v>35.259976218480311</v>
      </c>
      <c r="O43" s="109">
        <v>38.730005624108529</v>
      </c>
      <c r="P43" s="119"/>
      <c r="Q43" s="120">
        <v>0.08</v>
      </c>
      <c r="R43" s="120">
        <v>0.05</v>
      </c>
      <c r="S43" s="120">
        <v>0.03</v>
      </c>
      <c r="T43" s="120">
        <v>1.4999999999999999E-2</v>
      </c>
      <c r="U43" s="120">
        <v>0.02</v>
      </c>
      <c r="V43" s="121">
        <f t="shared" si="0"/>
        <v>0</v>
      </c>
      <c r="W43" s="119"/>
      <c r="X43" s="113">
        <f t="shared" si="1"/>
        <v>196.75369553832471</v>
      </c>
      <c r="Y43" s="113">
        <f t="shared" si="2"/>
        <v>268.01226313644884</v>
      </c>
      <c r="Z43" s="113">
        <f t="shared" si="3"/>
        <v>314.80240081746535</v>
      </c>
      <c r="AA43" s="22"/>
      <c r="AB43" s="22"/>
      <c r="AC43" s="22"/>
      <c r="AD43" s="22"/>
      <c r="AE43" s="22"/>
      <c r="AF43" s="22"/>
      <c r="AG43" s="22"/>
      <c r="AH43" s="22"/>
      <c r="AI43" s="22"/>
      <c r="AJ43" s="22"/>
      <c r="AK43" s="22"/>
      <c r="AL43" s="22"/>
      <c r="AM43" s="22"/>
      <c r="AN43" s="22"/>
      <c r="AO43" s="22"/>
      <c r="AP43" s="22"/>
      <c r="AQ43" s="22"/>
      <c r="AR43" s="22"/>
    </row>
    <row r="44" spans="1:44" hidden="1" x14ac:dyDescent="0.25">
      <c r="A44" s="16"/>
      <c r="B44" s="3" t="s">
        <v>17</v>
      </c>
      <c r="C44" s="3" t="s">
        <v>58</v>
      </c>
      <c r="D44" s="11" t="s">
        <v>19</v>
      </c>
      <c r="E44" s="107">
        <v>165.32434954542094</v>
      </c>
      <c r="F44" s="108">
        <v>234.82616047010126</v>
      </c>
      <c r="G44" s="109">
        <v>278.33311774706186</v>
      </c>
      <c r="H44" s="114"/>
      <c r="I44" s="113">
        <v>13.904211632482689</v>
      </c>
      <c r="J44" s="114">
        <v>22.342144338584387</v>
      </c>
      <c r="K44" s="109">
        <v>26.744884017486385</v>
      </c>
      <c r="L44" s="114"/>
      <c r="M44" s="113">
        <v>38.0783823265945</v>
      </c>
      <c r="N44" s="114">
        <v>38.943800106744376</v>
      </c>
      <c r="O44" s="109">
        <v>42.776364561693825</v>
      </c>
      <c r="P44" s="119"/>
      <c r="Q44" s="120">
        <v>0.08</v>
      </c>
      <c r="R44" s="120">
        <v>0.05</v>
      </c>
      <c r="S44" s="120">
        <v>0.03</v>
      </c>
      <c r="T44" s="120">
        <v>1.4999999999999999E-2</v>
      </c>
      <c r="U44" s="120">
        <v>0.02</v>
      </c>
      <c r="V44" s="121">
        <f t="shared" si="0"/>
        <v>0</v>
      </c>
      <c r="W44" s="119"/>
      <c r="X44" s="113">
        <f t="shared" si="1"/>
        <v>217.30694350449812</v>
      </c>
      <c r="Y44" s="113">
        <f t="shared" si="2"/>
        <v>296.11210491543005</v>
      </c>
      <c r="Z44" s="113">
        <f t="shared" si="3"/>
        <v>347.85436632624209</v>
      </c>
      <c r="AA44" s="22"/>
      <c r="AB44" s="22"/>
      <c r="AC44" s="22"/>
      <c r="AD44" s="22"/>
      <c r="AE44" s="22"/>
      <c r="AF44" s="22"/>
      <c r="AG44" s="22"/>
      <c r="AH44" s="22"/>
      <c r="AI44" s="22"/>
      <c r="AJ44" s="22"/>
      <c r="AK44" s="22"/>
      <c r="AL44" s="22"/>
      <c r="AM44" s="22"/>
      <c r="AN44" s="22"/>
      <c r="AO44" s="22"/>
      <c r="AP44" s="22"/>
      <c r="AQ44" s="22"/>
      <c r="AR44" s="22"/>
    </row>
    <row r="45" spans="1:44" hidden="1" x14ac:dyDescent="0.25">
      <c r="A45" s="16"/>
      <c r="B45" s="3" t="s">
        <v>17</v>
      </c>
      <c r="C45" s="3" t="s">
        <v>59</v>
      </c>
      <c r="D45" s="11" t="s">
        <v>19</v>
      </c>
      <c r="E45" s="107">
        <v>144.36534481484219</v>
      </c>
      <c r="F45" s="108">
        <v>204.93121258038286</v>
      </c>
      <c r="G45" s="109">
        <v>242.84439906866729</v>
      </c>
      <c r="H45" s="114"/>
      <c r="I45" s="113">
        <v>12.141220299196053</v>
      </c>
      <c r="J45" s="114">
        <v>19.509261189428077</v>
      </c>
      <c r="K45" s="109">
        <v>23.353753331411983</v>
      </c>
      <c r="L45" s="114"/>
      <c r="M45" s="113">
        <v>33.250215163881791</v>
      </c>
      <c r="N45" s="114">
        <v>34.005901872151831</v>
      </c>
      <c r="O45" s="109">
        <v>37.352514437347729</v>
      </c>
      <c r="P45" s="119"/>
      <c r="Q45" s="120">
        <v>0.08</v>
      </c>
      <c r="R45" s="120">
        <v>0.05</v>
      </c>
      <c r="S45" s="120">
        <v>0.03</v>
      </c>
      <c r="T45" s="120">
        <v>1.4999999999999999E-2</v>
      </c>
      <c r="U45" s="120">
        <v>0.02</v>
      </c>
      <c r="V45" s="121">
        <f t="shared" si="0"/>
        <v>0</v>
      </c>
      <c r="W45" s="119"/>
      <c r="X45" s="113">
        <f t="shared" si="1"/>
        <v>189.75678027792003</v>
      </c>
      <c r="Y45" s="113">
        <f t="shared" si="2"/>
        <v>258.44637564196279</v>
      </c>
      <c r="Z45" s="113">
        <f t="shared" si="3"/>
        <v>303.550666837427</v>
      </c>
      <c r="AA45" s="22"/>
      <c r="AB45" s="22"/>
      <c r="AC45" s="22"/>
      <c r="AD45" s="22"/>
      <c r="AE45" s="22"/>
      <c r="AF45" s="22"/>
      <c r="AG45" s="22"/>
      <c r="AH45" s="22"/>
      <c r="AI45" s="22"/>
      <c r="AJ45" s="22"/>
      <c r="AK45" s="22"/>
      <c r="AL45" s="22"/>
      <c r="AM45" s="22"/>
      <c r="AN45" s="22"/>
      <c r="AO45" s="22"/>
      <c r="AP45" s="22"/>
      <c r="AQ45" s="22"/>
      <c r="AR45" s="22"/>
    </row>
    <row r="46" spans="1:44" hidden="1" x14ac:dyDescent="0.25">
      <c r="A46" s="16"/>
      <c r="B46" s="3" t="s">
        <v>60</v>
      </c>
      <c r="C46" s="3" t="s">
        <v>61</v>
      </c>
      <c r="D46" s="11" t="s">
        <v>243</v>
      </c>
      <c r="E46" s="107">
        <v>139.29</v>
      </c>
      <c r="F46" s="108">
        <v>197.69</v>
      </c>
      <c r="G46" s="109">
        <v>234.25</v>
      </c>
      <c r="H46" s="114"/>
      <c r="I46" s="113">
        <v>4.383675686859652</v>
      </c>
      <c r="J46" s="114">
        <v>7.0439603134747051</v>
      </c>
      <c r="K46" s="109">
        <v>8.4320420973340884</v>
      </c>
      <c r="L46" s="114"/>
      <c r="M46" s="113">
        <v>12.284422880711018</v>
      </c>
      <c r="N46" s="114">
        <v>12.563614309818085</v>
      </c>
      <c r="O46" s="109">
        <v>13.800033495863675</v>
      </c>
      <c r="P46" s="119"/>
      <c r="Q46" s="120">
        <v>0.08</v>
      </c>
      <c r="R46" s="120">
        <v>0.05</v>
      </c>
      <c r="S46" s="120">
        <v>0.03</v>
      </c>
      <c r="T46" s="120">
        <v>1.4999999999999999E-2</v>
      </c>
      <c r="U46" s="120">
        <v>0.02</v>
      </c>
      <c r="V46" s="121">
        <f t="shared" si="0"/>
        <v>0</v>
      </c>
      <c r="W46" s="119"/>
      <c r="X46" s="113">
        <f t="shared" si="1"/>
        <v>155.95809856757066</v>
      </c>
      <c r="Y46" s="113">
        <f t="shared" si="2"/>
        <v>217.2975746232928</v>
      </c>
      <c r="Z46" s="113">
        <f t="shared" si="3"/>
        <v>256.48207559319775</v>
      </c>
      <c r="AA46" s="22"/>
      <c r="AB46" s="22"/>
      <c r="AC46" s="22"/>
      <c r="AD46" s="22"/>
      <c r="AE46" s="22"/>
      <c r="AF46" s="22"/>
      <c r="AG46" s="22"/>
      <c r="AH46" s="22"/>
      <c r="AI46" s="22"/>
      <c r="AJ46" s="22"/>
      <c r="AK46" s="22"/>
      <c r="AL46" s="22"/>
      <c r="AM46" s="22"/>
      <c r="AN46" s="22"/>
      <c r="AO46" s="22"/>
      <c r="AP46" s="22"/>
      <c r="AQ46" s="22"/>
      <c r="AR46" s="22"/>
    </row>
    <row r="47" spans="1:44" hidden="1" x14ac:dyDescent="0.25">
      <c r="A47" s="16"/>
      <c r="B47" s="3" t="s">
        <v>62</v>
      </c>
      <c r="C47" s="3" t="s">
        <v>63</v>
      </c>
      <c r="D47" s="11" t="s">
        <v>243</v>
      </c>
      <c r="E47" s="107">
        <v>152.30000000000001</v>
      </c>
      <c r="F47" s="108">
        <v>216.25</v>
      </c>
      <c r="G47" s="109">
        <v>256.27999999999997</v>
      </c>
      <c r="H47" s="114"/>
      <c r="I47" s="113">
        <v>12.958474783387683</v>
      </c>
      <c r="J47" s="114">
        <v>20.822476072068959</v>
      </c>
      <c r="K47" s="109">
        <v>24.925750145773833</v>
      </c>
      <c r="L47" s="114"/>
      <c r="M47" s="113">
        <v>36.313677265254533</v>
      </c>
      <c r="N47" s="114">
        <v>37.138988112192138</v>
      </c>
      <c r="O47" s="109">
        <v>40.793936148630095</v>
      </c>
      <c r="P47" s="119"/>
      <c r="Q47" s="120">
        <v>0.08</v>
      </c>
      <c r="R47" s="120">
        <v>0.05</v>
      </c>
      <c r="S47" s="120">
        <v>0.03</v>
      </c>
      <c r="T47" s="120">
        <v>1.4999999999999999E-2</v>
      </c>
      <c r="U47" s="120">
        <v>0.02</v>
      </c>
      <c r="V47" s="121">
        <f t="shared" si="0"/>
        <v>0</v>
      </c>
      <c r="W47" s="119"/>
      <c r="X47" s="113">
        <f t="shared" si="1"/>
        <v>201.57215204864224</v>
      </c>
      <c r="Y47" s="113">
        <f t="shared" si="2"/>
        <v>274.2114641842611</v>
      </c>
      <c r="Z47" s="113">
        <f t="shared" si="3"/>
        <v>321.99968629440389</v>
      </c>
      <c r="AA47" s="22"/>
      <c r="AB47" s="22"/>
      <c r="AC47" s="22"/>
      <c r="AD47" s="22"/>
      <c r="AE47" s="22"/>
      <c r="AF47" s="22"/>
      <c r="AG47" s="22"/>
      <c r="AH47" s="22"/>
      <c r="AI47" s="22"/>
      <c r="AJ47" s="22"/>
      <c r="AK47" s="22"/>
      <c r="AL47" s="22"/>
      <c r="AM47" s="22"/>
      <c r="AN47" s="22"/>
      <c r="AO47" s="22"/>
      <c r="AP47" s="22"/>
      <c r="AQ47" s="22"/>
      <c r="AR47" s="22"/>
    </row>
    <row r="48" spans="1:44" hidden="1" x14ac:dyDescent="0.25">
      <c r="A48" s="16"/>
      <c r="B48" s="3" t="s">
        <v>64</v>
      </c>
      <c r="C48" s="3" t="s">
        <v>65</v>
      </c>
      <c r="D48" s="11" t="s">
        <v>243</v>
      </c>
      <c r="E48" s="107">
        <v>147.44</v>
      </c>
      <c r="F48" s="108">
        <v>209.31</v>
      </c>
      <c r="G48" s="109">
        <v>248.04</v>
      </c>
      <c r="H48" s="114"/>
      <c r="I48" s="113">
        <v>6.2718120078191228</v>
      </c>
      <c r="J48" s="114">
        <v>10.077934143047937</v>
      </c>
      <c r="K48" s="109">
        <v>12.06389036374657</v>
      </c>
      <c r="L48" s="114"/>
      <c r="M48" s="113">
        <v>17.575568184325409</v>
      </c>
      <c r="N48" s="114">
        <v>17.975012915787349</v>
      </c>
      <c r="O48" s="109">
        <v>19.74398244083309</v>
      </c>
      <c r="P48" s="119"/>
      <c r="Q48" s="120">
        <v>0.08</v>
      </c>
      <c r="R48" s="120">
        <v>0.05</v>
      </c>
      <c r="S48" s="120">
        <v>0.03</v>
      </c>
      <c r="T48" s="120">
        <v>1.4999999999999999E-2</v>
      </c>
      <c r="U48" s="120">
        <v>0.02</v>
      </c>
      <c r="V48" s="121">
        <f t="shared" si="0"/>
        <v>0</v>
      </c>
      <c r="W48" s="119"/>
      <c r="X48" s="113">
        <f t="shared" si="1"/>
        <v>171.28738019214455</v>
      </c>
      <c r="Y48" s="113">
        <f t="shared" si="2"/>
        <v>237.36294705883529</v>
      </c>
      <c r="Z48" s="113">
        <f t="shared" si="3"/>
        <v>279.84787280457965</v>
      </c>
      <c r="AA48" s="22"/>
      <c r="AB48" s="22"/>
      <c r="AC48" s="22"/>
      <c r="AD48" s="22"/>
      <c r="AE48" s="22"/>
      <c r="AF48" s="22"/>
      <c r="AG48" s="22"/>
      <c r="AH48" s="22"/>
      <c r="AI48" s="22"/>
      <c r="AJ48" s="22"/>
      <c r="AK48" s="22"/>
      <c r="AL48" s="22"/>
      <c r="AM48" s="22"/>
      <c r="AN48" s="22"/>
      <c r="AO48" s="22"/>
      <c r="AP48" s="22"/>
      <c r="AQ48" s="22"/>
      <c r="AR48" s="22"/>
    </row>
    <row r="49" spans="1:44" hidden="1" x14ac:dyDescent="0.25">
      <c r="A49" s="16"/>
      <c r="B49" s="3" t="s">
        <v>66</v>
      </c>
      <c r="C49" s="3" t="s">
        <v>67</v>
      </c>
      <c r="D49" s="11" t="s">
        <v>243</v>
      </c>
      <c r="E49" s="107">
        <v>147.44</v>
      </c>
      <c r="F49" s="108">
        <v>209.31</v>
      </c>
      <c r="G49" s="109">
        <v>248.04</v>
      </c>
      <c r="H49" s="114"/>
      <c r="I49" s="113">
        <v>6.2718120078191228</v>
      </c>
      <c r="J49" s="114">
        <v>10.077934143047937</v>
      </c>
      <c r="K49" s="109">
        <v>12.06389036374657</v>
      </c>
      <c r="L49" s="114"/>
      <c r="M49" s="113">
        <v>17.575568184325409</v>
      </c>
      <c r="N49" s="114">
        <v>17.975012915787349</v>
      </c>
      <c r="O49" s="109">
        <v>19.74398244083309</v>
      </c>
      <c r="P49" s="119"/>
      <c r="Q49" s="120">
        <v>0.08</v>
      </c>
      <c r="R49" s="120">
        <v>0.05</v>
      </c>
      <c r="S49" s="120">
        <v>0.03</v>
      </c>
      <c r="T49" s="120">
        <v>1.4999999999999999E-2</v>
      </c>
      <c r="U49" s="120">
        <v>0.02</v>
      </c>
      <c r="V49" s="121">
        <f t="shared" si="0"/>
        <v>0</v>
      </c>
      <c r="W49" s="119"/>
      <c r="X49" s="113">
        <f t="shared" si="1"/>
        <v>171.28738019214455</v>
      </c>
      <c r="Y49" s="113">
        <f t="shared" si="2"/>
        <v>237.36294705883529</v>
      </c>
      <c r="Z49" s="113">
        <f t="shared" si="3"/>
        <v>279.84787280457965</v>
      </c>
      <c r="AA49" s="22"/>
      <c r="AB49" s="22"/>
      <c r="AC49" s="22"/>
      <c r="AD49" s="22"/>
      <c r="AE49" s="22"/>
      <c r="AF49" s="22"/>
      <c r="AG49" s="22"/>
      <c r="AH49" s="22"/>
      <c r="AI49" s="22"/>
      <c r="AJ49" s="22"/>
      <c r="AK49" s="22"/>
      <c r="AL49" s="22"/>
      <c r="AM49" s="22"/>
      <c r="AN49" s="22"/>
      <c r="AO49" s="22"/>
      <c r="AP49" s="22"/>
      <c r="AQ49" s="22"/>
      <c r="AR49" s="22"/>
    </row>
    <row r="50" spans="1:44" hidden="1" x14ac:dyDescent="0.25">
      <c r="A50" s="16"/>
      <c r="B50" s="3" t="s">
        <v>68</v>
      </c>
      <c r="C50" s="3" t="s">
        <v>69</v>
      </c>
      <c r="D50" s="11" t="s">
        <v>243</v>
      </c>
      <c r="E50" s="107">
        <v>182.48</v>
      </c>
      <c r="F50" s="108">
        <v>259.3</v>
      </c>
      <c r="G50" s="109">
        <v>307.38</v>
      </c>
      <c r="H50" s="114"/>
      <c r="I50" s="113">
        <v>15.524064902174771</v>
      </c>
      <c r="J50" s="114">
        <v>24.945024423798269</v>
      </c>
      <c r="K50" s="109">
        <v>29.860687269650011</v>
      </c>
      <c r="L50" s="114"/>
      <c r="M50" s="113">
        <v>43.503258842246602</v>
      </c>
      <c r="N50" s="114">
        <v>44.491969270479473</v>
      </c>
      <c r="O50" s="109">
        <v>48.870544024082221</v>
      </c>
      <c r="P50" s="119"/>
      <c r="Q50" s="120">
        <v>0.08</v>
      </c>
      <c r="R50" s="120">
        <v>0.05</v>
      </c>
      <c r="S50" s="120">
        <v>0.03</v>
      </c>
      <c r="T50" s="120">
        <v>1.4999999999999999E-2</v>
      </c>
      <c r="U50" s="120">
        <v>0.02</v>
      </c>
      <c r="V50" s="121">
        <f t="shared" si="0"/>
        <v>0</v>
      </c>
      <c r="W50" s="119"/>
      <c r="X50" s="113">
        <f t="shared" si="1"/>
        <v>241.50732374442137</v>
      </c>
      <c r="Y50" s="113">
        <f t="shared" si="2"/>
        <v>328.73699369427777</v>
      </c>
      <c r="Z50" s="113">
        <f t="shared" si="3"/>
        <v>386.1112312937322</v>
      </c>
      <c r="AA50" s="22"/>
      <c r="AB50" s="22"/>
      <c r="AC50" s="22"/>
      <c r="AD50" s="22"/>
      <c r="AE50" s="22"/>
      <c r="AF50" s="22"/>
      <c r="AG50" s="22"/>
      <c r="AH50" s="22"/>
      <c r="AI50" s="22"/>
      <c r="AJ50" s="22"/>
      <c r="AK50" s="22"/>
      <c r="AL50" s="22"/>
      <c r="AM50" s="22"/>
      <c r="AN50" s="22"/>
      <c r="AO50" s="22"/>
      <c r="AP50" s="22"/>
      <c r="AQ50" s="22"/>
      <c r="AR50" s="22"/>
    </row>
    <row r="51" spans="1:44" hidden="1" x14ac:dyDescent="0.25">
      <c r="A51" s="16"/>
      <c r="B51" s="3" t="s">
        <v>70</v>
      </c>
      <c r="C51" s="3" t="s">
        <v>71</v>
      </c>
      <c r="D51" s="11" t="s">
        <v>243</v>
      </c>
      <c r="E51" s="107">
        <v>182.73</v>
      </c>
      <c r="F51" s="108">
        <v>259.64999999999998</v>
      </c>
      <c r="G51" s="109">
        <v>307.81</v>
      </c>
      <c r="H51" s="114"/>
      <c r="I51" s="113">
        <v>12.900844612605333</v>
      </c>
      <c r="J51" s="114">
        <v>20.729872361199909</v>
      </c>
      <c r="K51" s="109">
        <v>24.814897961254353</v>
      </c>
      <c r="L51" s="114"/>
      <c r="M51" s="113">
        <v>36.152179600018918</v>
      </c>
      <c r="N51" s="114">
        <v>36.973820045473893</v>
      </c>
      <c r="O51" s="109">
        <v>40.612513446774493</v>
      </c>
      <c r="P51" s="119"/>
      <c r="Q51" s="120">
        <v>0.08</v>
      </c>
      <c r="R51" s="120">
        <v>0.05</v>
      </c>
      <c r="S51" s="120">
        <v>0.03</v>
      </c>
      <c r="T51" s="120">
        <v>1.4999999999999999E-2</v>
      </c>
      <c r="U51" s="120">
        <v>0.02</v>
      </c>
      <c r="V51" s="121">
        <f t="shared" si="0"/>
        <v>0</v>
      </c>
      <c r="W51" s="119"/>
      <c r="X51" s="113">
        <f t="shared" si="1"/>
        <v>231.78302421262424</v>
      </c>
      <c r="Y51" s="113">
        <f t="shared" si="2"/>
        <v>317.35369240667376</v>
      </c>
      <c r="Z51" s="113">
        <f t="shared" si="3"/>
        <v>373.23741140802883</v>
      </c>
      <c r="AA51" s="22"/>
      <c r="AB51" s="22"/>
      <c r="AC51" s="22"/>
      <c r="AD51" s="22"/>
      <c r="AE51" s="22"/>
      <c r="AF51" s="22"/>
      <c r="AG51" s="22"/>
      <c r="AH51" s="22"/>
      <c r="AI51" s="22"/>
      <c r="AJ51" s="22"/>
      <c r="AK51" s="22"/>
      <c r="AL51" s="22"/>
      <c r="AM51" s="22"/>
      <c r="AN51" s="22"/>
      <c r="AO51" s="22"/>
      <c r="AP51" s="22"/>
      <c r="AQ51" s="22"/>
      <c r="AR51" s="22"/>
    </row>
    <row r="52" spans="1:44" hidden="1" x14ac:dyDescent="0.25">
      <c r="A52" s="16"/>
      <c r="B52" s="3" t="s">
        <v>72</v>
      </c>
      <c r="C52" s="3" t="s">
        <v>73</v>
      </c>
      <c r="D52" s="11" t="s">
        <v>243</v>
      </c>
      <c r="E52" s="107">
        <v>97.11</v>
      </c>
      <c r="F52" s="108">
        <v>137.52000000000001</v>
      </c>
      <c r="G52" s="109">
        <v>162.83000000000001</v>
      </c>
      <c r="H52" s="114"/>
      <c r="I52" s="113">
        <v>3.0563610711274651</v>
      </c>
      <c r="J52" s="114">
        <v>4.9111493701975064</v>
      </c>
      <c r="K52" s="109">
        <v>5.8789397431135715</v>
      </c>
      <c r="L52" s="114"/>
      <c r="M52" s="113">
        <v>8.5648744468980897</v>
      </c>
      <c r="N52" s="114">
        <v>8.7595306843275917</v>
      </c>
      <c r="O52" s="109">
        <v>9.6215797358011006</v>
      </c>
      <c r="P52" s="119"/>
      <c r="Q52" s="120">
        <v>0.08</v>
      </c>
      <c r="R52" s="120">
        <v>0.05</v>
      </c>
      <c r="S52" s="120">
        <v>0.03</v>
      </c>
      <c r="T52" s="120">
        <v>1.4999999999999999E-2</v>
      </c>
      <c r="U52" s="120">
        <v>0.02</v>
      </c>
      <c r="V52" s="121">
        <f t="shared" si="0"/>
        <v>0</v>
      </c>
      <c r="W52" s="119"/>
      <c r="X52" s="113">
        <f t="shared" si="1"/>
        <v>108.73123551802556</v>
      </c>
      <c r="Y52" s="113">
        <f t="shared" si="2"/>
        <v>151.1906800545251</v>
      </c>
      <c r="Z52" s="113">
        <f t="shared" si="3"/>
        <v>178.33051947891468</v>
      </c>
      <c r="AA52" s="22"/>
      <c r="AB52" s="22"/>
      <c r="AC52" s="22"/>
      <c r="AD52" s="22"/>
      <c r="AE52" s="22"/>
      <c r="AF52" s="22"/>
      <c r="AG52" s="22"/>
      <c r="AH52" s="22"/>
      <c r="AI52" s="22"/>
      <c r="AJ52" s="22"/>
      <c r="AK52" s="22"/>
      <c r="AL52" s="22"/>
      <c r="AM52" s="22"/>
      <c r="AN52" s="22"/>
      <c r="AO52" s="22"/>
      <c r="AP52" s="22"/>
      <c r="AQ52" s="22"/>
      <c r="AR52" s="22"/>
    </row>
    <row r="53" spans="1:44" hidden="1" x14ac:dyDescent="0.25">
      <c r="A53" s="16"/>
      <c r="B53" s="3" t="s">
        <v>74</v>
      </c>
      <c r="C53" s="3" t="s">
        <v>75</v>
      </c>
      <c r="D53" s="11" t="s">
        <v>243</v>
      </c>
      <c r="E53" s="107">
        <v>183.4</v>
      </c>
      <c r="F53" s="108">
        <v>260.60000000000002</v>
      </c>
      <c r="G53" s="109">
        <v>308.93</v>
      </c>
      <c r="H53" s="114"/>
      <c r="I53" s="113">
        <v>7.8002752072326249</v>
      </c>
      <c r="J53" s="114">
        <v>12.533963029844548</v>
      </c>
      <c r="K53" s="109">
        <v>15.003903941921022</v>
      </c>
      <c r="L53" s="114"/>
      <c r="M53" s="113">
        <v>21.85879751980821</v>
      </c>
      <c r="N53" s="114">
        <v>22.355588372531123</v>
      </c>
      <c r="O53" s="109">
        <v>24.555662148875459</v>
      </c>
      <c r="P53" s="119"/>
      <c r="Q53" s="120">
        <v>0.08</v>
      </c>
      <c r="R53" s="120">
        <v>0.05</v>
      </c>
      <c r="S53" s="120">
        <v>0.03</v>
      </c>
      <c r="T53" s="120">
        <v>1.4999999999999999E-2</v>
      </c>
      <c r="U53" s="120">
        <v>0.02</v>
      </c>
      <c r="V53" s="121">
        <f t="shared" si="0"/>
        <v>0</v>
      </c>
      <c r="W53" s="119"/>
      <c r="X53" s="113">
        <f t="shared" si="1"/>
        <v>213.05907272704084</v>
      </c>
      <c r="Y53" s="113">
        <f t="shared" si="2"/>
        <v>295.4895514023757</v>
      </c>
      <c r="Z53" s="113">
        <f t="shared" si="3"/>
        <v>348.48956609079647</v>
      </c>
      <c r="AA53" s="22"/>
      <c r="AB53" s="22"/>
      <c r="AC53" s="22"/>
      <c r="AD53" s="22"/>
      <c r="AE53" s="22"/>
      <c r="AF53" s="22"/>
      <c r="AG53" s="22"/>
      <c r="AH53" s="22"/>
      <c r="AI53" s="22"/>
      <c r="AJ53" s="22"/>
      <c r="AK53" s="22"/>
      <c r="AL53" s="22"/>
      <c r="AM53" s="22"/>
      <c r="AN53" s="22"/>
      <c r="AO53" s="22"/>
      <c r="AP53" s="22"/>
      <c r="AQ53" s="22"/>
      <c r="AR53" s="22"/>
    </row>
    <row r="54" spans="1:44" hidden="1" x14ac:dyDescent="0.25">
      <c r="A54" s="16"/>
      <c r="B54" s="3" t="s">
        <v>76</v>
      </c>
      <c r="C54" s="3" t="s">
        <v>77</v>
      </c>
      <c r="D54" s="11" t="s">
        <v>243</v>
      </c>
      <c r="E54" s="107">
        <v>153.12</v>
      </c>
      <c r="F54" s="108">
        <v>217.42</v>
      </c>
      <c r="G54" s="109">
        <v>257.67</v>
      </c>
      <c r="H54" s="114"/>
      <c r="I54" s="113">
        <v>7.2921287417740874</v>
      </c>
      <c r="J54" s="114">
        <v>11.71744196583159</v>
      </c>
      <c r="K54" s="109">
        <v>14.026479357068268</v>
      </c>
      <c r="L54" s="114"/>
      <c r="M54" s="113">
        <v>20.434813057238831</v>
      </c>
      <c r="N54" s="114">
        <v>20.899240626721536</v>
      </c>
      <c r="O54" s="109">
        <v>22.955991291573493</v>
      </c>
      <c r="P54" s="119"/>
      <c r="Q54" s="120">
        <v>0.08</v>
      </c>
      <c r="R54" s="120">
        <v>0.05</v>
      </c>
      <c r="S54" s="120">
        <v>0.03</v>
      </c>
      <c r="T54" s="120">
        <v>1.4999999999999999E-2</v>
      </c>
      <c r="U54" s="120">
        <v>0.02</v>
      </c>
      <c r="V54" s="121">
        <f t="shared" si="0"/>
        <v>0</v>
      </c>
      <c r="W54" s="119"/>
      <c r="X54" s="113">
        <f t="shared" si="1"/>
        <v>180.84694179901294</v>
      </c>
      <c r="Y54" s="113">
        <f t="shared" si="2"/>
        <v>250.03668259255312</v>
      </c>
      <c r="Z54" s="113">
        <f t="shared" si="3"/>
        <v>294.65247064864172</v>
      </c>
      <c r="AA54" s="22"/>
      <c r="AB54" s="22"/>
      <c r="AC54" s="22"/>
      <c r="AD54" s="22"/>
      <c r="AE54" s="22"/>
      <c r="AF54" s="22"/>
      <c r="AG54" s="22"/>
      <c r="AH54" s="22"/>
      <c r="AI54" s="22"/>
      <c r="AJ54" s="22"/>
      <c r="AK54" s="22"/>
      <c r="AL54" s="22"/>
      <c r="AM54" s="22"/>
      <c r="AN54" s="22"/>
      <c r="AO54" s="22"/>
      <c r="AP54" s="22"/>
      <c r="AQ54" s="22"/>
      <c r="AR54" s="22"/>
    </row>
    <row r="55" spans="1:44" hidden="1" x14ac:dyDescent="0.25">
      <c r="A55" s="16"/>
      <c r="B55" s="3" t="s">
        <v>78</v>
      </c>
      <c r="C55" s="3" t="s">
        <v>79</v>
      </c>
      <c r="D55" s="11" t="s">
        <v>243</v>
      </c>
      <c r="E55" s="107">
        <v>160.74</v>
      </c>
      <c r="F55" s="108">
        <v>228.28</v>
      </c>
      <c r="G55" s="109">
        <v>270.57</v>
      </c>
      <c r="H55" s="114"/>
      <c r="I55" s="113">
        <v>2.0510172075676256</v>
      </c>
      <c r="J55" s="114">
        <v>3.2957008785268314</v>
      </c>
      <c r="K55" s="109">
        <v>3.9451512091570753</v>
      </c>
      <c r="L55" s="114"/>
      <c r="M55" s="113">
        <v>5.7475882143610821</v>
      </c>
      <c r="N55" s="114">
        <v>5.8782152192329242</v>
      </c>
      <c r="O55" s="109">
        <v>6.4567062408082281</v>
      </c>
      <c r="P55" s="119"/>
      <c r="Q55" s="120">
        <v>0.08</v>
      </c>
      <c r="R55" s="120">
        <v>0.05</v>
      </c>
      <c r="S55" s="120">
        <v>0.03</v>
      </c>
      <c r="T55" s="120">
        <v>1.4999999999999999E-2</v>
      </c>
      <c r="U55" s="120">
        <v>0.02</v>
      </c>
      <c r="V55" s="121">
        <f t="shared" si="0"/>
        <v>0</v>
      </c>
      <c r="W55" s="119"/>
      <c r="X55" s="113">
        <f t="shared" si="1"/>
        <v>168.53860542192874</v>
      </c>
      <c r="Y55" s="113">
        <f t="shared" si="2"/>
        <v>237.45391609775976</v>
      </c>
      <c r="Z55" s="113">
        <f t="shared" si="3"/>
        <v>280.97185744996528</v>
      </c>
      <c r="AA55" s="22"/>
      <c r="AB55" s="22"/>
      <c r="AC55" s="22"/>
      <c r="AD55" s="22"/>
      <c r="AE55" s="22"/>
      <c r="AF55" s="22"/>
      <c r="AG55" s="22"/>
      <c r="AH55" s="22"/>
      <c r="AI55" s="22"/>
      <c r="AJ55" s="22"/>
      <c r="AK55" s="22"/>
      <c r="AL55" s="22"/>
      <c r="AM55" s="22"/>
      <c r="AN55" s="22"/>
      <c r="AO55" s="22"/>
      <c r="AP55" s="22"/>
      <c r="AQ55" s="22"/>
      <c r="AR55" s="22"/>
    </row>
    <row r="56" spans="1:44" hidden="1" x14ac:dyDescent="0.25">
      <c r="A56" s="16"/>
      <c r="B56" s="3" t="s">
        <v>80</v>
      </c>
      <c r="C56" s="3" t="s">
        <v>81</v>
      </c>
      <c r="D56" s="11" t="s">
        <v>243</v>
      </c>
      <c r="E56" s="107">
        <v>166.82</v>
      </c>
      <c r="F56" s="108">
        <v>236.96</v>
      </c>
      <c r="G56" s="109">
        <v>280.86</v>
      </c>
      <c r="H56" s="114"/>
      <c r="I56" s="113">
        <v>14.189725258411558</v>
      </c>
      <c r="J56" s="114">
        <v>22.800925232441969</v>
      </c>
      <c r="K56" s="109">
        <v>27.294072206843378</v>
      </c>
      <c r="L56" s="114"/>
      <c r="M56" s="113">
        <v>39.764024094653514</v>
      </c>
      <c r="N56" s="114">
        <v>40.667751914986546</v>
      </c>
      <c r="O56" s="109">
        <v>44.669975119318558</v>
      </c>
      <c r="P56" s="119"/>
      <c r="Q56" s="120">
        <v>0.08</v>
      </c>
      <c r="R56" s="120">
        <v>0.05</v>
      </c>
      <c r="S56" s="120">
        <v>0.03</v>
      </c>
      <c r="T56" s="120">
        <v>1.4999999999999999E-2</v>
      </c>
      <c r="U56" s="120">
        <v>0.02</v>
      </c>
      <c r="V56" s="121">
        <f t="shared" si="0"/>
        <v>0</v>
      </c>
      <c r="W56" s="119"/>
      <c r="X56" s="113">
        <f t="shared" si="1"/>
        <v>220.77374935306506</v>
      </c>
      <c r="Y56" s="113">
        <f t="shared" si="2"/>
        <v>300.42867714742852</v>
      </c>
      <c r="Z56" s="113">
        <f t="shared" si="3"/>
        <v>352.82404732616197</v>
      </c>
      <c r="AA56" s="22"/>
      <c r="AB56" s="22"/>
      <c r="AC56" s="22"/>
      <c r="AD56" s="22"/>
      <c r="AE56" s="22"/>
      <c r="AF56" s="22"/>
      <c r="AG56" s="22"/>
      <c r="AH56" s="22"/>
      <c r="AI56" s="22"/>
      <c r="AJ56" s="22"/>
      <c r="AK56" s="22"/>
      <c r="AL56" s="22"/>
      <c r="AM56" s="22"/>
      <c r="AN56" s="22"/>
      <c r="AO56" s="22"/>
      <c r="AP56" s="22"/>
      <c r="AQ56" s="22"/>
      <c r="AR56" s="22"/>
    </row>
    <row r="57" spans="1:44" hidden="1" x14ac:dyDescent="0.25">
      <c r="A57" s="16"/>
      <c r="B57" s="3" t="s">
        <v>82</v>
      </c>
      <c r="C57" s="3" t="s">
        <v>83</v>
      </c>
      <c r="D57" s="11" t="s">
        <v>243</v>
      </c>
      <c r="E57" s="107">
        <v>131.61000000000001</v>
      </c>
      <c r="F57" s="108">
        <v>186.73</v>
      </c>
      <c r="G57" s="109">
        <v>221.24</v>
      </c>
      <c r="H57" s="114"/>
      <c r="I57" s="113">
        <v>13.787733849043562</v>
      </c>
      <c r="J57" s="114">
        <v>22.154980656196543</v>
      </c>
      <c r="K57" s="109">
        <v>26.520837887361633</v>
      </c>
      <c r="L57" s="114"/>
      <c r="M57" s="113">
        <v>38.637519120325194</v>
      </c>
      <c r="N57" s="114">
        <v>39.515644554878037</v>
      </c>
      <c r="O57" s="109">
        <v>43.40448576504064</v>
      </c>
      <c r="P57" s="119"/>
      <c r="Q57" s="120">
        <v>0.08</v>
      </c>
      <c r="R57" s="120">
        <v>0.05</v>
      </c>
      <c r="S57" s="120">
        <v>0.03</v>
      </c>
      <c r="T57" s="120">
        <v>1.4999999999999999E-2</v>
      </c>
      <c r="U57" s="120">
        <v>0.02</v>
      </c>
      <c r="V57" s="121">
        <f t="shared" si="0"/>
        <v>0</v>
      </c>
      <c r="W57" s="119"/>
      <c r="X57" s="113">
        <f t="shared" si="1"/>
        <v>184.03525296936874</v>
      </c>
      <c r="Y57" s="113">
        <f t="shared" si="2"/>
        <v>248.40062521107458</v>
      </c>
      <c r="Z57" s="113">
        <f t="shared" si="3"/>
        <v>291.16532365240226</v>
      </c>
      <c r="AA57" s="22"/>
      <c r="AB57" s="22"/>
      <c r="AC57" s="22"/>
      <c r="AD57" s="22"/>
      <c r="AE57" s="22"/>
      <c r="AF57" s="22"/>
      <c r="AG57" s="22"/>
      <c r="AH57" s="22"/>
      <c r="AI57" s="22"/>
      <c r="AJ57" s="22"/>
      <c r="AK57" s="22"/>
      <c r="AL57" s="22"/>
      <c r="AM57" s="22"/>
      <c r="AN57" s="22"/>
      <c r="AO57" s="22"/>
      <c r="AP57" s="22"/>
      <c r="AQ57" s="22"/>
      <c r="AR57" s="22"/>
    </row>
    <row r="58" spans="1:44" hidden="1" x14ac:dyDescent="0.25">
      <c r="A58" s="16"/>
      <c r="B58" s="3" t="s">
        <v>82</v>
      </c>
      <c r="C58" s="3" t="s">
        <v>84</v>
      </c>
      <c r="D58" s="11" t="s">
        <v>243</v>
      </c>
      <c r="E58" s="107">
        <v>153.5813121450264</v>
      </c>
      <c r="F58" s="108">
        <v>209.81433067901125</v>
      </c>
      <c r="G58" s="109">
        <v>277.33234134646631</v>
      </c>
      <c r="H58" s="114"/>
      <c r="I58" s="113">
        <v>13.787733849043562</v>
      </c>
      <c r="J58" s="114">
        <v>22.154980656196543</v>
      </c>
      <c r="K58" s="109">
        <v>26.520837887361633</v>
      </c>
      <c r="L58" s="114"/>
      <c r="M58" s="113">
        <v>38.637519120325194</v>
      </c>
      <c r="N58" s="114">
        <v>39.515644554878037</v>
      </c>
      <c r="O58" s="109">
        <v>43.40448576504064</v>
      </c>
      <c r="P58" s="119"/>
      <c r="Q58" s="120">
        <v>0.08</v>
      </c>
      <c r="R58" s="120">
        <v>0.05</v>
      </c>
      <c r="S58" s="120">
        <v>0.03</v>
      </c>
      <c r="T58" s="120">
        <v>1.4999999999999999E-2</v>
      </c>
      <c r="U58" s="120">
        <v>0.02</v>
      </c>
      <c r="V58" s="121">
        <f>SUBTOTAL(9,Q58:U58)</f>
        <v>0</v>
      </c>
      <c r="W58" s="119"/>
      <c r="X58" s="113">
        <f t="shared" si="1"/>
        <v>206.00656511439513</v>
      </c>
      <c r="Y58" s="113">
        <f t="shared" si="2"/>
        <v>271.48495589008587</v>
      </c>
      <c r="Z58" s="113">
        <f t="shared" si="3"/>
        <v>347.25766499886856</v>
      </c>
      <c r="AA58" s="22"/>
      <c r="AB58" s="22"/>
      <c r="AC58" s="22"/>
      <c r="AD58" s="22"/>
      <c r="AE58" s="22"/>
      <c r="AF58" s="22"/>
      <c r="AG58" s="22"/>
      <c r="AH58" s="22"/>
      <c r="AI58" s="22"/>
      <c r="AJ58" s="22"/>
      <c r="AK58" s="22"/>
      <c r="AL58" s="22"/>
      <c r="AM58" s="22"/>
      <c r="AN58" s="22"/>
      <c r="AO58" s="22"/>
      <c r="AP58" s="22"/>
      <c r="AQ58" s="22"/>
      <c r="AR58" s="22"/>
    </row>
    <row r="59" spans="1:44" hidden="1" x14ac:dyDescent="0.25">
      <c r="A59" s="16"/>
      <c r="B59" s="3" t="s">
        <v>85</v>
      </c>
      <c r="C59" s="3" t="s">
        <v>86</v>
      </c>
      <c r="D59" s="11" t="s">
        <v>243</v>
      </c>
      <c r="E59" s="107">
        <v>91.970112351245461</v>
      </c>
      <c r="F59" s="108">
        <v>125.6445025500776</v>
      </c>
      <c r="G59" s="109">
        <v>166.07675918397513</v>
      </c>
      <c r="H59" s="114"/>
      <c r="I59" s="113">
        <v>8.2565998001643681</v>
      </c>
      <c r="J59" s="114">
        <v>13.267213514662318</v>
      </c>
      <c r="K59" s="109">
        <v>15.881648659483769</v>
      </c>
      <c r="L59" s="114"/>
      <c r="M59" s="113">
        <v>21.812409756097555</v>
      </c>
      <c r="N59" s="114">
        <v>22.308146341463413</v>
      </c>
      <c r="O59" s="109">
        <v>24.503551219512193</v>
      </c>
      <c r="P59" s="119"/>
      <c r="Q59" s="120">
        <v>0.08</v>
      </c>
      <c r="R59" s="120">
        <v>0.05</v>
      </c>
      <c r="S59" s="120">
        <v>0.03</v>
      </c>
      <c r="T59" s="120">
        <v>1.4999999999999999E-2</v>
      </c>
      <c r="U59" s="120">
        <v>0.02</v>
      </c>
      <c r="V59" s="121">
        <f t="shared" ref="V59:V69" si="4">SUBTOTAL(9,Q59:U59)</f>
        <v>0</v>
      </c>
      <c r="W59" s="119"/>
      <c r="X59" s="113">
        <f t="shared" si="1"/>
        <v>122.03912190750738</v>
      </c>
      <c r="Y59" s="113">
        <f t="shared" si="2"/>
        <v>161.21986240620333</v>
      </c>
      <c r="Z59" s="113">
        <f t="shared" si="3"/>
        <v>206.46195906297109</v>
      </c>
      <c r="AA59" s="22"/>
      <c r="AB59" s="22"/>
      <c r="AC59" s="22"/>
      <c r="AD59" s="22"/>
      <c r="AE59" s="22"/>
      <c r="AF59" s="22"/>
      <c r="AG59" s="22"/>
      <c r="AH59" s="22"/>
      <c r="AI59" s="22"/>
      <c r="AJ59" s="22"/>
      <c r="AK59" s="22"/>
      <c r="AL59" s="22"/>
      <c r="AM59" s="22"/>
      <c r="AN59" s="22"/>
      <c r="AO59" s="22"/>
      <c r="AP59" s="22"/>
      <c r="AQ59" s="22"/>
      <c r="AR59" s="22"/>
    </row>
    <row r="60" spans="1:44" hidden="1" x14ac:dyDescent="0.25">
      <c r="A60" s="16"/>
      <c r="B60" s="3" t="s">
        <v>85</v>
      </c>
      <c r="C60" s="3" t="s">
        <v>87</v>
      </c>
      <c r="D60" s="11" t="s">
        <v>243</v>
      </c>
      <c r="E60" s="107">
        <v>91.970112351245461</v>
      </c>
      <c r="F60" s="108">
        <v>125.6445025500776</v>
      </c>
      <c r="G60" s="109">
        <v>166.07675918397513</v>
      </c>
      <c r="H60" s="114"/>
      <c r="I60" s="113">
        <v>8.2565998001643681</v>
      </c>
      <c r="J60" s="114">
        <v>13.267213514662318</v>
      </c>
      <c r="K60" s="109">
        <v>15.881648659483769</v>
      </c>
      <c r="L60" s="114"/>
      <c r="M60" s="113">
        <v>21.812409756097555</v>
      </c>
      <c r="N60" s="114">
        <v>22.308146341463413</v>
      </c>
      <c r="O60" s="109">
        <v>24.503551219512193</v>
      </c>
      <c r="P60" s="119"/>
      <c r="Q60" s="120">
        <v>0.08</v>
      </c>
      <c r="R60" s="120">
        <v>0.05</v>
      </c>
      <c r="S60" s="120">
        <v>0.03</v>
      </c>
      <c r="T60" s="120">
        <v>1.4999999999999999E-2</v>
      </c>
      <c r="U60" s="120">
        <v>0.02</v>
      </c>
      <c r="V60" s="121">
        <f t="shared" si="4"/>
        <v>0</v>
      </c>
      <c r="W60" s="119"/>
      <c r="X60" s="113">
        <f t="shared" si="1"/>
        <v>122.03912190750738</v>
      </c>
      <c r="Y60" s="113">
        <f t="shared" si="2"/>
        <v>161.21986240620333</v>
      </c>
      <c r="Z60" s="113">
        <f t="shared" si="3"/>
        <v>206.46195906297109</v>
      </c>
      <c r="AA60" s="22"/>
      <c r="AB60" s="22"/>
      <c r="AC60" s="22"/>
      <c r="AD60" s="22"/>
      <c r="AE60" s="22"/>
      <c r="AF60" s="22"/>
      <c r="AG60" s="22"/>
      <c r="AH60" s="22"/>
      <c r="AI60" s="22"/>
      <c r="AJ60" s="22"/>
      <c r="AK60" s="22"/>
      <c r="AL60" s="22"/>
      <c r="AM60" s="22"/>
      <c r="AN60" s="22"/>
      <c r="AO60" s="22"/>
      <c r="AP60" s="22"/>
      <c r="AQ60" s="22"/>
      <c r="AR60" s="22"/>
    </row>
    <row r="61" spans="1:44" s="34" customFormat="1" hidden="1" x14ac:dyDescent="0.25">
      <c r="A61" s="35"/>
      <c r="B61" s="3" t="s">
        <v>85</v>
      </c>
      <c r="C61" s="3" t="s">
        <v>88</v>
      </c>
      <c r="D61" s="11" t="s">
        <v>243</v>
      </c>
      <c r="E61" s="107">
        <v>91.970112351245461</v>
      </c>
      <c r="F61" s="108">
        <v>125.6445025500776</v>
      </c>
      <c r="G61" s="109">
        <v>166.07675918397513</v>
      </c>
      <c r="H61" s="114"/>
      <c r="I61" s="113">
        <v>8.2565998001643681</v>
      </c>
      <c r="J61" s="114">
        <v>13.267213514662318</v>
      </c>
      <c r="K61" s="109">
        <v>15.881648659483769</v>
      </c>
      <c r="L61" s="114"/>
      <c r="M61" s="113">
        <v>21.812409756097555</v>
      </c>
      <c r="N61" s="114">
        <v>22.308146341463413</v>
      </c>
      <c r="O61" s="109">
        <v>24.503551219512193</v>
      </c>
      <c r="P61" s="119"/>
      <c r="Q61" s="120">
        <v>0.08</v>
      </c>
      <c r="R61" s="120">
        <v>0.05</v>
      </c>
      <c r="S61" s="120">
        <v>0.03</v>
      </c>
      <c r="T61" s="120">
        <v>1.4999999999999999E-2</v>
      </c>
      <c r="U61" s="120">
        <v>0.02</v>
      </c>
      <c r="V61" s="121">
        <f t="shared" si="4"/>
        <v>0</v>
      </c>
      <c r="W61" s="119"/>
      <c r="X61" s="113">
        <f t="shared" si="1"/>
        <v>122.03912190750738</v>
      </c>
      <c r="Y61" s="113">
        <f t="shared" si="2"/>
        <v>161.21986240620333</v>
      </c>
      <c r="Z61" s="113">
        <f t="shared" si="3"/>
        <v>206.46195906297109</v>
      </c>
      <c r="AA61" s="33"/>
      <c r="AB61" s="33"/>
      <c r="AC61" s="33"/>
      <c r="AD61" s="33"/>
      <c r="AE61" s="33"/>
      <c r="AF61" s="33"/>
      <c r="AG61" s="33"/>
      <c r="AH61" s="33"/>
      <c r="AI61" s="33"/>
      <c r="AJ61" s="33"/>
      <c r="AK61" s="33"/>
      <c r="AL61" s="33"/>
      <c r="AM61" s="33"/>
      <c r="AN61" s="33"/>
      <c r="AO61" s="33"/>
      <c r="AP61" s="33"/>
      <c r="AQ61" s="33"/>
      <c r="AR61" s="33"/>
    </row>
    <row r="62" spans="1:44" hidden="1" x14ac:dyDescent="0.25">
      <c r="A62" s="16"/>
      <c r="B62" s="3" t="s">
        <v>89</v>
      </c>
      <c r="C62" s="3" t="s">
        <v>90</v>
      </c>
      <c r="D62" s="11" t="s">
        <v>243</v>
      </c>
      <c r="E62" s="107">
        <v>97.78</v>
      </c>
      <c r="F62" s="108">
        <v>138.47999999999999</v>
      </c>
      <c r="G62" s="109">
        <v>163.96</v>
      </c>
      <c r="H62" s="114"/>
      <c r="I62" s="113">
        <v>9.8315235063962731</v>
      </c>
      <c r="J62" s="114">
        <v>15.797898007746992</v>
      </c>
      <c r="K62" s="109">
        <v>18.911029466746488</v>
      </c>
      <c r="L62" s="114"/>
      <c r="M62" s="113">
        <v>26.173437748243902</v>
      </c>
      <c r="N62" s="114">
        <v>26.768288606158535</v>
      </c>
      <c r="O62" s="109">
        <v>29.402628119780488</v>
      </c>
      <c r="P62" s="119"/>
      <c r="Q62" s="120">
        <v>0.08</v>
      </c>
      <c r="R62" s="120">
        <v>0.05</v>
      </c>
      <c r="S62" s="120">
        <v>0.03</v>
      </c>
      <c r="T62" s="120">
        <v>1.4999999999999999E-2</v>
      </c>
      <c r="U62" s="120">
        <v>0.02</v>
      </c>
      <c r="V62" s="121">
        <f t="shared" si="4"/>
        <v>0</v>
      </c>
      <c r="W62" s="119"/>
      <c r="X62" s="113">
        <f t="shared" si="1"/>
        <v>133.78496125464019</v>
      </c>
      <c r="Y62" s="113">
        <f t="shared" si="2"/>
        <v>181.04618661390552</v>
      </c>
      <c r="Z62" s="113">
        <f t="shared" si="3"/>
        <v>212.27365758652701</v>
      </c>
      <c r="AA62" s="22"/>
      <c r="AB62" s="22"/>
      <c r="AC62" s="22"/>
      <c r="AD62" s="22"/>
      <c r="AE62" s="22"/>
      <c r="AF62" s="22"/>
      <c r="AG62" s="22"/>
      <c r="AH62" s="22"/>
      <c r="AI62" s="22"/>
      <c r="AJ62" s="22"/>
      <c r="AK62" s="22"/>
      <c r="AL62" s="22"/>
      <c r="AM62" s="22"/>
      <c r="AN62" s="22"/>
      <c r="AO62" s="22"/>
      <c r="AP62" s="22"/>
      <c r="AQ62" s="22"/>
      <c r="AR62" s="22"/>
    </row>
    <row r="63" spans="1:44" hidden="1" x14ac:dyDescent="0.25">
      <c r="A63" s="16"/>
      <c r="B63" s="3" t="s">
        <v>91</v>
      </c>
      <c r="C63" s="3" t="s">
        <v>92</v>
      </c>
      <c r="D63" s="11" t="s">
        <v>243</v>
      </c>
      <c r="E63" s="107">
        <v>86.38</v>
      </c>
      <c r="F63" s="108">
        <v>122.22</v>
      </c>
      <c r="G63" s="109">
        <v>144.65</v>
      </c>
      <c r="H63" s="114"/>
      <c r="I63" s="113">
        <v>9.8315235063962731</v>
      </c>
      <c r="J63" s="114">
        <v>15.797898007746992</v>
      </c>
      <c r="K63" s="109">
        <v>18.911029466746488</v>
      </c>
      <c r="L63" s="114"/>
      <c r="M63" s="113">
        <v>24.139499999999998</v>
      </c>
      <c r="N63" s="114">
        <v>24.688124999999999</v>
      </c>
      <c r="O63" s="109">
        <v>27.117750000000001</v>
      </c>
      <c r="P63" s="119"/>
      <c r="Q63" s="120">
        <v>0.08</v>
      </c>
      <c r="R63" s="120">
        <v>0.05</v>
      </c>
      <c r="S63" s="120">
        <v>0.03</v>
      </c>
      <c r="T63" s="120">
        <v>1.4999999999999999E-2</v>
      </c>
      <c r="U63" s="120">
        <v>0.02</v>
      </c>
      <c r="V63" s="121">
        <f t="shared" si="4"/>
        <v>0</v>
      </c>
      <c r="W63" s="119"/>
      <c r="X63" s="113">
        <f t="shared" si="1"/>
        <v>120.35102350639627</v>
      </c>
      <c r="Y63" s="113">
        <f t="shared" si="2"/>
        <v>162.70602300774698</v>
      </c>
      <c r="Z63" s="113">
        <f t="shared" si="3"/>
        <v>190.67877946674651</v>
      </c>
      <c r="AA63" s="22"/>
      <c r="AB63" s="22"/>
      <c r="AC63" s="22"/>
      <c r="AD63" s="22"/>
      <c r="AE63" s="22"/>
      <c r="AF63" s="22"/>
      <c r="AG63" s="22"/>
      <c r="AH63" s="22"/>
      <c r="AI63" s="22"/>
      <c r="AJ63" s="22"/>
      <c r="AK63" s="22"/>
      <c r="AL63" s="22"/>
      <c r="AM63" s="22"/>
      <c r="AN63" s="22"/>
      <c r="AO63" s="22"/>
      <c r="AP63" s="22"/>
      <c r="AQ63" s="22"/>
      <c r="AR63" s="22"/>
    </row>
    <row r="64" spans="1:44" hidden="1" x14ac:dyDescent="0.25">
      <c r="A64" s="16"/>
      <c r="B64" s="3" t="s">
        <v>93</v>
      </c>
      <c r="C64" s="3" t="s">
        <v>53</v>
      </c>
      <c r="D64" s="11" t="s">
        <v>243</v>
      </c>
      <c r="E64" s="107">
        <v>81.44</v>
      </c>
      <c r="F64" s="108">
        <v>115.18</v>
      </c>
      <c r="G64" s="109">
        <v>136.29</v>
      </c>
      <c r="H64" s="114"/>
      <c r="I64" s="113">
        <v>11.885951998222653</v>
      </c>
      <c r="J64" s="114">
        <v>19.099080348100181</v>
      </c>
      <c r="K64" s="109">
        <v>22.862742313791607</v>
      </c>
      <c r="L64" s="114"/>
      <c r="M64" s="113">
        <v>27.8124</v>
      </c>
      <c r="N64" s="114">
        <v>28.444500000000001</v>
      </c>
      <c r="O64" s="109">
        <v>31.2438</v>
      </c>
      <c r="P64" s="119"/>
      <c r="Q64" s="120">
        <v>0.08</v>
      </c>
      <c r="R64" s="120">
        <v>0.05</v>
      </c>
      <c r="S64" s="120">
        <v>0.03</v>
      </c>
      <c r="T64" s="120">
        <v>1.4999999999999999E-2</v>
      </c>
      <c r="U64" s="120">
        <v>0.02</v>
      </c>
      <c r="V64" s="121">
        <f t="shared" si="4"/>
        <v>0</v>
      </c>
      <c r="W64" s="119"/>
      <c r="X64" s="113">
        <f t="shared" si="1"/>
        <v>121.13835199822265</v>
      </c>
      <c r="Y64" s="113">
        <f t="shared" si="2"/>
        <v>162.7235803481002</v>
      </c>
      <c r="Z64" s="113">
        <f t="shared" si="3"/>
        <v>190.3965423137916</v>
      </c>
      <c r="AA64" s="22"/>
      <c r="AB64" s="22"/>
      <c r="AC64" s="22"/>
      <c r="AD64" s="22"/>
      <c r="AE64" s="22"/>
      <c r="AF64" s="22"/>
      <c r="AG64" s="22"/>
      <c r="AH64" s="22"/>
      <c r="AI64" s="22"/>
      <c r="AJ64" s="22"/>
      <c r="AK64" s="22"/>
      <c r="AL64" s="22"/>
      <c r="AM64" s="22"/>
      <c r="AN64" s="22"/>
      <c r="AO64" s="22"/>
      <c r="AP64" s="22"/>
      <c r="AQ64" s="22"/>
      <c r="AR64" s="22"/>
    </row>
    <row r="65" spans="1:44" hidden="1" x14ac:dyDescent="0.25">
      <c r="A65" s="16"/>
      <c r="B65" s="3" t="s">
        <v>94</v>
      </c>
      <c r="C65" s="3" t="s">
        <v>95</v>
      </c>
      <c r="D65" s="11" t="s">
        <v>243</v>
      </c>
      <c r="E65" s="107">
        <v>95.930903779057928</v>
      </c>
      <c r="F65" s="108">
        <v>131.05551767150655</v>
      </c>
      <c r="G65" s="109">
        <v>173.22903275761786</v>
      </c>
      <c r="H65" s="114"/>
      <c r="I65" s="113">
        <v>8.6121791169153763</v>
      </c>
      <c r="J65" s="114">
        <v>13.838580279542875</v>
      </c>
      <c r="K65" s="109">
        <v>16.565608875056576</v>
      </c>
      <c r="L65" s="114"/>
      <c r="M65" s="113">
        <v>22.927304587804876</v>
      </c>
      <c r="N65" s="114">
        <v>23.448379692073171</v>
      </c>
      <c r="O65" s="109">
        <v>25.75599801097561</v>
      </c>
      <c r="P65" s="119"/>
      <c r="Q65" s="120">
        <v>0.08</v>
      </c>
      <c r="R65" s="120">
        <v>0.05</v>
      </c>
      <c r="S65" s="120">
        <v>0.03</v>
      </c>
      <c r="T65" s="120">
        <v>1.4999999999999999E-2</v>
      </c>
      <c r="U65" s="120">
        <v>0.02</v>
      </c>
      <c r="V65" s="121">
        <f t="shared" si="4"/>
        <v>0</v>
      </c>
      <c r="W65" s="119"/>
      <c r="X65" s="113">
        <f t="shared" si="1"/>
        <v>127.47038748377818</v>
      </c>
      <c r="Y65" s="113">
        <f t="shared" si="2"/>
        <v>168.34247764312258</v>
      </c>
      <c r="Z65" s="113">
        <f t="shared" si="3"/>
        <v>215.55063964365004</v>
      </c>
      <c r="AA65" s="22"/>
      <c r="AB65" s="22"/>
      <c r="AC65" s="22"/>
      <c r="AD65" s="22"/>
      <c r="AE65" s="22"/>
      <c r="AF65" s="22"/>
      <c r="AG65" s="22"/>
      <c r="AH65" s="22"/>
      <c r="AI65" s="22"/>
      <c r="AJ65" s="22"/>
      <c r="AK65" s="22"/>
      <c r="AL65" s="22"/>
      <c r="AM65" s="22"/>
      <c r="AN65" s="22"/>
      <c r="AO65" s="22"/>
      <c r="AP65" s="22"/>
      <c r="AQ65" s="22"/>
      <c r="AR65" s="22"/>
    </row>
    <row r="66" spans="1:44" hidden="1" x14ac:dyDescent="0.25">
      <c r="A66" s="16"/>
      <c r="B66" s="3" t="s">
        <v>94</v>
      </c>
      <c r="C66" s="3" t="s">
        <v>96</v>
      </c>
      <c r="D66" s="11" t="s">
        <v>243</v>
      </c>
      <c r="E66" s="107">
        <v>95.930903779057928</v>
      </c>
      <c r="F66" s="108">
        <v>131.05551767150655</v>
      </c>
      <c r="G66" s="109">
        <v>173.22903275761786</v>
      </c>
      <c r="H66" s="114"/>
      <c r="I66" s="113">
        <v>8.6121791169153763</v>
      </c>
      <c r="J66" s="114">
        <v>13.838580279542875</v>
      </c>
      <c r="K66" s="109">
        <v>16.565608875056576</v>
      </c>
      <c r="L66" s="114"/>
      <c r="M66" s="113">
        <v>22.927304587804876</v>
      </c>
      <c r="N66" s="114">
        <v>23.448379692073171</v>
      </c>
      <c r="O66" s="109">
        <v>25.75599801097561</v>
      </c>
      <c r="P66" s="119"/>
      <c r="Q66" s="120">
        <v>0.08</v>
      </c>
      <c r="R66" s="120">
        <v>0.05</v>
      </c>
      <c r="S66" s="120">
        <v>0.03</v>
      </c>
      <c r="T66" s="120">
        <v>1.4999999999999999E-2</v>
      </c>
      <c r="U66" s="120">
        <v>0.02</v>
      </c>
      <c r="V66" s="121">
        <f t="shared" si="4"/>
        <v>0</v>
      </c>
      <c r="W66" s="119"/>
      <c r="X66" s="113">
        <f t="shared" si="1"/>
        <v>127.47038748377818</v>
      </c>
      <c r="Y66" s="113">
        <f t="shared" si="2"/>
        <v>168.34247764312258</v>
      </c>
      <c r="Z66" s="113">
        <f t="shared" si="3"/>
        <v>215.55063964365004</v>
      </c>
      <c r="AA66" s="22"/>
      <c r="AB66" s="22"/>
      <c r="AC66" s="22"/>
      <c r="AD66" s="22"/>
      <c r="AE66" s="22"/>
      <c r="AF66" s="22"/>
      <c r="AG66" s="22"/>
      <c r="AH66" s="22"/>
      <c r="AI66" s="22"/>
      <c r="AJ66" s="22"/>
      <c r="AK66" s="22"/>
      <c r="AL66" s="22"/>
      <c r="AM66" s="22"/>
      <c r="AN66" s="22"/>
      <c r="AO66" s="22"/>
      <c r="AP66" s="22"/>
      <c r="AQ66" s="22"/>
      <c r="AR66" s="22"/>
    </row>
    <row r="67" spans="1:44" hidden="1" x14ac:dyDescent="0.25">
      <c r="A67" s="16"/>
      <c r="B67" s="3" t="s">
        <v>94</v>
      </c>
      <c r="C67" s="3" t="s">
        <v>97</v>
      </c>
      <c r="D67" s="11" t="s">
        <v>243</v>
      </c>
      <c r="E67" s="107">
        <v>95.930903779057928</v>
      </c>
      <c r="F67" s="108">
        <v>131.05551767150655</v>
      </c>
      <c r="G67" s="109">
        <v>173.22903275761786</v>
      </c>
      <c r="H67" s="114"/>
      <c r="I67" s="113">
        <v>8.6121791169153763</v>
      </c>
      <c r="J67" s="114">
        <v>13.838580279542875</v>
      </c>
      <c r="K67" s="109">
        <v>16.565608875056576</v>
      </c>
      <c r="L67" s="114"/>
      <c r="M67" s="113">
        <v>22.927304587804876</v>
      </c>
      <c r="N67" s="114">
        <v>23.448379692073171</v>
      </c>
      <c r="O67" s="109">
        <v>25.75599801097561</v>
      </c>
      <c r="P67" s="119"/>
      <c r="Q67" s="120">
        <v>0.08</v>
      </c>
      <c r="R67" s="120">
        <v>0.05</v>
      </c>
      <c r="S67" s="120">
        <v>0.03</v>
      </c>
      <c r="T67" s="120">
        <v>1.4999999999999999E-2</v>
      </c>
      <c r="U67" s="120">
        <v>0.02</v>
      </c>
      <c r="V67" s="121">
        <f t="shared" si="4"/>
        <v>0</v>
      </c>
      <c r="W67" s="119"/>
      <c r="X67" s="113">
        <f t="shared" si="1"/>
        <v>127.47038748377818</v>
      </c>
      <c r="Y67" s="113">
        <f t="shared" si="2"/>
        <v>168.34247764312258</v>
      </c>
      <c r="Z67" s="113">
        <f t="shared" si="3"/>
        <v>215.55063964365004</v>
      </c>
      <c r="AA67" s="22"/>
      <c r="AB67" s="22"/>
      <c r="AC67" s="22"/>
      <c r="AD67" s="22"/>
      <c r="AE67" s="22"/>
      <c r="AF67" s="22"/>
      <c r="AG67" s="22"/>
      <c r="AH67" s="22"/>
      <c r="AI67" s="22"/>
      <c r="AJ67" s="22"/>
      <c r="AK67" s="22"/>
      <c r="AL67" s="22"/>
      <c r="AM67" s="22"/>
      <c r="AN67" s="22"/>
      <c r="AO67" s="22"/>
      <c r="AP67" s="22"/>
      <c r="AQ67" s="22"/>
      <c r="AR67" s="22"/>
    </row>
    <row r="68" spans="1:44" hidden="1" x14ac:dyDescent="0.25">
      <c r="A68" s="16"/>
      <c r="B68" s="3" t="s">
        <v>94</v>
      </c>
      <c r="C68" s="3" t="s">
        <v>98</v>
      </c>
      <c r="D68" s="11" t="s">
        <v>243</v>
      </c>
      <c r="E68" s="110">
        <v>95.930903779057928</v>
      </c>
      <c r="F68" s="111">
        <v>131.05551767150655</v>
      </c>
      <c r="G68" s="112">
        <v>173.22903275761786</v>
      </c>
      <c r="H68" s="114"/>
      <c r="I68" s="113">
        <v>8.6121791169153763</v>
      </c>
      <c r="J68" s="114">
        <v>13.838580279542875</v>
      </c>
      <c r="K68" s="109">
        <v>16.565608875056576</v>
      </c>
      <c r="L68" s="114"/>
      <c r="M68" s="113">
        <v>22.927304587804876</v>
      </c>
      <c r="N68" s="114">
        <v>23.448379692073171</v>
      </c>
      <c r="O68" s="109">
        <v>25.75599801097561</v>
      </c>
      <c r="P68" s="119"/>
      <c r="Q68" s="120">
        <v>0.08</v>
      </c>
      <c r="R68" s="120">
        <v>0.05</v>
      </c>
      <c r="S68" s="120">
        <v>0.03</v>
      </c>
      <c r="T68" s="120">
        <v>1.4999999999999999E-2</v>
      </c>
      <c r="U68" s="120">
        <v>0.02</v>
      </c>
      <c r="V68" s="121">
        <f t="shared" si="4"/>
        <v>0</v>
      </c>
      <c r="W68" s="119"/>
      <c r="X68" s="113">
        <f t="shared" si="1"/>
        <v>127.47038748377818</v>
      </c>
      <c r="Y68" s="113">
        <f t="shared" si="2"/>
        <v>168.34247764312258</v>
      </c>
      <c r="Z68" s="113">
        <f t="shared" si="3"/>
        <v>215.55063964365004</v>
      </c>
      <c r="AA68" s="22"/>
      <c r="AB68" s="22"/>
      <c r="AC68" s="22"/>
      <c r="AD68" s="22"/>
      <c r="AE68" s="22"/>
      <c r="AF68" s="22"/>
      <c r="AG68" s="22"/>
      <c r="AH68" s="22"/>
      <c r="AI68" s="22"/>
      <c r="AJ68" s="22"/>
      <c r="AK68" s="22"/>
      <c r="AL68" s="22"/>
      <c r="AM68" s="22"/>
      <c r="AN68" s="22"/>
      <c r="AO68" s="22"/>
      <c r="AP68" s="22"/>
      <c r="AQ68" s="22"/>
      <c r="AR68" s="22"/>
    </row>
    <row r="69" spans="1:44" hidden="1" x14ac:dyDescent="0.25">
      <c r="A69" s="16"/>
      <c r="B69" s="3" t="s">
        <v>99</v>
      </c>
      <c r="C69" s="3" t="s">
        <v>100</v>
      </c>
      <c r="D69" s="11" t="s">
        <v>243</v>
      </c>
      <c r="E69" s="107">
        <v>116.86</v>
      </c>
      <c r="F69" s="108">
        <v>165.7</v>
      </c>
      <c r="G69" s="109">
        <v>196.27</v>
      </c>
      <c r="H69" s="114"/>
      <c r="I69" s="113">
        <v>19.888154341463412</v>
      </c>
      <c r="J69" s="114">
        <v>34.704405658536587</v>
      </c>
      <c r="K69" s="109">
        <v>50.96112585365853</v>
      </c>
      <c r="L69" s="114"/>
      <c r="M69" s="113">
        <v>36.247092682926827</v>
      </c>
      <c r="N69" s="114">
        <v>37.070890243902433</v>
      </c>
      <c r="O69" s="109">
        <v>40.719136585365852</v>
      </c>
      <c r="P69" s="119"/>
      <c r="Q69" s="120">
        <v>0.08</v>
      </c>
      <c r="R69" s="120">
        <v>0.05</v>
      </c>
      <c r="S69" s="120">
        <v>0.03</v>
      </c>
      <c r="T69" s="120">
        <v>1.4999999999999999E-2</v>
      </c>
      <c r="U69" s="120">
        <v>0.02</v>
      </c>
      <c r="V69" s="121">
        <f t="shared" si="4"/>
        <v>0</v>
      </c>
      <c r="W69" s="119"/>
      <c r="X69" s="113">
        <f t="shared" si="1"/>
        <v>172.99524702439024</v>
      </c>
      <c r="Y69" s="113">
        <f t="shared" si="2"/>
        <v>237.475295902439</v>
      </c>
      <c r="Z69" s="113">
        <f t="shared" si="3"/>
        <v>287.95026243902441</v>
      </c>
      <c r="AA69" s="22"/>
      <c r="AB69" s="22"/>
      <c r="AC69" s="22"/>
      <c r="AD69" s="22"/>
      <c r="AE69" s="22"/>
      <c r="AF69" s="22"/>
      <c r="AG69" s="22"/>
      <c r="AH69" s="22"/>
      <c r="AI69" s="22"/>
      <c r="AJ69" s="22"/>
      <c r="AK69" s="22"/>
      <c r="AL69" s="22"/>
      <c r="AM69" s="22"/>
      <c r="AN69" s="22"/>
      <c r="AO69" s="22"/>
      <c r="AP69" s="22"/>
      <c r="AQ69" s="22"/>
      <c r="AR69" s="22"/>
    </row>
    <row r="70" spans="1:44" hidden="1" x14ac:dyDescent="0.25">
      <c r="A70" s="16"/>
      <c r="B70" s="3" t="s">
        <v>244</v>
      </c>
      <c r="C70" s="3" t="s">
        <v>245</v>
      </c>
      <c r="D70" s="11" t="s">
        <v>19</v>
      </c>
      <c r="E70" s="107">
        <v>131.72</v>
      </c>
      <c r="F70" s="108">
        <v>165.76</v>
      </c>
      <c r="G70" s="109">
        <v>225.7</v>
      </c>
      <c r="H70" s="114"/>
      <c r="I70" s="113">
        <v>10.668000000000001</v>
      </c>
      <c r="J70" s="114">
        <v>17.141999999999999</v>
      </c>
      <c r="K70" s="109">
        <v>20.52</v>
      </c>
      <c r="L70" s="114"/>
      <c r="M70" s="113">
        <v>28.025535999999999</v>
      </c>
      <c r="N70" s="114">
        <v>28.662479999999999</v>
      </c>
      <c r="O70" s="109">
        <v>31.483232000000001</v>
      </c>
      <c r="P70" s="119"/>
      <c r="Q70" s="120">
        <v>0.08</v>
      </c>
      <c r="R70" s="120">
        <v>0.05</v>
      </c>
      <c r="S70" s="120">
        <v>0.03</v>
      </c>
      <c r="T70" s="120">
        <v>1.4999999999999999E-2</v>
      </c>
      <c r="U70" s="120">
        <v>0.02</v>
      </c>
      <c r="V70" s="121">
        <f t="shared" ref="V70:V73" si="5">SUBTOTAL(9,Q70:U70)</f>
        <v>0</v>
      </c>
      <c r="W70" s="119"/>
      <c r="X70" s="113">
        <f t="shared" ref="X70:X73" si="6">(E70+I70+M70)*(1+V70)</f>
        <v>170.41353599999999</v>
      </c>
      <c r="Y70" s="113">
        <f t="shared" ref="Y70:Y73" si="7">(F70+J70+N70)*(1+V70)</f>
        <v>211.56447999999997</v>
      </c>
      <c r="Z70" s="113">
        <f t="shared" ref="Z70:Z73" si="8">(G70+K70+O70)*(1+V70)</f>
        <v>277.70323200000001</v>
      </c>
      <c r="AA70" s="22"/>
      <c r="AB70" s="22"/>
      <c r="AC70" s="22"/>
      <c r="AD70" s="22"/>
      <c r="AE70" s="22"/>
      <c r="AF70" s="22"/>
      <c r="AG70" s="22"/>
      <c r="AH70" s="22"/>
      <c r="AI70" s="22"/>
      <c r="AJ70" s="22"/>
      <c r="AK70" s="22"/>
      <c r="AL70" s="22"/>
      <c r="AM70" s="22"/>
      <c r="AN70" s="22"/>
      <c r="AO70" s="22"/>
      <c r="AP70" s="22"/>
      <c r="AQ70" s="22"/>
      <c r="AR70" s="22"/>
    </row>
    <row r="71" spans="1:44" hidden="1" x14ac:dyDescent="0.25">
      <c r="A71" s="16"/>
      <c r="B71" s="3" t="s">
        <v>244</v>
      </c>
      <c r="C71" s="3" t="s">
        <v>246</v>
      </c>
      <c r="D71" s="11" t="s">
        <v>19</v>
      </c>
      <c r="E71" s="107">
        <f t="shared" ref="E71:G72" si="9">E$25*0.58</f>
        <v>86.819218900140427</v>
      </c>
      <c r="F71" s="108">
        <f t="shared" si="9"/>
        <v>123.26366508980706</v>
      </c>
      <c r="G71" s="109">
        <f t="shared" si="9"/>
        <v>146.07729137408529</v>
      </c>
      <c r="H71" s="114"/>
      <c r="I71" s="113">
        <v>10.3124</v>
      </c>
      <c r="J71" s="114">
        <v>16.570599999999999</v>
      </c>
      <c r="K71" s="109">
        <v>19.835999999999999</v>
      </c>
      <c r="L71" s="114"/>
      <c r="M71" s="113">
        <v>27.164639464797641</v>
      </c>
      <c r="N71" s="114">
        <v>27.782017634452135</v>
      </c>
      <c r="O71" s="109">
        <v>30.51612095720774</v>
      </c>
      <c r="P71" s="119"/>
      <c r="Q71" s="120">
        <v>0.08</v>
      </c>
      <c r="R71" s="120">
        <v>0.05</v>
      </c>
      <c r="S71" s="120">
        <v>0.03</v>
      </c>
      <c r="T71" s="120">
        <v>1.4999999999999999E-2</v>
      </c>
      <c r="U71" s="120">
        <v>0.02</v>
      </c>
      <c r="V71" s="121">
        <f t="shared" si="5"/>
        <v>0</v>
      </c>
      <c r="W71" s="119"/>
      <c r="X71" s="113">
        <f t="shared" si="6"/>
        <v>124.29625836493807</v>
      </c>
      <c r="Y71" s="113">
        <f t="shared" si="7"/>
        <v>167.61628272425918</v>
      </c>
      <c r="Z71" s="113">
        <f t="shared" si="8"/>
        <v>196.42941233129304</v>
      </c>
      <c r="AA71" s="22"/>
      <c r="AB71" s="22"/>
      <c r="AC71" s="22"/>
      <c r="AD71" s="22"/>
      <c r="AE71" s="22"/>
      <c r="AF71" s="22"/>
      <c r="AG71" s="22"/>
      <c r="AH71" s="22"/>
      <c r="AI71" s="22"/>
      <c r="AJ71" s="22"/>
      <c r="AK71" s="22"/>
      <c r="AL71" s="22"/>
      <c r="AM71" s="22"/>
      <c r="AN71" s="22"/>
      <c r="AO71" s="22"/>
      <c r="AP71" s="22"/>
      <c r="AQ71" s="22"/>
      <c r="AR71" s="22"/>
    </row>
    <row r="72" spans="1:44" hidden="1" x14ac:dyDescent="0.25">
      <c r="A72" s="16"/>
      <c r="B72" s="3" t="s">
        <v>244</v>
      </c>
      <c r="C72" s="3" t="s">
        <v>247</v>
      </c>
      <c r="D72" s="11" t="s">
        <v>19</v>
      </c>
      <c r="E72" s="107">
        <f t="shared" si="9"/>
        <v>86.819218900140427</v>
      </c>
      <c r="F72" s="108">
        <f t="shared" si="9"/>
        <v>123.26366508980706</v>
      </c>
      <c r="G72" s="109">
        <f t="shared" si="9"/>
        <v>146.07729137408529</v>
      </c>
      <c r="H72" s="114"/>
      <c r="I72" s="113">
        <v>10.3124</v>
      </c>
      <c r="J72" s="114">
        <v>16.570599999999999</v>
      </c>
      <c r="K72" s="109">
        <v>19.835999999999999</v>
      </c>
      <c r="L72" s="114"/>
      <c r="M72" s="113">
        <v>27.164639464797641</v>
      </c>
      <c r="N72" s="114">
        <v>27.782017634452135</v>
      </c>
      <c r="O72" s="109">
        <v>30.51612095720774</v>
      </c>
      <c r="P72" s="119"/>
      <c r="Q72" s="120">
        <v>0.08</v>
      </c>
      <c r="R72" s="120">
        <v>0.05</v>
      </c>
      <c r="S72" s="120">
        <v>0.03</v>
      </c>
      <c r="T72" s="120">
        <v>1.4999999999999999E-2</v>
      </c>
      <c r="U72" s="120">
        <v>0.02</v>
      </c>
      <c r="V72" s="121">
        <f t="shared" si="5"/>
        <v>0</v>
      </c>
      <c r="W72" s="119"/>
      <c r="X72" s="113">
        <f t="shared" si="6"/>
        <v>124.29625836493807</v>
      </c>
      <c r="Y72" s="113">
        <f t="shared" si="7"/>
        <v>167.61628272425918</v>
      </c>
      <c r="Z72" s="113">
        <f t="shared" si="8"/>
        <v>196.42941233129304</v>
      </c>
      <c r="AA72" s="22"/>
      <c r="AB72" s="22"/>
      <c r="AC72" s="22"/>
      <c r="AD72" s="22"/>
      <c r="AE72" s="22"/>
      <c r="AF72" s="22"/>
      <c r="AG72" s="22"/>
      <c r="AH72" s="22"/>
      <c r="AI72" s="22"/>
      <c r="AJ72" s="22"/>
      <c r="AK72" s="22"/>
      <c r="AL72" s="22"/>
      <c r="AM72" s="22"/>
      <c r="AN72" s="22"/>
      <c r="AO72" s="22"/>
      <c r="AP72" s="22"/>
      <c r="AQ72" s="22"/>
      <c r="AR72" s="22"/>
    </row>
    <row r="73" spans="1:44" hidden="1" x14ac:dyDescent="0.25">
      <c r="A73" s="16"/>
      <c r="B73" s="3" t="s">
        <v>244</v>
      </c>
      <c r="C73" s="3" t="s">
        <v>248</v>
      </c>
      <c r="D73" s="11" t="s">
        <v>19</v>
      </c>
      <c r="E73" s="107">
        <f t="shared" ref="E73:G73" si="10">E$25*0.59</f>
        <v>88.316101984625618</v>
      </c>
      <c r="F73" s="108">
        <f t="shared" si="10"/>
        <v>125.38890069480374</v>
      </c>
      <c r="G73" s="109">
        <f t="shared" si="10"/>
        <v>148.59586536329365</v>
      </c>
      <c r="H73" s="114"/>
      <c r="I73" s="113">
        <v>10.4902</v>
      </c>
      <c r="J73" s="114">
        <v>16.856300000000001</v>
      </c>
      <c r="K73" s="109">
        <v>20.178000000000001</v>
      </c>
      <c r="L73" s="114"/>
      <c r="M73" s="113">
        <v>27.632995317638979</v>
      </c>
      <c r="N73" s="114">
        <v>28.261017938494412</v>
      </c>
      <c r="O73" s="109">
        <v>31.042260973711322</v>
      </c>
      <c r="P73" s="119"/>
      <c r="Q73" s="120">
        <v>0.08</v>
      </c>
      <c r="R73" s="120">
        <v>0.05</v>
      </c>
      <c r="S73" s="120">
        <v>0.03</v>
      </c>
      <c r="T73" s="120">
        <v>1.4999999999999999E-2</v>
      </c>
      <c r="U73" s="120">
        <v>0.02</v>
      </c>
      <c r="V73" s="121">
        <f t="shared" si="5"/>
        <v>0</v>
      </c>
      <c r="W73" s="119"/>
      <c r="X73" s="113">
        <f t="shared" si="6"/>
        <v>126.43929730226461</v>
      </c>
      <c r="Y73" s="113">
        <f t="shared" si="7"/>
        <v>170.50621863329815</v>
      </c>
      <c r="Z73" s="113">
        <f t="shared" si="8"/>
        <v>199.81612633700496</v>
      </c>
      <c r="AA73" s="22"/>
      <c r="AB73" s="22"/>
      <c r="AC73" s="22"/>
      <c r="AD73" s="22"/>
      <c r="AE73" s="22"/>
      <c r="AF73" s="22"/>
      <c r="AG73" s="22"/>
      <c r="AH73" s="22"/>
      <c r="AI73" s="22"/>
      <c r="AJ73" s="22"/>
      <c r="AK73" s="22"/>
      <c r="AL73" s="22"/>
      <c r="AM73" s="22"/>
      <c r="AN73" s="22"/>
      <c r="AO73" s="22"/>
      <c r="AP73" s="22"/>
      <c r="AQ73" s="22"/>
      <c r="AR73" s="22"/>
    </row>
    <row r="74" spans="1:44" hidden="1" x14ac:dyDescent="0.25">
      <c r="A74" s="16"/>
      <c r="B74" s="3" t="s">
        <v>101</v>
      </c>
      <c r="C74" s="3" t="s">
        <v>102</v>
      </c>
      <c r="D74" s="11" t="s">
        <v>6</v>
      </c>
      <c r="E74" s="107">
        <v>71.712945801611355</v>
      </c>
      <c r="F74" s="108">
        <v>93.704089363589333</v>
      </c>
      <c r="G74" s="109">
        <v>113.5816191144948</v>
      </c>
      <c r="H74" s="114"/>
      <c r="I74" s="113">
        <v>9.9046208781576617</v>
      </c>
      <c r="J74" s="114">
        <v>17.28335243924408</v>
      </c>
      <c r="K74" s="109">
        <v>25.379460679880559</v>
      </c>
      <c r="L74" s="114"/>
      <c r="M74" s="113">
        <v>18.395476074737026</v>
      </c>
      <c r="N74" s="114">
        <v>18.813555076435595</v>
      </c>
      <c r="O74" s="109">
        <v>20.665047798243538</v>
      </c>
      <c r="P74" s="119"/>
      <c r="Q74" s="120">
        <v>0.05</v>
      </c>
      <c r="R74" s="120">
        <v>0.08</v>
      </c>
      <c r="S74" s="120">
        <v>0.08</v>
      </c>
      <c r="T74" s="120">
        <v>1.2E-2</v>
      </c>
      <c r="U74" s="120">
        <v>0.02</v>
      </c>
      <c r="V74" s="121">
        <f>SUBTOTAL(9,Q74:U74)</f>
        <v>0</v>
      </c>
      <c r="W74" s="119"/>
      <c r="X74" s="113">
        <f t="shared" si="1"/>
        <v>100.01304275450605</v>
      </c>
      <c r="Y74" s="113">
        <f t="shared" si="2"/>
        <v>129.80099687926901</v>
      </c>
      <c r="Z74" s="113">
        <f t="shared" si="3"/>
        <v>159.6261275926189</v>
      </c>
      <c r="AA74" s="22"/>
      <c r="AB74" s="22"/>
      <c r="AC74" s="22"/>
      <c r="AD74" s="22"/>
      <c r="AE74" s="22"/>
      <c r="AF74" s="22"/>
      <c r="AG74" s="22"/>
      <c r="AH74" s="22"/>
      <c r="AI74" s="22"/>
      <c r="AJ74" s="22"/>
      <c r="AK74" s="22"/>
      <c r="AL74" s="22"/>
      <c r="AM74" s="22"/>
      <c r="AN74" s="22"/>
      <c r="AO74" s="22"/>
      <c r="AP74" s="22"/>
      <c r="AQ74" s="22"/>
      <c r="AR74" s="22"/>
    </row>
    <row r="75" spans="1:44" hidden="1" x14ac:dyDescent="0.25">
      <c r="A75" s="16"/>
      <c r="B75" s="3" t="s">
        <v>103</v>
      </c>
      <c r="C75" s="3" t="s">
        <v>104</v>
      </c>
      <c r="D75" s="11" t="s">
        <v>6</v>
      </c>
      <c r="E75" s="107">
        <v>82.65461323822899</v>
      </c>
      <c r="F75" s="108">
        <v>123.50046335649347</v>
      </c>
      <c r="G75" s="109">
        <v>145.21647479488507</v>
      </c>
      <c r="H75" s="114"/>
      <c r="I75" s="113">
        <v>10.352681244673422</v>
      </c>
      <c r="J75" s="114">
        <v>18.065208234010161</v>
      </c>
      <c r="K75" s="109">
        <v>26.527564236199087</v>
      </c>
      <c r="L75" s="114"/>
      <c r="M75" s="113">
        <v>19.317490363784458</v>
      </c>
      <c r="N75" s="114">
        <v>19.756524235688648</v>
      </c>
      <c r="O75" s="109">
        <v>21.700817096978643</v>
      </c>
      <c r="P75" s="119"/>
      <c r="Q75" s="120" t="s">
        <v>249</v>
      </c>
      <c r="R75" s="120">
        <v>0.05</v>
      </c>
      <c r="S75" s="120">
        <v>0.09</v>
      </c>
      <c r="T75" s="120">
        <v>7.0000000000000007E-2</v>
      </c>
      <c r="U75" s="120">
        <v>0.05</v>
      </c>
      <c r="V75" s="121">
        <f t="shared" ref="V75:V90" si="11">SUBTOTAL(9,Q75:U75)</f>
        <v>0</v>
      </c>
      <c r="W75" s="119"/>
      <c r="X75" s="113">
        <f t="shared" ref="X75:X138" si="12">(E75+I75+M75)*(1+V75)</f>
        <v>112.32478484668687</v>
      </c>
      <c r="Y75" s="113">
        <f t="shared" ref="Y75:Y138" si="13">(F75+J75+N75)*(1+V75)</f>
        <v>161.32219582619229</v>
      </c>
      <c r="Z75" s="113">
        <f t="shared" ref="Z75:Z138" si="14">(G75+K75+O75)*(1+V75)</f>
        <v>193.44485612806281</v>
      </c>
      <c r="AA75" s="22"/>
      <c r="AB75" s="22"/>
      <c r="AC75" s="22"/>
      <c r="AD75" s="22"/>
      <c r="AE75" s="22"/>
      <c r="AF75" s="22"/>
      <c r="AG75" s="22"/>
      <c r="AH75" s="22"/>
      <c r="AI75" s="22"/>
      <c r="AJ75" s="22"/>
      <c r="AK75" s="22"/>
      <c r="AL75" s="22"/>
      <c r="AM75" s="22"/>
      <c r="AN75" s="22"/>
      <c r="AO75" s="22"/>
      <c r="AP75" s="22"/>
      <c r="AQ75" s="22"/>
      <c r="AR75" s="22"/>
    </row>
    <row r="76" spans="1:44" hidden="1" x14ac:dyDescent="0.25">
      <c r="A76" s="16"/>
      <c r="B76" s="3" t="s">
        <v>105</v>
      </c>
      <c r="C76" s="3" t="s">
        <v>106</v>
      </c>
      <c r="D76" s="11" t="s">
        <v>6</v>
      </c>
      <c r="E76" s="107">
        <v>82.47472983960381</v>
      </c>
      <c r="F76" s="108">
        <v>113.57449224813362</v>
      </c>
      <c r="G76" s="109">
        <v>144.40616689149235</v>
      </c>
      <c r="H76" s="114"/>
      <c r="I76" s="113">
        <v>9.7594476179662113</v>
      </c>
      <c r="J76" s="114">
        <v>17.030028192762707</v>
      </c>
      <c r="K76" s="109">
        <v>25.007470767886641</v>
      </c>
      <c r="L76" s="114"/>
      <c r="M76" s="113">
        <v>17.787050335036813</v>
      </c>
      <c r="N76" s="114">
        <v>18.191301479014921</v>
      </c>
      <c r="O76" s="109">
        <v>19.981556545203695</v>
      </c>
      <c r="P76" s="119"/>
      <c r="Q76" s="120">
        <v>0.05</v>
      </c>
      <c r="R76" s="120">
        <v>0.02</v>
      </c>
      <c r="S76" s="120">
        <v>0.04</v>
      </c>
      <c r="T76" s="120">
        <v>0.03</v>
      </c>
      <c r="U76" s="120">
        <v>0.02</v>
      </c>
      <c r="V76" s="121">
        <f t="shared" si="11"/>
        <v>0</v>
      </c>
      <c r="W76" s="119"/>
      <c r="X76" s="113">
        <f t="shared" si="12"/>
        <v>110.02122779260684</v>
      </c>
      <c r="Y76" s="113">
        <f t="shared" si="13"/>
        <v>148.79582191991125</v>
      </c>
      <c r="Z76" s="113">
        <f t="shared" si="14"/>
        <v>189.39519420458268</v>
      </c>
      <c r="AA76" s="22"/>
      <c r="AB76" s="22"/>
      <c r="AC76" s="22"/>
      <c r="AD76" s="22"/>
      <c r="AE76" s="22"/>
      <c r="AF76" s="22"/>
      <c r="AG76" s="22"/>
      <c r="AH76" s="22"/>
      <c r="AI76" s="22"/>
      <c r="AJ76" s="22"/>
      <c r="AK76" s="22"/>
      <c r="AL76" s="22"/>
      <c r="AM76" s="22"/>
      <c r="AN76" s="22"/>
      <c r="AO76" s="22"/>
      <c r="AP76" s="22"/>
      <c r="AQ76" s="22"/>
      <c r="AR76" s="22"/>
    </row>
    <row r="77" spans="1:44" hidden="1" x14ac:dyDescent="0.25">
      <c r="A77" s="16"/>
      <c r="B77" s="3" t="s">
        <v>107</v>
      </c>
      <c r="C77" s="3" t="s">
        <v>108</v>
      </c>
      <c r="D77" s="11" t="s">
        <v>6</v>
      </c>
      <c r="E77" s="107">
        <v>90.2</v>
      </c>
      <c r="F77" s="108">
        <v>151.11250000000001</v>
      </c>
      <c r="G77" s="109">
        <v>175.16400000000002</v>
      </c>
      <c r="H77" s="114"/>
      <c r="I77" s="113">
        <v>10.965129714414809</v>
      </c>
      <c r="J77" s="114">
        <v>19.133917767028155</v>
      </c>
      <c r="K77" s="109">
        <v>28.096893546978905</v>
      </c>
      <c r="L77" s="114"/>
      <c r="M77" s="113">
        <v>19.984462419928253</v>
      </c>
      <c r="N77" s="114">
        <v>20.438654747653896</v>
      </c>
      <c r="O77" s="109">
        <v>22.450077913296024</v>
      </c>
      <c r="P77" s="119"/>
      <c r="Q77" s="120">
        <v>4.4999999999999998E-2</v>
      </c>
      <c r="R77" s="120">
        <v>5.0000000000000001E-3</v>
      </c>
      <c r="S77" s="120">
        <v>7.0000000000000007E-2</v>
      </c>
      <c r="T77" s="120">
        <v>0.03</v>
      </c>
      <c r="U77" s="120">
        <v>0</v>
      </c>
      <c r="V77" s="121">
        <f t="shared" si="11"/>
        <v>0</v>
      </c>
      <c r="W77" s="119"/>
      <c r="X77" s="113">
        <f t="shared" si="12"/>
        <v>121.14959213434307</v>
      </c>
      <c r="Y77" s="113">
        <f t="shared" si="13"/>
        <v>190.68507251468205</v>
      </c>
      <c r="Z77" s="113">
        <f t="shared" si="14"/>
        <v>225.71097146027495</v>
      </c>
      <c r="AA77" s="22"/>
      <c r="AB77" s="22"/>
      <c r="AC77" s="22"/>
      <c r="AD77" s="22"/>
      <c r="AE77" s="22"/>
      <c r="AF77" s="22"/>
      <c r="AG77" s="22"/>
      <c r="AH77" s="22"/>
      <c r="AI77" s="22"/>
      <c r="AJ77" s="22"/>
      <c r="AK77" s="22"/>
      <c r="AL77" s="22"/>
      <c r="AM77" s="22"/>
      <c r="AN77" s="22"/>
      <c r="AO77" s="22"/>
      <c r="AP77" s="22"/>
      <c r="AQ77" s="22"/>
      <c r="AR77" s="22"/>
    </row>
    <row r="78" spans="1:44" hidden="1" x14ac:dyDescent="0.25">
      <c r="A78" s="16"/>
      <c r="B78" s="3" t="s">
        <v>109</v>
      </c>
      <c r="C78" s="3" t="s">
        <v>110</v>
      </c>
      <c r="D78" s="11" t="s">
        <v>6</v>
      </c>
      <c r="E78" s="107">
        <v>98.68610000000001</v>
      </c>
      <c r="F78" s="108">
        <v>165.34710000000001</v>
      </c>
      <c r="G78" s="109">
        <v>191.65840000000003</v>
      </c>
      <c r="H78" s="114"/>
      <c r="I78" s="113">
        <v>11.997137616295724</v>
      </c>
      <c r="J78" s="114">
        <v>20.934749571466735</v>
      </c>
      <c r="K78" s="109">
        <v>30.741296022279371</v>
      </c>
      <c r="L78" s="114"/>
      <c r="M78" s="113">
        <v>21.865345151766402</v>
      </c>
      <c r="N78" s="114">
        <v>22.362284814306548</v>
      </c>
      <c r="O78" s="109">
        <v>24.563017605555764</v>
      </c>
      <c r="P78" s="119"/>
      <c r="Q78" s="120">
        <v>4.4999999999999998E-2</v>
      </c>
      <c r="R78" s="120">
        <v>5.0000000000000001E-3</v>
      </c>
      <c r="S78" s="120">
        <v>7.0000000000000007E-2</v>
      </c>
      <c r="T78" s="120">
        <v>0.03</v>
      </c>
      <c r="U78" s="120" t="s">
        <v>250</v>
      </c>
      <c r="V78" s="121">
        <f t="shared" si="11"/>
        <v>0</v>
      </c>
      <c r="W78" s="119"/>
      <c r="X78" s="113">
        <f t="shared" si="12"/>
        <v>132.54858276806215</v>
      </c>
      <c r="Y78" s="113">
        <f t="shared" si="13"/>
        <v>208.6441343857733</v>
      </c>
      <c r="Z78" s="113">
        <f t="shared" si="14"/>
        <v>246.96271362783514</v>
      </c>
      <c r="AA78" s="22"/>
      <c r="AB78" s="22"/>
      <c r="AC78" s="22"/>
      <c r="AD78" s="22"/>
      <c r="AE78" s="22"/>
      <c r="AF78" s="22"/>
      <c r="AG78" s="22"/>
      <c r="AH78" s="22"/>
      <c r="AI78" s="22"/>
      <c r="AJ78" s="22"/>
      <c r="AK78" s="22"/>
      <c r="AL78" s="22"/>
      <c r="AM78" s="22"/>
      <c r="AN78" s="22"/>
      <c r="AO78" s="22"/>
      <c r="AP78" s="22"/>
      <c r="AQ78" s="22"/>
      <c r="AR78" s="22"/>
    </row>
    <row r="79" spans="1:44" hidden="1" x14ac:dyDescent="0.25">
      <c r="A79" s="16"/>
      <c r="B79" s="3" t="s">
        <v>111</v>
      </c>
      <c r="C79" s="3" t="s">
        <v>112</v>
      </c>
      <c r="D79" s="11" t="s">
        <v>6</v>
      </c>
      <c r="E79" s="107">
        <v>50.206218678394549</v>
      </c>
      <c r="F79" s="108">
        <v>80.927114808928962</v>
      </c>
      <c r="G79" s="109">
        <v>103.45701192808041</v>
      </c>
      <c r="H79" s="114"/>
      <c r="I79" s="113">
        <v>5.7218658428881293</v>
      </c>
      <c r="J79" s="114">
        <v>9.9845340058187873</v>
      </c>
      <c r="K79" s="109">
        <v>14.661628240145479</v>
      </c>
      <c r="L79" s="114"/>
      <c r="M79" s="113">
        <v>10.676662950453435</v>
      </c>
      <c r="N79" s="114">
        <v>10.919314381145558</v>
      </c>
      <c r="O79" s="109">
        <v>11.993913574210678</v>
      </c>
      <c r="P79" s="119"/>
      <c r="Q79" s="120">
        <v>3.1E-2</v>
      </c>
      <c r="R79" s="120">
        <v>5.3999999999999999E-2</v>
      </c>
      <c r="S79" s="120">
        <v>8.5999999999999993E-2</v>
      </c>
      <c r="T79" s="120">
        <v>1.6E-2</v>
      </c>
      <c r="U79" s="120">
        <v>5.0000000000000001E-3</v>
      </c>
      <c r="V79" s="121">
        <f t="shared" si="11"/>
        <v>0</v>
      </c>
      <c r="W79" s="119"/>
      <c r="X79" s="113">
        <f t="shared" si="12"/>
        <v>66.604747471736118</v>
      </c>
      <c r="Y79" s="113">
        <f t="shared" si="13"/>
        <v>101.8309631958933</v>
      </c>
      <c r="Z79" s="113">
        <f t="shared" si="14"/>
        <v>130.11255374243655</v>
      </c>
      <c r="AA79" s="22"/>
      <c r="AB79" s="22"/>
      <c r="AC79" s="22"/>
      <c r="AD79" s="22"/>
      <c r="AE79" s="22"/>
      <c r="AF79" s="22"/>
      <c r="AG79" s="22"/>
      <c r="AH79" s="22"/>
      <c r="AI79" s="22"/>
      <c r="AJ79" s="22"/>
      <c r="AK79" s="22"/>
      <c r="AL79" s="22"/>
      <c r="AM79" s="22"/>
      <c r="AN79" s="22"/>
      <c r="AO79" s="22"/>
      <c r="AP79" s="22"/>
      <c r="AQ79" s="22"/>
      <c r="AR79" s="22"/>
    </row>
    <row r="80" spans="1:44" hidden="1" x14ac:dyDescent="0.25">
      <c r="A80" s="16"/>
      <c r="B80" s="3" t="s">
        <v>113</v>
      </c>
      <c r="C80" s="3" t="s">
        <v>114</v>
      </c>
      <c r="D80" s="11" t="s">
        <v>6</v>
      </c>
      <c r="E80" s="107">
        <v>115.86372856364105</v>
      </c>
      <c r="F80" s="108">
        <v>158.28664515901028</v>
      </c>
      <c r="G80" s="109">
        <v>209.22310579911667</v>
      </c>
      <c r="H80" s="114"/>
      <c r="I80" s="113">
        <v>15.266387326829268</v>
      </c>
      <c r="J80" s="114">
        <v>26.639520673170733</v>
      </c>
      <c r="K80" s="109">
        <v>39.118375317073173</v>
      </c>
      <c r="L80" s="114"/>
      <c r="M80" s="113">
        <v>27.823705853658534</v>
      </c>
      <c r="N80" s="114">
        <v>28.456062804878048</v>
      </c>
      <c r="O80" s="109">
        <v>31.256500731707316</v>
      </c>
      <c r="P80" s="119"/>
      <c r="Q80" s="120"/>
      <c r="R80" s="120"/>
      <c r="S80" s="120"/>
      <c r="T80" s="120"/>
      <c r="U80" s="120"/>
      <c r="V80" s="121">
        <v>0.24</v>
      </c>
      <c r="W80" s="119"/>
      <c r="X80" s="113">
        <f t="shared" si="12"/>
        <v>197.10273896271977</v>
      </c>
      <c r="Y80" s="113">
        <f t="shared" si="13"/>
        <v>264.59396350995326</v>
      </c>
      <c r="Z80" s="113">
        <f t="shared" si="14"/>
        <v>346.70149749139244</v>
      </c>
      <c r="AA80" s="22"/>
      <c r="AB80" s="22"/>
      <c r="AC80" s="22"/>
      <c r="AD80" s="22"/>
      <c r="AE80" s="22"/>
      <c r="AF80" s="22"/>
      <c r="AG80" s="22"/>
      <c r="AH80" s="22"/>
      <c r="AI80" s="22"/>
      <c r="AJ80" s="22"/>
      <c r="AK80" s="22"/>
      <c r="AL80" s="22"/>
      <c r="AM80" s="22"/>
      <c r="AN80" s="22"/>
      <c r="AO80" s="22"/>
      <c r="AP80" s="22"/>
      <c r="AQ80" s="22"/>
      <c r="AR80" s="22"/>
    </row>
    <row r="81" spans="1:44" hidden="1" x14ac:dyDescent="0.25">
      <c r="A81" s="16"/>
      <c r="B81" s="3" t="s">
        <v>115</v>
      </c>
      <c r="C81" s="3" t="s">
        <v>116</v>
      </c>
      <c r="D81" s="11" t="s">
        <v>6</v>
      </c>
      <c r="E81" s="107">
        <v>94.401905721043661</v>
      </c>
      <c r="F81" s="108">
        <v>121.18989032818388</v>
      </c>
      <c r="G81" s="109">
        <v>171.23582258481778</v>
      </c>
      <c r="H81" s="114"/>
      <c r="I81" s="113">
        <v>9.3937110846750187</v>
      </c>
      <c r="J81" s="114">
        <v>16.391825733270405</v>
      </c>
      <c r="K81" s="109">
        <v>24.070312639368126</v>
      </c>
      <c r="L81" s="114"/>
      <c r="M81" s="113">
        <v>16.957426200058055</v>
      </c>
      <c r="N81" s="114">
        <v>17.342822250059374</v>
      </c>
      <c r="O81" s="109">
        <v>19.049576185779504</v>
      </c>
      <c r="P81" s="119"/>
      <c r="Q81" s="120">
        <v>0.05</v>
      </c>
      <c r="R81" s="120">
        <v>0.02</v>
      </c>
      <c r="S81" s="120">
        <v>0.04</v>
      </c>
      <c r="T81" s="120">
        <v>0.03</v>
      </c>
      <c r="U81" s="120">
        <v>0.02</v>
      </c>
      <c r="V81" s="121">
        <f t="shared" si="11"/>
        <v>0</v>
      </c>
      <c r="W81" s="119"/>
      <c r="X81" s="113">
        <f t="shared" si="12"/>
        <v>120.75304300577673</v>
      </c>
      <c r="Y81" s="113">
        <f t="shared" si="13"/>
        <v>154.92453831151366</v>
      </c>
      <c r="Z81" s="113">
        <f t="shared" si="14"/>
        <v>214.35571140996541</v>
      </c>
      <c r="AA81" s="22"/>
      <c r="AB81" s="22"/>
      <c r="AC81" s="22"/>
      <c r="AD81" s="22"/>
      <c r="AE81" s="22"/>
      <c r="AF81" s="22"/>
      <c r="AG81" s="22"/>
      <c r="AH81" s="22"/>
      <c r="AI81" s="22"/>
      <c r="AJ81" s="22"/>
      <c r="AK81" s="22"/>
      <c r="AL81" s="22"/>
      <c r="AM81" s="22"/>
      <c r="AN81" s="22"/>
      <c r="AO81" s="22"/>
      <c r="AP81" s="22"/>
      <c r="AQ81" s="22"/>
      <c r="AR81" s="22"/>
    </row>
    <row r="82" spans="1:44" hidden="1" x14ac:dyDescent="0.25">
      <c r="A82" s="16"/>
      <c r="B82" s="3" t="s">
        <v>117</v>
      </c>
      <c r="C82" s="3" t="s">
        <v>118</v>
      </c>
      <c r="D82" s="11" t="s">
        <v>6</v>
      </c>
      <c r="E82" s="107">
        <v>106.43295995962376</v>
      </c>
      <c r="F82" s="108">
        <v>145.40284846002109</v>
      </c>
      <c r="G82" s="109">
        <v>192.19331811779324</v>
      </c>
      <c r="H82" s="114"/>
      <c r="I82" s="113">
        <v>14.023774404878045</v>
      </c>
      <c r="J82" s="114">
        <v>24.47118759512195</v>
      </c>
      <c r="K82" s="109">
        <v>35.934321512195119</v>
      </c>
      <c r="L82" s="114"/>
      <c r="M82" s="113">
        <v>25.558985609756103</v>
      </c>
      <c r="N82" s="114">
        <v>26.139871646341465</v>
      </c>
      <c r="O82" s="109">
        <v>28.712366951219515</v>
      </c>
      <c r="P82" s="119"/>
      <c r="Q82" s="120">
        <v>0.04</v>
      </c>
      <c r="R82" s="120">
        <v>0.04</v>
      </c>
      <c r="S82" s="120">
        <v>0.08</v>
      </c>
      <c r="T82" s="120">
        <v>5.0000000000000001E-3</v>
      </c>
      <c r="U82" s="120">
        <v>0.02</v>
      </c>
      <c r="V82" s="121">
        <f t="shared" si="11"/>
        <v>0</v>
      </c>
      <c r="W82" s="119"/>
      <c r="X82" s="113">
        <f t="shared" si="12"/>
        <v>146.01571997425791</v>
      </c>
      <c r="Y82" s="113">
        <f t="shared" si="13"/>
        <v>196.01390770148453</v>
      </c>
      <c r="Z82" s="113">
        <f t="shared" si="14"/>
        <v>256.84000658120789</v>
      </c>
      <c r="AA82" s="22"/>
      <c r="AB82" s="22"/>
      <c r="AC82" s="22"/>
      <c r="AD82" s="22"/>
      <c r="AE82" s="22"/>
      <c r="AF82" s="22"/>
      <c r="AG82" s="22"/>
      <c r="AH82" s="22"/>
      <c r="AI82" s="22"/>
      <c r="AJ82" s="22"/>
      <c r="AK82" s="22"/>
      <c r="AL82" s="22"/>
      <c r="AM82" s="22"/>
      <c r="AN82" s="22"/>
      <c r="AO82" s="22"/>
      <c r="AP82" s="22"/>
      <c r="AQ82" s="22"/>
      <c r="AR82" s="22"/>
    </row>
    <row r="83" spans="1:44" hidden="1" x14ac:dyDescent="0.25">
      <c r="A83" s="21"/>
      <c r="B83" s="3" t="s">
        <v>119</v>
      </c>
      <c r="C83" s="3" t="s">
        <v>120</v>
      </c>
      <c r="D83" s="11" t="s">
        <v>6</v>
      </c>
      <c r="E83" s="107">
        <v>113.16922324820754</v>
      </c>
      <c r="F83" s="108">
        <v>154.6055603878705</v>
      </c>
      <c r="G83" s="109">
        <v>204.35745217588143</v>
      </c>
      <c r="H83" s="114"/>
      <c r="I83" s="113">
        <v>14.911355063414636</v>
      </c>
      <c r="J83" s="114">
        <v>26.019996936585372</v>
      </c>
      <c r="K83" s="109">
        <v>38.208645658536597</v>
      </c>
      <c r="L83" s="114"/>
      <c r="M83" s="113">
        <v>27.176642926829274</v>
      </c>
      <c r="N83" s="114">
        <v>27.79429390243903</v>
      </c>
      <c r="O83" s="109">
        <v>30.529605365853662</v>
      </c>
      <c r="P83" s="119"/>
      <c r="Q83" s="120">
        <v>0.1</v>
      </c>
      <c r="R83" s="120">
        <v>0.04</v>
      </c>
      <c r="S83" s="120">
        <v>0.03</v>
      </c>
      <c r="T83" s="120">
        <v>0.02</v>
      </c>
      <c r="U83" s="120" t="s">
        <v>250</v>
      </c>
      <c r="V83" s="121">
        <f t="shared" si="11"/>
        <v>0</v>
      </c>
      <c r="W83" s="119"/>
      <c r="X83" s="113">
        <f t="shared" si="12"/>
        <v>155.25722123845145</v>
      </c>
      <c r="Y83" s="113">
        <f t="shared" si="13"/>
        <v>208.41985122689491</v>
      </c>
      <c r="Z83" s="113">
        <f t="shared" si="14"/>
        <v>273.09570320027171</v>
      </c>
      <c r="AA83" s="22"/>
      <c r="AB83" s="22"/>
      <c r="AC83" s="22"/>
      <c r="AD83" s="22"/>
      <c r="AE83" s="22"/>
      <c r="AF83" s="22"/>
      <c r="AG83" s="22"/>
      <c r="AH83" s="22"/>
      <c r="AI83" s="22"/>
      <c r="AJ83" s="22"/>
      <c r="AK83" s="22"/>
      <c r="AL83" s="22"/>
      <c r="AM83" s="22"/>
      <c r="AN83" s="22"/>
      <c r="AO83" s="22"/>
      <c r="AP83" s="22"/>
      <c r="AQ83" s="22"/>
      <c r="AR83" s="22"/>
    </row>
    <row r="84" spans="1:44" hidden="1" x14ac:dyDescent="0.25">
      <c r="A84" s="21"/>
      <c r="B84" s="3" t="s">
        <v>122</v>
      </c>
      <c r="C84" s="3" t="s">
        <v>124</v>
      </c>
      <c r="D84" s="11" t="s">
        <v>6</v>
      </c>
      <c r="E84" s="107">
        <v>98.186231890753191</v>
      </c>
      <c r="F84" s="108">
        <v>117.56994742774779</v>
      </c>
      <c r="G84" s="109">
        <v>143.70646112055584</v>
      </c>
      <c r="H84" s="114"/>
      <c r="I84" s="113">
        <v>13.813729990458127</v>
      </c>
      <c r="J84" s="114">
        <v>24.104664566429371</v>
      </c>
      <c r="K84" s="109">
        <v>35.396106670620036</v>
      </c>
      <c r="L84" s="114"/>
      <c r="M84" s="113">
        <v>25.775602442690005</v>
      </c>
      <c r="N84" s="114">
        <v>26.361411589114777</v>
      </c>
      <c r="O84" s="109">
        <v>28.955709237567348</v>
      </c>
      <c r="P84" s="119"/>
      <c r="Q84" s="120">
        <v>0.12</v>
      </c>
      <c r="R84" s="120">
        <v>0.06</v>
      </c>
      <c r="S84" s="120">
        <v>0.05</v>
      </c>
      <c r="T84" s="120">
        <v>0.03</v>
      </c>
      <c r="U84" s="120" t="s">
        <v>250</v>
      </c>
      <c r="V84" s="121">
        <f t="shared" si="11"/>
        <v>0</v>
      </c>
      <c r="W84" s="119"/>
      <c r="X84" s="113">
        <f t="shared" si="12"/>
        <v>137.77556432390134</v>
      </c>
      <c r="Y84" s="113">
        <f t="shared" si="13"/>
        <v>168.03602358329192</v>
      </c>
      <c r="Z84" s="113">
        <f t="shared" si="14"/>
        <v>208.05827702874325</v>
      </c>
      <c r="AA84" s="22"/>
      <c r="AB84" s="22"/>
      <c r="AC84" s="22"/>
      <c r="AD84" s="22"/>
      <c r="AE84" s="22"/>
      <c r="AF84" s="22"/>
      <c r="AG84" s="22"/>
      <c r="AH84" s="22"/>
      <c r="AI84" s="22"/>
      <c r="AJ84" s="22"/>
      <c r="AK84" s="22"/>
      <c r="AL84" s="22"/>
      <c r="AM84" s="22"/>
      <c r="AN84" s="22"/>
      <c r="AO84" s="22"/>
      <c r="AP84" s="22"/>
      <c r="AQ84" s="22"/>
      <c r="AR84" s="22"/>
    </row>
    <row r="85" spans="1:44" hidden="1" x14ac:dyDescent="0.25">
      <c r="A85" s="21"/>
      <c r="B85" s="3" t="s">
        <v>129</v>
      </c>
      <c r="C85" s="3" t="s">
        <v>130</v>
      </c>
      <c r="D85" s="11" t="s">
        <v>6</v>
      </c>
      <c r="E85" s="107">
        <v>86.845318390124916</v>
      </c>
      <c r="F85" s="108">
        <v>121.41896851208514</v>
      </c>
      <c r="G85" s="109">
        <v>154.74540893635893</v>
      </c>
      <c r="H85" s="114"/>
      <c r="I85" s="113">
        <v>10.819968732507681</v>
      </c>
      <c r="J85" s="114">
        <v>18.88061494589137</v>
      </c>
      <c r="K85" s="109">
        <v>27.724935096687361</v>
      </c>
      <c r="L85" s="114"/>
      <c r="M85" s="113">
        <v>19.532091163391605</v>
      </c>
      <c r="N85" s="114">
        <v>19.97600232619596</v>
      </c>
      <c r="O85" s="109">
        <v>21.941894618615244</v>
      </c>
      <c r="P85" s="119"/>
      <c r="Q85" s="120">
        <v>0.05</v>
      </c>
      <c r="R85" s="120">
        <v>0.02</v>
      </c>
      <c r="S85" s="120">
        <v>0.04</v>
      </c>
      <c r="T85" s="120">
        <v>0.03</v>
      </c>
      <c r="U85" s="120">
        <v>0.02</v>
      </c>
      <c r="V85" s="121">
        <f t="shared" si="11"/>
        <v>0</v>
      </c>
      <c r="W85" s="119"/>
      <c r="X85" s="113">
        <f t="shared" si="12"/>
        <v>117.19737828602419</v>
      </c>
      <c r="Y85" s="113">
        <f t="shared" si="13"/>
        <v>160.27558578417248</v>
      </c>
      <c r="Z85" s="113">
        <f t="shared" si="14"/>
        <v>204.41223865166151</v>
      </c>
      <c r="AA85" s="22"/>
      <c r="AB85" s="22"/>
      <c r="AC85" s="22"/>
      <c r="AD85" s="22"/>
      <c r="AE85" s="22"/>
      <c r="AF85" s="22"/>
      <c r="AG85" s="22"/>
      <c r="AH85" s="22"/>
      <c r="AI85" s="22"/>
      <c r="AJ85" s="22"/>
      <c r="AK85" s="22"/>
      <c r="AL85" s="22"/>
      <c r="AM85" s="22"/>
      <c r="AN85" s="22"/>
      <c r="AO85" s="22"/>
      <c r="AP85" s="22"/>
      <c r="AQ85" s="22"/>
      <c r="AR85" s="22"/>
    </row>
    <row r="86" spans="1:44" hidden="1" x14ac:dyDescent="0.25">
      <c r="A86" s="21"/>
      <c r="B86" s="3" t="s">
        <v>131</v>
      </c>
      <c r="C86" s="3" t="s">
        <v>132</v>
      </c>
      <c r="D86" s="11" t="s">
        <v>6</v>
      </c>
      <c r="E86" s="107">
        <v>87.991431665311538</v>
      </c>
      <c r="F86" s="108">
        <v>107.02848800724368</v>
      </c>
      <c r="G86" s="109">
        <v>114.65414139995565</v>
      </c>
      <c r="H86" s="114"/>
      <c r="I86" s="113">
        <v>11.012797542819488</v>
      </c>
      <c r="J86" s="114">
        <v>19.217097112150622</v>
      </c>
      <c r="K86" s="109">
        <v>28.219036917388951</v>
      </c>
      <c r="L86" s="114"/>
      <c r="M86" s="113">
        <v>20.071339269560102</v>
      </c>
      <c r="N86" s="114">
        <v>20.527506071141012</v>
      </c>
      <c r="O86" s="109">
        <v>22.547673335285047</v>
      </c>
      <c r="P86" s="119"/>
      <c r="Q86" s="120">
        <v>0.06</v>
      </c>
      <c r="R86" s="120">
        <v>0.04</v>
      </c>
      <c r="S86" s="120">
        <v>7.0000000000000007E-2</v>
      </c>
      <c r="T86" s="120">
        <v>0.03</v>
      </c>
      <c r="U86" s="120">
        <v>0.03</v>
      </c>
      <c r="V86" s="121">
        <f t="shared" si="11"/>
        <v>0</v>
      </c>
      <c r="W86" s="119"/>
      <c r="X86" s="113">
        <f t="shared" si="12"/>
        <v>119.07556847769112</v>
      </c>
      <c r="Y86" s="113">
        <f t="shared" si="13"/>
        <v>146.77309119053533</v>
      </c>
      <c r="Z86" s="113">
        <f t="shared" si="14"/>
        <v>165.42085165262966</v>
      </c>
      <c r="AA86" s="22"/>
      <c r="AB86" s="22"/>
      <c r="AC86" s="22"/>
      <c r="AD86" s="22"/>
      <c r="AE86" s="22"/>
      <c r="AF86" s="22"/>
      <c r="AG86" s="22"/>
      <c r="AH86" s="22"/>
      <c r="AI86" s="22"/>
      <c r="AJ86" s="22"/>
      <c r="AK86" s="22"/>
      <c r="AL86" s="22"/>
      <c r="AM86" s="22"/>
      <c r="AN86" s="22"/>
      <c r="AO86" s="22"/>
      <c r="AP86" s="22"/>
      <c r="AQ86" s="22"/>
      <c r="AR86" s="22"/>
    </row>
    <row r="87" spans="1:44" hidden="1" x14ac:dyDescent="0.25">
      <c r="A87" s="21"/>
      <c r="B87" s="3" t="s">
        <v>133</v>
      </c>
      <c r="C87" s="3" t="s">
        <v>134</v>
      </c>
      <c r="D87" s="11" t="s">
        <v>6</v>
      </c>
      <c r="E87" s="107">
        <v>106.07959753122921</v>
      </c>
      <c r="F87" s="108">
        <v>142.38453183901248</v>
      </c>
      <c r="G87" s="109">
        <v>178.27014422721561</v>
      </c>
      <c r="H87" s="114"/>
      <c r="I87" s="113">
        <v>13.065675997739104</v>
      </c>
      <c r="J87" s="114">
        <v>22.799326284551441</v>
      </c>
      <c r="K87" s="109">
        <v>33.479303682581637</v>
      </c>
      <c r="L87" s="114"/>
      <c r="M87" s="113">
        <v>24.266383658026754</v>
      </c>
      <c r="N87" s="114">
        <v>24.817892377527361</v>
      </c>
      <c r="O87" s="109">
        <v>27.260288135315768</v>
      </c>
      <c r="P87" s="119"/>
      <c r="Q87" s="120">
        <v>3.3000000000000002E-2</v>
      </c>
      <c r="R87" s="120">
        <v>1.4999999999999999E-2</v>
      </c>
      <c r="S87" s="120">
        <v>2.5000000000000001E-2</v>
      </c>
      <c r="T87" s="120" t="s">
        <v>251</v>
      </c>
      <c r="U87" s="120">
        <v>1.7999999999999999E-2</v>
      </c>
      <c r="V87" s="121">
        <f>SUBTOTAL(9,Q87:U87)</f>
        <v>0</v>
      </c>
      <c r="W87" s="119"/>
      <c r="X87" s="113">
        <f t="shared" si="12"/>
        <v>143.41165718699506</v>
      </c>
      <c r="Y87" s="113">
        <f t="shared" si="13"/>
        <v>190.00175050109129</v>
      </c>
      <c r="Z87" s="113">
        <f t="shared" si="14"/>
        <v>239.00973604511302</v>
      </c>
      <c r="AA87" s="22"/>
      <c r="AB87" s="22"/>
      <c r="AC87" s="22"/>
      <c r="AD87" s="22"/>
      <c r="AE87" s="22"/>
      <c r="AF87" s="22"/>
      <c r="AG87" s="22"/>
      <c r="AH87" s="22"/>
      <c r="AI87" s="22"/>
      <c r="AJ87" s="22"/>
      <c r="AK87" s="22"/>
      <c r="AL87" s="22"/>
      <c r="AM87" s="22"/>
      <c r="AN87" s="22"/>
      <c r="AO87" s="22"/>
      <c r="AP87" s="22"/>
      <c r="AQ87" s="22"/>
      <c r="AR87" s="22"/>
    </row>
    <row r="88" spans="1:44" x14ac:dyDescent="0.25">
      <c r="A88" s="21"/>
      <c r="B88" s="3" t="s">
        <v>135</v>
      </c>
      <c r="C88" s="3" t="s">
        <v>136</v>
      </c>
      <c r="D88" s="11" t="s">
        <v>6</v>
      </c>
      <c r="E88" s="107">
        <v>98.378799999999998</v>
      </c>
      <c r="F88" s="108">
        <v>127.9902</v>
      </c>
      <c r="G88" s="109">
        <v>141.60380000000001</v>
      </c>
      <c r="H88" s="114"/>
      <c r="I88" s="113">
        <v>13.2739755987087</v>
      </c>
      <c r="J88" s="114">
        <v>23.162804650942086</v>
      </c>
      <c r="K88" s="109">
        <v>34.013047638809269</v>
      </c>
      <c r="L88" s="114"/>
      <c r="M88" s="113">
        <v>25.021897331332003</v>
      </c>
      <c r="N88" s="114">
        <v>25.590576816135002</v>
      </c>
      <c r="O88" s="109">
        <v>28.10901453454829</v>
      </c>
      <c r="P88" s="119"/>
      <c r="Q88" s="120">
        <v>0.05</v>
      </c>
      <c r="R88" s="120">
        <v>0.02</v>
      </c>
      <c r="S88" s="120">
        <v>0.05</v>
      </c>
      <c r="T88" s="120">
        <v>0.02</v>
      </c>
      <c r="U88" s="120">
        <v>0.03</v>
      </c>
      <c r="V88" s="121">
        <f t="shared" si="11"/>
        <v>0.17</v>
      </c>
      <c r="W88" s="119"/>
      <c r="X88" s="113">
        <f t="shared" si="12"/>
        <v>159.90936732814762</v>
      </c>
      <c r="Y88" s="113">
        <f t="shared" si="13"/>
        <v>206.78999031648019</v>
      </c>
      <c r="Z88" s="113">
        <f t="shared" si="14"/>
        <v>238.35925874282833</v>
      </c>
      <c r="AA88" s="22"/>
      <c r="AB88" s="22"/>
      <c r="AC88" s="22"/>
      <c r="AD88" s="22"/>
      <c r="AE88" s="22"/>
      <c r="AF88" s="22"/>
      <c r="AG88" s="22"/>
      <c r="AH88" s="22"/>
      <c r="AI88" s="22"/>
      <c r="AJ88" s="22"/>
      <c r="AK88" s="22"/>
      <c r="AL88" s="22"/>
      <c r="AM88" s="22"/>
      <c r="AN88" s="22"/>
      <c r="AO88" s="22"/>
      <c r="AP88" s="22"/>
      <c r="AQ88" s="22"/>
      <c r="AR88" s="22"/>
    </row>
    <row r="89" spans="1:44" hidden="1" x14ac:dyDescent="0.25">
      <c r="A89" s="16"/>
      <c r="B89" s="3" t="s">
        <v>137</v>
      </c>
      <c r="C89" s="3" t="s">
        <v>138</v>
      </c>
      <c r="D89" s="11" t="s">
        <v>6</v>
      </c>
      <c r="E89" s="107">
        <v>71.661784869539503</v>
      </c>
      <c r="F89" s="108">
        <v>114.98585076502329</v>
      </c>
      <c r="G89" s="109">
        <v>128.94102067780324</v>
      </c>
      <c r="H89" s="114"/>
      <c r="I89" s="113">
        <v>8.6811055167948901</v>
      </c>
      <c r="J89" s="114">
        <v>15.148344197596437</v>
      </c>
      <c r="K89" s="109">
        <v>22.244342194587023</v>
      </c>
      <c r="L89" s="114"/>
      <c r="M89" s="113">
        <v>16.198429006395184</v>
      </c>
      <c r="N89" s="114">
        <v>16.566575120176896</v>
      </c>
      <c r="O89" s="109">
        <v>18.196936481210177</v>
      </c>
      <c r="P89" s="119"/>
      <c r="Q89" s="120">
        <v>0.05</v>
      </c>
      <c r="R89" s="120">
        <v>0.04</v>
      </c>
      <c r="S89" s="120">
        <v>0.02</v>
      </c>
      <c r="T89" s="120">
        <v>0.01</v>
      </c>
      <c r="U89" s="120">
        <v>0.02</v>
      </c>
      <c r="V89" s="121">
        <f t="shared" si="11"/>
        <v>0</v>
      </c>
      <c r="W89" s="119"/>
      <c r="X89" s="113">
        <f t="shared" si="12"/>
        <v>96.541319392729577</v>
      </c>
      <c r="Y89" s="113">
        <f t="shared" si="13"/>
        <v>146.70077008279662</v>
      </c>
      <c r="Z89" s="113">
        <f t="shared" si="14"/>
        <v>169.38229935360044</v>
      </c>
      <c r="AA89" s="22"/>
      <c r="AB89" s="22"/>
      <c r="AC89" s="22"/>
      <c r="AD89" s="22"/>
      <c r="AE89" s="22"/>
      <c r="AF89" s="22"/>
      <c r="AG89" s="22"/>
      <c r="AH89" s="22"/>
      <c r="AI89" s="22"/>
      <c r="AJ89" s="22"/>
      <c r="AK89" s="22"/>
      <c r="AL89" s="22"/>
      <c r="AM89" s="22"/>
      <c r="AN89" s="22"/>
      <c r="AO89" s="22"/>
      <c r="AP89" s="22"/>
      <c r="AQ89" s="22"/>
      <c r="AR89" s="22"/>
    </row>
    <row r="90" spans="1:44" hidden="1" x14ac:dyDescent="0.25">
      <c r="A90" s="16"/>
      <c r="B90" s="3" t="s">
        <v>139</v>
      </c>
      <c r="C90" s="3" t="s">
        <v>140</v>
      </c>
      <c r="D90" s="11" t="s">
        <v>6</v>
      </c>
      <c r="E90" s="107">
        <v>67.918182321309772</v>
      </c>
      <c r="F90" s="108">
        <v>94.787283455909531</v>
      </c>
      <c r="G90" s="109">
        <v>120.22654080124177</v>
      </c>
      <c r="H90" s="114"/>
      <c r="I90" s="113">
        <v>8.4587971726669</v>
      </c>
      <c r="J90" s="114">
        <v>14.760420872815583</v>
      </c>
      <c r="K90" s="109">
        <v>21.674702432700943</v>
      </c>
      <c r="L90" s="114"/>
      <c r="M90" s="113">
        <v>15.269729663153791</v>
      </c>
      <c r="N90" s="114">
        <v>15.616768973680015</v>
      </c>
      <c r="O90" s="109">
        <v>17.153657348867572</v>
      </c>
      <c r="P90" s="119"/>
      <c r="Q90" s="120">
        <v>0.05</v>
      </c>
      <c r="R90" s="120">
        <v>0.02</v>
      </c>
      <c r="S90" s="120">
        <v>0.04</v>
      </c>
      <c r="T90" s="120">
        <v>0.03</v>
      </c>
      <c r="U90" s="120">
        <v>0.02</v>
      </c>
      <c r="V90" s="121">
        <f t="shared" si="11"/>
        <v>0</v>
      </c>
      <c r="W90" s="119"/>
      <c r="X90" s="113">
        <f t="shared" si="12"/>
        <v>91.646709157130473</v>
      </c>
      <c r="Y90" s="113">
        <f t="shared" si="13"/>
        <v>125.16447330240513</v>
      </c>
      <c r="Z90" s="113">
        <f t="shared" si="14"/>
        <v>159.05490058281029</v>
      </c>
      <c r="AA90" s="22"/>
      <c r="AB90" s="22"/>
      <c r="AC90" s="22"/>
      <c r="AD90" s="22"/>
      <c r="AE90" s="22"/>
      <c r="AF90" s="22"/>
      <c r="AG90" s="22"/>
      <c r="AH90" s="22"/>
      <c r="AI90" s="22"/>
      <c r="AJ90" s="22"/>
      <c r="AK90" s="22"/>
      <c r="AL90" s="22"/>
      <c r="AM90" s="22"/>
      <c r="AN90" s="22"/>
      <c r="AO90" s="22"/>
      <c r="AP90" s="22"/>
      <c r="AQ90" s="22"/>
      <c r="AR90" s="22"/>
    </row>
    <row r="91" spans="1:44" hidden="1" x14ac:dyDescent="0.25">
      <c r="A91" s="16"/>
      <c r="B91" s="3" t="s">
        <v>141</v>
      </c>
      <c r="C91" s="3" t="s">
        <v>141</v>
      </c>
      <c r="D91" s="11" t="s">
        <v>6</v>
      </c>
      <c r="E91" s="107">
        <v>90.367867174218333</v>
      </c>
      <c r="F91" s="108">
        <v>132.93868726439499</v>
      </c>
      <c r="G91" s="109">
        <v>148.11945635301942</v>
      </c>
      <c r="H91" s="114"/>
      <c r="I91" s="113">
        <v>11.442152430773659</v>
      </c>
      <c r="J91" s="114">
        <v>19.966312245300113</v>
      </c>
      <c r="K91" s="109">
        <v>29.31920981957219</v>
      </c>
      <c r="L91" s="114"/>
      <c r="M91" s="113">
        <v>20.853858660265782</v>
      </c>
      <c r="N91" s="114">
        <v>21.327809993453641</v>
      </c>
      <c r="O91" s="109">
        <v>23.426737326142728</v>
      </c>
      <c r="P91" s="119"/>
      <c r="Q91" s="120"/>
      <c r="R91" s="120"/>
      <c r="S91" s="120"/>
      <c r="T91" s="120"/>
      <c r="U91" s="120"/>
      <c r="V91" s="121">
        <v>0.22</v>
      </c>
      <c r="W91" s="119"/>
      <c r="X91" s="113">
        <f t="shared" si="12"/>
        <v>149.64993148361449</v>
      </c>
      <c r="Y91" s="113">
        <f t="shared" si="13"/>
        <v>212.56402759384147</v>
      </c>
      <c r="Z91" s="113">
        <f t="shared" si="14"/>
        <v>245.05579226845589</v>
      </c>
      <c r="AA91" s="22"/>
      <c r="AB91" s="22"/>
      <c r="AC91" s="22"/>
      <c r="AD91" s="22"/>
      <c r="AE91" s="22"/>
      <c r="AF91" s="22"/>
      <c r="AG91" s="22"/>
      <c r="AH91" s="22"/>
      <c r="AI91" s="22"/>
      <c r="AJ91" s="22"/>
      <c r="AK91" s="22"/>
      <c r="AL91" s="22"/>
      <c r="AM91" s="22"/>
      <c r="AN91" s="22"/>
      <c r="AO91" s="22"/>
      <c r="AP91" s="22"/>
      <c r="AQ91" s="22"/>
      <c r="AR91" s="22"/>
    </row>
    <row r="92" spans="1:44" hidden="1" x14ac:dyDescent="0.25">
      <c r="A92" s="16"/>
      <c r="B92" s="3" t="s">
        <v>142</v>
      </c>
      <c r="C92" s="3" t="s">
        <v>143</v>
      </c>
      <c r="D92" s="11" t="s">
        <v>6</v>
      </c>
      <c r="E92" s="107">
        <v>106.21153096531525</v>
      </c>
      <c r="F92" s="108">
        <v>145.10034436245289</v>
      </c>
      <c r="G92" s="109">
        <v>191.79346854901507</v>
      </c>
      <c r="H92" s="114"/>
      <c r="I92" s="113">
        <v>13.99459857190244</v>
      </c>
      <c r="J92" s="114">
        <v>24.420276388097562</v>
      </c>
      <c r="K92" s="109">
        <v>35.859561769756105</v>
      </c>
      <c r="L92" s="114"/>
      <c r="M92" s="113">
        <v>25.262898799349596</v>
      </c>
      <c r="N92" s="114">
        <v>25.837055590243903</v>
      </c>
      <c r="O92" s="109">
        <v>28.3797499499187</v>
      </c>
      <c r="P92" s="119"/>
      <c r="Q92" s="120">
        <v>0.05</v>
      </c>
      <c r="R92" s="120">
        <v>0.02</v>
      </c>
      <c r="S92" s="120">
        <v>0.04</v>
      </c>
      <c r="T92" s="120">
        <v>0.03</v>
      </c>
      <c r="U92" s="120">
        <v>0.02</v>
      </c>
      <c r="V92" s="121">
        <f t="shared" ref="V92:V95" si="15">SUBTOTAL(9,Q92:U92)</f>
        <v>0</v>
      </c>
      <c r="W92" s="119"/>
      <c r="X92" s="113">
        <f t="shared" si="12"/>
        <v>145.46902833656728</v>
      </c>
      <c r="Y92" s="113">
        <f t="shared" si="13"/>
        <v>195.35767634079434</v>
      </c>
      <c r="Z92" s="113">
        <f t="shared" si="14"/>
        <v>256.03278026868986</v>
      </c>
      <c r="AA92" s="22"/>
      <c r="AB92" s="22"/>
      <c r="AC92" s="22"/>
      <c r="AD92" s="22"/>
      <c r="AE92" s="22"/>
      <c r="AF92" s="22"/>
      <c r="AG92" s="22"/>
      <c r="AH92" s="22"/>
      <c r="AI92" s="22"/>
      <c r="AJ92" s="22"/>
      <c r="AK92" s="22"/>
      <c r="AL92" s="22"/>
      <c r="AM92" s="22"/>
      <c r="AN92" s="22"/>
      <c r="AO92" s="22"/>
      <c r="AP92" s="22"/>
      <c r="AQ92" s="22"/>
      <c r="AR92" s="22"/>
    </row>
    <row r="93" spans="1:44" hidden="1" x14ac:dyDescent="0.25">
      <c r="A93" s="16"/>
      <c r="B93" s="3" t="s">
        <v>144</v>
      </c>
      <c r="C93" s="3" t="s">
        <v>145</v>
      </c>
      <c r="D93" s="11" t="s">
        <v>6</v>
      </c>
      <c r="E93" s="107">
        <v>72.30399050188484</v>
      </c>
      <c r="F93" s="108">
        <v>90.521681665311561</v>
      </c>
      <c r="G93" s="109">
        <v>111.39974129647423</v>
      </c>
      <c r="H93" s="114"/>
      <c r="I93" s="113">
        <v>8.5252822964611195</v>
      </c>
      <c r="J93" s="114">
        <v>14.876435997537449</v>
      </c>
      <c r="K93" s="109">
        <v>21.845062975107307</v>
      </c>
      <c r="L93" s="114"/>
      <c r="M93" s="113">
        <v>15.611715411127317</v>
      </c>
      <c r="N93" s="114">
        <v>15.966527125016574</v>
      </c>
      <c r="O93" s="109">
        <v>17.537836143668997</v>
      </c>
      <c r="P93" s="119"/>
      <c r="Q93" s="120">
        <v>0.04</v>
      </c>
      <c r="R93" s="120">
        <v>0.03</v>
      </c>
      <c r="S93" s="120">
        <v>0.06</v>
      </c>
      <c r="T93" s="120">
        <v>2.5000000000000001E-2</v>
      </c>
      <c r="U93" s="120">
        <v>0.02</v>
      </c>
      <c r="V93" s="121">
        <f t="shared" si="15"/>
        <v>0</v>
      </c>
      <c r="W93" s="119"/>
      <c r="X93" s="113">
        <f t="shared" si="12"/>
        <v>96.440988209473275</v>
      </c>
      <c r="Y93" s="113">
        <f t="shared" si="13"/>
        <v>121.36464478786559</v>
      </c>
      <c r="Z93" s="113">
        <f t="shared" si="14"/>
        <v>150.78264041525051</v>
      </c>
      <c r="AA93" s="22"/>
      <c r="AB93" s="22"/>
      <c r="AC93" s="22"/>
      <c r="AD93" s="22"/>
      <c r="AE93" s="22"/>
      <c r="AF93" s="22"/>
      <c r="AG93" s="22"/>
      <c r="AH93" s="22"/>
      <c r="AI93" s="22"/>
      <c r="AJ93" s="22"/>
      <c r="AK93" s="22"/>
      <c r="AL93" s="22"/>
      <c r="AM93" s="22"/>
      <c r="AN93" s="22"/>
      <c r="AO93" s="22"/>
      <c r="AP93" s="22"/>
      <c r="AQ93" s="22"/>
      <c r="AR93" s="22"/>
    </row>
    <row r="94" spans="1:44" hidden="1" x14ac:dyDescent="0.25">
      <c r="A94" s="16"/>
      <c r="B94" s="3" t="s">
        <v>146</v>
      </c>
      <c r="C94" s="3" t="s">
        <v>147</v>
      </c>
      <c r="D94" s="11" t="s">
        <v>6</v>
      </c>
      <c r="E94" s="107">
        <v>87.275641603222695</v>
      </c>
      <c r="F94" s="108">
        <v>122.34170234311478</v>
      </c>
      <c r="G94" s="109">
        <v>163.04398447778843</v>
      </c>
      <c r="H94" s="114"/>
      <c r="I94" s="113">
        <v>10.920177626945614</v>
      </c>
      <c r="J94" s="114">
        <v>19.055477331986051</v>
      </c>
      <c r="K94" s="109">
        <v>27.981708952794303</v>
      </c>
      <c r="L94" s="114"/>
      <c r="M94" s="113">
        <v>19.712987181664182</v>
      </c>
      <c r="N94" s="114">
        <v>20.161009617611096</v>
      </c>
      <c r="O94" s="109">
        <v>22.145108976804568</v>
      </c>
      <c r="P94" s="119"/>
      <c r="Q94" s="120">
        <v>0.05</v>
      </c>
      <c r="R94" s="120">
        <v>0.02</v>
      </c>
      <c r="S94" s="120">
        <v>0.04</v>
      </c>
      <c r="T94" s="120">
        <v>0.03</v>
      </c>
      <c r="U94" s="120">
        <v>0.02</v>
      </c>
      <c r="V94" s="121">
        <f t="shared" si="15"/>
        <v>0</v>
      </c>
      <c r="W94" s="119"/>
      <c r="X94" s="113">
        <f t="shared" si="12"/>
        <v>117.9088064118325</v>
      </c>
      <c r="Y94" s="113">
        <f t="shared" si="13"/>
        <v>161.55818929271192</v>
      </c>
      <c r="Z94" s="113">
        <f t="shared" si="14"/>
        <v>213.1708024073873</v>
      </c>
      <c r="AA94" s="22"/>
      <c r="AB94" s="22"/>
      <c r="AC94" s="22"/>
      <c r="AD94" s="22"/>
      <c r="AE94" s="22"/>
      <c r="AF94" s="22"/>
      <c r="AG94" s="22"/>
      <c r="AH94" s="22"/>
      <c r="AI94" s="22"/>
      <c r="AJ94" s="22"/>
      <c r="AK94" s="22"/>
      <c r="AL94" s="22"/>
      <c r="AM94" s="22"/>
      <c r="AN94" s="22"/>
      <c r="AO94" s="22"/>
      <c r="AP94" s="22"/>
      <c r="AQ94" s="22"/>
      <c r="AR94" s="22"/>
    </row>
    <row r="95" spans="1:44" hidden="1" x14ac:dyDescent="0.25">
      <c r="A95" s="16"/>
      <c r="B95" s="3" t="s">
        <v>148</v>
      </c>
      <c r="C95" s="3" t="s">
        <v>149</v>
      </c>
      <c r="D95" s="11" t="s">
        <v>6</v>
      </c>
      <c r="E95" s="113">
        <v>107.4473684012122</v>
      </c>
      <c r="F95" s="114">
        <v>146.78867740779069</v>
      </c>
      <c r="G95" s="109">
        <v>194.02510522950701</v>
      </c>
      <c r="H95" s="114"/>
      <c r="I95" s="113">
        <v>14.157434458536587</v>
      </c>
      <c r="J95" s="114">
        <v>24.704421541463418</v>
      </c>
      <c r="K95" s="109">
        <v>36.276810146341468</v>
      </c>
      <c r="L95" s="114"/>
      <c r="M95" s="113">
        <v>25.802587317073176</v>
      </c>
      <c r="N95" s="114">
        <v>26.389009756097561</v>
      </c>
      <c r="O95" s="109">
        <v>28.98602341463415</v>
      </c>
      <c r="P95" s="119"/>
      <c r="Q95" s="120">
        <v>0.04</v>
      </c>
      <c r="R95" s="120">
        <v>0.04</v>
      </c>
      <c r="S95" s="120">
        <v>0.08</v>
      </c>
      <c r="T95" s="120">
        <v>5.0000000000000001E-3</v>
      </c>
      <c r="U95" s="120">
        <v>0.02</v>
      </c>
      <c r="V95" s="121">
        <f t="shared" si="15"/>
        <v>0</v>
      </c>
      <c r="W95" s="119"/>
      <c r="X95" s="113">
        <f t="shared" si="12"/>
        <v>147.40739017682196</v>
      </c>
      <c r="Y95" s="113">
        <f t="shared" si="13"/>
        <v>197.88210870535164</v>
      </c>
      <c r="Z95" s="113">
        <f t="shared" si="14"/>
        <v>259.2879387904826</v>
      </c>
      <c r="AA95" s="22"/>
      <c r="AB95" s="22"/>
      <c r="AC95" s="22"/>
      <c r="AD95" s="22"/>
      <c r="AE95" s="22"/>
      <c r="AF95" s="22"/>
      <c r="AG95" s="22"/>
      <c r="AH95" s="22"/>
      <c r="AI95" s="22"/>
      <c r="AJ95" s="22"/>
      <c r="AK95" s="22"/>
      <c r="AL95" s="22"/>
      <c r="AM95" s="22"/>
      <c r="AN95" s="22"/>
      <c r="AO95" s="22"/>
      <c r="AP95" s="22"/>
      <c r="AQ95" s="22"/>
      <c r="AR95" s="22"/>
    </row>
    <row r="96" spans="1:44" hidden="1" x14ac:dyDescent="0.25">
      <c r="A96" s="16"/>
      <c r="B96" s="3" t="s">
        <v>150</v>
      </c>
      <c r="C96" s="3" t="s">
        <v>151</v>
      </c>
      <c r="D96" s="11" t="s">
        <v>6</v>
      </c>
      <c r="E96" s="107">
        <v>88.530179614162165</v>
      </c>
      <c r="F96" s="108">
        <v>119.68015374380958</v>
      </c>
      <c r="G96" s="109">
        <v>138.48632197501661</v>
      </c>
      <c r="H96" s="114"/>
      <c r="I96" s="113">
        <v>11.365029788591377</v>
      </c>
      <c r="J96" s="114">
        <v>19.831734877596762</v>
      </c>
      <c r="K96" s="109">
        <v>29.121591850255452</v>
      </c>
      <c r="L96" s="114"/>
      <c r="M96" s="113">
        <v>21.206472819608468</v>
      </c>
      <c r="N96" s="114">
        <v>21.688438110963208</v>
      </c>
      <c r="O96" s="109">
        <v>23.8228558298199</v>
      </c>
      <c r="P96" s="119"/>
      <c r="Q96" s="120"/>
      <c r="R96" s="120"/>
      <c r="S96" s="120"/>
      <c r="T96" s="120"/>
      <c r="U96" s="120"/>
      <c r="V96" s="121">
        <v>0.14000000000000001</v>
      </c>
      <c r="W96" s="119"/>
      <c r="X96" s="113">
        <f t="shared" si="12"/>
        <v>138.05591773349269</v>
      </c>
      <c r="Y96" s="113">
        <f t="shared" si="13"/>
        <v>183.7683724749013</v>
      </c>
      <c r="Z96" s="113">
        <f t="shared" si="14"/>
        <v>218.23107740680484</v>
      </c>
      <c r="AA96" s="22"/>
      <c r="AB96" s="22"/>
      <c r="AC96" s="22"/>
      <c r="AD96" s="22"/>
      <c r="AE96" s="22"/>
      <c r="AF96" s="22"/>
      <c r="AG96" s="22"/>
      <c r="AH96" s="22"/>
      <c r="AI96" s="22"/>
      <c r="AJ96" s="22"/>
      <c r="AK96" s="22"/>
      <c r="AL96" s="22"/>
      <c r="AM96" s="22"/>
      <c r="AN96" s="22"/>
      <c r="AO96" s="22"/>
      <c r="AP96" s="22"/>
      <c r="AQ96" s="22"/>
      <c r="AR96" s="22"/>
    </row>
    <row r="97" spans="1:44" hidden="1" x14ac:dyDescent="0.25">
      <c r="A97" s="16"/>
      <c r="B97" s="3" t="s">
        <v>152</v>
      </c>
      <c r="C97" s="3" t="s">
        <v>153</v>
      </c>
      <c r="D97" s="11" t="s">
        <v>6</v>
      </c>
      <c r="E97" s="107">
        <v>70.685559723556807</v>
      </c>
      <c r="F97" s="108">
        <v>124.5745934658881</v>
      </c>
      <c r="G97" s="109">
        <v>146.90775833394926</v>
      </c>
      <c r="H97" s="114"/>
      <c r="I97" s="113">
        <v>8.9690249142765133</v>
      </c>
      <c r="J97" s="114">
        <v>15.650757412800223</v>
      </c>
      <c r="K97" s="109">
        <v>22.982102793124845</v>
      </c>
      <c r="L97" s="114"/>
      <c r="M97" s="113">
        <v>16.424308264269346</v>
      </c>
      <c r="N97" s="114">
        <v>16.797587997548195</v>
      </c>
      <c r="O97" s="109">
        <v>18.45068395921167</v>
      </c>
      <c r="P97" s="119"/>
      <c r="Q97" s="120">
        <v>0.04</v>
      </c>
      <c r="R97" s="120">
        <v>0.03</v>
      </c>
      <c r="S97" s="120">
        <v>0.06</v>
      </c>
      <c r="T97" s="120">
        <v>0.04</v>
      </c>
      <c r="U97" s="120">
        <v>0.02</v>
      </c>
      <c r="V97" s="121">
        <f t="shared" ref="V97:V104" si="16">SUBTOTAL(9,Q97:U97)</f>
        <v>0</v>
      </c>
      <c r="W97" s="119"/>
      <c r="X97" s="113">
        <f t="shared" si="12"/>
        <v>96.078892902102666</v>
      </c>
      <c r="Y97" s="113">
        <f t="shared" si="13"/>
        <v>157.02293887623651</v>
      </c>
      <c r="Z97" s="113">
        <f t="shared" si="14"/>
        <v>188.34054508628577</v>
      </c>
      <c r="AA97" s="22"/>
      <c r="AB97" s="22"/>
      <c r="AC97" s="22"/>
      <c r="AD97" s="22"/>
      <c r="AE97" s="22"/>
      <c r="AF97" s="22"/>
      <c r="AG97" s="22"/>
      <c r="AH97" s="22"/>
      <c r="AI97" s="22"/>
      <c r="AJ97" s="22"/>
      <c r="AK97" s="22"/>
      <c r="AL97" s="22"/>
      <c r="AM97" s="22"/>
      <c r="AN97" s="22"/>
      <c r="AO97" s="22"/>
      <c r="AP97" s="22"/>
      <c r="AQ97" s="22"/>
      <c r="AR97" s="22"/>
    </row>
    <row r="98" spans="1:44" hidden="1" x14ac:dyDescent="0.25">
      <c r="A98" s="16"/>
      <c r="B98" s="3" t="s">
        <v>154</v>
      </c>
      <c r="C98" s="3" t="s">
        <v>155</v>
      </c>
      <c r="D98" s="11" t="s">
        <v>6</v>
      </c>
      <c r="E98" s="107">
        <v>80.525603374233128</v>
      </c>
      <c r="F98" s="108">
        <v>114.84159183466994</v>
      </c>
      <c r="G98" s="109">
        <v>146.53564355366248</v>
      </c>
      <c r="H98" s="114"/>
      <c r="I98" s="113">
        <v>9.3589431426794736</v>
      </c>
      <c r="J98" s="114">
        <v>16.331156415132106</v>
      </c>
      <c r="K98" s="109">
        <v>23.981223755739855</v>
      </c>
      <c r="L98" s="114"/>
      <c r="M98" s="113">
        <v>16.894663485173286</v>
      </c>
      <c r="N98" s="114">
        <v>17.278633109836314</v>
      </c>
      <c r="O98" s="109">
        <v>18.979070019058302</v>
      </c>
      <c r="P98" s="119"/>
      <c r="Q98" s="120">
        <v>0.05</v>
      </c>
      <c r="R98" s="120">
        <v>0.02</v>
      </c>
      <c r="S98" s="120">
        <v>0.04</v>
      </c>
      <c r="T98" s="120">
        <v>0.03</v>
      </c>
      <c r="U98" s="120">
        <v>0.02</v>
      </c>
      <c r="V98" s="121">
        <f t="shared" si="16"/>
        <v>0</v>
      </c>
      <c r="W98" s="119"/>
      <c r="X98" s="113">
        <f t="shared" si="12"/>
        <v>106.77921000208589</v>
      </c>
      <c r="Y98" s="113">
        <f t="shared" si="13"/>
        <v>148.45138135963836</v>
      </c>
      <c r="Z98" s="113">
        <f t="shared" si="14"/>
        <v>189.49593732846063</v>
      </c>
      <c r="AA98" s="22"/>
      <c r="AB98" s="22"/>
      <c r="AC98" s="22"/>
      <c r="AD98" s="22"/>
      <c r="AE98" s="22"/>
      <c r="AF98" s="22"/>
      <c r="AG98" s="22"/>
      <c r="AH98" s="22"/>
      <c r="AI98" s="22"/>
      <c r="AJ98" s="22"/>
      <c r="AK98" s="22"/>
      <c r="AL98" s="22"/>
      <c r="AM98" s="22"/>
      <c r="AN98" s="22"/>
      <c r="AO98" s="22"/>
      <c r="AP98" s="22"/>
      <c r="AQ98" s="22"/>
      <c r="AR98" s="22"/>
    </row>
    <row r="99" spans="1:44" hidden="1" x14ac:dyDescent="0.25">
      <c r="A99" s="16"/>
      <c r="B99" s="3" t="s">
        <v>156</v>
      </c>
      <c r="C99" s="3" t="s">
        <v>157</v>
      </c>
      <c r="D99" s="11" t="s">
        <v>6</v>
      </c>
      <c r="E99" s="107">
        <v>89.43051777662798</v>
      </c>
      <c r="F99" s="108">
        <v>120.48633350580235</v>
      </c>
      <c r="G99" s="109">
        <v>178.64642952176806</v>
      </c>
      <c r="H99" s="114"/>
      <c r="I99" s="113">
        <v>10.891259303505892</v>
      </c>
      <c r="J99" s="114">
        <v>19.005015473616186</v>
      </c>
      <c r="K99" s="109">
        <v>27.907609049153873</v>
      </c>
      <c r="L99" s="114"/>
      <c r="M99" s="113">
        <v>19.660784135270887</v>
      </c>
      <c r="N99" s="114">
        <v>20.107620138345226</v>
      </c>
      <c r="O99" s="109">
        <v>22.086465294817298</v>
      </c>
      <c r="P99" s="119"/>
      <c r="Q99" s="120">
        <v>0.05</v>
      </c>
      <c r="R99" s="120">
        <v>0.02</v>
      </c>
      <c r="S99" s="120">
        <v>0.04</v>
      </c>
      <c r="T99" s="120">
        <v>0.03</v>
      </c>
      <c r="U99" s="120">
        <v>0.02</v>
      </c>
      <c r="V99" s="121">
        <f t="shared" si="16"/>
        <v>0</v>
      </c>
      <c r="W99" s="119"/>
      <c r="X99" s="113">
        <f t="shared" si="12"/>
        <v>119.98256121540476</v>
      </c>
      <c r="Y99" s="113">
        <f t="shared" si="13"/>
        <v>159.59896911776377</v>
      </c>
      <c r="Z99" s="113">
        <f t="shared" si="14"/>
        <v>228.64050386573922</v>
      </c>
      <c r="AA99" s="22"/>
      <c r="AB99" s="22"/>
      <c r="AC99" s="22"/>
      <c r="AD99" s="22"/>
      <c r="AE99" s="22"/>
      <c r="AF99" s="22"/>
      <c r="AG99" s="22"/>
      <c r="AH99" s="22"/>
      <c r="AI99" s="22"/>
      <c r="AJ99" s="22"/>
      <c r="AK99" s="22"/>
      <c r="AL99" s="22"/>
      <c r="AM99" s="22"/>
      <c r="AN99" s="22"/>
      <c r="AO99" s="22"/>
      <c r="AP99" s="22"/>
      <c r="AQ99" s="22"/>
      <c r="AR99" s="22"/>
    </row>
    <row r="100" spans="1:44" hidden="1" x14ac:dyDescent="0.25">
      <c r="A100" s="16"/>
      <c r="B100" s="3" t="s">
        <v>158</v>
      </c>
      <c r="C100" s="3" t="s">
        <v>159</v>
      </c>
      <c r="D100" s="11" t="s">
        <v>6</v>
      </c>
      <c r="E100" s="107">
        <v>86.46601600000001</v>
      </c>
      <c r="F100" s="108">
        <v>152.11969500000001</v>
      </c>
      <c r="G100" s="109">
        <v>173.39877100000001</v>
      </c>
      <c r="H100" s="114"/>
      <c r="I100" s="113">
        <v>10.49488903851233</v>
      </c>
      <c r="J100" s="114">
        <v>18.313357804878184</v>
      </c>
      <c r="K100" s="109">
        <v>26.891955479085158</v>
      </c>
      <c r="L100" s="114"/>
      <c r="M100" s="113">
        <v>19.127426765936789</v>
      </c>
      <c r="N100" s="114">
        <v>19.562141010617172</v>
      </c>
      <c r="O100" s="109">
        <v>21.487304094201718</v>
      </c>
      <c r="P100" s="119"/>
      <c r="Q100" s="120">
        <v>4.4999999999999998E-2</v>
      </c>
      <c r="R100" s="120">
        <v>5.0000000000000001E-3</v>
      </c>
      <c r="S100" s="120">
        <v>7.0000000000000007E-2</v>
      </c>
      <c r="T100" s="120">
        <v>0.03</v>
      </c>
      <c r="U100" s="120" t="s">
        <v>250</v>
      </c>
      <c r="V100" s="121">
        <f t="shared" si="16"/>
        <v>0</v>
      </c>
      <c r="W100" s="119"/>
      <c r="X100" s="113">
        <f t="shared" si="12"/>
        <v>116.08833180444913</v>
      </c>
      <c r="Y100" s="113">
        <f t="shared" si="13"/>
        <v>189.99519381549538</v>
      </c>
      <c r="Z100" s="113">
        <f t="shared" si="14"/>
        <v>221.77803057328691</v>
      </c>
      <c r="AA100" s="22"/>
      <c r="AB100" s="22"/>
      <c r="AC100" s="22"/>
      <c r="AD100" s="22"/>
      <c r="AE100" s="22"/>
      <c r="AF100" s="22"/>
      <c r="AG100" s="22"/>
      <c r="AH100" s="22"/>
      <c r="AI100" s="22"/>
      <c r="AJ100" s="22"/>
      <c r="AK100" s="22"/>
      <c r="AL100" s="22"/>
      <c r="AM100" s="22"/>
      <c r="AN100" s="22"/>
      <c r="AO100" s="22"/>
      <c r="AP100" s="22"/>
      <c r="AQ100" s="22"/>
      <c r="AR100" s="22"/>
    </row>
    <row r="101" spans="1:44" hidden="1" x14ac:dyDescent="0.25">
      <c r="A101" s="16"/>
      <c r="B101" s="3" t="s">
        <v>160</v>
      </c>
      <c r="C101" s="3" t="s">
        <v>161</v>
      </c>
      <c r="D101" s="11" t="s">
        <v>6</v>
      </c>
      <c r="E101" s="107">
        <v>133.78771574026166</v>
      </c>
      <c r="F101" s="108">
        <v>156.27316782467292</v>
      </c>
      <c r="G101" s="109">
        <v>165.48589234237565</v>
      </c>
      <c r="H101" s="114"/>
      <c r="I101" s="113">
        <v>16.352071250541229</v>
      </c>
      <c r="J101" s="114">
        <v>28.534015992271282</v>
      </c>
      <c r="K101" s="109">
        <v>41.900316472780638</v>
      </c>
      <c r="L101" s="114"/>
      <c r="M101" s="113">
        <v>32.924573478919378</v>
      </c>
      <c r="N101" s="114">
        <v>33.672859239803913</v>
      </c>
      <c r="O101" s="109">
        <v>36.98669618086398</v>
      </c>
      <c r="P101" s="119"/>
      <c r="Q101" s="122"/>
      <c r="R101" s="122"/>
      <c r="S101" s="122"/>
      <c r="T101" s="122"/>
      <c r="U101" s="122"/>
      <c r="V101" s="121">
        <v>0.192</v>
      </c>
      <c r="W101" s="119"/>
      <c r="X101" s="113">
        <f t="shared" si="12"/>
        <v>218.21271767990893</v>
      </c>
      <c r="Y101" s="113">
        <f t="shared" si="13"/>
        <v>260.42821132364372</v>
      </c>
      <c r="Z101" s="113">
        <f t="shared" si="14"/>
        <v>291.29250275525618</v>
      </c>
      <c r="AA101" s="22"/>
      <c r="AB101" s="22"/>
      <c r="AC101" s="22"/>
      <c r="AD101" s="22"/>
      <c r="AE101" s="22"/>
      <c r="AF101" s="22"/>
      <c r="AG101" s="22"/>
      <c r="AH101" s="22"/>
      <c r="AI101" s="22"/>
      <c r="AJ101" s="22"/>
      <c r="AK101" s="22"/>
      <c r="AL101" s="22"/>
      <c r="AM101" s="22"/>
      <c r="AN101" s="22"/>
      <c r="AO101" s="22"/>
      <c r="AP101" s="22"/>
      <c r="AQ101" s="22"/>
      <c r="AR101" s="22"/>
    </row>
    <row r="102" spans="1:44" hidden="1" x14ac:dyDescent="0.25">
      <c r="A102" s="16"/>
      <c r="B102" s="3" t="s">
        <v>162</v>
      </c>
      <c r="C102" s="3" t="s">
        <v>163</v>
      </c>
      <c r="D102" s="11" t="s">
        <v>6</v>
      </c>
      <c r="E102" s="107">
        <v>106.09050000000001</v>
      </c>
      <c r="F102" s="108">
        <v>177.73770000000002</v>
      </c>
      <c r="G102" s="109">
        <v>206.02850000000004</v>
      </c>
      <c r="H102" s="114"/>
      <c r="I102" s="113">
        <v>12.898000055651917</v>
      </c>
      <c r="J102" s="114">
        <v>22.506735337525289</v>
      </c>
      <c r="K102" s="109">
        <v>33.049653216247457</v>
      </c>
      <c r="L102" s="114"/>
      <c r="M102" s="113">
        <v>23.507209136391367</v>
      </c>
      <c r="N102" s="114">
        <v>24.041463889491173</v>
      </c>
      <c r="O102" s="109">
        <v>26.407449224647447</v>
      </c>
      <c r="P102" s="119"/>
      <c r="Q102" s="120">
        <v>4.4999999999999998E-2</v>
      </c>
      <c r="R102" s="120">
        <v>5.0000000000000001E-3</v>
      </c>
      <c r="S102" s="120">
        <v>7.0000000000000007E-2</v>
      </c>
      <c r="T102" s="120">
        <v>0.03</v>
      </c>
      <c r="U102" s="120" t="s">
        <v>250</v>
      </c>
      <c r="V102" s="121">
        <f t="shared" si="16"/>
        <v>0</v>
      </c>
      <c r="W102" s="119"/>
      <c r="X102" s="113">
        <f t="shared" si="12"/>
        <v>142.49570919204331</v>
      </c>
      <c r="Y102" s="113">
        <f t="shared" si="13"/>
        <v>224.2858992270165</v>
      </c>
      <c r="Z102" s="113">
        <f t="shared" si="14"/>
        <v>265.48560244089492</v>
      </c>
      <c r="AA102" s="22"/>
      <c r="AB102" s="22"/>
      <c r="AC102" s="22"/>
      <c r="AD102" s="22"/>
      <c r="AE102" s="22"/>
      <c r="AF102" s="22"/>
      <c r="AG102" s="22"/>
      <c r="AH102" s="22"/>
      <c r="AI102" s="22"/>
      <c r="AJ102" s="22"/>
      <c r="AK102" s="22"/>
      <c r="AL102" s="22"/>
      <c r="AM102" s="22"/>
      <c r="AN102" s="22"/>
      <c r="AO102" s="22"/>
      <c r="AP102" s="22"/>
      <c r="AQ102" s="22"/>
      <c r="AR102" s="22"/>
    </row>
    <row r="103" spans="1:44" hidden="1" x14ac:dyDescent="0.25">
      <c r="A103" s="16"/>
      <c r="B103" s="3" t="s">
        <v>164</v>
      </c>
      <c r="C103" s="3" t="s">
        <v>165</v>
      </c>
      <c r="D103" s="11" t="s">
        <v>6</v>
      </c>
      <c r="E103" s="107">
        <v>73.392699016926599</v>
      </c>
      <c r="F103" s="108">
        <v>102.87390984182126</v>
      </c>
      <c r="G103" s="109">
        <v>123.05749704338827</v>
      </c>
      <c r="H103" s="114"/>
      <c r="I103" s="113">
        <v>8.7023739042898747</v>
      </c>
      <c r="J103" s="114">
        <v>15.185457080705461</v>
      </c>
      <c r="K103" s="109">
        <v>22.298840010383671</v>
      </c>
      <c r="L103" s="114"/>
      <c r="M103" s="113">
        <v>15.709431758876786</v>
      </c>
      <c r="N103" s="114">
        <v>16.066464298851258</v>
      </c>
      <c r="O103" s="109">
        <v>17.647608404452495</v>
      </c>
      <c r="P103" s="119"/>
      <c r="Q103" s="120">
        <v>0.05</v>
      </c>
      <c r="R103" s="120">
        <v>0.02</v>
      </c>
      <c r="S103" s="120">
        <v>0.04</v>
      </c>
      <c r="T103" s="120">
        <v>0.03</v>
      </c>
      <c r="U103" s="120">
        <v>0.02</v>
      </c>
      <c r="V103" s="121">
        <f t="shared" si="16"/>
        <v>0</v>
      </c>
      <c r="W103" s="119"/>
      <c r="X103" s="113">
        <f t="shared" si="12"/>
        <v>97.80450468009326</v>
      </c>
      <c r="Y103" s="113">
        <f t="shared" si="13"/>
        <v>134.12583122137798</v>
      </c>
      <c r="Z103" s="113">
        <f t="shared" si="14"/>
        <v>163.00394545822442</v>
      </c>
      <c r="AA103" s="22"/>
      <c r="AB103" s="22"/>
      <c r="AC103" s="22"/>
      <c r="AD103" s="22"/>
      <c r="AE103" s="22"/>
      <c r="AF103" s="22"/>
      <c r="AG103" s="22"/>
      <c r="AH103" s="22"/>
      <c r="AI103" s="22"/>
      <c r="AJ103" s="22"/>
      <c r="AK103" s="22"/>
      <c r="AL103" s="22"/>
      <c r="AM103" s="22"/>
      <c r="AN103" s="22"/>
      <c r="AO103" s="22"/>
      <c r="AP103" s="22"/>
      <c r="AQ103" s="22"/>
      <c r="AR103" s="22"/>
    </row>
    <row r="104" spans="1:44" hidden="1" x14ac:dyDescent="0.25">
      <c r="A104" s="16"/>
      <c r="B104" s="3" t="s">
        <v>166</v>
      </c>
      <c r="C104" s="3" t="s">
        <v>167</v>
      </c>
      <c r="D104" s="11" t="s">
        <v>6</v>
      </c>
      <c r="E104" s="107">
        <v>63.31395197353833</v>
      </c>
      <c r="F104" s="108">
        <v>88.059679207628051</v>
      </c>
      <c r="G104" s="109">
        <v>116.41835686303496</v>
      </c>
      <c r="H104" s="114"/>
      <c r="I104" s="113">
        <v>7.7770292649857211</v>
      </c>
      <c r="J104" s="114">
        <v>13.570750397269666</v>
      </c>
      <c r="K104" s="109">
        <v>19.927749972970105</v>
      </c>
      <c r="L104" s="114"/>
      <c r="M104" s="113">
        <v>15.658895289748303</v>
      </c>
      <c r="N104" s="114">
        <v>16.014779273606219</v>
      </c>
      <c r="O104" s="109">
        <v>17.590836916405564</v>
      </c>
      <c r="P104" s="119"/>
      <c r="Q104" s="120">
        <v>0.05</v>
      </c>
      <c r="R104" s="120">
        <v>0.03</v>
      </c>
      <c r="S104" s="120">
        <v>0.03</v>
      </c>
      <c r="T104" s="120">
        <v>0.02</v>
      </c>
      <c r="U104" s="120">
        <v>0.05</v>
      </c>
      <c r="V104" s="121">
        <f t="shared" si="16"/>
        <v>0</v>
      </c>
      <c r="W104" s="119"/>
      <c r="X104" s="113">
        <f t="shared" si="12"/>
        <v>86.749876528272353</v>
      </c>
      <c r="Y104" s="113">
        <f t="shared" si="13"/>
        <v>117.64520887850394</v>
      </c>
      <c r="Z104" s="113">
        <f t="shared" si="14"/>
        <v>153.93694375241063</v>
      </c>
      <c r="AA104" s="22"/>
      <c r="AB104" s="22"/>
      <c r="AC104" s="22"/>
      <c r="AD104" s="22"/>
      <c r="AE104" s="22"/>
      <c r="AF104" s="22"/>
      <c r="AG104" s="22"/>
      <c r="AH104" s="22"/>
      <c r="AI104" s="22"/>
      <c r="AJ104" s="22"/>
      <c r="AK104" s="22"/>
      <c r="AL104" s="22"/>
      <c r="AM104" s="22"/>
      <c r="AN104" s="22"/>
      <c r="AO104" s="22"/>
      <c r="AP104" s="22"/>
      <c r="AQ104" s="22"/>
      <c r="AR104" s="22"/>
    </row>
    <row r="105" spans="1:44" hidden="1" x14ac:dyDescent="0.25">
      <c r="A105" s="16"/>
      <c r="B105" s="3" t="s">
        <v>168</v>
      </c>
      <c r="C105" s="3" t="s">
        <v>169</v>
      </c>
      <c r="D105" s="11" t="s">
        <v>6</v>
      </c>
      <c r="E105" s="107">
        <v>107.33700426639071</v>
      </c>
      <c r="F105" s="108">
        <v>146.63790400473059</v>
      </c>
      <c r="G105" s="109">
        <v>193.82581311848622</v>
      </c>
      <c r="H105" s="114"/>
      <c r="I105" s="113">
        <v>14.142892706341463</v>
      </c>
      <c r="J105" s="114">
        <v>24.679046493658539</v>
      </c>
      <c r="K105" s="109">
        <v>36.23954856585366</v>
      </c>
      <c r="L105" s="114"/>
      <c r="M105" s="113">
        <v>26.389800585365855</v>
      </c>
      <c r="N105" s="114">
        <v>26.989568780487804</v>
      </c>
      <c r="O105" s="109">
        <v>29.645685073170732</v>
      </c>
      <c r="P105" s="119"/>
      <c r="Q105" s="120"/>
      <c r="R105" s="120"/>
      <c r="S105" s="120"/>
      <c r="T105" s="120"/>
      <c r="U105" s="120"/>
      <c r="V105" s="121">
        <v>0.16</v>
      </c>
      <c r="W105" s="119"/>
      <c r="X105" s="113">
        <f t="shared" si="12"/>
        <v>171.5288491673937</v>
      </c>
      <c r="Y105" s="113">
        <f t="shared" si="13"/>
        <v>230.03556236349723</v>
      </c>
      <c r="Z105" s="113">
        <f t="shared" si="14"/>
        <v>301.26481423871223</v>
      </c>
      <c r="AA105" s="22"/>
      <c r="AB105" s="22"/>
      <c r="AC105" s="22"/>
      <c r="AD105" s="22"/>
      <c r="AE105" s="22"/>
      <c r="AF105" s="22"/>
      <c r="AG105" s="22"/>
      <c r="AH105" s="22"/>
      <c r="AI105" s="22"/>
      <c r="AJ105" s="22"/>
      <c r="AK105" s="22"/>
      <c r="AL105" s="22"/>
      <c r="AM105" s="22"/>
      <c r="AN105" s="22"/>
      <c r="AO105" s="22"/>
      <c r="AP105" s="22"/>
      <c r="AQ105" s="22"/>
      <c r="AR105" s="22"/>
    </row>
    <row r="106" spans="1:44" hidden="1" x14ac:dyDescent="0.25">
      <c r="A106" s="16"/>
      <c r="B106" s="3" t="s">
        <v>170</v>
      </c>
      <c r="C106" s="3" t="s">
        <v>171</v>
      </c>
      <c r="D106" s="11" t="s">
        <v>6</v>
      </c>
      <c r="E106" s="107">
        <v>110.78842394116343</v>
      </c>
      <c r="F106" s="108">
        <v>151.1499672000887</v>
      </c>
      <c r="G106" s="109">
        <v>177.87387972133934</v>
      </c>
      <c r="H106" s="114"/>
      <c r="I106" s="113">
        <v>14.719557625490364</v>
      </c>
      <c r="J106" s="114">
        <v>25.685314493171564</v>
      </c>
      <c r="K106" s="109">
        <v>37.717186611877317</v>
      </c>
      <c r="L106" s="114"/>
      <c r="M106" s="113">
        <v>26.31609105470212</v>
      </c>
      <c r="N106" s="114">
        <v>26.914184033218074</v>
      </c>
      <c r="O106" s="109">
        <v>29.562881509503029</v>
      </c>
      <c r="P106" s="119"/>
      <c r="Q106" s="120">
        <v>0.14000000000000001</v>
      </c>
      <c r="R106" s="120">
        <v>0.08</v>
      </c>
      <c r="S106" s="120">
        <v>0.04</v>
      </c>
      <c r="T106" s="120">
        <v>0.02</v>
      </c>
      <c r="U106" s="120">
        <v>0.01</v>
      </c>
      <c r="V106" s="121">
        <f t="shared" ref="V106:V111" si="17">SUBTOTAL(9,Q106:U106)</f>
        <v>0</v>
      </c>
      <c r="W106" s="119"/>
      <c r="X106" s="113">
        <f t="shared" si="12"/>
        <v>151.82407262135592</v>
      </c>
      <c r="Y106" s="113">
        <f t="shared" si="13"/>
        <v>203.74946572647835</v>
      </c>
      <c r="Z106" s="113">
        <f t="shared" si="14"/>
        <v>245.15394784271967</v>
      </c>
      <c r="AA106" s="22"/>
      <c r="AB106" s="22"/>
      <c r="AC106" s="22"/>
      <c r="AD106" s="22"/>
      <c r="AE106" s="22"/>
      <c r="AF106" s="22"/>
      <c r="AG106" s="22"/>
      <c r="AH106" s="22"/>
      <c r="AI106" s="22"/>
      <c r="AJ106" s="22"/>
      <c r="AK106" s="22"/>
      <c r="AL106" s="22"/>
      <c r="AM106" s="22"/>
      <c r="AN106" s="22"/>
      <c r="AO106" s="22"/>
      <c r="AP106" s="22"/>
      <c r="AQ106" s="22"/>
      <c r="AR106" s="22"/>
    </row>
    <row r="107" spans="1:44" hidden="1" x14ac:dyDescent="0.25">
      <c r="A107" s="16"/>
      <c r="B107" s="3" t="s">
        <v>170</v>
      </c>
      <c r="C107" s="3" t="s">
        <v>172</v>
      </c>
      <c r="D107" s="11" t="s">
        <v>6</v>
      </c>
      <c r="E107" s="107">
        <v>172.45381459919435</v>
      </c>
      <c r="F107" s="108">
        <v>235.59690419238308</v>
      </c>
      <c r="G107" s="109">
        <v>311.41171740843748</v>
      </c>
      <c r="H107" s="114"/>
      <c r="I107" s="113">
        <v>22.722786175609759</v>
      </c>
      <c r="J107" s="114">
        <v>39.650777824390254</v>
      </c>
      <c r="K107" s="109">
        <v>58.224546439024401</v>
      </c>
      <c r="L107" s="114"/>
      <c r="M107" s="113">
        <v>40.624516390243905</v>
      </c>
      <c r="N107" s="114">
        <v>41.547800853658543</v>
      </c>
      <c r="O107" s="109">
        <v>45.636632048780498</v>
      </c>
      <c r="P107" s="119"/>
      <c r="Q107" s="120">
        <v>0.14000000000000001</v>
      </c>
      <c r="R107" s="120">
        <v>0.08</v>
      </c>
      <c r="S107" s="120">
        <v>0.04</v>
      </c>
      <c r="T107" s="120">
        <v>0.02</v>
      </c>
      <c r="U107" s="120">
        <v>0.01</v>
      </c>
      <c r="V107" s="121">
        <f t="shared" si="17"/>
        <v>0</v>
      </c>
      <c r="W107" s="119"/>
      <c r="X107" s="113">
        <f t="shared" si="12"/>
        <v>235.80111716504803</v>
      </c>
      <c r="Y107" s="113">
        <f t="shared" si="13"/>
        <v>316.7954828704319</v>
      </c>
      <c r="Z107" s="113">
        <f t="shared" si="14"/>
        <v>415.27289589624235</v>
      </c>
      <c r="AA107" s="22"/>
      <c r="AB107" s="22"/>
      <c r="AC107" s="22"/>
      <c r="AD107" s="22"/>
      <c r="AE107" s="22"/>
      <c r="AF107" s="22"/>
      <c r="AG107" s="22"/>
      <c r="AH107" s="22"/>
      <c r="AI107" s="22"/>
      <c r="AJ107" s="22"/>
      <c r="AK107" s="22"/>
      <c r="AL107" s="22"/>
      <c r="AM107" s="22"/>
      <c r="AN107" s="22"/>
      <c r="AO107" s="22"/>
      <c r="AP107" s="22"/>
      <c r="AQ107" s="22"/>
      <c r="AR107" s="22"/>
    </row>
    <row r="108" spans="1:44" hidden="1" x14ac:dyDescent="0.25">
      <c r="A108" s="16"/>
      <c r="B108" s="3" t="s">
        <v>173</v>
      </c>
      <c r="C108" s="3" t="s">
        <v>174</v>
      </c>
      <c r="D108" s="11" t="s">
        <v>6</v>
      </c>
      <c r="E108" s="107">
        <v>93.912980974665516</v>
      </c>
      <c r="F108" s="108">
        <v>128.29874266644799</v>
      </c>
      <c r="G108" s="109">
        <v>169.58513072173662</v>
      </c>
      <c r="H108" s="114"/>
      <c r="I108" s="113">
        <v>12.374122258536586</v>
      </c>
      <c r="J108" s="114">
        <v>21.592579741463418</v>
      </c>
      <c r="K108" s="109">
        <v>31.707276146341467</v>
      </c>
      <c r="L108" s="114"/>
      <c r="M108" s="113">
        <v>32.217739024390248</v>
      </c>
      <c r="N108" s="114">
        <v>32.949960365853656</v>
      </c>
      <c r="O108" s="109">
        <v>36.192654878048785</v>
      </c>
      <c r="P108" s="119"/>
      <c r="Q108" s="120">
        <v>0.05</v>
      </c>
      <c r="R108" s="120">
        <v>0.01</v>
      </c>
      <c r="S108" s="120">
        <v>0.03</v>
      </c>
      <c r="T108" s="120">
        <v>0.01</v>
      </c>
      <c r="U108" s="120">
        <v>0.01</v>
      </c>
      <c r="V108" s="121">
        <f t="shared" si="17"/>
        <v>0</v>
      </c>
      <c r="W108" s="119"/>
      <c r="X108" s="113">
        <f t="shared" si="12"/>
        <v>138.50484225759234</v>
      </c>
      <c r="Y108" s="113">
        <f t="shared" si="13"/>
        <v>182.84128277376507</v>
      </c>
      <c r="Z108" s="113">
        <f t="shared" si="14"/>
        <v>237.48506174612686</v>
      </c>
      <c r="AA108" s="22"/>
      <c r="AB108" s="22"/>
      <c r="AC108" s="22"/>
      <c r="AD108" s="22"/>
      <c r="AE108" s="22"/>
      <c r="AF108" s="22"/>
      <c r="AG108" s="22"/>
      <c r="AH108" s="22"/>
      <c r="AI108" s="22"/>
      <c r="AJ108" s="22"/>
      <c r="AK108" s="22"/>
      <c r="AL108" s="22"/>
      <c r="AM108" s="22"/>
      <c r="AN108" s="22"/>
      <c r="AO108" s="22"/>
      <c r="AP108" s="22"/>
      <c r="AQ108" s="22"/>
      <c r="AR108" s="22"/>
    </row>
    <row r="109" spans="1:44" hidden="1" x14ac:dyDescent="0.25">
      <c r="A109" s="16"/>
      <c r="B109" s="3" t="s">
        <v>175</v>
      </c>
      <c r="C109" s="3" t="s">
        <v>176</v>
      </c>
      <c r="D109" s="11" t="s">
        <v>6</v>
      </c>
      <c r="E109" s="107">
        <v>129.03735227566708</v>
      </c>
      <c r="F109" s="108">
        <v>176.28372438142139</v>
      </c>
      <c r="G109" s="109">
        <v>233.01162444794517</v>
      </c>
      <c r="H109" s="114"/>
      <c r="I109" s="113">
        <v>9.2679858647357563</v>
      </c>
      <c r="J109" s="114">
        <v>17.094083517638847</v>
      </c>
      <c r="K109" s="109">
        <v>18.363670622397169</v>
      </c>
      <c r="L109" s="114"/>
      <c r="M109" s="113">
        <v>29.954333414634139</v>
      </c>
      <c r="N109" s="114">
        <v>30.635113719512187</v>
      </c>
      <c r="O109" s="109">
        <v>33.649997926829258</v>
      </c>
      <c r="P109" s="119"/>
      <c r="Q109" s="120" t="s">
        <v>252</v>
      </c>
      <c r="R109" s="120" t="s">
        <v>252</v>
      </c>
      <c r="S109" s="120" t="s">
        <v>252</v>
      </c>
      <c r="T109" s="120" t="s">
        <v>252</v>
      </c>
      <c r="U109" s="120">
        <v>0.12</v>
      </c>
      <c r="V109" s="121">
        <f t="shared" si="17"/>
        <v>0</v>
      </c>
      <c r="W109" s="119"/>
      <c r="X109" s="113">
        <f t="shared" si="12"/>
        <v>168.25967155503696</v>
      </c>
      <c r="Y109" s="113">
        <f t="shared" si="13"/>
        <v>224.01292161857242</v>
      </c>
      <c r="Z109" s="113">
        <f t="shared" si="14"/>
        <v>285.02529299717162</v>
      </c>
      <c r="AA109" s="22"/>
      <c r="AB109" s="22"/>
      <c r="AC109" s="22"/>
      <c r="AD109" s="22"/>
      <c r="AE109" s="22"/>
      <c r="AF109" s="22"/>
      <c r="AG109" s="22"/>
      <c r="AH109" s="22"/>
      <c r="AI109" s="22"/>
      <c r="AJ109" s="22"/>
      <c r="AK109" s="22"/>
      <c r="AL109" s="22"/>
      <c r="AM109" s="22"/>
      <c r="AN109" s="22"/>
      <c r="AO109" s="22"/>
      <c r="AP109" s="22"/>
      <c r="AQ109" s="22"/>
      <c r="AR109" s="22"/>
    </row>
    <row r="110" spans="1:44" hidden="1" x14ac:dyDescent="0.25">
      <c r="A110" s="16"/>
      <c r="B110" s="3" t="s">
        <v>175</v>
      </c>
      <c r="C110" s="3" t="s">
        <v>177</v>
      </c>
      <c r="D110" s="11" t="s">
        <v>6</v>
      </c>
      <c r="E110" s="107">
        <v>129.03735227566708</v>
      </c>
      <c r="F110" s="108">
        <v>176.28372438142139</v>
      </c>
      <c r="G110" s="109">
        <v>233.01162444794517</v>
      </c>
      <c r="H110" s="114"/>
      <c r="I110" s="113">
        <v>9.2679858647357563</v>
      </c>
      <c r="J110" s="114">
        <v>17.094083517638847</v>
      </c>
      <c r="K110" s="109">
        <v>18.363670622397169</v>
      </c>
      <c r="L110" s="114"/>
      <c r="M110" s="113">
        <v>29.954333414634139</v>
      </c>
      <c r="N110" s="114">
        <v>30.635113719512187</v>
      </c>
      <c r="O110" s="109">
        <v>33.649997926829258</v>
      </c>
      <c r="P110" s="119"/>
      <c r="Q110" s="120" t="s">
        <v>252</v>
      </c>
      <c r="R110" s="120" t="s">
        <v>252</v>
      </c>
      <c r="S110" s="120" t="s">
        <v>252</v>
      </c>
      <c r="T110" s="120" t="s">
        <v>252</v>
      </c>
      <c r="U110" s="120">
        <v>0.12</v>
      </c>
      <c r="V110" s="121">
        <f t="shared" si="17"/>
        <v>0</v>
      </c>
      <c r="W110" s="119"/>
      <c r="X110" s="113">
        <f t="shared" si="12"/>
        <v>168.25967155503696</v>
      </c>
      <c r="Y110" s="113">
        <f t="shared" si="13"/>
        <v>224.01292161857242</v>
      </c>
      <c r="Z110" s="113">
        <f t="shared" si="14"/>
        <v>285.02529299717162</v>
      </c>
      <c r="AA110" s="22"/>
      <c r="AB110" s="22"/>
      <c r="AC110" s="22"/>
      <c r="AD110" s="22"/>
      <c r="AE110" s="22"/>
      <c r="AF110" s="22"/>
      <c r="AG110" s="22"/>
      <c r="AH110" s="22"/>
      <c r="AI110" s="22"/>
      <c r="AJ110" s="22"/>
      <c r="AK110" s="22"/>
      <c r="AL110" s="22"/>
      <c r="AM110" s="22"/>
      <c r="AN110" s="22"/>
      <c r="AO110" s="22"/>
      <c r="AP110" s="22"/>
      <c r="AQ110" s="22"/>
      <c r="AR110" s="22"/>
    </row>
    <row r="111" spans="1:44" hidden="1" x14ac:dyDescent="0.25">
      <c r="A111" s="16"/>
      <c r="B111" s="3" t="s">
        <v>178</v>
      </c>
      <c r="C111" s="3" t="s">
        <v>179</v>
      </c>
      <c r="D111" s="11" t="s">
        <v>6</v>
      </c>
      <c r="E111" s="107">
        <v>86.65869716765836</v>
      </c>
      <c r="F111" s="108">
        <v>117.22926585714022</v>
      </c>
      <c r="G111" s="109">
        <v>174.48061023773005</v>
      </c>
      <c r="H111" s="114"/>
      <c r="I111" s="113">
        <v>10.721083368010504</v>
      </c>
      <c r="J111" s="114">
        <v>18.708062091348825</v>
      </c>
      <c r="K111" s="109">
        <v>27.471552635011701</v>
      </c>
      <c r="L111" s="114"/>
      <c r="M111" s="113">
        <v>19.353584367130615</v>
      </c>
      <c r="N111" s="114">
        <v>19.793438557292671</v>
      </c>
      <c r="O111" s="109">
        <v>21.741364256581797</v>
      </c>
      <c r="P111" s="119"/>
      <c r="Q111" s="120">
        <v>0.05</v>
      </c>
      <c r="R111" s="120">
        <v>0.02</v>
      </c>
      <c r="S111" s="120">
        <v>0.04</v>
      </c>
      <c r="T111" s="120">
        <v>0.03</v>
      </c>
      <c r="U111" s="120">
        <v>0.02</v>
      </c>
      <c r="V111" s="121">
        <f t="shared" si="17"/>
        <v>0</v>
      </c>
      <c r="W111" s="119"/>
      <c r="X111" s="113">
        <f t="shared" si="12"/>
        <v>116.73336490279948</v>
      </c>
      <c r="Y111" s="113">
        <f t="shared" si="13"/>
        <v>155.7307665057817</v>
      </c>
      <c r="Z111" s="113">
        <f t="shared" si="14"/>
        <v>223.69352712932354</v>
      </c>
      <c r="AA111" s="22"/>
      <c r="AB111" s="22"/>
      <c r="AC111" s="22"/>
      <c r="AD111" s="22"/>
      <c r="AE111" s="22"/>
      <c r="AF111" s="22"/>
      <c r="AG111" s="22"/>
      <c r="AH111" s="22"/>
      <c r="AI111" s="22"/>
      <c r="AJ111" s="22"/>
      <c r="AK111" s="22"/>
      <c r="AL111" s="22"/>
      <c r="AM111" s="22"/>
      <c r="AN111" s="22"/>
      <c r="AO111" s="22"/>
      <c r="AP111" s="22"/>
      <c r="AQ111" s="22"/>
      <c r="AR111" s="22"/>
    </row>
    <row r="112" spans="1:44" hidden="1" x14ac:dyDescent="0.25">
      <c r="A112" s="16"/>
      <c r="B112" s="3" t="s">
        <v>180</v>
      </c>
      <c r="C112" s="3" t="s">
        <v>181</v>
      </c>
      <c r="D112" s="11" t="s">
        <v>8</v>
      </c>
      <c r="E112" s="107">
        <v>90.518625070265784</v>
      </c>
      <c r="F112" s="108">
        <v>124.54746488124252</v>
      </c>
      <c r="G112" s="109">
        <v>178.01215849732239</v>
      </c>
      <c r="H112" s="114"/>
      <c r="I112" s="113">
        <v>6.6430000000000007</v>
      </c>
      <c r="J112" s="114">
        <v>12.252500000000001</v>
      </c>
      <c r="K112" s="109">
        <v>13.1625</v>
      </c>
      <c r="L112" s="114"/>
      <c r="M112" s="113">
        <v>19.034400000000002</v>
      </c>
      <c r="N112" s="114">
        <v>19.466999999999999</v>
      </c>
      <c r="O112" s="109">
        <v>21.382800000000003</v>
      </c>
      <c r="P112" s="119"/>
      <c r="Q112" s="120">
        <v>0.04</v>
      </c>
      <c r="R112" s="120">
        <v>0.02</v>
      </c>
      <c r="S112" s="120">
        <v>0.04</v>
      </c>
      <c r="T112" s="120">
        <v>0.02</v>
      </c>
      <c r="U112" s="120">
        <v>0.02</v>
      </c>
      <c r="V112" s="121">
        <f>SUBTOTAL(9,Q112:U112)</f>
        <v>0</v>
      </c>
      <c r="W112" s="119"/>
      <c r="X112" s="113">
        <f t="shared" si="12"/>
        <v>116.19602507026579</v>
      </c>
      <c r="Y112" s="113">
        <f t="shared" si="13"/>
        <v>156.26696488124253</v>
      </c>
      <c r="Z112" s="113">
        <f t="shared" si="14"/>
        <v>212.55745849732239</v>
      </c>
      <c r="AA112" s="22"/>
      <c r="AB112" s="22"/>
      <c r="AC112" s="22"/>
      <c r="AD112" s="22"/>
      <c r="AE112" s="22"/>
      <c r="AF112" s="22"/>
      <c r="AG112" s="22"/>
      <c r="AH112" s="22"/>
      <c r="AI112" s="22"/>
      <c r="AJ112" s="22"/>
      <c r="AK112" s="22"/>
      <c r="AL112" s="22"/>
      <c r="AM112" s="22"/>
      <c r="AN112" s="22"/>
      <c r="AO112" s="22"/>
      <c r="AP112" s="22"/>
      <c r="AQ112" s="22"/>
      <c r="AR112" s="22"/>
    </row>
    <row r="113" spans="1:44" hidden="1" x14ac:dyDescent="0.25">
      <c r="A113" s="16"/>
      <c r="B113" s="3" t="s">
        <v>182</v>
      </c>
      <c r="C113" s="3" t="s">
        <v>183</v>
      </c>
      <c r="D113" s="11" t="s">
        <v>8</v>
      </c>
      <c r="E113" s="107">
        <v>105.75639203677611</v>
      </c>
      <c r="F113" s="108">
        <v>151.28717840855128</v>
      </c>
      <c r="G113" s="109">
        <v>192.00878506040428</v>
      </c>
      <c r="H113" s="114"/>
      <c r="I113" s="113">
        <v>7.665508855555081</v>
      </c>
      <c r="J113" s="114">
        <v>14.138438544737111</v>
      </c>
      <c r="K113" s="109">
        <v>15.188508250977533</v>
      </c>
      <c r="L113" s="114"/>
      <c r="M113" s="113">
        <v>25.694592000000004</v>
      </c>
      <c r="N113" s="114">
        <v>26.278560000000002</v>
      </c>
      <c r="O113" s="109">
        <v>28.864704000000003</v>
      </c>
      <c r="P113" s="119"/>
      <c r="Q113" s="120">
        <v>0.05</v>
      </c>
      <c r="R113" s="120">
        <v>0.05</v>
      </c>
      <c r="S113" s="120">
        <v>0.03</v>
      </c>
      <c r="T113" s="120">
        <v>0.05</v>
      </c>
      <c r="U113" s="120">
        <v>5.0000000000000001E-3</v>
      </c>
      <c r="V113" s="121">
        <f t="shared" ref="V113:V135" si="18">SUBTOTAL(9,Q113:U113)</f>
        <v>0</v>
      </c>
      <c r="W113" s="119"/>
      <c r="X113" s="113">
        <f t="shared" si="12"/>
        <v>139.11649289233119</v>
      </c>
      <c r="Y113" s="113">
        <f t="shared" si="13"/>
        <v>191.7041769532884</v>
      </c>
      <c r="Z113" s="113">
        <f t="shared" si="14"/>
        <v>236.06199731138179</v>
      </c>
      <c r="AA113" s="22"/>
      <c r="AB113" s="22"/>
      <c r="AC113" s="22"/>
      <c r="AD113" s="22"/>
      <c r="AE113" s="22"/>
      <c r="AF113" s="22"/>
      <c r="AG113" s="22"/>
      <c r="AH113" s="22"/>
      <c r="AI113" s="22"/>
      <c r="AJ113" s="22"/>
      <c r="AK113" s="22"/>
      <c r="AL113" s="22"/>
      <c r="AM113" s="22"/>
      <c r="AN113" s="22"/>
      <c r="AO113" s="22"/>
      <c r="AP113" s="22"/>
      <c r="AQ113" s="22"/>
      <c r="AR113" s="22"/>
    </row>
    <row r="114" spans="1:44" hidden="1" x14ac:dyDescent="0.25">
      <c r="A114" s="21"/>
      <c r="B114" s="3" t="s">
        <v>182</v>
      </c>
      <c r="C114" s="3" t="s">
        <v>184</v>
      </c>
      <c r="D114" s="11" t="s">
        <v>8</v>
      </c>
      <c r="E114" s="107">
        <v>107.87151987751163</v>
      </c>
      <c r="F114" s="108">
        <v>154.31292197672232</v>
      </c>
      <c r="G114" s="109">
        <v>195.8489607616124</v>
      </c>
      <c r="H114" s="114"/>
      <c r="I114" s="113">
        <v>7.8694000000000006</v>
      </c>
      <c r="J114" s="114">
        <v>14.514500000000002</v>
      </c>
      <c r="K114" s="109">
        <v>15.592500000000001</v>
      </c>
      <c r="L114" s="114"/>
      <c r="M114" s="113">
        <v>26.208483840000003</v>
      </c>
      <c r="N114" s="114">
        <v>26.804131200000004</v>
      </c>
      <c r="O114" s="109">
        <v>29.441998080000005</v>
      </c>
      <c r="P114" s="119"/>
      <c r="Q114" s="120">
        <v>0.05</v>
      </c>
      <c r="R114" s="120">
        <v>0.05</v>
      </c>
      <c r="S114" s="120">
        <v>0.03</v>
      </c>
      <c r="T114" s="120">
        <v>0.05</v>
      </c>
      <c r="U114" s="120">
        <v>5.0000000000000001E-3</v>
      </c>
      <c r="V114" s="121">
        <f t="shared" si="18"/>
        <v>0</v>
      </c>
      <c r="W114" s="119"/>
      <c r="X114" s="113">
        <f t="shared" si="12"/>
        <v>141.94940371751164</v>
      </c>
      <c r="Y114" s="113">
        <f t="shared" si="13"/>
        <v>195.63155317672232</v>
      </c>
      <c r="Z114" s="113">
        <f t="shared" si="14"/>
        <v>240.88345884161242</v>
      </c>
      <c r="AA114" s="22"/>
      <c r="AB114" s="22"/>
      <c r="AC114" s="22"/>
      <c r="AD114" s="22"/>
      <c r="AE114" s="22"/>
      <c r="AF114" s="22"/>
      <c r="AG114" s="22"/>
      <c r="AH114" s="22"/>
      <c r="AI114" s="22"/>
      <c r="AJ114" s="22"/>
      <c r="AK114" s="22"/>
      <c r="AL114" s="22"/>
      <c r="AM114" s="22"/>
      <c r="AN114" s="22"/>
      <c r="AO114" s="22"/>
      <c r="AP114" s="22"/>
      <c r="AQ114" s="22"/>
      <c r="AR114" s="22"/>
    </row>
    <row r="115" spans="1:44" hidden="1" x14ac:dyDescent="0.25">
      <c r="A115" s="21"/>
      <c r="B115" s="3" t="s">
        <v>182</v>
      </c>
      <c r="C115" s="3" t="s">
        <v>185</v>
      </c>
      <c r="D115" s="11" t="s">
        <v>8</v>
      </c>
      <c r="E115" s="107">
        <v>109.98664771824714</v>
      </c>
      <c r="F115" s="108">
        <v>157.33866554489333</v>
      </c>
      <c r="G115" s="109">
        <v>199.68913646282047</v>
      </c>
      <c r="H115" s="114"/>
      <c r="I115" s="113">
        <v>7.9716000000000005</v>
      </c>
      <c r="J115" s="114">
        <v>14.703000000000001</v>
      </c>
      <c r="K115" s="109">
        <v>15.795</v>
      </c>
      <c r="L115" s="114"/>
      <c r="M115" s="113">
        <v>26.722375680000006</v>
      </c>
      <c r="N115" s="114">
        <v>27.329702400000002</v>
      </c>
      <c r="O115" s="109">
        <v>30.019292160000003</v>
      </c>
      <c r="P115" s="119"/>
      <c r="Q115" s="120">
        <v>0.05</v>
      </c>
      <c r="R115" s="120">
        <v>0.05</v>
      </c>
      <c r="S115" s="120">
        <v>0.03</v>
      </c>
      <c r="T115" s="120">
        <v>0.05</v>
      </c>
      <c r="U115" s="120">
        <v>5.0000000000000001E-3</v>
      </c>
      <c r="V115" s="121">
        <f t="shared" si="18"/>
        <v>0</v>
      </c>
      <c r="W115" s="119"/>
      <c r="X115" s="113">
        <f t="shared" si="12"/>
        <v>144.68062339824715</v>
      </c>
      <c r="Y115" s="113">
        <f t="shared" si="13"/>
        <v>199.37136794489334</v>
      </c>
      <c r="Z115" s="113">
        <f t="shared" si="14"/>
        <v>245.50342862282045</v>
      </c>
      <c r="AA115" s="22"/>
      <c r="AB115" s="22"/>
      <c r="AC115" s="22"/>
      <c r="AD115" s="22"/>
      <c r="AE115" s="22"/>
      <c r="AF115" s="22"/>
      <c r="AG115" s="22"/>
      <c r="AH115" s="22"/>
      <c r="AI115" s="22"/>
      <c r="AJ115" s="22"/>
      <c r="AK115" s="22"/>
      <c r="AL115" s="22"/>
      <c r="AM115" s="22"/>
      <c r="AN115" s="22"/>
      <c r="AO115" s="22"/>
      <c r="AP115" s="22"/>
      <c r="AQ115" s="22"/>
      <c r="AR115" s="22"/>
    </row>
    <row r="116" spans="1:44" hidden="1" x14ac:dyDescent="0.25">
      <c r="A116" s="21"/>
      <c r="B116" s="3" t="s">
        <v>182</v>
      </c>
      <c r="C116" s="3" t="s">
        <v>186</v>
      </c>
      <c r="D116" s="11" t="s">
        <v>8</v>
      </c>
      <c r="E116" s="107">
        <v>108.9290837978794</v>
      </c>
      <c r="F116" s="108">
        <v>155.82579376080781</v>
      </c>
      <c r="G116" s="109">
        <v>197.76904861221644</v>
      </c>
      <c r="H116" s="114"/>
      <c r="I116" s="113">
        <v>7.8694000000000006</v>
      </c>
      <c r="J116" s="114">
        <v>14.514500000000002</v>
      </c>
      <c r="K116" s="109">
        <v>15.592500000000001</v>
      </c>
      <c r="L116" s="114"/>
      <c r="M116" s="113">
        <v>26.465429760000003</v>
      </c>
      <c r="N116" s="114">
        <v>27.066916800000005</v>
      </c>
      <c r="O116" s="109">
        <v>29.730645120000005</v>
      </c>
      <c r="P116" s="119"/>
      <c r="Q116" s="120">
        <v>0.05</v>
      </c>
      <c r="R116" s="120">
        <v>0.05</v>
      </c>
      <c r="S116" s="120">
        <v>0.03</v>
      </c>
      <c r="T116" s="120">
        <v>0.05</v>
      </c>
      <c r="U116" s="120">
        <v>5.0000000000000001E-3</v>
      </c>
      <c r="V116" s="121">
        <f t="shared" si="18"/>
        <v>0</v>
      </c>
      <c r="W116" s="119"/>
      <c r="X116" s="113">
        <f t="shared" si="12"/>
        <v>143.26391355787939</v>
      </c>
      <c r="Y116" s="113">
        <f t="shared" si="13"/>
        <v>197.40721056080781</v>
      </c>
      <c r="Z116" s="113">
        <f t="shared" si="14"/>
        <v>243.09219373221646</v>
      </c>
      <c r="AA116" s="22"/>
      <c r="AB116" s="22"/>
      <c r="AC116" s="22"/>
      <c r="AD116" s="22"/>
      <c r="AE116" s="22"/>
      <c r="AF116" s="22"/>
      <c r="AG116" s="22"/>
      <c r="AH116" s="22"/>
      <c r="AI116" s="22"/>
      <c r="AJ116" s="22"/>
      <c r="AK116" s="22"/>
      <c r="AL116" s="22"/>
      <c r="AM116" s="22"/>
      <c r="AN116" s="22"/>
      <c r="AO116" s="22"/>
      <c r="AP116" s="22"/>
      <c r="AQ116" s="22"/>
      <c r="AR116" s="22"/>
    </row>
    <row r="117" spans="1:44" hidden="1" x14ac:dyDescent="0.25">
      <c r="A117" s="16"/>
      <c r="B117" s="3" t="s">
        <v>180</v>
      </c>
      <c r="C117" s="3" t="s">
        <v>187</v>
      </c>
      <c r="D117" s="11" t="s">
        <v>8</v>
      </c>
      <c r="E117" s="107">
        <v>77.728772307682661</v>
      </c>
      <c r="F117" s="108">
        <v>122.06279018108992</v>
      </c>
      <c r="G117" s="109">
        <v>158.87699056632235</v>
      </c>
      <c r="H117" s="114"/>
      <c r="I117" s="113">
        <v>6.3364000000000003</v>
      </c>
      <c r="J117" s="114">
        <v>11.687000000000001</v>
      </c>
      <c r="K117" s="109">
        <v>12.555</v>
      </c>
      <c r="L117" s="114"/>
      <c r="M117" s="113">
        <v>18.22128</v>
      </c>
      <c r="N117" s="114">
        <v>18.635400000000001</v>
      </c>
      <c r="O117" s="109">
        <v>20.469359999999998</v>
      </c>
      <c r="P117" s="119"/>
      <c r="Q117" s="120">
        <v>0.05</v>
      </c>
      <c r="R117" s="120">
        <v>0.02</v>
      </c>
      <c r="S117" s="120">
        <v>0.04</v>
      </c>
      <c r="T117" s="120">
        <v>0.02</v>
      </c>
      <c r="U117" s="120">
        <v>0.02</v>
      </c>
      <c r="V117" s="121">
        <f t="shared" si="18"/>
        <v>0</v>
      </c>
      <c r="W117" s="119"/>
      <c r="X117" s="113">
        <f t="shared" si="12"/>
        <v>102.28645230768265</v>
      </c>
      <c r="Y117" s="113">
        <f t="shared" si="13"/>
        <v>152.38519018108994</v>
      </c>
      <c r="Z117" s="113">
        <f t="shared" si="14"/>
        <v>191.90135056632235</v>
      </c>
      <c r="AA117" s="22"/>
      <c r="AB117" s="22"/>
      <c r="AC117" s="22"/>
      <c r="AD117" s="22"/>
      <c r="AE117" s="22"/>
      <c r="AF117" s="22"/>
      <c r="AG117" s="22"/>
      <c r="AH117" s="22"/>
      <c r="AI117" s="22"/>
      <c r="AJ117" s="22"/>
      <c r="AK117" s="22"/>
      <c r="AL117" s="22"/>
      <c r="AM117" s="22"/>
      <c r="AN117" s="22"/>
      <c r="AO117" s="22"/>
      <c r="AP117" s="22"/>
      <c r="AQ117" s="22"/>
      <c r="AR117" s="22"/>
    </row>
    <row r="118" spans="1:44" hidden="1" x14ac:dyDescent="0.25">
      <c r="A118" s="16"/>
      <c r="B118" s="3" t="s">
        <v>180</v>
      </c>
      <c r="C118" s="3" t="s">
        <v>188</v>
      </c>
      <c r="D118" s="11" t="s">
        <v>8</v>
      </c>
      <c r="E118" s="107">
        <v>74.863791220861202</v>
      </c>
      <c r="F118" s="108">
        <v>117.31959583544327</v>
      </c>
      <c r="G118" s="109">
        <v>152.36599091612507</v>
      </c>
      <c r="H118" s="114"/>
      <c r="I118" s="113">
        <v>6.1320000000000006</v>
      </c>
      <c r="J118" s="114">
        <v>11.31</v>
      </c>
      <c r="K118" s="109">
        <v>12.15</v>
      </c>
      <c r="L118" s="114"/>
      <c r="M118" s="113">
        <v>17.907119999999999</v>
      </c>
      <c r="N118" s="114">
        <v>18.3141</v>
      </c>
      <c r="O118" s="109">
        <v>20.116439999999997</v>
      </c>
      <c r="P118" s="119"/>
      <c r="Q118" s="120">
        <v>0.05</v>
      </c>
      <c r="R118" s="120">
        <v>0.02</v>
      </c>
      <c r="S118" s="120">
        <v>0.04</v>
      </c>
      <c r="T118" s="120">
        <v>0.02</v>
      </c>
      <c r="U118" s="120">
        <v>0.02</v>
      </c>
      <c r="V118" s="121">
        <f t="shared" si="18"/>
        <v>0</v>
      </c>
      <c r="W118" s="119"/>
      <c r="X118" s="113">
        <f t="shared" si="12"/>
        <v>98.902911220861199</v>
      </c>
      <c r="Y118" s="113">
        <f t="shared" si="13"/>
        <v>146.94369583544326</v>
      </c>
      <c r="Z118" s="113">
        <f t="shared" si="14"/>
        <v>184.63243091612509</v>
      </c>
      <c r="AA118" s="22"/>
      <c r="AB118" s="22"/>
      <c r="AC118" s="22"/>
      <c r="AD118" s="22"/>
      <c r="AE118" s="22"/>
      <c r="AF118" s="22"/>
      <c r="AG118" s="22"/>
      <c r="AH118" s="22"/>
      <c r="AI118" s="22"/>
      <c r="AJ118" s="22"/>
      <c r="AK118" s="22"/>
      <c r="AL118" s="22"/>
      <c r="AM118" s="22"/>
      <c r="AN118" s="22"/>
      <c r="AO118" s="22"/>
      <c r="AP118" s="22"/>
      <c r="AQ118" s="22"/>
      <c r="AR118" s="22"/>
    </row>
    <row r="119" spans="1:44" hidden="1" x14ac:dyDescent="0.25">
      <c r="A119" s="16"/>
      <c r="B119" s="3" t="s">
        <v>180</v>
      </c>
      <c r="C119" s="3" t="s">
        <v>189</v>
      </c>
      <c r="D119" s="11" t="s">
        <v>8</v>
      </c>
      <c r="E119" s="107">
        <v>76.460749725763691</v>
      </c>
      <c r="F119" s="108">
        <v>110.76680552597055</v>
      </c>
      <c r="G119" s="109">
        <v>147.74989374464377</v>
      </c>
      <c r="H119" s="114"/>
      <c r="I119" s="113">
        <v>6.3364000000000003</v>
      </c>
      <c r="J119" s="114">
        <v>11.687000000000001</v>
      </c>
      <c r="K119" s="109">
        <v>12.555</v>
      </c>
      <c r="L119" s="114"/>
      <c r="M119" s="113">
        <v>17.592960000000001</v>
      </c>
      <c r="N119" s="114">
        <v>17.992800000000003</v>
      </c>
      <c r="O119" s="109">
        <v>19.763520000000003</v>
      </c>
      <c r="P119" s="119"/>
      <c r="Q119" s="120">
        <v>0.05</v>
      </c>
      <c r="R119" s="120">
        <v>0.02</v>
      </c>
      <c r="S119" s="120">
        <v>0.04</v>
      </c>
      <c r="T119" s="120">
        <v>0.02</v>
      </c>
      <c r="U119" s="120">
        <v>0.02</v>
      </c>
      <c r="V119" s="121">
        <f t="shared" si="18"/>
        <v>0</v>
      </c>
      <c r="W119" s="119"/>
      <c r="X119" s="113">
        <f t="shared" si="12"/>
        <v>100.39010972576369</v>
      </c>
      <c r="Y119" s="113">
        <f t="shared" si="13"/>
        <v>140.44660552597054</v>
      </c>
      <c r="Z119" s="113">
        <f t="shared" si="14"/>
        <v>180.06841374464378</v>
      </c>
      <c r="AA119" s="22"/>
      <c r="AB119" s="22"/>
      <c r="AC119" s="22"/>
      <c r="AD119" s="22"/>
      <c r="AE119" s="22"/>
      <c r="AF119" s="22"/>
      <c r="AG119" s="22"/>
      <c r="AH119" s="22"/>
      <c r="AI119" s="22"/>
      <c r="AJ119" s="22"/>
      <c r="AK119" s="22"/>
      <c r="AL119" s="22"/>
      <c r="AM119" s="22"/>
      <c r="AN119" s="22"/>
      <c r="AO119" s="22"/>
      <c r="AP119" s="22"/>
      <c r="AQ119" s="22"/>
      <c r="AR119" s="22"/>
    </row>
    <row r="120" spans="1:44" hidden="1" x14ac:dyDescent="0.25">
      <c r="A120" s="16"/>
      <c r="B120" s="3" t="s">
        <v>190</v>
      </c>
      <c r="C120" s="3" t="s">
        <v>191</v>
      </c>
      <c r="D120" s="11" t="s">
        <v>8</v>
      </c>
      <c r="E120" s="107">
        <v>38.701550376763777</v>
      </c>
      <c r="F120" s="108">
        <v>53.759423459899288</v>
      </c>
      <c r="G120" s="109">
        <v>65.306664200214072</v>
      </c>
      <c r="H120" s="114"/>
      <c r="I120" s="113">
        <v>2.7594000000000003</v>
      </c>
      <c r="J120" s="114">
        <v>5.089500000000001</v>
      </c>
      <c r="K120" s="109">
        <v>5.4675000000000002</v>
      </c>
      <c r="L120" s="114"/>
      <c r="M120" s="113">
        <v>9.237008360095988</v>
      </c>
      <c r="N120" s="114">
        <v>9.4469403682799875</v>
      </c>
      <c r="O120" s="109">
        <v>10.376639261666272</v>
      </c>
      <c r="P120" s="119"/>
      <c r="Q120" s="120">
        <v>0.03</v>
      </c>
      <c r="R120" s="120">
        <v>1.4999999999999999E-2</v>
      </c>
      <c r="S120" s="120">
        <v>0.05</v>
      </c>
      <c r="T120" s="120">
        <v>2.5000000000000001E-2</v>
      </c>
      <c r="U120" s="120">
        <v>0.03</v>
      </c>
      <c r="V120" s="121">
        <f t="shared" si="18"/>
        <v>0</v>
      </c>
      <c r="W120" s="119"/>
      <c r="X120" s="113">
        <f t="shared" si="12"/>
        <v>50.697958736859761</v>
      </c>
      <c r="Y120" s="113">
        <f t="shared" si="13"/>
        <v>68.295863828179279</v>
      </c>
      <c r="Z120" s="113">
        <f t="shared" si="14"/>
        <v>81.150803461880344</v>
      </c>
      <c r="AA120" s="22"/>
      <c r="AB120" s="22"/>
      <c r="AC120" s="22"/>
      <c r="AD120" s="22"/>
      <c r="AE120" s="22"/>
      <c r="AF120" s="22"/>
      <c r="AG120" s="22"/>
      <c r="AH120" s="22"/>
      <c r="AI120" s="22"/>
      <c r="AJ120" s="22"/>
      <c r="AK120" s="22"/>
      <c r="AL120" s="22"/>
      <c r="AM120" s="22"/>
      <c r="AN120" s="22"/>
      <c r="AO120" s="22"/>
      <c r="AP120" s="22"/>
      <c r="AQ120" s="22"/>
      <c r="AR120" s="22"/>
    </row>
    <row r="121" spans="1:44" hidden="1" x14ac:dyDescent="0.25">
      <c r="A121" s="21"/>
      <c r="B121" s="3" t="s">
        <v>190</v>
      </c>
      <c r="C121" s="3" t="s">
        <v>192</v>
      </c>
      <c r="D121" s="11" t="s">
        <v>8</v>
      </c>
      <c r="E121" s="107">
        <v>38.318366709667103</v>
      </c>
      <c r="F121" s="108">
        <v>53.227151940494345</v>
      </c>
      <c r="G121" s="109">
        <v>64.660063564568389</v>
      </c>
      <c r="H121" s="114"/>
      <c r="I121" s="113">
        <v>2.7594000000000003</v>
      </c>
      <c r="J121" s="114">
        <v>5.089500000000001</v>
      </c>
      <c r="K121" s="109">
        <v>5.4675000000000002</v>
      </c>
      <c r="L121" s="114"/>
      <c r="M121" s="113">
        <v>9.1455528317782058</v>
      </c>
      <c r="N121" s="114">
        <v>9.3534063052277094</v>
      </c>
      <c r="O121" s="109">
        <v>10.273900259075516</v>
      </c>
      <c r="P121" s="119"/>
      <c r="Q121" s="120">
        <v>0.03</v>
      </c>
      <c r="R121" s="120">
        <v>1.4999999999999999E-2</v>
      </c>
      <c r="S121" s="120">
        <v>0.05</v>
      </c>
      <c r="T121" s="120">
        <v>2.5000000000000001E-2</v>
      </c>
      <c r="U121" s="120">
        <v>0.03</v>
      </c>
      <c r="V121" s="121">
        <f t="shared" si="18"/>
        <v>0</v>
      </c>
      <c r="W121" s="119"/>
      <c r="X121" s="113">
        <f t="shared" si="12"/>
        <v>50.223319541445306</v>
      </c>
      <c r="Y121" s="113">
        <f t="shared" si="13"/>
        <v>67.670058245722061</v>
      </c>
      <c r="Z121" s="113">
        <f t="shared" si="14"/>
        <v>80.401463823643908</v>
      </c>
      <c r="AA121" s="22"/>
      <c r="AB121" s="22"/>
      <c r="AC121" s="22"/>
      <c r="AD121" s="22"/>
      <c r="AE121" s="22"/>
      <c r="AF121" s="22"/>
      <c r="AG121" s="22"/>
      <c r="AH121" s="22"/>
      <c r="AI121" s="22"/>
      <c r="AJ121" s="22"/>
      <c r="AK121" s="22"/>
      <c r="AL121" s="22"/>
      <c r="AM121" s="22"/>
      <c r="AN121" s="22"/>
      <c r="AO121" s="22"/>
      <c r="AP121" s="22"/>
      <c r="AQ121" s="22"/>
      <c r="AR121" s="22"/>
    </row>
    <row r="122" spans="1:44" hidden="1" x14ac:dyDescent="0.25">
      <c r="A122" s="21"/>
      <c r="B122" s="3" t="s">
        <v>190</v>
      </c>
      <c r="C122" s="3" t="s">
        <v>193</v>
      </c>
      <c r="D122" s="11" t="s">
        <v>8</v>
      </c>
      <c r="E122" s="107">
        <v>38.318366709667103</v>
      </c>
      <c r="F122" s="108">
        <v>53.227151940494345</v>
      </c>
      <c r="G122" s="109">
        <v>64.660063564568389</v>
      </c>
      <c r="H122" s="114"/>
      <c r="I122" s="113">
        <v>2.7594000000000003</v>
      </c>
      <c r="J122" s="114">
        <v>5.089500000000001</v>
      </c>
      <c r="K122" s="109">
        <v>5.4675000000000002</v>
      </c>
      <c r="L122" s="114"/>
      <c r="M122" s="113">
        <v>9.1455528317782058</v>
      </c>
      <c r="N122" s="114">
        <v>9.3534063052277094</v>
      </c>
      <c r="O122" s="109">
        <v>10.273900259075516</v>
      </c>
      <c r="P122" s="119"/>
      <c r="Q122" s="120">
        <v>0.03</v>
      </c>
      <c r="R122" s="120">
        <v>1.4999999999999999E-2</v>
      </c>
      <c r="S122" s="120">
        <v>0.05</v>
      </c>
      <c r="T122" s="120">
        <v>2.5000000000000001E-2</v>
      </c>
      <c r="U122" s="120">
        <v>0.03</v>
      </c>
      <c r="V122" s="121">
        <f t="shared" si="18"/>
        <v>0</v>
      </c>
      <c r="W122" s="119"/>
      <c r="X122" s="113">
        <f t="shared" si="12"/>
        <v>50.223319541445306</v>
      </c>
      <c r="Y122" s="113">
        <f t="shared" si="13"/>
        <v>67.670058245722061</v>
      </c>
      <c r="Z122" s="113">
        <f t="shared" si="14"/>
        <v>80.401463823643908</v>
      </c>
      <c r="AA122" s="22"/>
      <c r="AB122" s="22"/>
      <c r="AC122" s="22"/>
      <c r="AD122" s="22"/>
      <c r="AE122" s="22"/>
      <c r="AF122" s="22"/>
      <c r="AG122" s="22"/>
      <c r="AH122" s="22"/>
      <c r="AI122" s="22"/>
      <c r="AJ122" s="22"/>
      <c r="AK122" s="22"/>
      <c r="AL122" s="22"/>
      <c r="AM122" s="22"/>
      <c r="AN122" s="22"/>
      <c r="AO122" s="22"/>
      <c r="AP122" s="22"/>
      <c r="AQ122" s="22"/>
      <c r="AR122" s="22"/>
    </row>
    <row r="123" spans="1:44" hidden="1" x14ac:dyDescent="0.25">
      <c r="A123" s="21"/>
      <c r="B123" s="3" t="s">
        <v>190</v>
      </c>
      <c r="C123" s="3" t="s">
        <v>194</v>
      </c>
      <c r="D123" s="11" t="s">
        <v>8</v>
      </c>
      <c r="E123" s="107">
        <v>37.94269644780762</v>
      </c>
      <c r="F123" s="108">
        <v>52.705317117548319</v>
      </c>
      <c r="G123" s="109">
        <v>64.0261413727589</v>
      </c>
      <c r="H123" s="114"/>
      <c r="I123" s="113">
        <v>2.7594000000000003</v>
      </c>
      <c r="J123" s="114">
        <v>5.089500000000001</v>
      </c>
      <c r="K123" s="109">
        <v>5.4675000000000002</v>
      </c>
      <c r="L123" s="114"/>
      <c r="M123" s="113">
        <v>9.0558905491137143</v>
      </c>
      <c r="N123" s="114">
        <v>9.2617062434117514</v>
      </c>
      <c r="O123" s="109">
        <v>10.173175746731639</v>
      </c>
      <c r="P123" s="119"/>
      <c r="Q123" s="120">
        <v>0.03</v>
      </c>
      <c r="R123" s="120">
        <v>1.4999999999999999E-2</v>
      </c>
      <c r="S123" s="120">
        <v>0.05</v>
      </c>
      <c r="T123" s="120">
        <v>2.5000000000000001E-2</v>
      </c>
      <c r="U123" s="120">
        <v>0.03</v>
      </c>
      <c r="V123" s="121">
        <f t="shared" si="18"/>
        <v>0</v>
      </c>
      <c r="W123" s="119"/>
      <c r="X123" s="113">
        <f t="shared" si="12"/>
        <v>49.757986996921332</v>
      </c>
      <c r="Y123" s="113">
        <f t="shared" si="13"/>
        <v>67.056523360960071</v>
      </c>
      <c r="Z123" s="113">
        <f t="shared" si="14"/>
        <v>79.666817119490545</v>
      </c>
      <c r="AA123" s="22"/>
      <c r="AB123" s="22"/>
      <c r="AC123" s="22"/>
      <c r="AD123" s="22"/>
      <c r="AE123" s="22"/>
      <c r="AF123" s="22"/>
      <c r="AG123" s="22"/>
      <c r="AH123" s="22"/>
      <c r="AI123" s="22"/>
      <c r="AJ123" s="22"/>
      <c r="AK123" s="22"/>
      <c r="AL123" s="22"/>
      <c r="AM123" s="22"/>
      <c r="AN123" s="22"/>
      <c r="AO123" s="22"/>
      <c r="AP123" s="22"/>
      <c r="AQ123" s="22"/>
      <c r="AR123" s="22"/>
    </row>
    <row r="124" spans="1:44" hidden="1" x14ac:dyDescent="0.25">
      <c r="A124" s="21"/>
      <c r="B124" s="3" t="s">
        <v>190</v>
      </c>
      <c r="C124" s="3" t="s">
        <v>195</v>
      </c>
      <c r="D124" s="11" t="s">
        <v>8</v>
      </c>
      <c r="E124" s="107">
        <v>41.797674406904882</v>
      </c>
      <c r="F124" s="108">
        <v>58.06017733669124</v>
      </c>
      <c r="G124" s="109">
        <v>70.531197336231202</v>
      </c>
      <c r="H124" s="114"/>
      <c r="I124" s="113">
        <v>3.0660000000000003</v>
      </c>
      <c r="J124" s="114">
        <v>5.6550000000000002</v>
      </c>
      <c r="K124" s="109">
        <v>6.0750000000000002</v>
      </c>
      <c r="L124" s="114"/>
      <c r="M124" s="113">
        <v>9.975969028903668</v>
      </c>
      <c r="N124" s="114">
        <v>10.202695597742387</v>
      </c>
      <c r="O124" s="109">
        <v>11.206770402599574</v>
      </c>
      <c r="P124" s="119"/>
      <c r="Q124" s="120">
        <v>0.03</v>
      </c>
      <c r="R124" s="120">
        <v>1.4999999999999999E-2</v>
      </c>
      <c r="S124" s="120">
        <v>0.05</v>
      </c>
      <c r="T124" s="120">
        <v>2.5000000000000001E-2</v>
      </c>
      <c r="U124" s="120">
        <v>0.03</v>
      </c>
      <c r="V124" s="121">
        <f t="shared" si="18"/>
        <v>0</v>
      </c>
      <c r="W124" s="119"/>
      <c r="X124" s="113">
        <f t="shared" si="12"/>
        <v>54.839643435808554</v>
      </c>
      <c r="Y124" s="113">
        <f t="shared" si="13"/>
        <v>73.917872934433632</v>
      </c>
      <c r="Z124" s="113">
        <f t="shared" si="14"/>
        <v>87.812967738830778</v>
      </c>
      <c r="AA124" s="22"/>
      <c r="AB124" s="22"/>
      <c r="AC124" s="22"/>
      <c r="AD124" s="22"/>
      <c r="AE124" s="22"/>
      <c r="AF124" s="22"/>
      <c r="AG124" s="22"/>
      <c r="AH124" s="22"/>
      <c r="AI124" s="22"/>
      <c r="AJ124" s="22"/>
      <c r="AK124" s="22"/>
      <c r="AL124" s="22"/>
      <c r="AM124" s="22"/>
      <c r="AN124" s="22"/>
      <c r="AO124" s="22"/>
      <c r="AP124" s="22"/>
      <c r="AQ124" s="22"/>
      <c r="AR124" s="22"/>
    </row>
    <row r="125" spans="1:44" hidden="1" x14ac:dyDescent="0.25">
      <c r="A125" s="21"/>
      <c r="B125" s="3" t="s">
        <v>190</v>
      </c>
      <c r="C125" s="3" t="s">
        <v>196</v>
      </c>
      <c r="D125" s="11" t="s">
        <v>8</v>
      </c>
      <c r="E125" s="107">
        <v>40.636627895601961</v>
      </c>
      <c r="F125" s="108">
        <v>56.447394632894252</v>
      </c>
      <c r="G125" s="109">
        <v>68.571997410224782</v>
      </c>
      <c r="H125" s="114"/>
      <c r="I125" s="113">
        <v>2.9638</v>
      </c>
      <c r="J125" s="114">
        <v>5.4664999999999999</v>
      </c>
      <c r="K125" s="109">
        <v>5.8724999999999996</v>
      </c>
      <c r="L125" s="114"/>
      <c r="M125" s="113">
        <v>9.6988587781007887</v>
      </c>
      <c r="N125" s="114">
        <v>9.9192873866939877</v>
      </c>
      <c r="O125" s="109">
        <v>10.895471224749587</v>
      </c>
      <c r="P125" s="119"/>
      <c r="Q125" s="120">
        <v>0.03</v>
      </c>
      <c r="R125" s="120">
        <v>1.4999999999999999E-2</v>
      </c>
      <c r="S125" s="120">
        <v>0.05</v>
      </c>
      <c r="T125" s="120">
        <v>2.5000000000000001E-2</v>
      </c>
      <c r="U125" s="120">
        <v>0.03</v>
      </c>
      <c r="V125" s="121">
        <f t="shared" si="18"/>
        <v>0</v>
      </c>
      <c r="W125" s="119"/>
      <c r="X125" s="113">
        <f t="shared" si="12"/>
        <v>53.299286673702753</v>
      </c>
      <c r="Y125" s="113">
        <f t="shared" si="13"/>
        <v>71.833182019588236</v>
      </c>
      <c r="Z125" s="113">
        <f t="shared" si="14"/>
        <v>85.339968634974369</v>
      </c>
      <c r="AA125" s="22"/>
      <c r="AB125" s="22"/>
      <c r="AC125" s="22"/>
      <c r="AD125" s="22"/>
      <c r="AE125" s="22"/>
      <c r="AF125" s="22"/>
      <c r="AG125" s="22"/>
      <c r="AH125" s="22"/>
      <c r="AI125" s="22"/>
      <c r="AJ125" s="22"/>
      <c r="AK125" s="22"/>
      <c r="AL125" s="22"/>
      <c r="AM125" s="22"/>
      <c r="AN125" s="22"/>
      <c r="AO125" s="22"/>
      <c r="AP125" s="22"/>
      <c r="AQ125" s="22"/>
      <c r="AR125" s="22"/>
    </row>
    <row r="126" spans="1:44" hidden="1" x14ac:dyDescent="0.25">
      <c r="A126" s="21"/>
      <c r="B126" s="3" t="s">
        <v>190</v>
      </c>
      <c r="C126" s="3" t="s">
        <v>197</v>
      </c>
      <c r="D126" s="11" t="s">
        <v>8</v>
      </c>
      <c r="E126" s="107">
        <v>38.318366709667103</v>
      </c>
      <c r="F126" s="108">
        <v>53.227151940494345</v>
      </c>
      <c r="G126" s="109">
        <v>64.660063564568389</v>
      </c>
      <c r="H126" s="114"/>
      <c r="I126" s="113">
        <v>2.7594000000000003</v>
      </c>
      <c r="J126" s="114">
        <v>5.089500000000001</v>
      </c>
      <c r="K126" s="109">
        <v>5.4675000000000002</v>
      </c>
      <c r="L126" s="114"/>
      <c r="M126" s="113">
        <v>9.1455528317782058</v>
      </c>
      <c r="N126" s="114">
        <v>9.3534063052277094</v>
      </c>
      <c r="O126" s="109">
        <v>10.273900259075516</v>
      </c>
      <c r="P126" s="119"/>
      <c r="Q126" s="120">
        <v>0.03</v>
      </c>
      <c r="R126" s="120">
        <v>1.4999999999999999E-2</v>
      </c>
      <c r="S126" s="120">
        <v>0.05</v>
      </c>
      <c r="T126" s="120">
        <v>2.5000000000000001E-2</v>
      </c>
      <c r="U126" s="120">
        <v>0.03</v>
      </c>
      <c r="V126" s="121">
        <f t="shared" si="18"/>
        <v>0</v>
      </c>
      <c r="W126" s="119"/>
      <c r="X126" s="113">
        <f t="shared" si="12"/>
        <v>50.223319541445306</v>
      </c>
      <c r="Y126" s="113">
        <f t="shared" si="13"/>
        <v>67.670058245722061</v>
      </c>
      <c r="Z126" s="113">
        <f t="shared" si="14"/>
        <v>80.401463823643908</v>
      </c>
      <c r="AA126" s="22"/>
      <c r="AB126" s="22"/>
      <c r="AC126" s="22"/>
      <c r="AD126" s="22"/>
      <c r="AE126" s="22"/>
      <c r="AF126" s="22"/>
      <c r="AG126" s="22"/>
      <c r="AH126" s="22"/>
      <c r="AI126" s="22"/>
      <c r="AJ126" s="22"/>
      <c r="AK126" s="22"/>
      <c r="AL126" s="22"/>
      <c r="AM126" s="22"/>
      <c r="AN126" s="22"/>
      <c r="AO126" s="22"/>
      <c r="AP126" s="22"/>
      <c r="AQ126" s="22"/>
      <c r="AR126" s="22"/>
    </row>
    <row r="127" spans="1:44" hidden="1" x14ac:dyDescent="0.25">
      <c r="A127" s="16"/>
      <c r="B127" s="3" t="s">
        <v>198</v>
      </c>
      <c r="C127" s="3" t="s">
        <v>199</v>
      </c>
      <c r="D127" s="11" t="s">
        <v>8</v>
      </c>
      <c r="E127" s="107">
        <v>65.544714226911367</v>
      </c>
      <c r="F127" s="108">
        <v>75.396370947331363</v>
      </c>
      <c r="G127" s="109">
        <v>100.58673770832667</v>
      </c>
      <c r="H127" s="114"/>
      <c r="I127" s="113">
        <v>4.8033999999999999</v>
      </c>
      <c r="J127" s="114">
        <v>8.8595000000000006</v>
      </c>
      <c r="K127" s="109">
        <v>9.5175000000000001</v>
      </c>
      <c r="L127" s="114"/>
      <c r="M127" s="113">
        <v>15.523199999999999</v>
      </c>
      <c r="N127" s="114">
        <v>15.875999999999999</v>
      </c>
      <c r="O127" s="109">
        <v>17.438400000000001</v>
      </c>
      <c r="P127" s="119"/>
      <c r="Q127" s="120">
        <v>2.1000000000000001E-2</v>
      </c>
      <c r="R127" s="120">
        <v>1.4E-2</v>
      </c>
      <c r="S127" s="120">
        <v>2.1000000000000001E-2</v>
      </c>
      <c r="T127" s="120">
        <v>1.4E-2</v>
      </c>
      <c r="U127" s="120">
        <v>3.5000000000000003E-2</v>
      </c>
      <c r="V127" s="121">
        <f>SUBTOTAL(9,Q127:U127)</f>
        <v>0</v>
      </c>
      <c r="W127" s="119"/>
      <c r="X127" s="113">
        <f t="shared" si="12"/>
        <v>85.871314226911366</v>
      </c>
      <c r="Y127" s="113">
        <f t="shared" si="13"/>
        <v>100.13187094733136</v>
      </c>
      <c r="Z127" s="113">
        <f t="shared" si="14"/>
        <v>127.54263770832667</v>
      </c>
      <c r="AA127" s="22"/>
      <c r="AB127" s="22"/>
      <c r="AC127" s="22"/>
      <c r="AD127" s="22"/>
      <c r="AE127" s="22"/>
      <c r="AF127" s="22"/>
      <c r="AG127" s="22"/>
      <c r="AH127" s="22"/>
      <c r="AI127" s="22"/>
      <c r="AJ127" s="22"/>
      <c r="AK127" s="22"/>
      <c r="AL127" s="22"/>
      <c r="AM127" s="22"/>
      <c r="AN127" s="22"/>
      <c r="AO127" s="22"/>
      <c r="AP127" s="22"/>
      <c r="AQ127" s="22"/>
      <c r="AR127" s="22"/>
    </row>
    <row r="128" spans="1:44" hidden="1" x14ac:dyDescent="0.25">
      <c r="A128" s="16"/>
      <c r="B128" s="3" t="s">
        <v>200</v>
      </c>
      <c r="C128" s="3" t="s">
        <v>201</v>
      </c>
      <c r="D128" s="11" t="s">
        <v>8</v>
      </c>
      <c r="E128" s="107">
        <v>145.07544612362477</v>
      </c>
      <c r="F128" s="108">
        <v>194.97033477404946</v>
      </c>
      <c r="G128" s="109">
        <v>224.26730800901808</v>
      </c>
      <c r="H128" s="114"/>
      <c r="I128" s="113">
        <v>10.979319839327397</v>
      </c>
      <c r="J128" s="114">
        <v>20.250506748661589</v>
      </c>
      <c r="K128" s="109">
        <v>21.754523165007807</v>
      </c>
      <c r="L128" s="114"/>
      <c r="M128" s="113">
        <v>35.135792447799844</v>
      </c>
      <c r="N128" s="114">
        <v>35.934333185249841</v>
      </c>
      <c r="O128" s="109">
        <v>39.470727879671259</v>
      </c>
      <c r="P128" s="119"/>
      <c r="Q128" s="120">
        <v>0.1</v>
      </c>
      <c r="R128" s="120">
        <v>0.02</v>
      </c>
      <c r="S128" s="120">
        <v>0.1</v>
      </c>
      <c r="T128" s="120">
        <v>0.02</v>
      </c>
      <c r="U128" s="120">
        <v>2.5000000000000001E-2</v>
      </c>
      <c r="V128" s="121">
        <f t="shared" si="18"/>
        <v>0</v>
      </c>
      <c r="W128" s="119"/>
      <c r="X128" s="113">
        <f t="shared" si="12"/>
        <v>191.190558410752</v>
      </c>
      <c r="Y128" s="113">
        <f t="shared" si="13"/>
        <v>251.1551747079609</v>
      </c>
      <c r="Z128" s="113">
        <f t="shared" si="14"/>
        <v>285.49255905369716</v>
      </c>
      <c r="AA128" s="22"/>
      <c r="AB128" s="22"/>
      <c r="AC128" s="22"/>
      <c r="AD128" s="22"/>
      <c r="AE128" s="22"/>
      <c r="AF128" s="22"/>
      <c r="AG128" s="22"/>
      <c r="AH128" s="22"/>
      <c r="AI128" s="22"/>
      <c r="AJ128" s="22"/>
      <c r="AK128" s="22"/>
      <c r="AL128" s="22"/>
      <c r="AM128" s="22"/>
      <c r="AN128" s="22"/>
      <c r="AO128" s="22"/>
      <c r="AP128" s="22"/>
      <c r="AQ128" s="22"/>
      <c r="AR128" s="22"/>
    </row>
    <row r="129" spans="1:44" hidden="1" x14ac:dyDescent="0.25">
      <c r="A129" s="16"/>
      <c r="B129" s="3" t="s">
        <v>202</v>
      </c>
      <c r="C129" s="3" t="s">
        <v>203</v>
      </c>
      <c r="D129" s="11" t="s">
        <v>8</v>
      </c>
      <c r="E129" s="107">
        <v>64.093133858594669</v>
      </c>
      <c r="F129" s="108">
        <v>91.341673601331706</v>
      </c>
      <c r="G129" s="109">
        <v>109.37607676217431</v>
      </c>
      <c r="H129" s="114"/>
      <c r="I129" s="113">
        <v>4.7890959386811893</v>
      </c>
      <c r="J129" s="114">
        <v>8.8331172645929961</v>
      </c>
      <c r="K129" s="109">
        <v>9.4891578041383635</v>
      </c>
      <c r="L129" s="114"/>
      <c r="M129" s="113">
        <v>15.554711608987052</v>
      </c>
      <c r="N129" s="114">
        <v>15.908227781918574</v>
      </c>
      <c r="O129" s="109">
        <v>17.473799404901037</v>
      </c>
      <c r="P129" s="119"/>
      <c r="Q129" s="120">
        <v>0.03</v>
      </c>
      <c r="R129" s="120">
        <v>1.4999999999999999E-2</v>
      </c>
      <c r="S129" s="120">
        <v>0.02</v>
      </c>
      <c r="T129" s="120">
        <v>0.01</v>
      </c>
      <c r="U129" s="120">
        <v>5.0000000000000001E-3</v>
      </c>
      <c r="V129" s="121">
        <f>SUBTOTAL(9,Q129:U129)</f>
        <v>0</v>
      </c>
      <c r="W129" s="119"/>
      <c r="X129" s="113">
        <f t="shared" si="12"/>
        <v>84.436941406262903</v>
      </c>
      <c r="Y129" s="113">
        <f t="shared" si="13"/>
        <v>116.08301864784328</v>
      </c>
      <c r="Z129" s="113">
        <f t="shared" si="14"/>
        <v>136.33903397121369</v>
      </c>
      <c r="AA129" s="22"/>
      <c r="AB129" s="22"/>
      <c r="AC129" s="22"/>
      <c r="AD129" s="22"/>
      <c r="AE129" s="22"/>
      <c r="AF129" s="22"/>
      <c r="AG129" s="22"/>
      <c r="AH129" s="22"/>
      <c r="AI129" s="22"/>
      <c r="AJ129" s="22"/>
      <c r="AK129" s="22"/>
      <c r="AL129" s="22"/>
      <c r="AM129" s="22"/>
      <c r="AN129" s="22"/>
      <c r="AO129" s="22"/>
      <c r="AP129" s="22"/>
      <c r="AQ129" s="22"/>
      <c r="AR129" s="22"/>
    </row>
    <row r="130" spans="1:44" hidden="1" x14ac:dyDescent="0.25">
      <c r="A130" s="16"/>
      <c r="B130" s="3" t="s">
        <v>204</v>
      </c>
      <c r="C130" s="3" t="s">
        <v>205</v>
      </c>
      <c r="D130" s="11" t="s">
        <v>8</v>
      </c>
      <c r="E130" s="107">
        <v>68.85921779842505</v>
      </c>
      <c r="F130" s="108">
        <v>98.274664144444458</v>
      </c>
      <c r="G130" s="109">
        <v>126.29577633682811</v>
      </c>
      <c r="H130" s="114"/>
      <c r="I130" s="113">
        <v>6.4794654517181263</v>
      </c>
      <c r="J130" s="114">
        <v>11.950873166818658</v>
      </c>
      <c r="K130" s="109">
        <v>12.838471173903333</v>
      </c>
      <c r="L130" s="114"/>
      <c r="M130" s="113">
        <v>21.767065931055768</v>
      </c>
      <c r="N130" s="114">
        <v>22.261771974943393</v>
      </c>
      <c r="O130" s="109">
        <v>24.452613026445764</v>
      </c>
      <c r="P130" s="119"/>
      <c r="Q130" s="120">
        <v>0.04</v>
      </c>
      <c r="R130" s="120">
        <v>0.03</v>
      </c>
      <c r="S130" s="120">
        <v>0.04</v>
      </c>
      <c r="T130" s="120">
        <v>0.02</v>
      </c>
      <c r="U130" s="120">
        <v>0.02</v>
      </c>
      <c r="V130" s="121">
        <f t="shared" si="18"/>
        <v>0</v>
      </c>
      <c r="W130" s="119"/>
      <c r="X130" s="113">
        <f t="shared" si="12"/>
        <v>97.105749181198945</v>
      </c>
      <c r="Y130" s="113">
        <f t="shared" si="13"/>
        <v>132.48730928620651</v>
      </c>
      <c r="Z130" s="113">
        <f t="shared" si="14"/>
        <v>163.58686053717722</v>
      </c>
      <c r="AA130" s="22"/>
      <c r="AB130" s="22"/>
      <c r="AC130" s="22"/>
      <c r="AD130" s="22"/>
      <c r="AE130" s="22"/>
      <c r="AF130" s="22"/>
      <c r="AG130" s="22"/>
      <c r="AH130" s="22"/>
      <c r="AI130" s="22"/>
      <c r="AJ130" s="22"/>
      <c r="AK130" s="22"/>
      <c r="AL130" s="22"/>
      <c r="AM130" s="22"/>
      <c r="AN130" s="22"/>
      <c r="AO130" s="22"/>
      <c r="AP130" s="22"/>
      <c r="AQ130" s="22"/>
      <c r="AR130" s="22"/>
    </row>
    <row r="131" spans="1:44" hidden="1" x14ac:dyDescent="0.25">
      <c r="A131" s="16"/>
      <c r="B131" s="3" t="s">
        <v>206</v>
      </c>
      <c r="C131" s="3" t="s">
        <v>207</v>
      </c>
      <c r="D131" s="11" t="s">
        <v>8</v>
      </c>
      <c r="E131" s="107">
        <v>69.192983495502574</v>
      </c>
      <c r="F131" s="108">
        <v>71.67000249036748</v>
      </c>
      <c r="G131" s="109">
        <v>77.8012598459012</v>
      </c>
      <c r="H131" s="114"/>
      <c r="I131" s="113">
        <v>3.577</v>
      </c>
      <c r="J131" s="114">
        <v>6.5975000000000001</v>
      </c>
      <c r="K131" s="109">
        <v>7.0874999999999995</v>
      </c>
      <c r="L131" s="114"/>
      <c r="M131" s="113">
        <v>11.858000000000001</v>
      </c>
      <c r="N131" s="114">
        <v>12.1275</v>
      </c>
      <c r="O131" s="109">
        <v>13.321</v>
      </c>
      <c r="P131" s="119"/>
      <c r="Q131" s="120">
        <v>0.02</v>
      </c>
      <c r="R131" s="120">
        <v>1.4999999999999999E-2</v>
      </c>
      <c r="S131" s="120">
        <v>1.4999999999999999E-2</v>
      </c>
      <c r="T131" s="122" t="s">
        <v>251</v>
      </c>
      <c r="U131" s="122" t="s">
        <v>250</v>
      </c>
      <c r="V131" s="121">
        <f>SUBTOTAL(9,Q131:U131)</f>
        <v>0</v>
      </c>
      <c r="W131" s="119"/>
      <c r="X131" s="113">
        <f t="shared" si="12"/>
        <v>84.627983495502576</v>
      </c>
      <c r="Y131" s="113">
        <f t="shared" si="13"/>
        <v>90.395002490367474</v>
      </c>
      <c r="Z131" s="113">
        <f t="shared" si="14"/>
        <v>98.209759845901203</v>
      </c>
      <c r="AA131" s="22"/>
      <c r="AB131" s="22"/>
      <c r="AC131" s="22"/>
      <c r="AD131" s="22"/>
      <c r="AE131" s="22"/>
      <c r="AF131" s="22"/>
      <c r="AG131" s="22"/>
      <c r="AH131" s="22"/>
      <c r="AI131" s="22"/>
      <c r="AJ131" s="22"/>
      <c r="AK131" s="22"/>
      <c r="AL131" s="22"/>
      <c r="AM131" s="22"/>
      <c r="AN131" s="22"/>
      <c r="AO131" s="22"/>
      <c r="AP131" s="22"/>
      <c r="AQ131" s="22"/>
      <c r="AR131" s="22"/>
    </row>
    <row r="132" spans="1:44" hidden="1" x14ac:dyDescent="0.25">
      <c r="A132" s="16"/>
      <c r="B132" s="3" t="s">
        <v>208</v>
      </c>
      <c r="C132" s="3" t="s">
        <v>209</v>
      </c>
      <c r="D132" s="11" t="s">
        <v>8</v>
      </c>
      <c r="E132" s="107">
        <v>78.906185176708291</v>
      </c>
      <c r="F132" s="108">
        <v>93.914125927369923</v>
      </c>
      <c r="G132" s="109">
        <v>118.93574647681048</v>
      </c>
      <c r="H132" s="114"/>
      <c r="I132" s="113">
        <v>5.1100000000000003</v>
      </c>
      <c r="J132" s="114">
        <v>9.4250000000000007</v>
      </c>
      <c r="K132" s="109">
        <v>10.125</v>
      </c>
      <c r="L132" s="114"/>
      <c r="M132" s="113">
        <v>16.813720000000004</v>
      </c>
      <c r="N132" s="114">
        <v>17.19585</v>
      </c>
      <c r="O132" s="109">
        <v>18.88814</v>
      </c>
      <c r="P132" s="119"/>
      <c r="Q132" s="120">
        <v>0.03</v>
      </c>
      <c r="R132" s="120">
        <v>0.03</v>
      </c>
      <c r="S132" s="120">
        <v>0.03</v>
      </c>
      <c r="T132" s="120">
        <v>0.01</v>
      </c>
      <c r="U132" s="120">
        <v>0.01</v>
      </c>
      <c r="V132" s="121">
        <f t="shared" si="18"/>
        <v>0</v>
      </c>
      <c r="W132" s="119"/>
      <c r="X132" s="113">
        <f t="shared" si="12"/>
        <v>100.82990517670829</v>
      </c>
      <c r="Y132" s="113">
        <f t="shared" si="13"/>
        <v>120.53497592736991</v>
      </c>
      <c r="Z132" s="113">
        <f t="shared" si="14"/>
        <v>147.94888647681049</v>
      </c>
      <c r="AA132" s="22"/>
      <c r="AB132" s="22"/>
      <c r="AC132" s="22"/>
      <c r="AD132" s="22"/>
      <c r="AE132" s="22"/>
      <c r="AF132" s="22"/>
      <c r="AG132" s="22"/>
      <c r="AH132" s="22"/>
      <c r="AI132" s="22"/>
      <c r="AJ132" s="22"/>
      <c r="AK132" s="22"/>
      <c r="AL132" s="22"/>
      <c r="AM132" s="22"/>
      <c r="AN132" s="22"/>
      <c r="AO132" s="22"/>
      <c r="AP132" s="22"/>
      <c r="AQ132" s="22"/>
      <c r="AR132" s="22"/>
    </row>
    <row r="133" spans="1:44" hidden="1" x14ac:dyDescent="0.25">
      <c r="A133" s="16"/>
      <c r="B133" s="3" t="s">
        <v>210</v>
      </c>
      <c r="C133" s="3" t="s">
        <v>210</v>
      </c>
      <c r="D133" s="11" t="s">
        <v>8</v>
      </c>
      <c r="E133" s="107">
        <v>113.36844324784556</v>
      </c>
      <c r="F133" s="108">
        <v>177.17845091436337</v>
      </c>
      <c r="G133" s="109">
        <v>206.0462466144582</v>
      </c>
      <c r="H133" s="114"/>
      <c r="I133" s="113">
        <v>9.1980000000000004</v>
      </c>
      <c r="J133" s="114">
        <v>16.965000000000003</v>
      </c>
      <c r="K133" s="109">
        <v>18.225000000000001</v>
      </c>
      <c r="L133" s="114"/>
      <c r="M133" s="113">
        <v>29.660400000000003</v>
      </c>
      <c r="N133" s="114">
        <v>30.334500000000002</v>
      </c>
      <c r="O133" s="109">
        <v>33.319800000000001</v>
      </c>
      <c r="P133" s="119"/>
      <c r="Q133" s="120">
        <v>7.0000000000000007E-2</v>
      </c>
      <c r="R133" s="120">
        <v>7.0000000000000007E-2</v>
      </c>
      <c r="S133" s="120">
        <v>0.1</v>
      </c>
      <c r="T133" s="120" t="s">
        <v>251</v>
      </c>
      <c r="U133" s="120" t="s">
        <v>250</v>
      </c>
      <c r="V133" s="121">
        <f t="shared" si="18"/>
        <v>0</v>
      </c>
      <c r="W133" s="119"/>
      <c r="X133" s="113">
        <f t="shared" si="12"/>
        <v>152.22684324784558</v>
      </c>
      <c r="Y133" s="113">
        <f t="shared" si="13"/>
        <v>224.47795091436336</v>
      </c>
      <c r="Z133" s="113">
        <f t="shared" si="14"/>
        <v>257.59104661445821</v>
      </c>
      <c r="AA133" s="22"/>
      <c r="AB133" s="22"/>
      <c r="AC133" s="22"/>
      <c r="AD133" s="22"/>
      <c r="AE133" s="22"/>
      <c r="AF133" s="22"/>
      <c r="AG133" s="22"/>
      <c r="AH133" s="22"/>
      <c r="AI133" s="22"/>
      <c r="AJ133" s="22"/>
      <c r="AK133" s="22"/>
      <c r="AL133" s="22"/>
      <c r="AM133" s="22"/>
      <c r="AN133" s="22"/>
      <c r="AO133" s="22"/>
      <c r="AP133" s="22"/>
      <c r="AQ133" s="22"/>
      <c r="AR133" s="22"/>
    </row>
    <row r="134" spans="1:44" hidden="1" x14ac:dyDescent="0.25">
      <c r="A134" s="16"/>
      <c r="B134" s="3" t="s">
        <v>211</v>
      </c>
      <c r="C134" s="3" t="s">
        <v>212</v>
      </c>
      <c r="D134" s="11" t="s">
        <v>8</v>
      </c>
      <c r="E134" s="107">
        <v>83.095294527614357</v>
      </c>
      <c r="F134" s="108">
        <v>115.49444288189687</v>
      </c>
      <c r="G134" s="109">
        <v>123.09142020913055</v>
      </c>
      <c r="H134" s="114"/>
      <c r="I134" s="113">
        <v>6.1320000000000006</v>
      </c>
      <c r="J134" s="114">
        <v>11.31</v>
      </c>
      <c r="K134" s="109">
        <v>12.15</v>
      </c>
      <c r="L134" s="114"/>
      <c r="M134" s="113">
        <v>17.820880000000002</v>
      </c>
      <c r="N134" s="114">
        <v>18.225900000000003</v>
      </c>
      <c r="O134" s="109">
        <v>20.019560000000002</v>
      </c>
      <c r="P134" s="119"/>
      <c r="Q134" s="120">
        <v>0.03</v>
      </c>
      <c r="R134" s="120">
        <v>0.02</v>
      </c>
      <c r="S134" s="120">
        <v>0.04</v>
      </c>
      <c r="T134" s="120">
        <v>1.4999999999999999E-2</v>
      </c>
      <c r="U134" s="120">
        <v>1.4999999999999999E-2</v>
      </c>
      <c r="V134" s="121">
        <f t="shared" si="18"/>
        <v>0</v>
      </c>
      <c r="W134" s="119"/>
      <c r="X134" s="113">
        <f t="shared" si="12"/>
        <v>107.04817452761436</v>
      </c>
      <c r="Y134" s="113">
        <f t="shared" si="13"/>
        <v>145.03034288189687</v>
      </c>
      <c r="Z134" s="113">
        <f t="shared" si="14"/>
        <v>155.26098020913057</v>
      </c>
      <c r="AA134" s="22"/>
      <c r="AB134" s="22"/>
      <c r="AC134" s="22"/>
      <c r="AD134" s="22"/>
      <c r="AE134" s="22"/>
      <c r="AF134" s="22"/>
      <c r="AG134" s="22"/>
      <c r="AH134" s="22"/>
      <c r="AI134" s="22"/>
      <c r="AJ134" s="22"/>
      <c r="AK134" s="22"/>
      <c r="AL134" s="22"/>
      <c r="AM134" s="22"/>
      <c r="AN134" s="22"/>
      <c r="AO134" s="22"/>
      <c r="AP134" s="22"/>
      <c r="AQ134" s="22"/>
      <c r="AR134" s="22"/>
    </row>
    <row r="135" spans="1:44" hidden="1" x14ac:dyDescent="0.25">
      <c r="A135" s="16"/>
      <c r="B135" s="3" t="s">
        <v>213</v>
      </c>
      <c r="C135" s="3" t="s">
        <v>214</v>
      </c>
      <c r="D135" s="11" t="s">
        <v>8</v>
      </c>
      <c r="E135" s="107">
        <v>75.050969408588514</v>
      </c>
      <c r="F135" s="108">
        <v>107.37536481282822</v>
      </c>
      <c r="G135" s="109">
        <v>140.40324269805305</v>
      </c>
      <c r="H135" s="114"/>
      <c r="I135" s="113">
        <v>5.3144000000000009</v>
      </c>
      <c r="J135" s="114">
        <v>9.8020000000000014</v>
      </c>
      <c r="K135" s="109">
        <v>10.530000000000001</v>
      </c>
      <c r="L135" s="114"/>
      <c r="M135" s="113">
        <v>17.078481349251756</v>
      </c>
      <c r="N135" s="114">
        <v>17.466628652643845</v>
      </c>
      <c r="O135" s="109">
        <v>19.18556671052308</v>
      </c>
      <c r="P135" s="119"/>
      <c r="Q135" s="120">
        <v>0.04</v>
      </c>
      <c r="R135" s="120">
        <v>0.02</v>
      </c>
      <c r="S135" s="120">
        <v>0.04</v>
      </c>
      <c r="T135" s="120">
        <v>0.02</v>
      </c>
      <c r="U135" s="120">
        <v>0.02</v>
      </c>
      <c r="V135" s="121">
        <f t="shared" si="18"/>
        <v>0</v>
      </c>
      <c r="W135" s="119"/>
      <c r="X135" s="113">
        <f t="shared" si="12"/>
        <v>97.443850757840281</v>
      </c>
      <c r="Y135" s="113">
        <f t="shared" si="13"/>
        <v>134.64399346547208</v>
      </c>
      <c r="Z135" s="113">
        <f t="shared" si="14"/>
        <v>170.11880940857614</v>
      </c>
      <c r="AA135" s="22"/>
      <c r="AB135" s="22"/>
      <c r="AC135" s="22"/>
      <c r="AD135" s="22"/>
      <c r="AE135" s="22"/>
      <c r="AF135" s="22"/>
      <c r="AG135" s="22"/>
      <c r="AH135" s="22"/>
      <c r="AI135" s="22"/>
      <c r="AJ135" s="22"/>
      <c r="AK135" s="22"/>
      <c r="AL135" s="22"/>
      <c r="AM135" s="22"/>
      <c r="AN135" s="22"/>
      <c r="AO135" s="22"/>
      <c r="AP135" s="22"/>
      <c r="AQ135" s="22"/>
      <c r="AR135" s="22"/>
    </row>
    <row r="136" spans="1:44" hidden="1" x14ac:dyDescent="0.25">
      <c r="A136" s="16"/>
      <c r="B136" s="3" t="s">
        <v>215</v>
      </c>
      <c r="C136" s="3" t="s">
        <v>216</v>
      </c>
      <c r="D136" s="11" t="s">
        <v>8</v>
      </c>
      <c r="E136" s="107">
        <v>47.273065707057562</v>
      </c>
      <c r="F136" s="108">
        <v>65.838569405630039</v>
      </c>
      <c r="G136" s="109">
        <v>85.617157917336172</v>
      </c>
      <c r="H136" s="114"/>
      <c r="I136" s="113">
        <v>3.215568995973197</v>
      </c>
      <c r="J136" s="114">
        <v>5.9308684514769823</v>
      </c>
      <c r="K136" s="109">
        <v>6.371357355034954</v>
      </c>
      <c r="L136" s="114"/>
      <c r="M136" s="113">
        <v>10.290397446971154</v>
      </c>
      <c r="N136" s="114">
        <v>10.524270116220498</v>
      </c>
      <c r="O136" s="109">
        <v>11.559991937181881</v>
      </c>
      <c r="P136" s="119"/>
      <c r="Q136" s="120">
        <v>0.03</v>
      </c>
      <c r="R136" s="120">
        <v>1.4999999999999999E-2</v>
      </c>
      <c r="S136" s="120">
        <v>0.03</v>
      </c>
      <c r="T136" s="120" t="s">
        <v>250</v>
      </c>
      <c r="U136" s="120">
        <v>1.4999999999999999E-2</v>
      </c>
      <c r="V136" s="121">
        <f>SUBTOTAL(9,Q136:U136)</f>
        <v>0</v>
      </c>
      <c r="W136" s="119"/>
      <c r="X136" s="113">
        <f t="shared" si="12"/>
        <v>60.779032150001918</v>
      </c>
      <c r="Y136" s="113">
        <f t="shared" si="13"/>
        <v>82.293707973327514</v>
      </c>
      <c r="Z136" s="113">
        <f t="shared" si="14"/>
        <v>103.54850720955301</v>
      </c>
      <c r="AA136" s="22"/>
      <c r="AB136" s="22"/>
      <c r="AC136" s="22"/>
      <c r="AD136" s="22"/>
      <c r="AE136" s="22"/>
      <c r="AF136" s="22"/>
      <c r="AG136" s="22"/>
      <c r="AH136" s="22"/>
      <c r="AI136" s="22"/>
      <c r="AJ136" s="22"/>
      <c r="AK136" s="22"/>
      <c r="AL136" s="22"/>
      <c r="AM136" s="22"/>
      <c r="AN136" s="22"/>
      <c r="AO136" s="22"/>
      <c r="AP136" s="22"/>
      <c r="AQ136" s="22"/>
      <c r="AR136" s="22"/>
    </row>
    <row r="137" spans="1:44" hidden="1" x14ac:dyDescent="0.25">
      <c r="A137" s="16"/>
      <c r="B137" s="3" t="s">
        <v>217</v>
      </c>
      <c r="C137" s="3" t="s">
        <v>218</v>
      </c>
      <c r="D137" s="11" t="s">
        <v>8</v>
      </c>
      <c r="E137" s="107">
        <v>51.88191267009698</v>
      </c>
      <c r="F137" s="108">
        <v>64.989384717215231</v>
      </c>
      <c r="G137" s="109">
        <v>80.263473216034583</v>
      </c>
      <c r="H137" s="114"/>
      <c r="I137" s="113">
        <v>3.7825513360934391</v>
      </c>
      <c r="J137" s="114">
        <v>6.9766235504267442</v>
      </c>
      <c r="K137" s="109">
        <v>7.4947812676998176</v>
      </c>
      <c r="L137" s="114"/>
      <c r="M137" s="113">
        <v>12.466181199895983</v>
      </c>
      <c r="N137" s="114">
        <v>12.749503499893619</v>
      </c>
      <c r="O137" s="109">
        <v>14.004216542740293</v>
      </c>
      <c r="P137" s="119"/>
      <c r="Q137" s="120">
        <v>0.03</v>
      </c>
      <c r="R137" s="120">
        <v>0.03</v>
      </c>
      <c r="S137" s="120">
        <v>0.04</v>
      </c>
      <c r="T137" s="120">
        <v>0.03</v>
      </c>
      <c r="U137" s="120">
        <v>1.4999999999999999E-2</v>
      </c>
      <c r="V137" s="121">
        <f>SUBTOTAL(9,Q137:U137)</f>
        <v>0</v>
      </c>
      <c r="W137" s="119"/>
      <c r="X137" s="113">
        <f t="shared" si="12"/>
        <v>68.130645206086399</v>
      </c>
      <c r="Y137" s="113">
        <f t="shared" si="13"/>
        <v>84.715511767535588</v>
      </c>
      <c r="Z137" s="113">
        <f t="shared" si="14"/>
        <v>101.7624710264747</v>
      </c>
      <c r="AA137" s="22"/>
      <c r="AB137" s="22"/>
      <c r="AC137" s="22"/>
      <c r="AD137" s="22"/>
      <c r="AE137" s="22"/>
      <c r="AF137" s="22"/>
      <c r="AG137" s="22"/>
      <c r="AH137" s="22"/>
      <c r="AI137" s="22"/>
      <c r="AJ137" s="22"/>
      <c r="AK137" s="22"/>
      <c r="AL137" s="22"/>
      <c r="AM137" s="22"/>
      <c r="AN137" s="22"/>
      <c r="AO137" s="22"/>
      <c r="AP137" s="22"/>
      <c r="AQ137" s="22"/>
      <c r="AR137" s="22"/>
    </row>
    <row r="138" spans="1:44" x14ac:dyDescent="0.25">
      <c r="A138" s="16"/>
      <c r="B138" s="3" t="s">
        <v>219</v>
      </c>
      <c r="C138" s="3" t="s">
        <v>220</v>
      </c>
      <c r="D138" s="11" t="s">
        <v>6</v>
      </c>
      <c r="E138" s="107">
        <v>134.67052165718087</v>
      </c>
      <c r="F138" s="108">
        <v>183.97945016261363</v>
      </c>
      <c r="G138" s="109">
        <v>243.18382594796361</v>
      </c>
      <c r="H138" s="114"/>
      <c r="I138" s="113">
        <v>17.744400000000002</v>
      </c>
      <c r="J138" s="114">
        <v>30.963600000000003</v>
      </c>
      <c r="K138" s="109">
        <v>45.468000000000004</v>
      </c>
      <c r="L138" s="114"/>
      <c r="M138" s="113">
        <v>32.863599999999998</v>
      </c>
      <c r="N138" s="114">
        <v>33.610500000000002</v>
      </c>
      <c r="O138" s="109">
        <v>36.918199999999999</v>
      </c>
      <c r="P138" s="119"/>
      <c r="Q138" s="120">
        <v>0.05</v>
      </c>
      <c r="R138" s="120">
        <v>0.01</v>
      </c>
      <c r="S138" s="120">
        <v>0.05</v>
      </c>
      <c r="T138" s="120">
        <v>0.02</v>
      </c>
      <c r="U138" s="120">
        <v>0.02</v>
      </c>
      <c r="V138" s="121">
        <f t="shared" ref="V138:V139" si="19">SUBTOTAL(9,Q138:U138)</f>
        <v>0.15</v>
      </c>
      <c r="W138" s="119"/>
      <c r="X138" s="113">
        <f t="shared" si="12"/>
        <v>213.07029990575799</v>
      </c>
      <c r="Y138" s="113">
        <f t="shared" si="13"/>
        <v>285.83658268700566</v>
      </c>
      <c r="Z138" s="113">
        <f t="shared" si="14"/>
        <v>374.40552984015818</v>
      </c>
      <c r="AA138" s="22"/>
      <c r="AB138" s="22"/>
      <c r="AC138" s="22"/>
      <c r="AD138" s="22"/>
      <c r="AE138" s="22"/>
      <c r="AF138" s="22"/>
      <c r="AG138" s="22"/>
      <c r="AH138" s="22"/>
      <c r="AI138" s="22"/>
      <c r="AJ138" s="22"/>
      <c r="AK138" s="22"/>
      <c r="AL138" s="22"/>
      <c r="AM138" s="22"/>
      <c r="AN138" s="22"/>
      <c r="AO138" s="22"/>
      <c r="AP138" s="22"/>
      <c r="AQ138" s="22"/>
      <c r="AR138" s="22"/>
    </row>
    <row r="139" spans="1:44" hidden="1" x14ac:dyDescent="0.25">
      <c r="A139" s="16"/>
      <c r="B139" s="3" t="s">
        <v>221</v>
      </c>
      <c r="C139" s="3" t="s">
        <v>222</v>
      </c>
      <c r="D139" s="11" t="s">
        <v>6</v>
      </c>
      <c r="E139" s="107">
        <v>89.218052655406893</v>
      </c>
      <c r="F139" s="108">
        <v>119.788621419728</v>
      </c>
      <c r="G139" s="109">
        <v>177.03996580031782</v>
      </c>
      <c r="H139" s="114"/>
      <c r="I139" s="113">
        <v>10.721083368010504</v>
      </c>
      <c r="J139" s="114">
        <v>18.708062091348825</v>
      </c>
      <c r="K139" s="109">
        <v>27.471552635011701</v>
      </c>
      <c r="L139" s="114"/>
      <c r="M139" s="113">
        <v>19.219200000000001</v>
      </c>
      <c r="N139" s="114">
        <v>19.655999999999999</v>
      </c>
      <c r="O139" s="109">
        <v>21.590400000000002</v>
      </c>
      <c r="P139" s="119"/>
      <c r="Q139" s="120">
        <v>0.05</v>
      </c>
      <c r="R139" s="120">
        <v>0.02</v>
      </c>
      <c r="S139" s="120">
        <v>0.04</v>
      </c>
      <c r="T139" s="120">
        <v>0.03</v>
      </c>
      <c r="U139" s="120">
        <v>0.02</v>
      </c>
      <c r="V139" s="121">
        <f t="shared" si="19"/>
        <v>0</v>
      </c>
      <c r="W139" s="119"/>
      <c r="X139" s="113">
        <f t="shared" ref="X139" si="20">(E139+I139+M139)*(1+V139)</f>
        <v>119.15833602341741</v>
      </c>
      <c r="Y139" s="113">
        <f t="shared" ref="Y139" si="21">(F139+J139+N139)*(1+V139)</f>
        <v>158.15268351107684</v>
      </c>
      <c r="Z139" s="113">
        <f t="shared" ref="Z139" si="22">(G139+K139+O139)*(1+V139)</f>
        <v>226.10191843532954</v>
      </c>
      <c r="AA139" s="22"/>
      <c r="AB139" s="22"/>
      <c r="AC139" s="22"/>
      <c r="AD139" s="22"/>
      <c r="AE139" s="22"/>
      <c r="AF139" s="22"/>
      <c r="AG139" s="22"/>
      <c r="AH139" s="22"/>
      <c r="AI139" s="22"/>
      <c r="AJ139" s="22"/>
      <c r="AK139" s="22"/>
      <c r="AL139" s="22"/>
      <c r="AM139" s="22"/>
      <c r="AN139" s="22"/>
      <c r="AO139" s="22"/>
      <c r="AP139" s="22"/>
      <c r="AQ139" s="22"/>
      <c r="AR139" s="22"/>
    </row>
    <row r="140" spans="1:44" x14ac:dyDescent="0.25">
      <c r="A140" s="16"/>
      <c r="B140" s="17"/>
      <c r="C140" s="3"/>
      <c r="D140" s="1"/>
      <c r="F140" s="4"/>
      <c r="G140" s="4"/>
      <c r="H140" s="4"/>
      <c r="I140" s="4"/>
      <c r="J140" s="4"/>
      <c r="K140" s="4"/>
      <c r="L140" s="4"/>
      <c r="M140" s="4"/>
      <c r="N140" s="4"/>
      <c r="O140" s="4"/>
      <c r="P140" s="4"/>
      <c r="Q140" s="4"/>
      <c r="R140" s="4"/>
      <c r="S140" s="4"/>
      <c r="T140" s="4"/>
      <c r="U140" s="4"/>
      <c r="V140" s="4"/>
      <c r="W140" s="4"/>
      <c r="X140" s="4"/>
      <c r="Y140" s="4"/>
      <c r="Z140" s="4"/>
    </row>
    <row r="141" spans="1:44" x14ac:dyDescent="0.25">
      <c r="A141" s="16"/>
      <c r="B141" s="17"/>
      <c r="C141" s="3"/>
      <c r="D141" s="1"/>
      <c r="F141" s="4"/>
      <c r="G141" s="4"/>
      <c r="H141" s="4"/>
      <c r="I141" s="4"/>
      <c r="J141" s="4"/>
      <c r="K141" s="4"/>
      <c r="L141" s="4"/>
      <c r="M141" s="4"/>
      <c r="N141" s="4"/>
      <c r="O141" s="4"/>
      <c r="P141" s="4"/>
      <c r="Q141" s="4"/>
      <c r="R141" s="4"/>
      <c r="S141" s="4"/>
      <c r="T141" s="4"/>
      <c r="U141" s="4"/>
      <c r="V141" s="4"/>
      <c r="W141" s="4"/>
      <c r="X141" s="4"/>
      <c r="Y141" s="4"/>
      <c r="Z141" s="4"/>
    </row>
    <row r="142" spans="1:44" x14ac:dyDescent="0.25">
      <c r="A142" s="16"/>
      <c r="B142" s="17"/>
      <c r="C142" s="3"/>
      <c r="D142" s="1"/>
      <c r="F142" s="4"/>
      <c r="G142" s="4"/>
      <c r="H142" s="4"/>
      <c r="I142" s="4"/>
      <c r="J142" s="4"/>
      <c r="K142" s="4"/>
      <c r="L142" s="4"/>
      <c r="M142" s="4"/>
      <c r="N142" s="4"/>
      <c r="O142" s="4"/>
      <c r="P142" s="4"/>
      <c r="Q142" s="4"/>
      <c r="R142" s="4"/>
      <c r="S142" s="4"/>
      <c r="T142" s="4"/>
      <c r="U142" s="4"/>
      <c r="V142" s="4"/>
      <c r="W142" s="4"/>
      <c r="X142" s="4"/>
      <c r="Y142" s="4"/>
      <c r="Z142" s="4"/>
    </row>
    <row r="143" spans="1:44" x14ac:dyDescent="0.25">
      <c r="A143" s="16"/>
      <c r="B143" s="17"/>
      <c r="C143" s="3"/>
      <c r="D143" s="1"/>
      <c r="F143" s="4"/>
      <c r="G143" s="4"/>
      <c r="H143" s="4"/>
      <c r="I143" s="4"/>
      <c r="J143" s="4"/>
      <c r="K143" s="4"/>
      <c r="L143" s="4"/>
      <c r="M143" s="4"/>
      <c r="N143" s="4"/>
      <c r="O143" s="4"/>
      <c r="P143" s="4"/>
      <c r="Q143" s="4"/>
      <c r="R143" s="4"/>
      <c r="S143" s="4"/>
      <c r="T143" s="4"/>
      <c r="U143" s="4"/>
      <c r="V143" s="4"/>
      <c r="W143" s="4"/>
      <c r="X143" s="4"/>
      <c r="Y143" s="4"/>
      <c r="Z143" s="4"/>
    </row>
    <row r="144" spans="1:44" x14ac:dyDescent="0.25">
      <c r="A144" s="16"/>
      <c r="B144" s="17"/>
      <c r="C144" s="3"/>
      <c r="D144" s="1"/>
      <c r="F144" s="4"/>
      <c r="G144" s="4"/>
      <c r="H144" s="4"/>
      <c r="I144" s="4"/>
      <c r="J144" s="4"/>
      <c r="K144" s="4"/>
      <c r="L144" s="4"/>
      <c r="M144" s="4"/>
      <c r="N144" s="4"/>
      <c r="O144" s="4"/>
      <c r="P144" s="4"/>
      <c r="Q144" s="4"/>
      <c r="R144" s="4"/>
      <c r="S144" s="4"/>
      <c r="T144" s="4"/>
      <c r="U144" s="4"/>
      <c r="V144" s="4"/>
      <c r="W144" s="4"/>
      <c r="X144" s="4"/>
      <c r="Y144" s="4"/>
      <c r="Z144" s="4"/>
    </row>
    <row r="145" spans="1:26" x14ac:dyDescent="0.25">
      <c r="A145" s="16"/>
      <c r="B145" s="17"/>
      <c r="C145" s="3"/>
      <c r="D145" s="1"/>
      <c r="F145" s="4"/>
      <c r="G145" s="4"/>
      <c r="H145" s="4"/>
      <c r="I145" s="4"/>
      <c r="J145" s="4"/>
      <c r="K145" s="4"/>
      <c r="L145" s="4"/>
      <c r="M145" s="4"/>
      <c r="N145" s="4"/>
      <c r="O145" s="4"/>
      <c r="P145" s="4"/>
      <c r="Q145" s="4"/>
      <c r="R145" s="4"/>
      <c r="S145" s="4"/>
      <c r="T145" s="4"/>
      <c r="U145" s="4"/>
      <c r="V145" s="4"/>
      <c r="W145" s="4"/>
      <c r="X145" s="4"/>
      <c r="Y145" s="4"/>
      <c r="Z145" s="4"/>
    </row>
    <row r="146" spans="1:26" x14ac:dyDescent="0.25">
      <c r="A146" s="16"/>
      <c r="B146" s="17"/>
      <c r="C146" s="3"/>
      <c r="D146" s="1"/>
      <c r="F146" s="4"/>
      <c r="G146" s="4"/>
      <c r="H146" s="4"/>
      <c r="I146" s="4"/>
      <c r="J146" s="4"/>
      <c r="K146" s="4"/>
      <c r="L146" s="4"/>
      <c r="M146" s="4"/>
      <c r="N146" s="4"/>
      <c r="O146" s="4"/>
      <c r="P146" s="4"/>
      <c r="Q146" s="4"/>
      <c r="R146" s="4"/>
      <c r="S146" s="4"/>
      <c r="T146" s="4"/>
      <c r="U146" s="4"/>
      <c r="V146" s="4"/>
      <c r="W146" s="4"/>
      <c r="X146" s="4"/>
      <c r="Y146" s="4"/>
      <c r="Z146" s="4"/>
    </row>
    <row r="147" spans="1:26" x14ac:dyDescent="0.25">
      <c r="A147" s="16"/>
      <c r="B147" s="17"/>
      <c r="C147" s="3"/>
      <c r="D147" s="1"/>
      <c r="F147" s="4"/>
      <c r="G147" s="4"/>
      <c r="H147" s="4"/>
      <c r="I147" s="4"/>
      <c r="J147" s="4"/>
      <c r="K147" s="4"/>
      <c r="L147" s="4"/>
      <c r="M147" s="4"/>
      <c r="N147" s="4"/>
      <c r="O147" s="4"/>
      <c r="P147" s="4"/>
      <c r="Q147" s="4"/>
      <c r="R147" s="4"/>
      <c r="S147" s="4"/>
      <c r="T147" s="4"/>
      <c r="U147" s="4"/>
      <c r="V147" s="4"/>
      <c r="W147" s="4"/>
      <c r="X147" s="4"/>
      <c r="Y147" s="4"/>
      <c r="Z147" s="4"/>
    </row>
    <row r="148" spans="1:26" x14ac:dyDescent="0.25">
      <c r="A148" s="16"/>
      <c r="B148" s="17"/>
      <c r="C148" s="3"/>
      <c r="D148" s="1"/>
      <c r="F148" s="4"/>
      <c r="G148" s="4"/>
      <c r="H148" s="4"/>
      <c r="I148" s="4"/>
      <c r="J148" s="4"/>
      <c r="K148" s="4"/>
      <c r="L148" s="4"/>
      <c r="M148" s="4"/>
      <c r="N148" s="4"/>
      <c r="O148" s="4"/>
      <c r="P148" s="4"/>
      <c r="Q148" s="4"/>
      <c r="R148" s="4"/>
      <c r="S148" s="4"/>
      <c r="T148" s="4"/>
      <c r="U148" s="4"/>
      <c r="V148" s="4"/>
      <c r="W148" s="4"/>
      <c r="X148" s="4"/>
      <c r="Y148" s="4"/>
      <c r="Z148" s="4"/>
    </row>
    <row r="149" spans="1:26" x14ac:dyDescent="0.25">
      <c r="A149" s="16"/>
      <c r="B149" s="17"/>
      <c r="C149" s="3"/>
      <c r="D149" s="1"/>
      <c r="F149" s="4"/>
      <c r="G149" s="4"/>
      <c r="H149" s="4"/>
      <c r="I149" s="4"/>
      <c r="J149" s="4"/>
      <c r="K149" s="4"/>
      <c r="L149" s="4"/>
      <c r="M149" s="4"/>
      <c r="N149" s="4"/>
      <c r="O149" s="4"/>
      <c r="P149" s="4"/>
      <c r="Q149" s="4"/>
      <c r="R149" s="4"/>
      <c r="S149" s="4"/>
      <c r="T149" s="4"/>
      <c r="U149" s="4"/>
      <c r="V149" s="4"/>
      <c r="W149" s="4"/>
      <c r="X149" s="4"/>
      <c r="Y149" s="4"/>
      <c r="Z149" s="4"/>
    </row>
    <row r="150" spans="1:26" x14ac:dyDescent="0.25">
      <c r="A150" s="16"/>
      <c r="B150" s="17"/>
      <c r="C150" s="3"/>
      <c r="D150" s="1"/>
      <c r="F150" s="4"/>
      <c r="G150" s="4"/>
      <c r="H150" s="4"/>
      <c r="I150" s="4"/>
      <c r="J150" s="4"/>
      <c r="K150" s="4"/>
      <c r="L150" s="4"/>
      <c r="M150" s="4"/>
      <c r="N150" s="4"/>
      <c r="O150" s="4"/>
      <c r="P150" s="4"/>
      <c r="Q150" s="4"/>
      <c r="R150" s="4"/>
      <c r="S150" s="4"/>
      <c r="T150" s="4"/>
      <c r="U150" s="4"/>
      <c r="V150" s="4"/>
      <c r="W150" s="4"/>
      <c r="X150" s="4"/>
      <c r="Y150" s="4"/>
      <c r="Z150" s="4"/>
    </row>
    <row r="151" spans="1:26" x14ac:dyDescent="0.25">
      <c r="A151" s="16"/>
      <c r="B151" s="17"/>
      <c r="C151" s="3"/>
      <c r="D151" s="1"/>
      <c r="F151" s="4"/>
      <c r="G151" s="4"/>
      <c r="H151" s="4"/>
      <c r="I151" s="4"/>
      <c r="J151" s="4"/>
      <c r="K151" s="4"/>
      <c r="L151" s="4"/>
      <c r="M151" s="4"/>
      <c r="N151" s="4"/>
      <c r="O151" s="4"/>
      <c r="P151" s="4"/>
      <c r="Q151" s="4"/>
      <c r="R151" s="4"/>
      <c r="S151" s="4"/>
      <c r="T151" s="4"/>
      <c r="U151" s="4"/>
      <c r="V151" s="4"/>
      <c r="W151" s="4"/>
      <c r="X151" s="4"/>
      <c r="Y151" s="4"/>
      <c r="Z151" s="4"/>
    </row>
    <row r="152" spans="1:26" x14ac:dyDescent="0.25">
      <c r="A152" s="16"/>
      <c r="B152" s="17"/>
      <c r="C152" s="3"/>
      <c r="D152" s="1"/>
      <c r="F152" s="4"/>
      <c r="G152" s="4"/>
      <c r="H152" s="4"/>
      <c r="I152" s="4"/>
      <c r="J152" s="4"/>
      <c r="K152" s="4"/>
      <c r="L152" s="4"/>
      <c r="M152" s="4"/>
      <c r="N152" s="4"/>
      <c r="O152" s="4"/>
      <c r="P152" s="4"/>
      <c r="Q152" s="4"/>
      <c r="R152" s="4"/>
      <c r="S152" s="4"/>
      <c r="T152" s="4"/>
      <c r="U152" s="4"/>
      <c r="V152" s="4"/>
      <c r="W152" s="4"/>
      <c r="X152" s="4"/>
      <c r="Y152" s="4"/>
      <c r="Z152" s="4"/>
    </row>
    <row r="153" spans="1:26" x14ac:dyDescent="0.25">
      <c r="A153" s="16"/>
      <c r="B153" s="17"/>
      <c r="C153" s="3"/>
      <c r="D153" s="1"/>
      <c r="F153" s="4"/>
      <c r="G153" s="4"/>
      <c r="H153" s="4"/>
      <c r="I153" s="4"/>
      <c r="J153" s="4"/>
      <c r="K153" s="4"/>
      <c r="L153" s="4"/>
      <c r="M153" s="4"/>
      <c r="N153" s="4"/>
      <c r="O153" s="4"/>
      <c r="P153" s="4"/>
      <c r="Q153" s="4"/>
      <c r="R153" s="4"/>
      <c r="S153" s="4"/>
      <c r="T153" s="4"/>
      <c r="U153" s="4"/>
      <c r="V153" s="4"/>
      <c r="W153" s="4"/>
      <c r="X153" s="4"/>
      <c r="Y153" s="4"/>
      <c r="Z153" s="4"/>
    </row>
    <row r="154" spans="1:26" x14ac:dyDescent="0.25">
      <c r="A154" s="16"/>
      <c r="B154" s="17"/>
      <c r="C154" s="3"/>
      <c r="D154" s="1"/>
      <c r="F154" s="4"/>
      <c r="G154" s="4"/>
      <c r="H154" s="4"/>
      <c r="I154" s="4"/>
      <c r="J154" s="4"/>
      <c r="K154" s="4"/>
      <c r="L154" s="4"/>
      <c r="M154" s="4"/>
      <c r="N154" s="4"/>
      <c r="O154" s="4"/>
      <c r="P154" s="4"/>
      <c r="Q154" s="4"/>
      <c r="R154" s="4"/>
      <c r="S154" s="4"/>
      <c r="T154" s="4"/>
      <c r="U154" s="4"/>
      <c r="V154" s="4"/>
      <c r="W154" s="4"/>
      <c r="X154" s="4"/>
      <c r="Y154" s="4"/>
      <c r="Z154" s="4"/>
    </row>
    <row r="155" spans="1:26" x14ac:dyDescent="0.25">
      <c r="A155" s="16"/>
      <c r="B155" s="17"/>
      <c r="C155" s="3"/>
      <c r="D155" s="1"/>
      <c r="F155" s="4"/>
      <c r="G155" s="4"/>
      <c r="H155" s="4"/>
      <c r="I155" s="4"/>
      <c r="J155" s="4"/>
      <c r="K155" s="4"/>
      <c r="L155" s="4"/>
      <c r="M155" s="4"/>
      <c r="N155" s="4"/>
      <c r="O155" s="4"/>
      <c r="P155" s="4"/>
      <c r="Q155" s="4"/>
      <c r="R155" s="4"/>
      <c r="S155" s="4"/>
      <c r="T155" s="4"/>
      <c r="U155" s="4"/>
      <c r="V155" s="4"/>
      <c r="W155" s="4"/>
      <c r="X155" s="4"/>
      <c r="Y155" s="4"/>
      <c r="Z155" s="4"/>
    </row>
    <row r="156" spans="1:26" x14ac:dyDescent="0.25">
      <c r="A156" s="16"/>
      <c r="B156" s="17"/>
      <c r="C156" s="3"/>
      <c r="D156" s="1"/>
      <c r="F156" s="4"/>
      <c r="G156" s="4"/>
      <c r="H156" s="4"/>
      <c r="I156" s="4"/>
      <c r="J156" s="4"/>
      <c r="K156" s="4"/>
      <c r="L156" s="4"/>
      <c r="M156" s="4"/>
      <c r="N156" s="4"/>
      <c r="O156" s="4"/>
      <c r="P156" s="4"/>
      <c r="Q156" s="4"/>
      <c r="R156" s="4"/>
      <c r="S156" s="4"/>
      <c r="T156" s="4"/>
      <c r="U156" s="4"/>
      <c r="V156" s="4"/>
      <c r="W156" s="4"/>
      <c r="X156" s="4"/>
      <c r="Y156" s="4"/>
      <c r="Z156" s="4"/>
    </row>
    <row r="157" spans="1:26" x14ac:dyDescent="0.25">
      <c r="A157" s="16"/>
      <c r="B157" s="17"/>
      <c r="C157" s="3"/>
      <c r="D157" s="1"/>
      <c r="F157" s="4"/>
      <c r="G157" s="4"/>
      <c r="H157" s="4"/>
      <c r="I157" s="4"/>
      <c r="J157" s="4"/>
      <c r="K157" s="4"/>
      <c r="L157" s="4"/>
      <c r="M157" s="4"/>
      <c r="N157" s="4"/>
      <c r="O157" s="4"/>
      <c r="P157" s="4"/>
      <c r="Q157" s="4"/>
      <c r="R157" s="4"/>
      <c r="S157" s="4"/>
      <c r="T157" s="4"/>
      <c r="U157" s="4"/>
      <c r="V157" s="4"/>
      <c r="W157" s="4"/>
      <c r="X157" s="4"/>
      <c r="Y157" s="4"/>
      <c r="Z157" s="4"/>
    </row>
    <row r="158" spans="1:26" x14ac:dyDescent="0.25">
      <c r="A158" s="16"/>
      <c r="B158" s="17"/>
      <c r="C158" s="3"/>
      <c r="D158" s="1"/>
      <c r="F158" s="4"/>
      <c r="G158" s="4"/>
      <c r="H158" s="4"/>
      <c r="I158" s="4"/>
      <c r="J158" s="4"/>
      <c r="K158" s="4"/>
      <c r="L158" s="4"/>
      <c r="M158" s="4"/>
      <c r="N158" s="4"/>
      <c r="O158" s="4"/>
      <c r="P158" s="4"/>
      <c r="Q158" s="4"/>
      <c r="R158" s="4"/>
      <c r="S158" s="4"/>
      <c r="T158" s="4"/>
      <c r="U158" s="4"/>
      <c r="V158" s="4"/>
      <c r="W158" s="4"/>
      <c r="X158" s="4"/>
      <c r="Y158" s="4"/>
      <c r="Z158" s="4"/>
    </row>
    <row r="159" spans="1:26" x14ac:dyDescent="0.25">
      <c r="A159" s="16"/>
      <c r="B159" s="17"/>
      <c r="C159" s="3"/>
      <c r="D159" s="1"/>
      <c r="F159" s="4"/>
      <c r="G159" s="4"/>
      <c r="H159" s="4"/>
      <c r="I159" s="4"/>
      <c r="J159" s="4"/>
      <c r="K159" s="4"/>
      <c r="L159" s="4"/>
      <c r="M159" s="4"/>
      <c r="N159" s="4"/>
      <c r="O159" s="4"/>
      <c r="P159" s="4"/>
      <c r="Q159" s="4"/>
      <c r="R159" s="4"/>
      <c r="S159" s="4"/>
      <c r="T159" s="4"/>
      <c r="U159" s="4"/>
      <c r="V159" s="4"/>
      <c r="W159" s="4"/>
      <c r="X159" s="4"/>
      <c r="Y159" s="4"/>
      <c r="Z159" s="4"/>
    </row>
  </sheetData>
  <autoFilter ref="B5:D139" xr:uid="{B593B8AD-AE04-4543-B232-6D3D3239B900}">
    <filterColumn colId="0">
      <filters>
        <filter val="Israel"/>
        <filter val="United Kingdom"/>
      </filters>
    </filterColumn>
    <sortState xmlns:xlrd2="http://schemas.microsoft.com/office/spreadsheetml/2017/richdata2" ref="B69:D139">
      <sortCondition ref="B5:B139"/>
    </sortState>
  </autoFilter>
  <mergeCells count="10">
    <mergeCell ref="E3:G3"/>
    <mergeCell ref="I3:K3"/>
    <mergeCell ref="M3:O3"/>
    <mergeCell ref="X3:Z3"/>
    <mergeCell ref="E1:Z1"/>
    <mergeCell ref="E2:G2"/>
    <mergeCell ref="I2:K2"/>
    <mergeCell ref="M2:O2"/>
    <mergeCell ref="X2:Z2"/>
    <mergeCell ref="Q2:V4"/>
  </mergeCells>
  <pageMargins left="0.70866141732283472" right="0.70866141732283472" top="0.74803149606299213" bottom="0.74803149606299213" header="0.31496062992125984" footer="0.31496062992125984"/>
  <pageSetup paperSize="8" scale="70" orientation="landscape" horizontalDpi="1200" verticalDpi="1200" r:id="rId1"/>
  <colBreaks count="2" manualBreakCount="2">
    <brk id="26" max="1048575" man="1"/>
    <brk id="27"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CEEEC-F371-4607-8F16-09A7399ED6EF}">
  <sheetPr filterMode="1">
    <tabColor theme="9" tint="0.39997558519241921"/>
  </sheetPr>
  <dimension ref="A1:AR159"/>
  <sheetViews>
    <sheetView view="pageBreakPreview" zoomScale="90" zoomScaleNormal="100" zoomScaleSheetLayoutView="90" workbookViewId="0">
      <selection activeCell="E146" sqref="E146"/>
    </sheetView>
  </sheetViews>
  <sheetFormatPr defaultColWidth="8.83203125" defaultRowHeight="13.5" x14ac:dyDescent="0.25"/>
  <cols>
    <col min="1" max="1" width="4.58203125" customWidth="1"/>
    <col min="2" max="2" width="21" customWidth="1"/>
    <col min="3" max="3" width="14.58203125" customWidth="1"/>
    <col min="4" max="4" width="10.08203125" bestFit="1" customWidth="1"/>
    <col min="5" max="5" width="11" style="4" bestFit="1" customWidth="1"/>
    <col min="6" max="6" width="11" bestFit="1" customWidth="1"/>
    <col min="7" max="7" width="10" customWidth="1"/>
    <col min="8" max="8" width="2.83203125" customWidth="1"/>
    <col min="9" max="11" width="11" customWidth="1"/>
    <col min="12" max="12" width="4" customWidth="1"/>
    <col min="13" max="15" width="10.83203125" customWidth="1"/>
    <col min="16" max="16" width="4.08203125" customWidth="1"/>
    <col min="17" max="17" width="7.58203125" hidden="1" customWidth="1"/>
    <col min="18" max="18" width="6.58203125" hidden="1" customWidth="1"/>
    <col min="19" max="19" width="4.83203125" hidden="1" customWidth="1"/>
    <col min="20" max="20" width="7.5" hidden="1" customWidth="1"/>
    <col min="21" max="21" width="4.83203125" hidden="1" customWidth="1"/>
    <col min="22" max="22" width="16.33203125" customWidth="1"/>
    <col min="23" max="23" width="3.83203125" customWidth="1"/>
    <col min="24" max="24" width="12.33203125" customWidth="1"/>
    <col min="25" max="25" width="10.33203125" customWidth="1"/>
    <col min="26" max="26" width="12" customWidth="1"/>
    <col min="27" max="44" width="6" customWidth="1"/>
  </cols>
  <sheetData>
    <row r="1" spans="1:44" ht="18.5" thickBot="1" x14ac:dyDescent="0.35">
      <c r="E1" s="136" t="s">
        <v>258</v>
      </c>
      <c r="F1" s="137"/>
      <c r="G1" s="137"/>
      <c r="H1" s="138"/>
      <c r="I1" s="138"/>
      <c r="J1" s="138"/>
      <c r="K1" s="138"/>
      <c r="L1" s="138"/>
      <c r="M1" s="138"/>
      <c r="N1" s="138"/>
      <c r="O1" s="138"/>
      <c r="P1" s="138"/>
      <c r="Q1" s="138"/>
      <c r="R1" s="138"/>
      <c r="S1" s="138"/>
      <c r="T1" s="138"/>
      <c r="U1" s="138"/>
      <c r="V1" s="138"/>
      <c r="W1" s="138"/>
      <c r="X1" s="138"/>
      <c r="Y1" s="138"/>
      <c r="Z1" s="138"/>
      <c r="AA1" s="53"/>
    </row>
    <row r="2" spans="1:44" ht="17.5" customHeight="1" x14ac:dyDescent="0.25">
      <c r="A2" s="20"/>
      <c r="B2" s="15"/>
      <c r="C2" s="2"/>
      <c r="D2" s="38"/>
      <c r="E2" s="150" t="s">
        <v>0</v>
      </c>
      <c r="F2" s="151"/>
      <c r="G2" s="152"/>
      <c r="H2" s="54"/>
      <c r="I2" s="139" t="s">
        <v>224</v>
      </c>
      <c r="J2" s="140"/>
      <c r="K2" s="141"/>
      <c r="L2" s="54"/>
      <c r="M2" s="145" t="s">
        <v>231</v>
      </c>
      <c r="N2" s="146"/>
      <c r="O2" s="160"/>
      <c r="P2" s="100"/>
      <c r="Q2" s="154" t="s">
        <v>232</v>
      </c>
      <c r="R2" s="140"/>
      <c r="S2" s="140"/>
      <c r="T2" s="140"/>
      <c r="U2" s="140"/>
      <c r="V2" s="140"/>
      <c r="W2" s="100"/>
      <c r="X2" s="147" t="s">
        <v>233</v>
      </c>
      <c r="Y2" s="148"/>
      <c r="Z2" s="149"/>
      <c r="AA2" s="22"/>
      <c r="AB2" s="22"/>
      <c r="AC2" s="22"/>
      <c r="AD2" s="22"/>
      <c r="AE2" s="22"/>
      <c r="AF2" s="22"/>
      <c r="AG2" s="22"/>
      <c r="AH2" s="22"/>
      <c r="AI2" s="22"/>
      <c r="AJ2" s="22"/>
      <c r="AK2" s="22"/>
      <c r="AL2" s="22"/>
      <c r="AM2" s="22"/>
      <c r="AN2" s="22"/>
      <c r="AO2" s="22"/>
      <c r="AP2" s="22"/>
      <c r="AQ2" s="22"/>
      <c r="AR2" s="22"/>
    </row>
    <row r="3" spans="1:44" x14ac:dyDescent="0.25">
      <c r="A3" s="16"/>
      <c r="B3" s="16"/>
      <c r="C3" s="1"/>
      <c r="D3" s="1"/>
      <c r="E3" s="142"/>
      <c r="F3" s="133"/>
      <c r="G3" s="143"/>
      <c r="H3" s="36"/>
      <c r="I3" s="142"/>
      <c r="J3" s="133"/>
      <c r="K3" s="143"/>
      <c r="L3" s="36"/>
      <c r="M3" s="142"/>
      <c r="N3" s="133"/>
      <c r="O3" s="143"/>
      <c r="P3" s="101"/>
      <c r="Q3" s="162"/>
      <c r="R3" s="162"/>
      <c r="S3" s="162"/>
      <c r="T3" s="162"/>
      <c r="U3" s="162"/>
      <c r="V3" s="162"/>
      <c r="W3" s="101"/>
      <c r="X3" s="142"/>
      <c r="Y3" s="133"/>
      <c r="Z3" s="143"/>
      <c r="AA3" s="22"/>
      <c r="AB3" s="22"/>
      <c r="AC3" s="22"/>
      <c r="AD3" s="22"/>
      <c r="AE3" s="22"/>
      <c r="AF3" s="22"/>
      <c r="AG3" s="22"/>
      <c r="AH3" s="22"/>
      <c r="AI3" s="22"/>
      <c r="AJ3" s="22"/>
      <c r="AK3" s="22"/>
      <c r="AL3" s="22"/>
      <c r="AM3" s="22"/>
      <c r="AN3" s="22"/>
      <c r="AO3" s="22"/>
      <c r="AP3" s="22"/>
      <c r="AQ3" s="22"/>
      <c r="AR3" s="22"/>
    </row>
    <row r="4" spans="1:44" x14ac:dyDescent="0.25">
      <c r="A4" s="16"/>
      <c r="B4" s="16"/>
      <c r="C4" s="1"/>
      <c r="D4" s="1"/>
      <c r="E4" s="39" t="s">
        <v>9</v>
      </c>
      <c r="F4" s="6" t="s">
        <v>10</v>
      </c>
      <c r="G4" s="40" t="s">
        <v>11</v>
      </c>
      <c r="H4" s="36"/>
      <c r="I4" s="48" t="s">
        <v>9</v>
      </c>
      <c r="J4" s="36" t="s">
        <v>10</v>
      </c>
      <c r="K4" s="49" t="s">
        <v>11</v>
      </c>
      <c r="L4" s="36"/>
      <c r="M4" s="48" t="s">
        <v>9</v>
      </c>
      <c r="N4" s="36" t="s">
        <v>10</v>
      </c>
      <c r="O4" s="49" t="s">
        <v>11</v>
      </c>
      <c r="P4" s="101"/>
      <c r="Q4" s="162"/>
      <c r="R4" s="162"/>
      <c r="S4" s="162"/>
      <c r="T4" s="162"/>
      <c r="U4" s="162"/>
      <c r="V4" s="162"/>
      <c r="W4" s="101"/>
      <c r="X4" s="48" t="s">
        <v>9</v>
      </c>
      <c r="Y4" s="36" t="s">
        <v>10</v>
      </c>
      <c r="Z4" s="49" t="s">
        <v>11</v>
      </c>
      <c r="AA4" s="22"/>
      <c r="AB4" s="22"/>
      <c r="AC4" s="22"/>
      <c r="AD4" s="22"/>
      <c r="AE4" s="22"/>
      <c r="AF4" s="22"/>
      <c r="AG4" s="22"/>
      <c r="AH4" s="22"/>
      <c r="AI4" s="22"/>
      <c r="AJ4" s="22"/>
      <c r="AK4" s="22"/>
      <c r="AL4" s="22"/>
      <c r="AM4" s="22"/>
      <c r="AN4" s="22"/>
      <c r="AO4" s="22"/>
      <c r="AP4" s="22"/>
      <c r="AQ4" s="22"/>
      <c r="AR4" s="22"/>
    </row>
    <row r="5" spans="1:44" x14ac:dyDescent="0.25">
      <c r="A5" s="16"/>
      <c r="B5" s="12" t="s">
        <v>14</v>
      </c>
      <c r="C5" s="12" t="s">
        <v>15</v>
      </c>
      <c r="D5" s="37" t="s">
        <v>16</v>
      </c>
      <c r="E5" s="41"/>
      <c r="F5" s="14"/>
      <c r="G5" s="42"/>
      <c r="H5" s="37"/>
      <c r="I5" s="50"/>
      <c r="J5" s="37"/>
      <c r="K5" s="51"/>
      <c r="L5" s="37"/>
      <c r="M5" s="50"/>
      <c r="N5" s="37"/>
      <c r="O5" s="51"/>
      <c r="P5" s="115"/>
      <c r="Q5" s="36" t="s">
        <v>234</v>
      </c>
      <c r="R5" s="36" t="s">
        <v>235</v>
      </c>
      <c r="S5" s="36" t="s">
        <v>236</v>
      </c>
      <c r="T5" s="36" t="s">
        <v>237</v>
      </c>
      <c r="U5" s="36" t="s">
        <v>238</v>
      </c>
      <c r="V5" s="36" t="s">
        <v>239</v>
      </c>
      <c r="W5" s="115"/>
      <c r="X5" s="50"/>
      <c r="Y5" s="37"/>
      <c r="Z5" s="51"/>
      <c r="AA5" s="22"/>
      <c r="AB5" s="22"/>
      <c r="AC5" s="22"/>
      <c r="AD5" s="22"/>
      <c r="AE5" s="22"/>
      <c r="AF5" s="22"/>
      <c r="AG5" s="22"/>
      <c r="AH5" s="22"/>
      <c r="AI5" s="22"/>
      <c r="AJ5" s="22"/>
      <c r="AK5" s="22"/>
      <c r="AL5" s="22"/>
      <c r="AM5" s="22"/>
      <c r="AN5" s="22"/>
      <c r="AO5" s="22"/>
      <c r="AP5" s="22"/>
      <c r="AQ5" s="22"/>
      <c r="AR5" s="22"/>
    </row>
    <row r="6" spans="1:44" hidden="1" x14ac:dyDescent="0.25">
      <c r="A6" s="16"/>
      <c r="B6" s="3" t="s">
        <v>17</v>
      </c>
      <c r="C6" s="3" t="s">
        <v>18</v>
      </c>
      <c r="D6" s="11" t="s">
        <v>19</v>
      </c>
      <c r="E6" s="116">
        <v>1826.7707608155147</v>
      </c>
      <c r="F6" s="117">
        <v>2431.3083043262059</v>
      </c>
      <c r="G6" s="118">
        <v>2969.2192938836401</v>
      </c>
      <c r="H6" s="114"/>
      <c r="I6" s="113">
        <v>140.95441681399433</v>
      </c>
      <c r="J6" s="114">
        <v>199.12370603214941</v>
      </c>
      <c r="K6" s="109">
        <v>217.96750041404263</v>
      </c>
      <c r="L6" s="114"/>
      <c r="M6" s="113">
        <v>412.61379064966394</v>
      </c>
      <c r="N6" s="114">
        <v>422.06267633344061</v>
      </c>
      <c r="O6" s="109">
        <v>463.09499150304276</v>
      </c>
      <c r="P6" s="119"/>
      <c r="Q6" s="120">
        <v>0.08</v>
      </c>
      <c r="R6" s="120">
        <v>0.05</v>
      </c>
      <c r="S6" s="120">
        <v>0.03</v>
      </c>
      <c r="T6" s="120">
        <v>1.4999999999999999E-2</v>
      </c>
      <c r="U6" s="120">
        <v>0.02</v>
      </c>
      <c r="V6" s="121">
        <f t="shared" ref="V6:V57" si="0">SUBTOTAL(9,Q6:U6)</f>
        <v>0</v>
      </c>
      <c r="W6" s="119"/>
      <c r="X6" s="113">
        <f>(E6+I6+M6)*(1+V6)</f>
        <v>2380.3389682791731</v>
      </c>
      <c r="Y6" s="113">
        <f>(F6+J6+N6)*(1+V6)</f>
        <v>3052.4946866917962</v>
      </c>
      <c r="Z6" s="113">
        <f>(G6+K6+O6)*(1+V6)</f>
        <v>3650.2817858007256</v>
      </c>
      <c r="AA6" s="22"/>
      <c r="AB6" s="22"/>
      <c r="AC6" s="22"/>
      <c r="AD6" s="22"/>
      <c r="AE6" s="22"/>
      <c r="AF6" s="22"/>
      <c r="AG6" s="22"/>
      <c r="AH6" s="22"/>
      <c r="AI6" s="22"/>
      <c r="AJ6" s="22"/>
      <c r="AK6" s="22"/>
      <c r="AL6" s="22"/>
      <c r="AM6" s="22"/>
      <c r="AN6" s="22"/>
      <c r="AO6" s="22"/>
      <c r="AP6" s="22"/>
      <c r="AQ6" s="22"/>
      <c r="AR6" s="22"/>
    </row>
    <row r="7" spans="1:44" hidden="1" x14ac:dyDescent="0.25">
      <c r="A7" s="16"/>
      <c r="B7" s="3" t="s">
        <v>17</v>
      </c>
      <c r="C7" s="3" t="s">
        <v>20</v>
      </c>
      <c r="D7" s="11" t="s">
        <v>19</v>
      </c>
      <c r="E7" s="107">
        <v>1972.5798110392839</v>
      </c>
      <c r="F7" s="108">
        <v>2620.9930382894081</v>
      </c>
      <c r="G7" s="109">
        <v>3225.4336151168573</v>
      </c>
      <c r="H7" s="114"/>
      <c r="I7" s="113">
        <v>131.66666078759368</v>
      </c>
      <c r="J7" s="114">
        <v>186.0030643204403</v>
      </c>
      <c r="K7" s="109">
        <v>203.60520506148566</v>
      </c>
      <c r="L7" s="114"/>
      <c r="M7" s="113">
        <v>385.42587907297639</v>
      </c>
      <c r="N7" s="114">
        <v>394.25215961293503</v>
      </c>
      <c r="O7" s="109">
        <v>432.58077708290034</v>
      </c>
      <c r="P7" s="119"/>
      <c r="Q7" s="120">
        <v>0.08</v>
      </c>
      <c r="R7" s="120">
        <v>0.05</v>
      </c>
      <c r="S7" s="120">
        <v>0.03</v>
      </c>
      <c r="T7" s="120">
        <v>1.4999999999999999E-2</v>
      </c>
      <c r="U7" s="120">
        <v>0.02</v>
      </c>
      <c r="V7" s="121">
        <f t="shared" si="0"/>
        <v>0</v>
      </c>
      <c r="W7" s="119"/>
      <c r="X7" s="113">
        <f t="shared" ref="X7:X74" si="1">(E7+I7+M7)*(1+V7)</f>
        <v>2489.6723508998539</v>
      </c>
      <c r="Y7" s="113">
        <f t="shared" ref="Y7:Y74" si="2">(F7+J7+N7)*(1+V7)</f>
        <v>3201.2482622227835</v>
      </c>
      <c r="Z7" s="113">
        <f t="shared" ref="Z7:Z74" si="3">(G7+K7+O7)*(1+V7)</f>
        <v>3861.6195972612431</v>
      </c>
      <c r="AA7" s="22"/>
      <c r="AB7" s="22"/>
      <c r="AC7" s="22"/>
      <c r="AD7" s="22"/>
      <c r="AE7" s="22"/>
      <c r="AF7" s="22"/>
      <c r="AG7" s="22"/>
      <c r="AH7" s="22"/>
      <c r="AI7" s="22"/>
      <c r="AJ7" s="22"/>
      <c r="AK7" s="22"/>
      <c r="AL7" s="22"/>
      <c r="AM7" s="22"/>
      <c r="AN7" s="22"/>
      <c r="AO7" s="22"/>
      <c r="AP7" s="22"/>
      <c r="AQ7" s="22"/>
      <c r="AR7" s="22"/>
    </row>
    <row r="8" spans="1:44" hidden="1" x14ac:dyDescent="0.25">
      <c r="A8" s="16"/>
      <c r="B8" s="3" t="s">
        <v>17</v>
      </c>
      <c r="C8" s="3" t="s">
        <v>240</v>
      </c>
      <c r="D8" s="11" t="s">
        <v>19</v>
      </c>
      <c r="E8" s="107">
        <v>1972.5798110392839</v>
      </c>
      <c r="F8" s="108">
        <v>2620.9930382894081</v>
      </c>
      <c r="G8" s="109">
        <v>3225.4336151168573</v>
      </c>
      <c r="H8" s="114"/>
      <c r="I8" s="113">
        <v>131.66666078759368</v>
      </c>
      <c r="J8" s="114">
        <v>186.0030643204403</v>
      </c>
      <c r="K8" s="109">
        <v>203.60520506148566</v>
      </c>
      <c r="L8" s="114"/>
      <c r="M8" s="113">
        <v>385.42587907297639</v>
      </c>
      <c r="N8" s="114">
        <v>394.25215961293503</v>
      </c>
      <c r="O8" s="109">
        <v>432.58077708290034</v>
      </c>
      <c r="P8" s="119"/>
      <c r="Q8" s="120">
        <v>0.08</v>
      </c>
      <c r="R8" s="120">
        <v>0.05</v>
      </c>
      <c r="S8" s="120">
        <v>0.03</v>
      </c>
      <c r="T8" s="120">
        <v>1.4999999999999999E-2</v>
      </c>
      <c r="U8" s="120">
        <v>0.02</v>
      </c>
      <c r="V8" s="121">
        <f t="shared" si="0"/>
        <v>0</v>
      </c>
      <c r="W8" s="119"/>
      <c r="X8" s="113">
        <f t="shared" si="1"/>
        <v>2489.6723508998539</v>
      </c>
      <c r="Y8" s="113">
        <f t="shared" si="2"/>
        <v>3201.2482622227835</v>
      </c>
      <c r="Z8" s="113">
        <f t="shared" si="3"/>
        <v>3861.6195972612431</v>
      </c>
      <c r="AA8" s="22"/>
      <c r="AB8" s="22"/>
      <c r="AC8" s="22"/>
      <c r="AD8" s="22"/>
      <c r="AE8" s="22"/>
      <c r="AF8" s="22"/>
      <c r="AG8" s="22"/>
      <c r="AH8" s="22"/>
      <c r="AI8" s="22"/>
      <c r="AJ8" s="22"/>
      <c r="AK8" s="22"/>
      <c r="AL8" s="22"/>
      <c r="AM8" s="22"/>
      <c r="AN8" s="22"/>
      <c r="AO8" s="22"/>
      <c r="AP8" s="22"/>
      <c r="AQ8" s="22"/>
      <c r="AR8" s="22"/>
    </row>
    <row r="9" spans="1:44" hidden="1" x14ac:dyDescent="0.25">
      <c r="A9" s="16"/>
      <c r="B9" s="3" t="s">
        <v>17</v>
      </c>
      <c r="C9" s="3" t="s">
        <v>22</v>
      </c>
      <c r="D9" s="11" t="s">
        <v>19</v>
      </c>
      <c r="E9" s="107">
        <v>2585.6683242168074</v>
      </c>
      <c r="F9" s="108">
        <v>3438.1829935355545</v>
      </c>
      <c r="G9" s="109">
        <v>4232.8861263053204</v>
      </c>
      <c r="H9" s="114"/>
      <c r="I9" s="113">
        <v>172.50315383823676</v>
      </c>
      <c r="J9" s="114">
        <v>243.69202520153593</v>
      </c>
      <c r="K9" s="109">
        <v>266.75348034873707</v>
      </c>
      <c r="L9" s="114"/>
      <c r="M9" s="113">
        <v>504.96594440274635</v>
      </c>
      <c r="N9" s="114">
        <v>516.52970109480771</v>
      </c>
      <c r="O9" s="109">
        <v>566.74596203951728</v>
      </c>
      <c r="P9" s="119"/>
      <c r="Q9" s="120">
        <v>0.08</v>
      </c>
      <c r="R9" s="120">
        <v>0.05</v>
      </c>
      <c r="S9" s="120">
        <v>0.03</v>
      </c>
      <c r="T9" s="120">
        <v>1.4999999999999999E-2</v>
      </c>
      <c r="U9" s="120">
        <v>0.02</v>
      </c>
      <c r="V9" s="121">
        <f t="shared" si="0"/>
        <v>0</v>
      </c>
      <c r="W9" s="119"/>
      <c r="X9" s="113">
        <f t="shared" si="1"/>
        <v>3263.1374224577903</v>
      </c>
      <c r="Y9" s="113">
        <f t="shared" si="2"/>
        <v>4198.4047198318985</v>
      </c>
      <c r="Z9" s="113">
        <f t="shared" si="3"/>
        <v>5066.3855686935749</v>
      </c>
      <c r="AA9" s="22"/>
      <c r="AB9" s="22"/>
      <c r="AC9" s="22"/>
      <c r="AD9" s="22"/>
      <c r="AE9" s="22"/>
      <c r="AF9" s="22"/>
      <c r="AG9" s="22"/>
      <c r="AH9" s="22"/>
      <c r="AI9" s="22"/>
      <c r="AJ9" s="22"/>
      <c r="AK9" s="22"/>
      <c r="AL9" s="22"/>
      <c r="AM9" s="22"/>
      <c r="AN9" s="22"/>
      <c r="AO9" s="22"/>
      <c r="AP9" s="22"/>
      <c r="AQ9" s="22"/>
      <c r="AR9" s="22"/>
    </row>
    <row r="10" spans="1:44" hidden="1" x14ac:dyDescent="0.25">
      <c r="A10" s="16"/>
      <c r="B10" s="3" t="s">
        <v>17</v>
      </c>
      <c r="C10" s="3" t="s">
        <v>23</v>
      </c>
      <c r="D10" s="11" t="s">
        <v>19</v>
      </c>
      <c r="E10" s="107">
        <v>1940.2859273993038</v>
      </c>
      <c r="F10" s="108">
        <v>2568.7384385877672</v>
      </c>
      <c r="G10" s="109">
        <v>3179.7702635504725</v>
      </c>
      <c r="H10" s="114"/>
      <c r="I10" s="113">
        <v>136.71931358873064</v>
      </c>
      <c r="J10" s="114">
        <v>193.14085378314144</v>
      </c>
      <c r="K10" s="109">
        <v>211.41846928134436</v>
      </c>
      <c r="L10" s="114"/>
      <c r="M10" s="113">
        <v>400.21643528424357</v>
      </c>
      <c r="N10" s="114">
        <v>409.38142063244351</v>
      </c>
      <c r="O10" s="109">
        <v>449.18088269788126</v>
      </c>
      <c r="P10" s="119"/>
      <c r="Q10" s="120">
        <v>0.08</v>
      </c>
      <c r="R10" s="120">
        <v>0.05</v>
      </c>
      <c r="S10" s="120">
        <v>0.03</v>
      </c>
      <c r="T10" s="120">
        <v>1.4999999999999999E-2</v>
      </c>
      <c r="U10" s="120">
        <v>0.02</v>
      </c>
      <c r="V10" s="121">
        <f t="shared" si="0"/>
        <v>0</v>
      </c>
      <c r="W10" s="119"/>
      <c r="X10" s="113">
        <f t="shared" si="1"/>
        <v>2477.2216762722783</v>
      </c>
      <c r="Y10" s="113">
        <f t="shared" si="2"/>
        <v>3171.2607130033525</v>
      </c>
      <c r="Z10" s="113">
        <f t="shared" si="3"/>
        <v>3840.369615529698</v>
      </c>
      <c r="AA10" s="22"/>
      <c r="AB10" s="22"/>
      <c r="AC10" s="22"/>
      <c r="AD10" s="22"/>
      <c r="AE10" s="22"/>
      <c r="AF10" s="22"/>
      <c r="AG10" s="22"/>
      <c r="AH10" s="22"/>
      <c r="AI10" s="22"/>
      <c r="AJ10" s="22"/>
      <c r="AK10" s="22"/>
      <c r="AL10" s="22"/>
      <c r="AM10" s="22"/>
      <c r="AN10" s="22"/>
      <c r="AO10" s="22"/>
      <c r="AP10" s="22"/>
      <c r="AQ10" s="22"/>
      <c r="AR10" s="22"/>
    </row>
    <row r="11" spans="1:44" hidden="1" x14ac:dyDescent="0.25">
      <c r="A11" s="16"/>
      <c r="B11" s="3" t="s">
        <v>17</v>
      </c>
      <c r="C11" s="3" t="s">
        <v>24</v>
      </c>
      <c r="D11" s="11" t="s">
        <v>19</v>
      </c>
      <c r="E11" s="107">
        <v>2506.1422178020885</v>
      </c>
      <c r="F11" s="108">
        <v>3309.3117851815018</v>
      </c>
      <c r="G11" s="109">
        <v>4058.2222774738934</v>
      </c>
      <c r="H11" s="114"/>
      <c r="I11" s="113">
        <v>167.93301149667803</v>
      </c>
      <c r="J11" s="114">
        <v>237.23586936963676</v>
      </c>
      <c r="K11" s="109">
        <v>259.68635520827087</v>
      </c>
      <c r="L11" s="114"/>
      <c r="M11" s="113">
        <v>491.58783396121635</v>
      </c>
      <c r="N11" s="114">
        <v>502.8452309554404</v>
      </c>
      <c r="O11" s="109">
        <v>551.73110775776274</v>
      </c>
      <c r="P11" s="119"/>
      <c r="Q11" s="120">
        <v>0.08</v>
      </c>
      <c r="R11" s="120">
        <v>0.05</v>
      </c>
      <c r="S11" s="120">
        <v>0.03</v>
      </c>
      <c r="T11" s="120">
        <v>1.4999999999999999E-2</v>
      </c>
      <c r="U11" s="120">
        <v>0.02</v>
      </c>
      <c r="V11" s="121">
        <f t="shared" si="0"/>
        <v>0</v>
      </c>
      <c r="W11" s="119"/>
      <c r="X11" s="113">
        <f t="shared" si="1"/>
        <v>3165.6630632599827</v>
      </c>
      <c r="Y11" s="113">
        <f t="shared" si="2"/>
        <v>4049.3928855065792</v>
      </c>
      <c r="Z11" s="113">
        <f t="shared" si="3"/>
        <v>4869.6397404399268</v>
      </c>
      <c r="AA11" s="22"/>
      <c r="AB11" s="22"/>
      <c r="AC11" s="22"/>
      <c r="AD11" s="22"/>
      <c r="AE11" s="22"/>
      <c r="AF11" s="22"/>
      <c r="AG11" s="22"/>
      <c r="AH11" s="22"/>
      <c r="AI11" s="22"/>
      <c r="AJ11" s="22"/>
      <c r="AK11" s="22"/>
      <c r="AL11" s="22"/>
      <c r="AM11" s="22"/>
      <c r="AN11" s="22"/>
      <c r="AO11" s="22"/>
      <c r="AP11" s="22"/>
      <c r="AQ11" s="22"/>
      <c r="AR11" s="22"/>
    </row>
    <row r="12" spans="1:44" hidden="1" x14ac:dyDescent="0.25">
      <c r="A12" s="16"/>
      <c r="B12" s="3" t="s">
        <v>17</v>
      </c>
      <c r="C12" s="3" t="s">
        <v>25</v>
      </c>
      <c r="D12" s="11" t="s">
        <v>19</v>
      </c>
      <c r="E12" s="107">
        <v>2151.858776727996</v>
      </c>
      <c r="F12" s="108">
        <v>2859.9547488811536</v>
      </c>
      <c r="G12" s="109">
        <v>3520.0318249627053</v>
      </c>
      <c r="H12" s="114"/>
      <c r="I12" s="113">
        <v>137.30409507688367</v>
      </c>
      <c r="J12" s="114">
        <v>193.96696381056742</v>
      </c>
      <c r="K12" s="109">
        <v>212.32275707978434</v>
      </c>
      <c r="L12" s="114"/>
      <c r="M12" s="113">
        <v>401.92825753133906</v>
      </c>
      <c r="N12" s="114">
        <v>411.13244373295282</v>
      </c>
      <c r="O12" s="109">
        <v>451.10213769938099</v>
      </c>
      <c r="P12" s="119"/>
      <c r="Q12" s="120">
        <v>0.08</v>
      </c>
      <c r="R12" s="120">
        <v>0.05</v>
      </c>
      <c r="S12" s="120">
        <v>0.03</v>
      </c>
      <c r="T12" s="120">
        <v>1.4999999999999999E-2</v>
      </c>
      <c r="U12" s="120">
        <v>0.02</v>
      </c>
      <c r="V12" s="121">
        <f t="shared" si="0"/>
        <v>0</v>
      </c>
      <c r="W12" s="119"/>
      <c r="X12" s="113">
        <f t="shared" si="1"/>
        <v>2691.0911293362187</v>
      </c>
      <c r="Y12" s="113">
        <f t="shared" si="2"/>
        <v>3465.0541564246737</v>
      </c>
      <c r="Z12" s="113">
        <f t="shared" si="3"/>
        <v>4183.456719741871</v>
      </c>
      <c r="AA12" s="22"/>
      <c r="AB12" s="22"/>
      <c r="AC12" s="22"/>
      <c r="AD12" s="22"/>
      <c r="AE12" s="22"/>
      <c r="AF12" s="22"/>
      <c r="AG12" s="22"/>
      <c r="AH12" s="22"/>
      <c r="AI12" s="22"/>
      <c r="AJ12" s="22"/>
      <c r="AK12" s="22"/>
      <c r="AL12" s="22"/>
      <c r="AM12" s="22"/>
      <c r="AN12" s="22"/>
      <c r="AO12" s="22"/>
      <c r="AP12" s="22"/>
      <c r="AQ12" s="22"/>
      <c r="AR12" s="22"/>
    </row>
    <row r="13" spans="1:44" hidden="1" x14ac:dyDescent="0.25">
      <c r="A13" s="16"/>
      <c r="B13" s="3" t="s">
        <v>17</v>
      </c>
      <c r="C13" s="3" t="s">
        <v>26</v>
      </c>
      <c r="D13" s="11" t="s">
        <v>19</v>
      </c>
      <c r="E13" s="107">
        <v>1895.551964196917</v>
      </c>
      <c r="F13" s="108">
        <v>2509.3276976628545</v>
      </c>
      <c r="G13" s="109">
        <v>3106.0885131775235</v>
      </c>
      <c r="H13" s="114"/>
      <c r="I13" s="113">
        <v>133.57145386157424</v>
      </c>
      <c r="J13" s="114">
        <v>188.69393037975573</v>
      </c>
      <c r="K13" s="109">
        <v>206.5507174797975</v>
      </c>
      <c r="L13" s="114"/>
      <c r="M13" s="113">
        <v>391.00175181554891</v>
      </c>
      <c r="N13" s="114">
        <v>399.95572024506862</v>
      </c>
      <c r="O13" s="109">
        <v>438.83882952530189</v>
      </c>
      <c r="P13" s="119"/>
      <c r="Q13" s="120">
        <v>0.08</v>
      </c>
      <c r="R13" s="120">
        <v>0.05</v>
      </c>
      <c r="S13" s="120">
        <v>0.03</v>
      </c>
      <c r="T13" s="120">
        <v>1.4999999999999999E-2</v>
      </c>
      <c r="U13" s="120">
        <v>0.02</v>
      </c>
      <c r="V13" s="121">
        <f t="shared" si="0"/>
        <v>0</v>
      </c>
      <c r="W13" s="119"/>
      <c r="X13" s="113">
        <f t="shared" si="1"/>
        <v>2420.1251698740398</v>
      </c>
      <c r="Y13" s="113">
        <f t="shared" si="2"/>
        <v>3097.977348287679</v>
      </c>
      <c r="Z13" s="113">
        <f t="shared" si="3"/>
        <v>3751.4780601826233</v>
      </c>
      <c r="AA13" s="22"/>
      <c r="AB13" s="22"/>
      <c r="AC13" s="22"/>
      <c r="AD13" s="22"/>
      <c r="AE13" s="22"/>
      <c r="AF13" s="22"/>
      <c r="AG13" s="22"/>
      <c r="AH13" s="22"/>
      <c r="AI13" s="22"/>
      <c r="AJ13" s="22"/>
      <c r="AK13" s="22"/>
      <c r="AL13" s="22"/>
      <c r="AM13" s="22"/>
      <c r="AN13" s="22"/>
      <c r="AO13" s="22"/>
      <c r="AP13" s="22"/>
      <c r="AQ13" s="22"/>
      <c r="AR13" s="22"/>
    </row>
    <row r="14" spans="1:44" hidden="1" x14ac:dyDescent="0.25">
      <c r="A14" s="16"/>
      <c r="B14" s="3" t="s">
        <v>17</v>
      </c>
      <c r="C14" s="3" t="s">
        <v>27</v>
      </c>
      <c r="D14" s="11" t="s">
        <v>19</v>
      </c>
      <c r="E14" s="107">
        <v>1784.6752859273993</v>
      </c>
      <c r="F14" s="108">
        <v>2384.5977125808054</v>
      </c>
      <c r="G14" s="109">
        <v>2928.0397812033816</v>
      </c>
      <c r="H14" s="114"/>
      <c r="I14" s="113">
        <v>125.36487080341843</v>
      </c>
      <c r="J14" s="114">
        <v>177.10064178804703</v>
      </c>
      <c r="K14" s="109">
        <v>193.86031418092861</v>
      </c>
      <c r="L14" s="114"/>
      <c r="M14" s="113">
        <v>366.97874196282896</v>
      </c>
      <c r="N14" s="114">
        <v>375.38258172718406</v>
      </c>
      <c r="O14" s="109">
        <v>411.87672647463415</v>
      </c>
      <c r="P14" s="119"/>
      <c r="Q14" s="120">
        <v>0.08</v>
      </c>
      <c r="R14" s="120">
        <v>0.05</v>
      </c>
      <c r="S14" s="120">
        <v>0.03</v>
      </c>
      <c r="T14" s="120">
        <v>1.4999999999999999E-2</v>
      </c>
      <c r="U14" s="120">
        <v>0.02</v>
      </c>
      <c r="V14" s="121">
        <f t="shared" si="0"/>
        <v>0</v>
      </c>
      <c r="W14" s="119"/>
      <c r="X14" s="113">
        <f t="shared" si="1"/>
        <v>2277.0188986936464</v>
      </c>
      <c r="Y14" s="113">
        <f t="shared" si="2"/>
        <v>2937.0809360960366</v>
      </c>
      <c r="Z14" s="113">
        <f t="shared" si="3"/>
        <v>3533.7768218589445</v>
      </c>
      <c r="AA14" s="22"/>
      <c r="AB14" s="22"/>
      <c r="AC14" s="22"/>
      <c r="AD14" s="22"/>
      <c r="AE14" s="22"/>
      <c r="AF14" s="22"/>
      <c r="AG14" s="22"/>
      <c r="AH14" s="22"/>
      <c r="AI14" s="22"/>
      <c r="AJ14" s="22"/>
      <c r="AK14" s="22"/>
      <c r="AL14" s="22"/>
      <c r="AM14" s="22"/>
      <c r="AN14" s="22"/>
      <c r="AO14" s="22"/>
      <c r="AP14" s="22"/>
      <c r="AQ14" s="22"/>
      <c r="AR14" s="22"/>
    </row>
    <row r="15" spans="1:44" hidden="1" x14ac:dyDescent="0.25">
      <c r="A15" s="16"/>
      <c r="B15" s="3" t="s">
        <v>17</v>
      </c>
      <c r="C15" s="3" t="s">
        <v>28</v>
      </c>
      <c r="D15" s="11" t="s">
        <v>19</v>
      </c>
      <c r="E15" s="107">
        <v>1877.2511188463452</v>
      </c>
      <c r="F15" s="108">
        <v>2485.0228741919441</v>
      </c>
      <c r="G15" s="109">
        <v>3075.9457981103928</v>
      </c>
      <c r="H15" s="114"/>
      <c r="I15" s="113">
        <v>132.28368954902888</v>
      </c>
      <c r="J15" s="114">
        <v>186.87472947632926</v>
      </c>
      <c r="K15" s="109">
        <v>204.55935903447596</v>
      </c>
      <c r="L15" s="114"/>
      <c r="M15" s="113">
        <v>387.23209828873621</v>
      </c>
      <c r="N15" s="114">
        <v>396.09974137952634</v>
      </c>
      <c r="O15" s="109">
        <v>434.60797804256265</v>
      </c>
      <c r="P15" s="119"/>
      <c r="Q15" s="120">
        <v>0.08</v>
      </c>
      <c r="R15" s="120">
        <v>0.05</v>
      </c>
      <c r="S15" s="120">
        <v>0.03</v>
      </c>
      <c r="T15" s="120">
        <v>1.4999999999999999E-2</v>
      </c>
      <c r="U15" s="120">
        <v>0.02</v>
      </c>
      <c r="V15" s="121">
        <f t="shared" si="0"/>
        <v>0</v>
      </c>
      <c r="W15" s="119"/>
      <c r="X15" s="113">
        <f t="shared" si="1"/>
        <v>2396.7669066841104</v>
      </c>
      <c r="Y15" s="113">
        <f t="shared" si="2"/>
        <v>3067.9973450477996</v>
      </c>
      <c r="Z15" s="113">
        <f t="shared" si="3"/>
        <v>3715.1131351874315</v>
      </c>
      <c r="AA15" s="22"/>
      <c r="AB15" s="22"/>
      <c r="AC15" s="22"/>
      <c r="AD15" s="22"/>
      <c r="AE15" s="22"/>
      <c r="AF15" s="22"/>
      <c r="AG15" s="22"/>
      <c r="AH15" s="22"/>
      <c r="AI15" s="22"/>
      <c r="AJ15" s="22"/>
      <c r="AK15" s="22"/>
      <c r="AL15" s="22"/>
      <c r="AM15" s="22"/>
      <c r="AN15" s="22"/>
      <c r="AO15" s="22"/>
      <c r="AP15" s="22"/>
      <c r="AQ15" s="22"/>
      <c r="AR15" s="22"/>
    </row>
    <row r="16" spans="1:44" hidden="1" x14ac:dyDescent="0.25">
      <c r="A16" s="16"/>
      <c r="B16" s="3" t="s">
        <v>17</v>
      </c>
      <c r="C16" s="3" t="s">
        <v>29</v>
      </c>
      <c r="D16" s="11" t="s">
        <v>19</v>
      </c>
      <c r="E16" s="107">
        <v>1787.7836897066136</v>
      </c>
      <c r="F16" s="108">
        <v>2366.2003978120338</v>
      </c>
      <c r="G16" s="109">
        <v>2928.5832918945798</v>
      </c>
      <c r="H16" s="114"/>
      <c r="I16" s="113">
        <v>125.9879314289208</v>
      </c>
      <c r="J16" s="114">
        <v>177.98082804710168</v>
      </c>
      <c r="K16" s="109">
        <v>194.82379563980604</v>
      </c>
      <c r="L16" s="114"/>
      <c r="M16" s="113">
        <v>368.80261816553303</v>
      </c>
      <c r="N16" s="114">
        <v>377.24822482699932</v>
      </c>
      <c r="O16" s="109">
        <v>413.92374466388077</v>
      </c>
      <c r="P16" s="119"/>
      <c r="Q16" s="120">
        <v>0.08</v>
      </c>
      <c r="R16" s="120">
        <v>0.05</v>
      </c>
      <c r="S16" s="120">
        <v>0.03</v>
      </c>
      <c r="T16" s="120">
        <v>1.4999999999999999E-2</v>
      </c>
      <c r="U16" s="120">
        <v>0.02</v>
      </c>
      <c r="V16" s="121">
        <f t="shared" si="0"/>
        <v>0</v>
      </c>
      <c r="W16" s="119"/>
      <c r="X16" s="113">
        <f t="shared" si="1"/>
        <v>2282.5742393010673</v>
      </c>
      <c r="Y16" s="113">
        <f t="shared" si="2"/>
        <v>2921.4294506861347</v>
      </c>
      <c r="Z16" s="113">
        <f t="shared" si="3"/>
        <v>3537.3308321982668</v>
      </c>
      <c r="AA16" s="22"/>
      <c r="AB16" s="22"/>
      <c r="AC16" s="22"/>
      <c r="AD16" s="22"/>
      <c r="AE16" s="22"/>
      <c r="AF16" s="22"/>
      <c r="AG16" s="22"/>
      <c r="AH16" s="22"/>
      <c r="AI16" s="22"/>
      <c r="AJ16" s="22"/>
      <c r="AK16" s="22"/>
      <c r="AL16" s="22"/>
      <c r="AM16" s="22"/>
      <c r="AN16" s="22"/>
      <c r="AO16" s="22"/>
      <c r="AP16" s="22"/>
      <c r="AQ16" s="22"/>
      <c r="AR16" s="22"/>
    </row>
    <row r="17" spans="1:44" hidden="1" x14ac:dyDescent="0.25">
      <c r="A17" s="16"/>
      <c r="B17" s="3" t="s">
        <v>17</v>
      </c>
      <c r="C17" s="3" t="s">
        <v>30</v>
      </c>
      <c r="D17" s="11" t="s">
        <v>19</v>
      </c>
      <c r="E17" s="107">
        <v>1909.7851815017405</v>
      </c>
      <c r="F17" s="108">
        <v>2528.2312282446542</v>
      </c>
      <c r="G17" s="109">
        <v>3129.5325708602686</v>
      </c>
      <c r="H17" s="114"/>
      <c r="I17" s="113">
        <v>134.57305262308677</v>
      </c>
      <c r="J17" s="114">
        <v>190.10887048491594</v>
      </c>
      <c r="K17" s="109">
        <v>208.09955846966716</v>
      </c>
      <c r="L17" s="114"/>
      <c r="M17" s="113">
        <v>393.93371713482702</v>
      </c>
      <c r="N17" s="114">
        <v>402.95482778246554</v>
      </c>
      <c r="O17" s="109">
        <v>442.12950590449037</v>
      </c>
      <c r="P17" s="119"/>
      <c r="Q17" s="120">
        <v>0.08</v>
      </c>
      <c r="R17" s="120">
        <v>0.05</v>
      </c>
      <c r="S17" s="120">
        <v>0.03</v>
      </c>
      <c r="T17" s="120">
        <v>1.4999999999999999E-2</v>
      </c>
      <c r="U17" s="120">
        <v>0.02</v>
      </c>
      <c r="V17" s="121">
        <f t="shared" si="0"/>
        <v>0</v>
      </c>
      <c r="W17" s="119"/>
      <c r="X17" s="113">
        <f t="shared" si="1"/>
        <v>2438.2919512596545</v>
      </c>
      <c r="Y17" s="113">
        <f t="shared" si="2"/>
        <v>3121.2949265120355</v>
      </c>
      <c r="Z17" s="113">
        <f t="shared" si="3"/>
        <v>3779.7616352344262</v>
      </c>
      <c r="AA17" s="22"/>
      <c r="AB17" s="22"/>
      <c r="AC17" s="22"/>
      <c r="AD17" s="22"/>
      <c r="AE17" s="22"/>
      <c r="AF17" s="22"/>
      <c r="AG17" s="22"/>
      <c r="AH17" s="22"/>
      <c r="AI17" s="22"/>
      <c r="AJ17" s="22"/>
      <c r="AK17" s="22"/>
      <c r="AL17" s="22"/>
      <c r="AM17" s="22"/>
      <c r="AN17" s="22"/>
      <c r="AO17" s="22"/>
      <c r="AP17" s="22"/>
      <c r="AQ17" s="22"/>
      <c r="AR17" s="22"/>
    </row>
    <row r="18" spans="1:44" hidden="1" x14ac:dyDescent="0.25">
      <c r="A18" s="16"/>
      <c r="B18" s="3" t="s">
        <v>17</v>
      </c>
      <c r="C18" s="3" t="s">
        <v>32</v>
      </c>
      <c r="D18" s="11" t="s">
        <v>19</v>
      </c>
      <c r="E18" s="107">
        <v>2005.3530581800098</v>
      </c>
      <c r="F18" s="108">
        <v>2655.1551466931874</v>
      </c>
      <c r="G18" s="109">
        <v>3286.9428145201391</v>
      </c>
      <c r="H18" s="114"/>
      <c r="I18" s="113">
        <v>141.29807840264178</v>
      </c>
      <c r="J18" s="114">
        <v>199.60919042277109</v>
      </c>
      <c r="K18" s="109">
        <v>218.49892794330304</v>
      </c>
      <c r="L18" s="114"/>
      <c r="M18" s="113">
        <v>413.61978616223905</v>
      </c>
      <c r="N18" s="114">
        <v>423.0917092160991</v>
      </c>
      <c r="O18" s="109">
        <v>464.22406545525973</v>
      </c>
      <c r="P18" s="119"/>
      <c r="Q18" s="120">
        <v>0.08</v>
      </c>
      <c r="R18" s="120">
        <v>0.05</v>
      </c>
      <c r="S18" s="120">
        <v>0.03</v>
      </c>
      <c r="T18" s="120">
        <v>1.4999999999999999E-2</v>
      </c>
      <c r="U18" s="120">
        <v>0.02</v>
      </c>
      <c r="V18" s="121">
        <f t="shared" si="0"/>
        <v>0</v>
      </c>
      <c r="W18" s="119"/>
      <c r="X18" s="113">
        <f t="shared" si="1"/>
        <v>2560.2709227448909</v>
      </c>
      <c r="Y18" s="113">
        <f t="shared" si="2"/>
        <v>3277.8560463320573</v>
      </c>
      <c r="Z18" s="113">
        <f t="shared" si="3"/>
        <v>3969.6658079187018</v>
      </c>
      <c r="AA18" s="22"/>
      <c r="AB18" s="22"/>
      <c r="AC18" s="22"/>
      <c r="AD18" s="22"/>
      <c r="AE18" s="22"/>
      <c r="AF18" s="22"/>
      <c r="AG18" s="22"/>
      <c r="AH18" s="22"/>
      <c r="AI18" s="22"/>
      <c r="AJ18" s="22"/>
      <c r="AK18" s="22"/>
      <c r="AL18" s="22"/>
      <c r="AM18" s="22"/>
      <c r="AN18" s="22"/>
      <c r="AO18" s="22"/>
      <c r="AP18" s="22"/>
      <c r="AQ18" s="22"/>
      <c r="AR18" s="22"/>
    </row>
    <row r="19" spans="1:44" hidden="1" x14ac:dyDescent="0.25">
      <c r="A19" s="16"/>
      <c r="B19" s="3" t="s">
        <v>17</v>
      </c>
      <c r="C19" s="3" t="s">
        <v>33</v>
      </c>
      <c r="D19" s="11" t="s">
        <v>19</v>
      </c>
      <c r="E19" s="107">
        <v>1775.583789159622</v>
      </c>
      <c r="F19" s="108">
        <v>2349.9975136747885</v>
      </c>
      <c r="G19" s="109">
        <v>2908.4883142715066</v>
      </c>
      <c r="H19" s="114"/>
      <c r="I19" s="113">
        <v>125.12947344161762</v>
      </c>
      <c r="J19" s="114">
        <v>176.76810027475892</v>
      </c>
      <c r="K19" s="109">
        <v>193.49630306502658</v>
      </c>
      <c r="L19" s="114"/>
      <c r="M19" s="113">
        <v>366.28966672874287</v>
      </c>
      <c r="N19" s="114">
        <v>374.67772662034059</v>
      </c>
      <c r="O19" s="109">
        <v>411.10334638675198</v>
      </c>
      <c r="P19" s="119"/>
      <c r="Q19" s="120">
        <v>0.08</v>
      </c>
      <c r="R19" s="120">
        <v>0.05</v>
      </c>
      <c r="S19" s="120">
        <v>0.03</v>
      </c>
      <c r="T19" s="120">
        <v>1.4999999999999999E-2</v>
      </c>
      <c r="U19" s="120">
        <v>0.02</v>
      </c>
      <c r="V19" s="121">
        <f t="shared" si="0"/>
        <v>0</v>
      </c>
      <c r="W19" s="119"/>
      <c r="X19" s="113">
        <f t="shared" si="1"/>
        <v>2267.0029293299826</v>
      </c>
      <c r="Y19" s="113">
        <f t="shared" si="2"/>
        <v>2901.4433405698883</v>
      </c>
      <c r="Z19" s="113">
        <f t="shared" si="3"/>
        <v>3513.0879637232852</v>
      </c>
      <c r="AA19" s="22"/>
      <c r="AB19" s="22"/>
      <c r="AC19" s="22"/>
      <c r="AD19" s="22"/>
      <c r="AE19" s="22"/>
      <c r="AF19" s="22"/>
      <c r="AG19" s="22"/>
      <c r="AH19" s="22"/>
      <c r="AI19" s="22"/>
      <c r="AJ19" s="22"/>
      <c r="AK19" s="22"/>
      <c r="AL19" s="22"/>
      <c r="AM19" s="22"/>
      <c r="AN19" s="22"/>
      <c r="AO19" s="22"/>
      <c r="AP19" s="22"/>
      <c r="AQ19" s="22"/>
      <c r="AR19" s="22"/>
    </row>
    <row r="20" spans="1:44" hidden="1" x14ac:dyDescent="0.25">
      <c r="A20" s="16"/>
      <c r="B20" s="3" t="s">
        <v>17</v>
      </c>
      <c r="C20" s="3" t="s">
        <v>34</v>
      </c>
      <c r="D20" s="11" t="s">
        <v>19</v>
      </c>
      <c r="E20" s="107">
        <v>1887.4181999005471</v>
      </c>
      <c r="F20" s="108">
        <v>2498.5256091496767</v>
      </c>
      <c r="G20" s="109">
        <v>3092.6921929388363</v>
      </c>
      <c r="H20" s="114"/>
      <c r="I20" s="113">
        <v>132.99912275950859</v>
      </c>
      <c r="J20" s="114">
        <v>187.88540878322311</v>
      </c>
      <c r="K20" s="109">
        <v>205.66568256889374</v>
      </c>
      <c r="L20" s="114"/>
      <c r="M20" s="113">
        <v>389.32637540047955</v>
      </c>
      <c r="N20" s="114">
        <v>398.24197758877796</v>
      </c>
      <c r="O20" s="109">
        <v>436.9584793182006</v>
      </c>
      <c r="P20" s="119"/>
      <c r="Q20" s="120">
        <v>0.08</v>
      </c>
      <c r="R20" s="120">
        <v>0.05</v>
      </c>
      <c r="S20" s="120">
        <v>0.03</v>
      </c>
      <c r="T20" s="120">
        <v>1.4999999999999999E-2</v>
      </c>
      <c r="U20" s="120">
        <v>0.02</v>
      </c>
      <c r="V20" s="121">
        <f t="shared" si="0"/>
        <v>0</v>
      </c>
      <c r="W20" s="119"/>
      <c r="X20" s="113">
        <f t="shared" si="1"/>
        <v>2409.7436980605353</v>
      </c>
      <c r="Y20" s="113">
        <f t="shared" si="2"/>
        <v>3084.6529955216779</v>
      </c>
      <c r="Z20" s="113">
        <f t="shared" si="3"/>
        <v>3735.3163548259308</v>
      </c>
      <c r="AA20" s="22"/>
      <c r="AB20" s="22"/>
      <c r="AC20" s="22"/>
      <c r="AD20" s="22"/>
      <c r="AE20" s="22"/>
      <c r="AF20" s="22"/>
      <c r="AG20" s="22"/>
      <c r="AH20" s="22"/>
      <c r="AI20" s="22"/>
      <c r="AJ20" s="22"/>
      <c r="AK20" s="22"/>
      <c r="AL20" s="22"/>
      <c r="AM20" s="22"/>
      <c r="AN20" s="22"/>
      <c r="AO20" s="22"/>
      <c r="AP20" s="22"/>
      <c r="AQ20" s="22"/>
      <c r="AR20" s="22"/>
    </row>
    <row r="21" spans="1:44" hidden="1" x14ac:dyDescent="0.25">
      <c r="A21" s="16"/>
      <c r="B21" s="3" t="s">
        <v>17</v>
      </c>
      <c r="C21" s="3" t="s">
        <v>35</v>
      </c>
      <c r="D21" s="11" t="s">
        <v>19</v>
      </c>
      <c r="E21" s="107">
        <v>1982.9860765788164</v>
      </c>
      <c r="F21" s="108">
        <v>2625.4495275982099</v>
      </c>
      <c r="G21" s="109">
        <v>3250.1024365987073</v>
      </c>
      <c r="H21" s="114"/>
      <c r="I21" s="113">
        <v>139.72414853906358</v>
      </c>
      <c r="J21" s="114">
        <v>197.38572872107827</v>
      </c>
      <c r="K21" s="109">
        <v>216.0650520425296</v>
      </c>
      <c r="L21" s="114"/>
      <c r="M21" s="113">
        <v>409.01244442789158</v>
      </c>
      <c r="N21" s="114">
        <v>418.37885902241152</v>
      </c>
      <c r="O21" s="109">
        <v>459.05303886896996</v>
      </c>
      <c r="P21" s="119"/>
      <c r="Q21" s="120">
        <v>0.08</v>
      </c>
      <c r="R21" s="120">
        <v>0.05</v>
      </c>
      <c r="S21" s="120">
        <v>0.03</v>
      </c>
      <c r="T21" s="120">
        <v>1.4999999999999999E-2</v>
      </c>
      <c r="U21" s="120">
        <v>0.02</v>
      </c>
      <c r="V21" s="121">
        <f t="shared" si="0"/>
        <v>0</v>
      </c>
      <c r="W21" s="119"/>
      <c r="X21" s="113">
        <f t="shared" si="1"/>
        <v>2531.7226695457716</v>
      </c>
      <c r="Y21" s="113">
        <f t="shared" si="2"/>
        <v>3241.2141153416997</v>
      </c>
      <c r="Z21" s="113">
        <f t="shared" si="3"/>
        <v>3925.2205275102069</v>
      </c>
      <c r="AA21" s="22"/>
      <c r="AB21" s="22"/>
      <c r="AC21" s="22"/>
      <c r="AD21" s="22"/>
      <c r="AE21" s="22"/>
      <c r="AF21" s="22"/>
      <c r="AG21" s="22"/>
      <c r="AH21" s="22"/>
      <c r="AI21" s="22"/>
      <c r="AJ21" s="22"/>
      <c r="AK21" s="22"/>
      <c r="AL21" s="22"/>
      <c r="AM21" s="22"/>
      <c r="AN21" s="22"/>
      <c r="AO21" s="22"/>
      <c r="AP21" s="22"/>
      <c r="AQ21" s="22"/>
      <c r="AR21" s="22"/>
    </row>
    <row r="22" spans="1:44" hidden="1" x14ac:dyDescent="0.25">
      <c r="A22" s="16"/>
      <c r="B22" s="3" t="s">
        <v>17</v>
      </c>
      <c r="C22" s="3" t="s">
        <v>36</v>
      </c>
      <c r="D22" s="11" t="s">
        <v>19</v>
      </c>
      <c r="E22" s="107">
        <v>2340.8572849328693</v>
      </c>
      <c r="F22" s="108">
        <v>3100.737941322725</v>
      </c>
      <c r="G22" s="109">
        <v>3839.5539532570861</v>
      </c>
      <c r="H22" s="114"/>
      <c r="I22" s="113">
        <v>164.90706502211</v>
      </c>
      <c r="J22" s="114">
        <v>232.96117057061986</v>
      </c>
      <c r="K22" s="109">
        <v>255.00712624648074</v>
      </c>
      <c r="L22" s="114"/>
      <c r="M22" s="113">
        <v>482.73002536326294</v>
      </c>
      <c r="N22" s="114">
        <v>493.78457789918843</v>
      </c>
      <c r="O22" s="109">
        <v>541.78959128312874</v>
      </c>
      <c r="P22" s="119"/>
      <c r="Q22" s="120">
        <v>0.08</v>
      </c>
      <c r="R22" s="120">
        <v>0.05</v>
      </c>
      <c r="S22" s="120">
        <v>0.03</v>
      </c>
      <c r="T22" s="120">
        <v>1.4999999999999999E-2</v>
      </c>
      <c r="U22" s="120">
        <v>0.02</v>
      </c>
      <c r="V22" s="121">
        <f t="shared" si="0"/>
        <v>0</v>
      </c>
      <c r="W22" s="119"/>
      <c r="X22" s="113">
        <f t="shared" si="1"/>
        <v>2988.4943753182424</v>
      </c>
      <c r="Y22" s="113">
        <f t="shared" si="2"/>
        <v>3827.4836897925334</v>
      </c>
      <c r="Z22" s="113">
        <f t="shared" si="3"/>
        <v>4636.3506707866954</v>
      </c>
      <c r="AA22" s="22"/>
      <c r="AB22" s="22"/>
      <c r="AC22" s="22"/>
      <c r="AD22" s="22"/>
      <c r="AE22" s="22"/>
      <c r="AF22" s="22"/>
      <c r="AG22" s="22"/>
      <c r="AH22" s="22"/>
      <c r="AI22" s="22"/>
      <c r="AJ22" s="22"/>
      <c r="AK22" s="22"/>
      <c r="AL22" s="22"/>
      <c r="AM22" s="22"/>
      <c r="AN22" s="22"/>
      <c r="AO22" s="22"/>
      <c r="AP22" s="22"/>
      <c r="AQ22" s="22"/>
      <c r="AR22" s="22"/>
    </row>
    <row r="23" spans="1:44" hidden="1" x14ac:dyDescent="0.25">
      <c r="A23" s="16"/>
      <c r="B23" s="3" t="s">
        <v>17</v>
      </c>
      <c r="C23" s="3" t="s">
        <v>37</v>
      </c>
      <c r="D23" s="11" t="s">
        <v>19</v>
      </c>
      <c r="E23" s="107">
        <v>1832.5176529090004</v>
      </c>
      <c r="F23" s="108">
        <v>2425.6121332670314</v>
      </c>
      <c r="G23" s="109">
        <v>3002.2645450024861</v>
      </c>
      <c r="H23" s="114"/>
      <c r="I23" s="113">
        <v>129.13582982187251</v>
      </c>
      <c r="J23" s="114">
        <v>182.42780607294358</v>
      </c>
      <c r="K23" s="109">
        <v>199.6916072329291</v>
      </c>
      <c r="L23" s="114"/>
      <c r="M23" s="113">
        <v>378.01741482004144</v>
      </c>
      <c r="N23" s="114">
        <v>386.67404099215133</v>
      </c>
      <c r="O23" s="109">
        <v>424.26592486998317</v>
      </c>
      <c r="P23" s="119"/>
      <c r="Q23" s="120">
        <v>0.08</v>
      </c>
      <c r="R23" s="120">
        <v>0.05</v>
      </c>
      <c r="S23" s="120">
        <v>0.03</v>
      </c>
      <c r="T23" s="120">
        <v>1.4999999999999999E-2</v>
      </c>
      <c r="U23" s="120">
        <v>0.02</v>
      </c>
      <c r="V23" s="121">
        <f t="shared" si="0"/>
        <v>0</v>
      </c>
      <c r="W23" s="119"/>
      <c r="X23" s="113">
        <f t="shared" si="1"/>
        <v>2339.6708975509141</v>
      </c>
      <c r="Y23" s="113">
        <f t="shared" si="2"/>
        <v>2994.7139803321261</v>
      </c>
      <c r="Z23" s="113">
        <f t="shared" si="3"/>
        <v>3626.2220771053985</v>
      </c>
      <c r="AA23" s="22"/>
      <c r="AB23" s="22"/>
      <c r="AC23" s="22"/>
      <c r="AD23" s="22"/>
      <c r="AE23" s="22"/>
      <c r="AF23" s="22"/>
      <c r="AG23" s="22"/>
      <c r="AH23" s="22"/>
      <c r="AI23" s="22"/>
      <c r="AJ23" s="22"/>
      <c r="AK23" s="22"/>
      <c r="AL23" s="22"/>
      <c r="AM23" s="22"/>
      <c r="AN23" s="22"/>
      <c r="AO23" s="22"/>
      <c r="AP23" s="22"/>
      <c r="AQ23" s="22"/>
      <c r="AR23" s="22"/>
    </row>
    <row r="24" spans="1:44" hidden="1" x14ac:dyDescent="0.25">
      <c r="A24" s="16"/>
      <c r="B24" s="3" t="s">
        <v>17</v>
      </c>
      <c r="C24" s="3" t="s">
        <v>38</v>
      </c>
      <c r="D24" s="11" t="s">
        <v>19</v>
      </c>
      <c r="E24" s="107">
        <v>2153.788165091994</v>
      </c>
      <c r="F24" s="108">
        <v>2852.291894579811</v>
      </c>
      <c r="G24" s="109">
        <v>3531.4316260566884</v>
      </c>
      <c r="H24" s="114"/>
      <c r="I24" s="113">
        <v>151.74321767982818</v>
      </c>
      <c r="J24" s="114">
        <v>214.36484611563213</v>
      </c>
      <c r="K24" s="109">
        <v>234.65096454623711</v>
      </c>
      <c r="L24" s="114"/>
      <c r="M24" s="113">
        <v>444.19568870178739</v>
      </c>
      <c r="N24" s="114">
        <v>454.36780213784385</v>
      </c>
      <c r="O24" s="109">
        <v>498.54077431866369</v>
      </c>
      <c r="P24" s="119"/>
      <c r="Q24" s="120">
        <v>0.08</v>
      </c>
      <c r="R24" s="120">
        <v>0.05</v>
      </c>
      <c r="S24" s="120">
        <v>0.03</v>
      </c>
      <c r="T24" s="120">
        <v>1.4999999999999999E-2</v>
      </c>
      <c r="U24" s="120">
        <v>0.02</v>
      </c>
      <c r="V24" s="121">
        <f t="shared" si="0"/>
        <v>0</v>
      </c>
      <c r="W24" s="119"/>
      <c r="X24" s="113">
        <f t="shared" si="1"/>
        <v>2749.7270714736096</v>
      </c>
      <c r="Y24" s="113">
        <f t="shared" si="2"/>
        <v>3521.0245428332869</v>
      </c>
      <c r="Z24" s="113">
        <f t="shared" si="3"/>
        <v>4264.6233649215892</v>
      </c>
      <c r="AA24" s="22"/>
      <c r="AB24" s="22"/>
      <c r="AC24" s="22"/>
      <c r="AD24" s="22"/>
      <c r="AE24" s="22"/>
      <c r="AF24" s="22"/>
      <c r="AG24" s="22"/>
      <c r="AH24" s="22"/>
      <c r="AI24" s="22"/>
      <c r="AJ24" s="22"/>
      <c r="AK24" s="22"/>
      <c r="AL24" s="22"/>
      <c r="AM24" s="22"/>
      <c r="AN24" s="22"/>
      <c r="AO24" s="22"/>
      <c r="AP24" s="22"/>
      <c r="AQ24" s="22"/>
      <c r="AR24" s="22"/>
    </row>
    <row r="25" spans="1:44" hidden="1" x14ac:dyDescent="0.25">
      <c r="A25" s="16"/>
      <c r="B25" s="3" t="s">
        <v>17</v>
      </c>
      <c r="C25" s="3" t="s">
        <v>39</v>
      </c>
      <c r="D25" s="11" t="s">
        <v>19</v>
      </c>
      <c r="E25" s="107">
        <v>1826.4177026355046</v>
      </c>
      <c r="F25" s="108">
        <v>2417.5106911984089</v>
      </c>
      <c r="G25" s="109">
        <v>2992.2173048234708</v>
      </c>
      <c r="H25" s="114"/>
      <c r="I25" s="113">
        <v>128.7066008282209</v>
      </c>
      <c r="J25" s="114">
        <v>181.82144218677215</v>
      </c>
      <c r="K25" s="109">
        <v>199.02786094553935</v>
      </c>
      <c r="L25" s="114"/>
      <c r="M25" s="113">
        <v>376.76093910164644</v>
      </c>
      <c r="N25" s="114">
        <v>385.38879188882203</v>
      </c>
      <c r="O25" s="109">
        <v>422.85572573141883</v>
      </c>
      <c r="P25" s="119"/>
      <c r="Q25" s="120">
        <v>0.08</v>
      </c>
      <c r="R25" s="120">
        <v>0.05</v>
      </c>
      <c r="S25" s="120">
        <v>0.03</v>
      </c>
      <c r="T25" s="120">
        <v>1.4999999999999999E-2</v>
      </c>
      <c r="U25" s="120">
        <v>0.02</v>
      </c>
      <c r="V25" s="121">
        <f t="shared" si="0"/>
        <v>0</v>
      </c>
      <c r="W25" s="119"/>
      <c r="X25" s="113">
        <f t="shared" si="1"/>
        <v>2331.8852425653718</v>
      </c>
      <c r="Y25" s="113">
        <f t="shared" si="2"/>
        <v>2984.7209252740031</v>
      </c>
      <c r="Z25" s="113">
        <f t="shared" si="3"/>
        <v>3614.100891500429</v>
      </c>
      <c r="AA25" s="22"/>
      <c r="AB25" s="22"/>
      <c r="AC25" s="22"/>
      <c r="AD25" s="22"/>
      <c r="AE25" s="22"/>
      <c r="AF25" s="22"/>
      <c r="AG25" s="22"/>
      <c r="AH25" s="22"/>
      <c r="AI25" s="22"/>
      <c r="AJ25" s="22"/>
      <c r="AK25" s="22"/>
      <c r="AL25" s="22"/>
      <c r="AM25" s="22"/>
      <c r="AN25" s="22"/>
      <c r="AO25" s="22"/>
      <c r="AP25" s="22"/>
      <c r="AQ25" s="22"/>
      <c r="AR25" s="22"/>
    </row>
    <row r="26" spans="1:44" hidden="1" x14ac:dyDescent="0.25">
      <c r="A26" s="16"/>
      <c r="B26" s="3" t="s">
        <v>17</v>
      </c>
      <c r="C26" s="3" t="s">
        <v>40</v>
      </c>
      <c r="D26" s="11" t="s">
        <v>19</v>
      </c>
      <c r="E26" s="107">
        <v>2619.6762804574837</v>
      </c>
      <c r="F26" s="108">
        <v>3646.4286424664347</v>
      </c>
      <c r="G26" s="109">
        <v>4441.1790154152159</v>
      </c>
      <c r="H26" s="114"/>
      <c r="I26" s="113">
        <v>179</v>
      </c>
      <c r="J26" s="114">
        <v>252.87</v>
      </c>
      <c r="K26" s="109">
        <v>276.8</v>
      </c>
      <c r="L26" s="114"/>
      <c r="M26" s="113">
        <v>523.98406659192426</v>
      </c>
      <c r="N26" s="114">
        <v>535.98333965924473</v>
      </c>
      <c r="O26" s="109">
        <v>588.0908548501385</v>
      </c>
      <c r="P26" s="119"/>
      <c r="Q26" s="120">
        <v>0.08</v>
      </c>
      <c r="R26" s="120">
        <v>0.05</v>
      </c>
      <c r="S26" s="120">
        <v>0.03</v>
      </c>
      <c r="T26" s="120">
        <v>1.4999999999999999E-2</v>
      </c>
      <c r="U26" s="120">
        <v>0.02</v>
      </c>
      <c r="V26" s="121">
        <f t="shared" si="0"/>
        <v>0</v>
      </c>
      <c r="W26" s="119"/>
      <c r="X26" s="113">
        <f t="shared" si="1"/>
        <v>3322.6603470494078</v>
      </c>
      <c r="Y26" s="113">
        <f t="shared" si="2"/>
        <v>4435.281982125679</v>
      </c>
      <c r="Z26" s="113">
        <f t="shared" si="3"/>
        <v>5306.0698702653544</v>
      </c>
      <c r="AA26" s="22"/>
      <c r="AB26" s="22"/>
      <c r="AC26" s="22"/>
      <c r="AD26" s="22"/>
      <c r="AE26" s="22"/>
      <c r="AF26" s="22"/>
      <c r="AG26" s="22"/>
      <c r="AH26" s="22"/>
      <c r="AI26" s="22"/>
      <c r="AJ26" s="22"/>
      <c r="AK26" s="22"/>
      <c r="AL26" s="22"/>
      <c r="AM26" s="22"/>
      <c r="AN26" s="22"/>
      <c r="AO26" s="22"/>
      <c r="AP26" s="22"/>
      <c r="AQ26" s="22"/>
      <c r="AR26" s="22"/>
    </row>
    <row r="27" spans="1:44" hidden="1" x14ac:dyDescent="0.25">
      <c r="A27" s="16"/>
      <c r="B27" s="3" t="s">
        <v>17</v>
      </c>
      <c r="C27" s="3" t="s">
        <v>41</v>
      </c>
      <c r="D27" s="11" t="s">
        <v>19</v>
      </c>
      <c r="E27" s="107">
        <v>2351.023868722029</v>
      </c>
      <c r="F27" s="108">
        <v>3114.2406762804576</v>
      </c>
      <c r="G27" s="109">
        <v>3856.2998508204873</v>
      </c>
      <c r="H27" s="114"/>
      <c r="I27" s="113">
        <v>165.62249823258972</v>
      </c>
      <c r="J27" s="114">
        <v>233.97184987751376</v>
      </c>
      <c r="K27" s="109">
        <v>256.11344978089852</v>
      </c>
      <c r="L27" s="114"/>
      <c r="M27" s="113">
        <v>484.82430247500639</v>
      </c>
      <c r="N27" s="114">
        <v>495.92681410844017</v>
      </c>
      <c r="O27" s="109">
        <v>544.1400925587667</v>
      </c>
      <c r="P27" s="119"/>
      <c r="Q27" s="120">
        <v>0.08</v>
      </c>
      <c r="R27" s="120">
        <v>0.05</v>
      </c>
      <c r="S27" s="120">
        <v>0.03</v>
      </c>
      <c r="T27" s="120">
        <v>1.4999999999999999E-2</v>
      </c>
      <c r="U27" s="120">
        <v>0.02</v>
      </c>
      <c r="V27" s="121">
        <f t="shared" si="0"/>
        <v>0</v>
      </c>
      <c r="W27" s="119"/>
      <c r="X27" s="113">
        <f t="shared" si="1"/>
        <v>3001.4706694296251</v>
      </c>
      <c r="Y27" s="113">
        <f t="shared" si="2"/>
        <v>3844.1393402664116</v>
      </c>
      <c r="Z27" s="113">
        <f t="shared" si="3"/>
        <v>4656.5533931601531</v>
      </c>
      <c r="AA27" s="22"/>
      <c r="AB27" s="22"/>
      <c r="AC27" s="22"/>
      <c r="AD27" s="22"/>
      <c r="AE27" s="22"/>
      <c r="AF27" s="22"/>
      <c r="AG27" s="22"/>
      <c r="AH27" s="22"/>
      <c r="AI27" s="22"/>
      <c r="AJ27" s="22"/>
      <c r="AK27" s="22"/>
      <c r="AL27" s="22"/>
      <c r="AM27" s="22"/>
      <c r="AN27" s="22"/>
      <c r="AO27" s="22"/>
      <c r="AP27" s="22"/>
      <c r="AQ27" s="22"/>
      <c r="AR27" s="22"/>
    </row>
    <row r="28" spans="1:44" hidden="1" x14ac:dyDescent="0.25">
      <c r="A28" s="16"/>
      <c r="B28" s="3" t="s">
        <v>17</v>
      </c>
      <c r="C28" s="3" t="s">
        <v>42</v>
      </c>
      <c r="D28" s="11" t="s">
        <v>19</v>
      </c>
      <c r="E28" s="107">
        <v>2440.4912978617604</v>
      </c>
      <c r="F28" s="108">
        <v>3233.0626553953257</v>
      </c>
      <c r="G28" s="109">
        <v>4003.6623570363004</v>
      </c>
      <c r="H28" s="114"/>
      <c r="I28" s="113">
        <v>171.91821768690249</v>
      </c>
      <c r="J28" s="114">
        <v>242.86569668428513</v>
      </c>
      <c r="K28" s="109">
        <v>265.8489533839923</v>
      </c>
      <c r="L28" s="114"/>
      <c r="M28" s="113">
        <v>503.25366941239577</v>
      </c>
      <c r="N28" s="114">
        <v>514.77821488319012</v>
      </c>
      <c r="O28" s="109">
        <v>564.82419890392566</v>
      </c>
      <c r="P28" s="119"/>
      <c r="Q28" s="120">
        <v>0.08</v>
      </c>
      <c r="R28" s="120">
        <v>0.05</v>
      </c>
      <c r="S28" s="120">
        <v>0.03</v>
      </c>
      <c r="T28" s="120">
        <v>1.4999999999999999E-2</v>
      </c>
      <c r="U28" s="120">
        <v>0.02</v>
      </c>
      <c r="V28" s="121">
        <f t="shared" si="0"/>
        <v>0</v>
      </c>
      <c r="W28" s="119"/>
      <c r="X28" s="113">
        <f t="shared" si="1"/>
        <v>3115.6631849610585</v>
      </c>
      <c r="Y28" s="113">
        <f t="shared" si="2"/>
        <v>3990.7065669628009</v>
      </c>
      <c r="Z28" s="113">
        <f t="shared" si="3"/>
        <v>4834.3355093242189</v>
      </c>
      <c r="AA28" s="22"/>
      <c r="AB28" s="22"/>
      <c r="AC28" s="22"/>
      <c r="AD28" s="22"/>
      <c r="AE28" s="22"/>
      <c r="AF28" s="22"/>
      <c r="AG28" s="22"/>
      <c r="AH28" s="22"/>
      <c r="AI28" s="22"/>
      <c r="AJ28" s="22"/>
      <c r="AK28" s="22"/>
      <c r="AL28" s="22"/>
      <c r="AM28" s="22"/>
      <c r="AN28" s="22"/>
      <c r="AO28" s="22"/>
      <c r="AP28" s="22"/>
      <c r="AQ28" s="22"/>
      <c r="AR28" s="22"/>
    </row>
    <row r="29" spans="1:44" hidden="1" x14ac:dyDescent="0.25">
      <c r="A29" s="16"/>
      <c r="B29" s="3" t="s">
        <v>17</v>
      </c>
      <c r="C29" s="3" t="s">
        <v>43</v>
      </c>
      <c r="D29" s="11" t="s">
        <v>19</v>
      </c>
      <c r="E29" s="107">
        <v>1834.5504724017901</v>
      </c>
      <c r="F29" s="108">
        <v>2428.3127797115862</v>
      </c>
      <c r="G29" s="109">
        <v>3005.613625062158</v>
      </c>
      <c r="H29" s="114"/>
      <c r="I29" s="113">
        <v>129.27889326449127</v>
      </c>
      <c r="J29" s="114">
        <v>182.62990916084865</v>
      </c>
      <c r="K29" s="109">
        <v>199.91283606486695</v>
      </c>
      <c r="L29" s="114"/>
      <c r="M29" s="113">
        <v>378.43620233090201</v>
      </c>
      <c r="N29" s="114">
        <v>387.10241876733551</v>
      </c>
      <c r="O29" s="109">
        <v>424.73594890499709</v>
      </c>
      <c r="P29" s="119"/>
      <c r="Q29" s="120">
        <v>0.08</v>
      </c>
      <c r="R29" s="120">
        <v>0.05</v>
      </c>
      <c r="S29" s="120">
        <v>0.03</v>
      </c>
      <c r="T29" s="120">
        <v>1.4999999999999999E-2</v>
      </c>
      <c r="U29" s="120">
        <v>0.02</v>
      </c>
      <c r="V29" s="121">
        <f t="shared" si="0"/>
        <v>0</v>
      </c>
      <c r="W29" s="119"/>
      <c r="X29" s="113">
        <f t="shared" si="1"/>
        <v>2342.2655679971831</v>
      </c>
      <c r="Y29" s="113">
        <f t="shared" si="2"/>
        <v>2998.0451076397703</v>
      </c>
      <c r="Z29" s="113">
        <f t="shared" si="3"/>
        <v>3630.2624100320222</v>
      </c>
      <c r="AA29" s="22"/>
      <c r="AB29" s="22"/>
      <c r="AC29" s="22"/>
      <c r="AD29" s="22"/>
      <c r="AE29" s="22"/>
      <c r="AF29" s="22"/>
      <c r="AG29" s="22"/>
      <c r="AH29" s="22"/>
      <c r="AI29" s="22"/>
      <c r="AJ29" s="22"/>
      <c r="AK29" s="22"/>
      <c r="AL29" s="22"/>
      <c r="AM29" s="22"/>
      <c r="AN29" s="22"/>
      <c r="AO29" s="22"/>
      <c r="AP29" s="22"/>
      <c r="AQ29" s="22"/>
      <c r="AR29" s="22"/>
    </row>
    <row r="30" spans="1:44" hidden="1" x14ac:dyDescent="0.25">
      <c r="A30" s="16"/>
      <c r="B30" s="3" t="s">
        <v>17</v>
      </c>
      <c r="C30" s="3" t="s">
        <v>44</v>
      </c>
      <c r="D30" s="11" t="s">
        <v>19</v>
      </c>
      <c r="E30" s="107">
        <v>1887.7409249129787</v>
      </c>
      <c r="F30" s="108">
        <v>2622.0696171059176</v>
      </c>
      <c r="G30" s="109">
        <v>3190.4704127299851</v>
      </c>
      <c r="H30" s="114"/>
      <c r="I30" s="113">
        <v>128.57052352149736</v>
      </c>
      <c r="J30" s="114">
        <v>181.6292082842516</v>
      </c>
      <c r="K30" s="109">
        <v>198.81743525558923</v>
      </c>
      <c r="L30" s="114"/>
      <c r="M30" s="113">
        <v>376.36260200361363</v>
      </c>
      <c r="N30" s="114">
        <v>384.98133284240015</v>
      </c>
      <c r="O30" s="109">
        <v>422.40865411333641</v>
      </c>
      <c r="P30" s="119"/>
      <c r="Q30" s="120">
        <v>0.08</v>
      </c>
      <c r="R30" s="120">
        <v>0.05</v>
      </c>
      <c r="S30" s="120">
        <v>0.03</v>
      </c>
      <c r="T30" s="120">
        <v>1.4999999999999999E-2</v>
      </c>
      <c r="U30" s="120">
        <v>0.02</v>
      </c>
      <c r="V30" s="121">
        <f t="shared" si="0"/>
        <v>0</v>
      </c>
      <c r="W30" s="119"/>
      <c r="X30" s="113">
        <f t="shared" si="1"/>
        <v>2392.6740504380896</v>
      </c>
      <c r="Y30" s="113">
        <f t="shared" si="2"/>
        <v>3188.6801582325693</v>
      </c>
      <c r="Z30" s="113">
        <f t="shared" si="3"/>
        <v>3811.696502098911</v>
      </c>
      <c r="AA30" s="22"/>
      <c r="AB30" s="22"/>
      <c r="AC30" s="22"/>
      <c r="AD30" s="22"/>
      <c r="AE30" s="22"/>
      <c r="AF30" s="22"/>
      <c r="AG30" s="22"/>
      <c r="AH30" s="22"/>
      <c r="AI30" s="22"/>
      <c r="AJ30" s="22"/>
      <c r="AK30" s="22"/>
      <c r="AL30" s="22"/>
      <c r="AM30" s="22"/>
      <c r="AN30" s="22"/>
      <c r="AO30" s="22"/>
      <c r="AP30" s="22"/>
      <c r="AQ30" s="22"/>
      <c r="AR30" s="22"/>
    </row>
    <row r="31" spans="1:44" hidden="1" x14ac:dyDescent="0.25">
      <c r="A31" s="16"/>
      <c r="B31" s="3" t="s">
        <v>17</v>
      </c>
      <c r="C31" s="3" t="s">
        <v>45</v>
      </c>
      <c r="D31" s="11" t="s">
        <v>19</v>
      </c>
      <c r="E31" s="107">
        <v>2376.3794132272501</v>
      </c>
      <c r="F31" s="108">
        <v>3305.929388363998</v>
      </c>
      <c r="G31" s="109">
        <v>4025.4410740924914</v>
      </c>
      <c r="H31" s="114"/>
      <c r="I31" s="113">
        <v>162.23714777747486</v>
      </c>
      <c r="J31" s="114">
        <v>229.18942770106182</v>
      </c>
      <c r="K31" s="109">
        <v>250.8784497475142</v>
      </c>
      <c r="L31" s="114"/>
      <c r="M31" s="113">
        <v>474.91441589226946</v>
      </c>
      <c r="N31" s="114">
        <v>485.78999040537087</v>
      </c>
      <c r="O31" s="109">
        <v>533.01778170337116</v>
      </c>
      <c r="P31" s="119"/>
      <c r="Q31" s="120">
        <v>0.08</v>
      </c>
      <c r="R31" s="120">
        <v>0.05</v>
      </c>
      <c r="S31" s="120">
        <v>0.03</v>
      </c>
      <c r="T31" s="120">
        <v>1.4999999999999999E-2</v>
      </c>
      <c r="U31" s="120">
        <v>0.02</v>
      </c>
      <c r="V31" s="121">
        <f t="shared" si="0"/>
        <v>0</v>
      </c>
      <c r="W31" s="119"/>
      <c r="X31" s="113">
        <f t="shared" si="1"/>
        <v>3013.5309768969946</v>
      </c>
      <c r="Y31" s="113">
        <f t="shared" si="2"/>
        <v>4020.908806470431</v>
      </c>
      <c r="Z31" s="113">
        <f t="shared" si="3"/>
        <v>4809.3373055433767</v>
      </c>
      <c r="AA31" s="22"/>
      <c r="AB31" s="22"/>
      <c r="AC31" s="22"/>
      <c r="AD31" s="22"/>
      <c r="AE31" s="22"/>
      <c r="AF31" s="22"/>
      <c r="AG31" s="22"/>
      <c r="AH31" s="22"/>
      <c r="AI31" s="22"/>
      <c r="AJ31" s="22"/>
      <c r="AK31" s="22"/>
      <c r="AL31" s="22"/>
      <c r="AM31" s="22"/>
      <c r="AN31" s="22"/>
      <c r="AO31" s="22"/>
      <c r="AP31" s="22"/>
      <c r="AQ31" s="22"/>
      <c r="AR31" s="22"/>
    </row>
    <row r="32" spans="1:44" hidden="1" x14ac:dyDescent="0.25">
      <c r="A32" s="16"/>
      <c r="B32" s="3" t="s">
        <v>17</v>
      </c>
      <c r="C32" s="3" t="s">
        <v>46</v>
      </c>
      <c r="D32" s="11" t="s">
        <v>19</v>
      </c>
      <c r="E32" s="107">
        <v>1879.2849328692193</v>
      </c>
      <c r="F32" s="108">
        <v>2487.7235206364994</v>
      </c>
      <c r="G32" s="109">
        <v>3079.2948781700647</v>
      </c>
      <c r="H32" s="114"/>
      <c r="I32" s="113">
        <v>132.42679165744295</v>
      </c>
      <c r="J32" s="114">
        <v>187.0768871866905</v>
      </c>
      <c r="K32" s="109">
        <v>204.78064765798999</v>
      </c>
      <c r="L32" s="114"/>
      <c r="M32" s="113">
        <v>387.65099898541041</v>
      </c>
      <c r="N32" s="114">
        <v>396.52823493248758</v>
      </c>
      <c r="O32" s="109">
        <v>435.07812911109949</v>
      </c>
      <c r="P32" s="119"/>
      <c r="Q32" s="120">
        <v>0.08</v>
      </c>
      <c r="R32" s="120">
        <v>0.05</v>
      </c>
      <c r="S32" s="120">
        <v>0.03</v>
      </c>
      <c r="T32" s="120">
        <v>1.4999999999999999E-2</v>
      </c>
      <c r="U32" s="120">
        <v>0.02</v>
      </c>
      <c r="V32" s="121">
        <f t="shared" si="0"/>
        <v>0</v>
      </c>
      <c r="W32" s="119"/>
      <c r="X32" s="113">
        <f t="shared" si="1"/>
        <v>2399.3627235120725</v>
      </c>
      <c r="Y32" s="113">
        <f t="shared" si="2"/>
        <v>3071.3286427556773</v>
      </c>
      <c r="Z32" s="113">
        <f t="shared" si="3"/>
        <v>3719.153654939154</v>
      </c>
      <c r="AA32" s="22"/>
      <c r="AB32" s="22"/>
      <c r="AC32" s="22"/>
      <c r="AD32" s="22"/>
      <c r="AE32" s="22"/>
      <c r="AF32" s="22"/>
      <c r="AG32" s="22"/>
      <c r="AH32" s="22"/>
      <c r="AI32" s="22"/>
      <c r="AJ32" s="22"/>
      <c r="AK32" s="22"/>
      <c r="AL32" s="22"/>
      <c r="AM32" s="22"/>
      <c r="AN32" s="22"/>
      <c r="AO32" s="22"/>
      <c r="AP32" s="22"/>
      <c r="AQ32" s="22"/>
      <c r="AR32" s="22"/>
    </row>
    <row r="33" spans="1:44" hidden="1" x14ac:dyDescent="0.25">
      <c r="A33" s="16"/>
      <c r="B33" s="3" t="s">
        <v>17</v>
      </c>
      <c r="C33" s="3" t="s">
        <v>47</v>
      </c>
      <c r="D33" s="11" t="s">
        <v>19</v>
      </c>
      <c r="E33" s="107">
        <v>2043.124316260567</v>
      </c>
      <c r="F33" s="108">
        <v>2839.5310790651415</v>
      </c>
      <c r="G33" s="109">
        <v>3455.9840875186474</v>
      </c>
      <c r="H33" s="114"/>
      <c r="I33" s="113">
        <v>139.27620800709133</v>
      </c>
      <c r="J33" s="114">
        <v>196.75293138968257</v>
      </c>
      <c r="K33" s="109">
        <v>215.37237081766972</v>
      </c>
      <c r="L33" s="114"/>
      <c r="M33" s="113">
        <v>407.7011946986504</v>
      </c>
      <c r="N33" s="114">
        <v>417.0375815794215</v>
      </c>
      <c r="O33" s="109">
        <v>457.58136439763149</v>
      </c>
      <c r="P33" s="119"/>
      <c r="Q33" s="120">
        <v>0.08</v>
      </c>
      <c r="R33" s="120">
        <v>0.05</v>
      </c>
      <c r="S33" s="120">
        <v>0.03</v>
      </c>
      <c r="T33" s="120">
        <v>1.4999999999999999E-2</v>
      </c>
      <c r="U33" s="120">
        <v>0.02</v>
      </c>
      <c r="V33" s="121">
        <f t="shared" si="0"/>
        <v>0</v>
      </c>
      <c r="W33" s="119"/>
      <c r="X33" s="113">
        <f t="shared" si="1"/>
        <v>2590.1017189663089</v>
      </c>
      <c r="Y33" s="113">
        <f t="shared" si="2"/>
        <v>3453.3215920342454</v>
      </c>
      <c r="Z33" s="113">
        <f t="shared" si="3"/>
        <v>4128.9378227339485</v>
      </c>
      <c r="AA33" s="22"/>
      <c r="AB33" s="22"/>
      <c r="AC33" s="22"/>
      <c r="AD33" s="22"/>
      <c r="AE33" s="22"/>
      <c r="AF33" s="22"/>
      <c r="AG33" s="22"/>
      <c r="AH33" s="22"/>
      <c r="AI33" s="22"/>
      <c r="AJ33" s="22"/>
      <c r="AK33" s="22"/>
      <c r="AL33" s="22"/>
      <c r="AM33" s="22"/>
      <c r="AN33" s="22"/>
      <c r="AO33" s="22"/>
      <c r="AP33" s="22"/>
      <c r="AQ33" s="22"/>
      <c r="AR33" s="22"/>
    </row>
    <row r="34" spans="1:44" hidden="1" x14ac:dyDescent="0.25">
      <c r="A34" s="16"/>
      <c r="B34" s="3" t="s">
        <v>17</v>
      </c>
      <c r="C34" s="3" t="s">
        <v>48</v>
      </c>
      <c r="D34" s="11" t="s">
        <v>19</v>
      </c>
      <c r="E34" s="107">
        <v>2273.7563401292891</v>
      </c>
      <c r="F34" s="108">
        <v>3011.6215813028343</v>
      </c>
      <c r="G34" s="109">
        <v>3729.0318249627053</v>
      </c>
      <c r="H34" s="114"/>
      <c r="I34" s="113">
        <v>160.1852367655801</v>
      </c>
      <c r="J34" s="114">
        <v>226.29073084308516</v>
      </c>
      <c r="K34" s="109">
        <v>247.70543875258423</v>
      </c>
      <c r="L34" s="114"/>
      <c r="M34" s="113">
        <v>468.90788697440712</v>
      </c>
      <c r="N34" s="114">
        <v>479.64591154034889</v>
      </c>
      <c r="O34" s="109">
        <v>526.27638449073652</v>
      </c>
      <c r="P34" s="119"/>
      <c r="Q34" s="120">
        <v>0.08</v>
      </c>
      <c r="R34" s="120">
        <v>0.05</v>
      </c>
      <c r="S34" s="120">
        <v>0.03</v>
      </c>
      <c r="T34" s="120">
        <v>1.4999999999999999E-2</v>
      </c>
      <c r="U34" s="120">
        <v>0.02</v>
      </c>
      <c r="V34" s="121">
        <f t="shared" si="0"/>
        <v>0</v>
      </c>
      <c r="W34" s="119"/>
      <c r="X34" s="113">
        <f t="shared" si="1"/>
        <v>2902.8494638692764</v>
      </c>
      <c r="Y34" s="113">
        <f t="shared" si="2"/>
        <v>3717.5582236862688</v>
      </c>
      <c r="Z34" s="113">
        <f t="shared" si="3"/>
        <v>4503.0136482060261</v>
      </c>
      <c r="AA34" s="22"/>
      <c r="AB34" s="22"/>
      <c r="AC34" s="22"/>
      <c r="AD34" s="22"/>
      <c r="AE34" s="22"/>
      <c r="AF34" s="22"/>
      <c r="AG34" s="22"/>
      <c r="AH34" s="22"/>
      <c r="AI34" s="22"/>
      <c r="AJ34" s="22"/>
      <c r="AK34" s="22"/>
      <c r="AL34" s="22"/>
      <c r="AM34" s="22"/>
      <c r="AN34" s="22"/>
      <c r="AO34" s="22"/>
      <c r="AP34" s="22"/>
      <c r="AQ34" s="22"/>
      <c r="AR34" s="22"/>
    </row>
    <row r="35" spans="1:44" hidden="1" x14ac:dyDescent="0.25">
      <c r="A35" s="16"/>
      <c r="B35" s="3" t="s">
        <v>17</v>
      </c>
      <c r="C35" s="3" t="s">
        <v>241</v>
      </c>
      <c r="D35" s="11" t="s">
        <v>19</v>
      </c>
      <c r="E35" s="107">
        <v>2360.0228741919441</v>
      </c>
      <c r="F35" s="108">
        <v>3283.0387866732967</v>
      </c>
      <c r="G35" s="109">
        <v>3997.4922923918448</v>
      </c>
      <c r="H35" s="114"/>
      <c r="I35" s="113">
        <v>161.11025791949632</v>
      </c>
      <c r="J35" s="114">
        <v>227.59749117375998</v>
      </c>
      <c r="K35" s="109">
        <v>249.13586252579097</v>
      </c>
      <c r="L35" s="114"/>
      <c r="M35" s="113">
        <v>471.61568778956109</v>
      </c>
      <c r="N35" s="114">
        <v>482.41572119024528</v>
      </c>
      <c r="O35" s="109">
        <v>529.31547097766975</v>
      </c>
      <c r="P35" s="119"/>
      <c r="Q35" s="120">
        <v>0.08</v>
      </c>
      <c r="R35" s="120">
        <v>0.05</v>
      </c>
      <c r="S35" s="120">
        <v>0.03</v>
      </c>
      <c r="T35" s="120">
        <v>1.4999999999999999E-2</v>
      </c>
      <c r="U35" s="120">
        <v>0.02</v>
      </c>
      <c r="V35" s="121">
        <f t="shared" si="0"/>
        <v>0</v>
      </c>
      <c r="W35" s="119"/>
      <c r="X35" s="113">
        <f t="shared" si="1"/>
        <v>2992.7488199010013</v>
      </c>
      <c r="Y35" s="113">
        <f t="shared" si="2"/>
        <v>3993.0519990373018</v>
      </c>
      <c r="Z35" s="113">
        <f t="shared" si="3"/>
        <v>4775.9436258953056</v>
      </c>
      <c r="AA35" s="22"/>
      <c r="AB35" s="22"/>
      <c r="AC35" s="22"/>
      <c r="AD35" s="22"/>
      <c r="AE35" s="22"/>
      <c r="AF35" s="22"/>
      <c r="AG35" s="22"/>
      <c r="AH35" s="22"/>
      <c r="AI35" s="22"/>
      <c r="AJ35" s="22"/>
      <c r="AK35" s="22"/>
      <c r="AL35" s="22"/>
      <c r="AM35" s="22"/>
      <c r="AN35" s="22"/>
      <c r="AO35" s="22"/>
      <c r="AP35" s="22"/>
      <c r="AQ35" s="22"/>
      <c r="AR35" s="22"/>
    </row>
    <row r="36" spans="1:44" hidden="1" x14ac:dyDescent="0.25">
      <c r="A36" s="16"/>
      <c r="B36" s="3" t="s">
        <v>17</v>
      </c>
      <c r="C36" s="3" t="s">
        <v>50</v>
      </c>
      <c r="D36" s="11" t="s">
        <v>19</v>
      </c>
      <c r="E36" s="107">
        <v>1928.6315266036797</v>
      </c>
      <c r="F36" s="108">
        <v>2679.2963699651914</v>
      </c>
      <c r="G36" s="109">
        <v>3260.3431128791644</v>
      </c>
      <c r="H36" s="114"/>
      <c r="I36" s="113">
        <v>131.38782511137634</v>
      </c>
      <c r="J36" s="114">
        <v>185.60915830119407</v>
      </c>
      <c r="K36" s="109">
        <v>203.17402229513394</v>
      </c>
      <c r="L36" s="114"/>
      <c r="M36" s="113">
        <v>384.6096475001537</v>
      </c>
      <c r="N36" s="114">
        <v>393.4172362779903</v>
      </c>
      <c r="O36" s="109">
        <v>431.66468372430063</v>
      </c>
      <c r="P36" s="119"/>
      <c r="Q36" s="120">
        <v>0.08</v>
      </c>
      <c r="R36" s="120">
        <v>0.05</v>
      </c>
      <c r="S36" s="120">
        <v>0.03</v>
      </c>
      <c r="T36" s="120">
        <v>1.4999999999999999E-2</v>
      </c>
      <c r="U36" s="120">
        <v>0.02</v>
      </c>
      <c r="V36" s="121">
        <f t="shared" si="0"/>
        <v>0</v>
      </c>
      <c r="W36" s="119"/>
      <c r="X36" s="113">
        <f t="shared" si="1"/>
        <v>2444.6289992152097</v>
      </c>
      <c r="Y36" s="113">
        <f t="shared" si="2"/>
        <v>3258.3227645443758</v>
      </c>
      <c r="Z36" s="113">
        <f t="shared" si="3"/>
        <v>3895.181818898599</v>
      </c>
      <c r="AA36" s="22"/>
      <c r="AB36" s="22"/>
      <c r="AC36" s="22"/>
      <c r="AD36" s="22"/>
      <c r="AE36" s="22"/>
      <c r="AF36" s="22"/>
      <c r="AG36" s="22"/>
      <c r="AH36" s="22"/>
      <c r="AI36" s="22"/>
      <c r="AJ36" s="22"/>
      <c r="AK36" s="22"/>
      <c r="AL36" s="22"/>
      <c r="AM36" s="22"/>
      <c r="AN36" s="22"/>
      <c r="AO36" s="22"/>
      <c r="AP36" s="22"/>
      <c r="AQ36" s="22"/>
      <c r="AR36" s="22"/>
    </row>
    <row r="37" spans="1:44" hidden="1" x14ac:dyDescent="0.25">
      <c r="A37" s="16"/>
      <c r="B37" s="3" t="s">
        <v>17</v>
      </c>
      <c r="C37" s="3" t="s">
        <v>51</v>
      </c>
      <c r="D37" s="11" t="s">
        <v>19</v>
      </c>
      <c r="E37" s="107">
        <v>2267.6553953257085</v>
      </c>
      <c r="F37" s="108">
        <v>3003.5196419691697</v>
      </c>
      <c r="G37" s="109">
        <v>3718.9845847836896</v>
      </c>
      <c r="H37" s="114"/>
      <c r="I37" s="113">
        <v>159.75600777192852</v>
      </c>
      <c r="J37" s="114">
        <v>225.68436695691378</v>
      </c>
      <c r="K37" s="109">
        <v>247.0416924651945</v>
      </c>
      <c r="L37" s="114"/>
      <c r="M37" s="113">
        <v>467.65141125601207</v>
      </c>
      <c r="N37" s="114">
        <v>478.36066243701958</v>
      </c>
      <c r="O37" s="109">
        <v>524.86618535217212</v>
      </c>
      <c r="P37" s="119"/>
      <c r="Q37" s="120">
        <v>0.08</v>
      </c>
      <c r="R37" s="120">
        <v>0.05</v>
      </c>
      <c r="S37" s="120">
        <v>0.03</v>
      </c>
      <c r="T37" s="120">
        <v>1.4999999999999999E-2</v>
      </c>
      <c r="U37" s="120">
        <v>0.02</v>
      </c>
      <c r="V37" s="121">
        <f t="shared" si="0"/>
        <v>0</v>
      </c>
      <c r="W37" s="119"/>
      <c r="X37" s="113">
        <f t="shared" si="1"/>
        <v>2895.0628143536492</v>
      </c>
      <c r="Y37" s="113">
        <f t="shared" si="2"/>
        <v>3707.5646713631031</v>
      </c>
      <c r="Z37" s="113">
        <f t="shared" si="3"/>
        <v>4490.8924626010557</v>
      </c>
      <c r="AA37" s="22"/>
      <c r="AB37" s="22"/>
      <c r="AC37" s="22"/>
      <c r="AD37" s="22"/>
      <c r="AE37" s="22"/>
      <c r="AF37" s="22"/>
      <c r="AG37" s="22"/>
      <c r="AH37" s="22"/>
      <c r="AI37" s="22"/>
      <c r="AJ37" s="22"/>
      <c r="AK37" s="22"/>
      <c r="AL37" s="22"/>
      <c r="AM37" s="22"/>
      <c r="AN37" s="22"/>
      <c r="AO37" s="22"/>
      <c r="AP37" s="22"/>
      <c r="AQ37" s="22"/>
      <c r="AR37" s="22"/>
    </row>
    <row r="38" spans="1:44" hidden="1" x14ac:dyDescent="0.25">
      <c r="A38" s="16"/>
      <c r="B38" s="3" t="s">
        <v>17</v>
      </c>
      <c r="C38" s="3" t="s">
        <v>52</v>
      </c>
      <c r="D38" s="11" t="s">
        <v>19</v>
      </c>
      <c r="E38" s="107">
        <v>2611.4977623073096</v>
      </c>
      <c r="F38" s="108">
        <v>3634.9835902536051</v>
      </c>
      <c r="G38" s="109">
        <v>4427.2048731974146</v>
      </c>
      <c r="H38" s="114"/>
      <c r="I38" s="113">
        <v>178.43659412346398</v>
      </c>
      <c r="J38" s="114">
        <v>252.07408690502982</v>
      </c>
      <c r="K38" s="109">
        <v>275.92876677863035</v>
      </c>
      <c r="L38" s="114"/>
      <c r="M38" s="113">
        <v>522.33481685824188</v>
      </c>
      <c r="N38" s="114">
        <v>534.29632198723675</v>
      </c>
      <c r="O38" s="109">
        <v>586.2398277911459</v>
      </c>
      <c r="P38" s="119"/>
      <c r="Q38" s="120">
        <v>0.08</v>
      </c>
      <c r="R38" s="120">
        <v>0.05</v>
      </c>
      <c r="S38" s="120">
        <v>0.03</v>
      </c>
      <c r="T38" s="120">
        <v>1.4999999999999999E-2</v>
      </c>
      <c r="U38" s="120">
        <v>0.02</v>
      </c>
      <c r="V38" s="121">
        <f t="shared" si="0"/>
        <v>0</v>
      </c>
      <c r="W38" s="119"/>
      <c r="X38" s="113">
        <f t="shared" si="1"/>
        <v>3312.2691732890157</v>
      </c>
      <c r="Y38" s="113">
        <f t="shared" si="2"/>
        <v>4421.3539991458711</v>
      </c>
      <c r="Z38" s="113">
        <f t="shared" si="3"/>
        <v>5289.373467767191</v>
      </c>
      <c r="AA38" s="22"/>
      <c r="AB38" s="22"/>
      <c r="AC38" s="22"/>
      <c r="AD38" s="22"/>
      <c r="AE38" s="22"/>
      <c r="AF38" s="22"/>
      <c r="AG38" s="22"/>
      <c r="AH38" s="22"/>
      <c r="AI38" s="22"/>
      <c r="AJ38" s="22"/>
      <c r="AK38" s="22"/>
      <c r="AL38" s="22"/>
      <c r="AM38" s="22"/>
      <c r="AN38" s="22"/>
      <c r="AO38" s="22"/>
      <c r="AP38" s="22"/>
      <c r="AQ38" s="22"/>
      <c r="AR38" s="22"/>
    </row>
    <row r="39" spans="1:44" hidden="1" x14ac:dyDescent="0.25">
      <c r="A39" s="16"/>
      <c r="B39" s="3" t="s">
        <v>17</v>
      </c>
      <c r="C39" s="3" t="s">
        <v>53</v>
      </c>
      <c r="D39" s="11" t="s">
        <v>19</v>
      </c>
      <c r="E39" s="107">
        <v>2517.7593237195424</v>
      </c>
      <c r="F39" s="108">
        <v>3335.6822476379912</v>
      </c>
      <c r="G39" s="109">
        <v>4130.9308801591251</v>
      </c>
      <c r="H39" s="114"/>
      <c r="I39" s="113">
        <v>177.35547915391211</v>
      </c>
      <c r="J39" s="114">
        <v>250.54681571871373</v>
      </c>
      <c r="K39" s="109">
        <v>274.25696441230656</v>
      </c>
      <c r="L39" s="114"/>
      <c r="M39" s="113">
        <v>519.17008491299509</v>
      </c>
      <c r="N39" s="114">
        <v>531.0591174512814</v>
      </c>
      <c r="O39" s="109">
        <v>582.68790697195584</v>
      </c>
      <c r="P39" s="119"/>
      <c r="Q39" s="120">
        <v>0.08</v>
      </c>
      <c r="R39" s="120">
        <v>0.05</v>
      </c>
      <c r="S39" s="120">
        <v>0.03</v>
      </c>
      <c r="T39" s="120">
        <v>1.4999999999999999E-2</v>
      </c>
      <c r="U39" s="120">
        <v>0.02</v>
      </c>
      <c r="V39" s="121">
        <f t="shared" si="0"/>
        <v>0</v>
      </c>
      <c r="W39" s="119"/>
      <c r="X39" s="113">
        <f t="shared" si="1"/>
        <v>3214.2848877864499</v>
      </c>
      <c r="Y39" s="113">
        <f t="shared" si="2"/>
        <v>4117.2881808079865</v>
      </c>
      <c r="Z39" s="113">
        <f t="shared" si="3"/>
        <v>4987.8757515433881</v>
      </c>
      <c r="AA39" s="22"/>
      <c r="AB39" s="22"/>
      <c r="AC39" s="22"/>
      <c r="AD39" s="22"/>
      <c r="AE39" s="22"/>
      <c r="AF39" s="22"/>
      <c r="AG39" s="22"/>
      <c r="AH39" s="22"/>
      <c r="AI39" s="22"/>
      <c r="AJ39" s="22"/>
      <c r="AK39" s="22"/>
      <c r="AL39" s="22"/>
      <c r="AM39" s="22"/>
      <c r="AN39" s="22"/>
      <c r="AO39" s="22"/>
      <c r="AP39" s="22"/>
      <c r="AQ39" s="22"/>
      <c r="AR39" s="22"/>
    </row>
    <row r="40" spans="1:44" hidden="1" x14ac:dyDescent="0.25">
      <c r="A40" s="16"/>
      <c r="B40" s="3" t="s">
        <v>17</v>
      </c>
      <c r="C40" s="3" t="s">
        <v>54</v>
      </c>
      <c r="D40" s="11" t="s">
        <v>19</v>
      </c>
      <c r="E40" s="107">
        <v>2198.5067130780708</v>
      </c>
      <c r="F40" s="108">
        <v>3056.9930382894081</v>
      </c>
      <c r="G40" s="109">
        <v>3721.4977623073096</v>
      </c>
      <c r="H40" s="114"/>
      <c r="I40" s="113">
        <v>149.98193154513851</v>
      </c>
      <c r="J40" s="114">
        <v>211.87670966379429</v>
      </c>
      <c r="K40" s="109">
        <v>231.92736676924213</v>
      </c>
      <c r="L40" s="114"/>
      <c r="M40" s="113">
        <v>439.03990171135905</v>
      </c>
      <c r="N40" s="114">
        <v>449.09394725199752</v>
      </c>
      <c r="O40" s="109">
        <v>492.75420298578467</v>
      </c>
      <c r="P40" s="119"/>
      <c r="Q40" s="120">
        <v>0.08</v>
      </c>
      <c r="R40" s="120">
        <v>0.05</v>
      </c>
      <c r="S40" s="120">
        <v>0.03</v>
      </c>
      <c r="T40" s="120">
        <v>1.4999999999999999E-2</v>
      </c>
      <c r="U40" s="120">
        <v>0.02</v>
      </c>
      <c r="V40" s="121">
        <f t="shared" si="0"/>
        <v>0</v>
      </c>
      <c r="W40" s="119"/>
      <c r="X40" s="113">
        <f t="shared" si="1"/>
        <v>2787.5285463345685</v>
      </c>
      <c r="Y40" s="113">
        <f t="shared" si="2"/>
        <v>3717.9636952052001</v>
      </c>
      <c r="Z40" s="113">
        <f t="shared" si="3"/>
        <v>4446.1793320623365</v>
      </c>
      <c r="AA40" s="22"/>
      <c r="AB40" s="22"/>
      <c r="AC40" s="22"/>
      <c r="AD40" s="22"/>
      <c r="AE40" s="22"/>
      <c r="AF40" s="22"/>
      <c r="AG40" s="22"/>
      <c r="AH40" s="22"/>
      <c r="AI40" s="22"/>
      <c r="AJ40" s="22"/>
      <c r="AK40" s="22"/>
      <c r="AL40" s="22"/>
      <c r="AM40" s="22"/>
      <c r="AN40" s="22"/>
      <c r="AO40" s="22"/>
      <c r="AP40" s="22"/>
      <c r="AQ40" s="22"/>
      <c r="AR40" s="22"/>
    </row>
    <row r="41" spans="1:44" hidden="1" x14ac:dyDescent="0.25">
      <c r="A41" s="16"/>
      <c r="B41" s="3" t="s">
        <v>17</v>
      </c>
      <c r="C41" s="3" t="s">
        <v>55</v>
      </c>
      <c r="D41" s="11" t="s">
        <v>19</v>
      </c>
      <c r="E41" s="107">
        <v>2026.7677772252612</v>
      </c>
      <c r="F41" s="108">
        <v>2816.6404773744407</v>
      </c>
      <c r="G41" s="109">
        <v>3428.0358030830434</v>
      </c>
      <c r="H41" s="114"/>
      <c r="I41" s="113">
        <v>138.14931814911279</v>
      </c>
      <c r="J41" s="114">
        <v>195.1609948623807</v>
      </c>
      <c r="K41" s="109">
        <v>213.62978359594646</v>
      </c>
      <c r="L41" s="114"/>
      <c r="M41" s="113">
        <v>404.40246659594203</v>
      </c>
      <c r="N41" s="114">
        <v>413.66331236429585</v>
      </c>
      <c r="O41" s="109">
        <v>453.87905367193002</v>
      </c>
      <c r="P41" s="119"/>
      <c r="Q41" s="120">
        <v>0.08</v>
      </c>
      <c r="R41" s="120">
        <v>0.05</v>
      </c>
      <c r="S41" s="120">
        <v>0.03</v>
      </c>
      <c r="T41" s="120">
        <v>1.4999999999999999E-2</v>
      </c>
      <c r="U41" s="120">
        <v>0.02</v>
      </c>
      <c r="V41" s="121">
        <f t="shared" si="0"/>
        <v>0</v>
      </c>
      <c r="W41" s="119"/>
      <c r="X41" s="113">
        <f t="shared" si="1"/>
        <v>2569.319561970316</v>
      </c>
      <c r="Y41" s="113">
        <f t="shared" si="2"/>
        <v>3425.4647846011176</v>
      </c>
      <c r="Z41" s="113">
        <f t="shared" si="3"/>
        <v>4095.5446403509195</v>
      </c>
      <c r="AA41" s="22"/>
      <c r="AB41" s="22"/>
      <c r="AC41" s="22"/>
      <c r="AD41" s="22"/>
      <c r="AE41" s="22"/>
      <c r="AF41" s="22"/>
      <c r="AG41" s="22"/>
      <c r="AH41" s="22"/>
      <c r="AI41" s="22"/>
      <c r="AJ41" s="22"/>
      <c r="AK41" s="22"/>
      <c r="AL41" s="22"/>
      <c r="AM41" s="22"/>
      <c r="AN41" s="22"/>
      <c r="AO41" s="22"/>
      <c r="AP41" s="22"/>
      <c r="AQ41" s="22"/>
      <c r="AR41" s="22"/>
    </row>
    <row r="42" spans="1:44" hidden="1" x14ac:dyDescent="0.25">
      <c r="A42" s="16"/>
      <c r="B42" s="3" t="s">
        <v>17</v>
      </c>
      <c r="C42" s="3" t="s">
        <v>242</v>
      </c>
      <c r="D42" s="11" t="s">
        <v>19</v>
      </c>
      <c r="E42" s="107">
        <v>2282.3321730482348</v>
      </c>
      <c r="F42" s="108">
        <v>3174.3078070611637</v>
      </c>
      <c r="G42" s="109">
        <v>3864.7349577324712</v>
      </c>
      <c r="H42" s="114"/>
      <c r="I42" s="113">
        <v>155.75737681757508</v>
      </c>
      <c r="J42" s="114">
        <v>220.03557472547601</v>
      </c>
      <c r="K42" s="109">
        <v>240.85833465421666</v>
      </c>
      <c r="L42" s="114"/>
      <c r="M42" s="113">
        <v>455.94627769029989</v>
      </c>
      <c r="N42" s="114">
        <v>466.38748046506868</v>
      </c>
      <c r="O42" s="109">
        <v>511.72898816683158</v>
      </c>
      <c r="P42" s="119"/>
      <c r="Q42" s="120">
        <v>0.08</v>
      </c>
      <c r="R42" s="120">
        <v>0.05</v>
      </c>
      <c r="S42" s="120">
        <v>0.03</v>
      </c>
      <c r="T42" s="120">
        <v>1.4999999999999999E-2</v>
      </c>
      <c r="U42" s="120">
        <v>0.02</v>
      </c>
      <c r="V42" s="121">
        <f t="shared" si="0"/>
        <v>0</v>
      </c>
      <c r="W42" s="119"/>
      <c r="X42" s="113">
        <f t="shared" si="1"/>
        <v>2894.0358275561102</v>
      </c>
      <c r="Y42" s="113">
        <f t="shared" si="2"/>
        <v>3860.7308622517085</v>
      </c>
      <c r="Z42" s="113">
        <f t="shared" si="3"/>
        <v>4617.3222805535188</v>
      </c>
      <c r="AA42" s="22"/>
      <c r="AB42" s="22"/>
      <c r="AC42" s="22"/>
      <c r="AD42" s="22"/>
      <c r="AE42" s="22"/>
      <c r="AF42" s="22"/>
      <c r="AG42" s="22"/>
      <c r="AH42" s="22"/>
      <c r="AI42" s="22"/>
      <c r="AJ42" s="22"/>
      <c r="AK42" s="22"/>
      <c r="AL42" s="22"/>
      <c r="AM42" s="22"/>
      <c r="AN42" s="22"/>
      <c r="AO42" s="22"/>
      <c r="AP42" s="22"/>
      <c r="AQ42" s="22"/>
      <c r="AR42" s="22"/>
    </row>
    <row r="43" spans="1:44" hidden="1" x14ac:dyDescent="0.25">
      <c r="A43" s="16"/>
      <c r="B43" s="3" t="s">
        <v>17</v>
      </c>
      <c r="C43" s="3" t="s">
        <v>57</v>
      </c>
      <c r="D43" s="11" t="s">
        <v>19</v>
      </c>
      <c r="E43" s="107">
        <v>1861.1626056688215</v>
      </c>
      <c r="F43" s="108">
        <v>2584.8722028841371</v>
      </c>
      <c r="G43" s="109">
        <v>3145.0542018896072</v>
      </c>
      <c r="H43" s="114"/>
      <c r="I43" s="113">
        <v>126.73930797605561</v>
      </c>
      <c r="J43" s="114">
        <v>179.04228384304574</v>
      </c>
      <c r="K43" s="109">
        <v>195.98570082554301</v>
      </c>
      <c r="L43" s="114"/>
      <c r="M43" s="113">
        <v>371.0021116778766</v>
      </c>
      <c r="N43" s="114">
        <v>379.49808690004375</v>
      </c>
      <c r="O43" s="109">
        <v>416.39233503214257</v>
      </c>
      <c r="P43" s="119"/>
      <c r="Q43" s="120">
        <v>0.08</v>
      </c>
      <c r="R43" s="120">
        <v>0.05</v>
      </c>
      <c r="S43" s="120">
        <v>0.03</v>
      </c>
      <c r="T43" s="120">
        <v>1.4999999999999999E-2</v>
      </c>
      <c r="U43" s="120">
        <v>0.02</v>
      </c>
      <c r="V43" s="121">
        <f t="shared" si="0"/>
        <v>0</v>
      </c>
      <c r="W43" s="119"/>
      <c r="X43" s="113">
        <f t="shared" si="1"/>
        <v>2358.9040253227536</v>
      </c>
      <c r="Y43" s="113">
        <f t="shared" si="2"/>
        <v>3143.4125736272267</v>
      </c>
      <c r="Z43" s="113">
        <f t="shared" si="3"/>
        <v>3757.4322377472927</v>
      </c>
      <c r="AA43" s="22"/>
      <c r="AB43" s="22"/>
      <c r="AC43" s="22"/>
      <c r="AD43" s="22"/>
      <c r="AE43" s="22"/>
      <c r="AF43" s="22"/>
      <c r="AG43" s="22"/>
      <c r="AH43" s="22"/>
      <c r="AI43" s="22"/>
      <c r="AJ43" s="22"/>
      <c r="AK43" s="22"/>
      <c r="AL43" s="22"/>
      <c r="AM43" s="22"/>
      <c r="AN43" s="22"/>
      <c r="AO43" s="22"/>
      <c r="AP43" s="22"/>
      <c r="AQ43" s="22"/>
      <c r="AR43" s="22"/>
    </row>
    <row r="44" spans="1:44" hidden="1" x14ac:dyDescent="0.25">
      <c r="A44" s="16"/>
      <c r="B44" s="3" t="s">
        <v>17</v>
      </c>
      <c r="C44" s="3" t="s">
        <v>58</v>
      </c>
      <c r="D44" s="11" t="s">
        <v>19</v>
      </c>
      <c r="E44" s="107">
        <v>2053.3465937344604</v>
      </c>
      <c r="F44" s="108">
        <v>2853.8378915962207</v>
      </c>
      <c r="G44" s="109">
        <v>3473.4525111884636</v>
      </c>
      <c r="H44" s="114"/>
      <c r="I44" s="113">
        <v>139.98053330789656</v>
      </c>
      <c r="J44" s="114">
        <v>197.74791875736204</v>
      </c>
      <c r="K44" s="109">
        <v>216.46151742807695</v>
      </c>
      <c r="L44" s="114"/>
      <c r="M44" s="113">
        <v>409.76295578982081</v>
      </c>
      <c r="N44" s="114">
        <v>419.14655714887442</v>
      </c>
      <c r="O44" s="109">
        <v>459.89537148278862</v>
      </c>
      <c r="P44" s="119"/>
      <c r="Q44" s="120">
        <v>0.08</v>
      </c>
      <c r="R44" s="120">
        <v>0.05</v>
      </c>
      <c r="S44" s="120">
        <v>0.03</v>
      </c>
      <c r="T44" s="120">
        <v>1.4999999999999999E-2</v>
      </c>
      <c r="U44" s="120">
        <v>0.02</v>
      </c>
      <c r="V44" s="121">
        <f t="shared" si="0"/>
        <v>0</v>
      </c>
      <c r="W44" s="119"/>
      <c r="X44" s="113">
        <f t="shared" si="1"/>
        <v>2603.0900828321778</v>
      </c>
      <c r="Y44" s="113">
        <f t="shared" si="2"/>
        <v>3470.7323675024572</v>
      </c>
      <c r="Z44" s="113">
        <f t="shared" si="3"/>
        <v>4149.8094000993297</v>
      </c>
      <c r="AA44" s="22"/>
      <c r="AB44" s="22"/>
      <c r="AC44" s="22"/>
      <c r="AD44" s="22"/>
      <c r="AE44" s="22"/>
      <c r="AF44" s="22"/>
      <c r="AG44" s="22"/>
      <c r="AH44" s="22"/>
      <c r="AI44" s="22"/>
      <c r="AJ44" s="22"/>
      <c r="AK44" s="22"/>
      <c r="AL44" s="22"/>
      <c r="AM44" s="22"/>
      <c r="AN44" s="22"/>
      <c r="AO44" s="22"/>
      <c r="AP44" s="22"/>
      <c r="AQ44" s="22"/>
      <c r="AR44" s="22"/>
    </row>
    <row r="45" spans="1:44" hidden="1" x14ac:dyDescent="0.25">
      <c r="A45" s="16"/>
      <c r="B45" s="3" t="s">
        <v>17</v>
      </c>
      <c r="C45" s="3" t="s">
        <v>59</v>
      </c>
      <c r="D45" s="11" t="s">
        <v>19</v>
      </c>
      <c r="E45" s="107">
        <v>1795.737941322725</v>
      </c>
      <c r="F45" s="108">
        <v>2493.3092988562903</v>
      </c>
      <c r="G45" s="109">
        <v>3033.2590750870213</v>
      </c>
      <c r="H45" s="114"/>
      <c r="I45" s="113">
        <v>122.23163293341358</v>
      </c>
      <c r="J45" s="114">
        <v>172.67437441269436</v>
      </c>
      <c r="K45" s="109">
        <v>189.01517316183731</v>
      </c>
      <c r="L45" s="114"/>
      <c r="M45" s="113">
        <v>357.80686084146043</v>
      </c>
      <c r="N45" s="114">
        <v>366.00066386398839</v>
      </c>
      <c r="O45" s="109">
        <v>401.58271229910349</v>
      </c>
      <c r="P45" s="119"/>
      <c r="Q45" s="120">
        <v>0.08</v>
      </c>
      <c r="R45" s="120">
        <v>0.05</v>
      </c>
      <c r="S45" s="120">
        <v>0.03</v>
      </c>
      <c r="T45" s="120">
        <v>1.4999999999999999E-2</v>
      </c>
      <c r="U45" s="120">
        <v>0.02</v>
      </c>
      <c r="V45" s="121">
        <f t="shared" si="0"/>
        <v>0</v>
      </c>
      <c r="W45" s="119"/>
      <c r="X45" s="113">
        <f t="shared" si="1"/>
        <v>2275.776435097599</v>
      </c>
      <c r="Y45" s="113">
        <f t="shared" si="2"/>
        <v>3031.984337132973</v>
      </c>
      <c r="Z45" s="113">
        <f t="shared" si="3"/>
        <v>3623.856960547962</v>
      </c>
      <c r="AA45" s="22"/>
      <c r="AB45" s="22"/>
      <c r="AC45" s="22"/>
      <c r="AD45" s="22"/>
      <c r="AE45" s="22"/>
      <c r="AF45" s="22"/>
      <c r="AG45" s="22"/>
      <c r="AH45" s="22"/>
      <c r="AI45" s="22"/>
      <c r="AJ45" s="22"/>
      <c r="AK45" s="22"/>
      <c r="AL45" s="22"/>
      <c r="AM45" s="22"/>
      <c r="AN45" s="22"/>
      <c r="AO45" s="22"/>
      <c r="AP45" s="22"/>
      <c r="AQ45" s="22"/>
      <c r="AR45" s="22"/>
    </row>
    <row r="46" spans="1:44" hidden="1" x14ac:dyDescent="0.25">
      <c r="A46" s="16"/>
      <c r="B46" s="3" t="s">
        <v>60</v>
      </c>
      <c r="C46" s="3" t="s">
        <v>61</v>
      </c>
      <c r="D46" s="11" t="s">
        <v>243</v>
      </c>
      <c r="E46" s="107">
        <v>1699.31268</v>
      </c>
      <c r="F46" s="108">
        <v>2248.7072399999997</v>
      </c>
      <c r="G46" s="109">
        <v>2782.8169199999998</v>
      </c>
      <c r="H46" s="114"/>
      <c r="I46" s="113">
        <v>44.132617994818766</v>
      </c>
      <c r="J46" s="114">
        <v>62.345335823183362</v>
      </c>
      <c r="K46" s="109">
        <v>68.245299781932033</v>
      </c>
      <c r="L46" s="114"/>
      <c r="M46" s="113">
        <v>132.19315323320973</v>
      </c>
      <c r="N46" s="114">
        <v>135.22038601452778</v>
      </c>
      <c r="O46" s="109">
        <v>148.36631387648347</v>
      </c>
      <c r="P46" s="119"/>
      <c r="Q46" s="120">
        <v>0.08</v>
      </c>
      <c r="R46" s="120">
        <v>0.05</v>
      </c>
      <c r="S46" s="120">
        <v>0.03</v>
      </c>
      <c r="T46" s="120">
        <v>1.4999999999999999E-2</v>
      </c>
      <c r="U46" s="120">
        <v>0.02</v>
      </c>
      <c r="V46" s="121">
        <f t="shared" si="0"/>
        <v>0</v>
      </c>
      <c r="W46" s="119"/>
      <c r="X46" s="113">
        <f t="shared" si="1"/>
        <v>1875.6384512280283</v>
      </c>
      <c r="Y46" s="113">
        <f t="shared" si="2"/>
        <v>2446.2729618377107</v>
      </c>
      <c r="Z46" s="113">
        <f t="shared" si="3"/>
        <v>2999.4285336584153</v>
      </c>
      <c r="AA46" s="22"/>
      <c r="AB46" s="22"/>
      <c r="AC46" s="22"/>
      <c r="AD46" s="22"/>
      <c r="AE46" s="22"/>
      <c r="AF46" s="22"/>
      <c r="AG46" s="22"/>
      <c r="AH46" s="22"/>
      <c r="AI46" s="22"/>
      <c r="AJ46" s="22"/>
      <c r="AK46" s="22"/>
      <c r="AL46" s="22"/>
      <c r="AM46" s="22"/>
      <c r="AN46" s="22"/>
      <c r="AO46" s="22"/>
      <c r="AP46" s="22"/>
      <c r="AQ46" s="22"/>
      <c r="AR46" s="22"/>
    </row>
    <row r="47" spans="1:44" hidden="1" x14ac:dyDescent="0.25">
      <c r="A47" s="16"/>
      <c r="B47" s="3" t="s">
        <v>62</v>
      </c>
      <c r="C47" s="3" t="s">
        <v>63</v>
      </c>
      <c r="D47" s="11" t="s">
        <v>243</v>
      </c>
      <c r="E47" s="107">
        <v>1858.4045999999998</v>
      </c>
      <c r="F47" s="108">
        <v>2460.0045599999999</v>
      </c>
      <c r="G47" s="109">
        <v>3044.81268</v>
      </c>
      <c r="H47" s="114"/>
      <c r="I47" s="113">
        <v>130.45933555828992</v>
      </c>
      <c r="J47" s="114">
        <v>184.29749822695405</v>
      </c>
      <c r="K47" s="109">
        <v>201.73823509795898</v>
      </c>
      <c r="L47" s="114"/>
      <c r="M47" s="113">
        <v>390.77289586999876</v>
      </c>
      <c r="N47" s="114">
        <v>399.72162348179359</v>
      </c>
      <c r="O47" s="109">
        <v>438.58197421759849</v>
      </c>
      <c r="P47" s="119"/>
      <c r="Q47" s="120">
        <v>0.08</v>
      </c>
      <c r="R47" s="120">
        <v>0.05</v>
      </c>
      <c r="S47" s="120">
        <v>0.03</v>
      </c>
      <c r="T47" s="120">
        <v>1.4999999999999999E-2</v>
      </c>
      <c r="U47" s="120">
        <v>0.02</v>
      </c>
      <c r="V47" s="121">
        <f t="shared" si="0"/>
        <v>0</v>
      </c>
      <c r="W47" s="119"/>
      <c r="X47" s="113">
        <f t="shared" si="1"/>
        <v>2379.6368314282886</v>
      </c>
      <c r="Y47" s="113">
        <f t="shared" si="2"/>
        <v>3044.0236817087471</v>
      </c>
      <c r="Z47" s="113">
        <f t="shared" si="3"/>
        <v>3685.1328893155573</v>
      </c>
      <c r="AA47" s="22"/>
      <c r="AB47" s="22"/>
      <c r="AC47" s="22"/>
      <c r="AD47" s="22"/>
      <c r="AE47" s="22"/>
      <c r="AF47" s="22"/>
      <c r="AG47" s="22"/>
      <c r="AH47" s="22"/>
      <c r="AI47" s="22"/>
      <c r="AJ47" s="22"/>
      <c r="AK47" s="22"/>
      <c r="AL47" s="22"/>
      <c r="AM47" s="22"/>
      <c r="AN47" s="22"/>
      <c r="AO47" s="22"/>
      <c r="AP47" s="22"/>
      <c r="AQ47" s="22"/>
      <c r="AR47" s="22"/>
    </row>
    <row r="48" spans="1:44" hidden="1" x14ac:dyDescent="0.25">
      <c r="A48" s="16"/>
      <c r="B48" s="3" t="s">
        <v>64</v>
      </c>
      <c r="C48" s="3" t="s">
        <v>65</v>
      </c>
      <c r="D48" s="11" t="s">
        <v>243</v>
      </c>
      <c r="E48" s="107">
        <v>1798.87968</v>
      </c>
      <c r="F48" s="108">
        <v>2380.8891599999997</v>
      </c>
      <c r="G48" s="109">
        <v>2946.8602799999994</v>
      </c>
      <c r="H48" s="114"/>
      <c r="I48" s="113">
        <v>63.141414476919174</v>
      </c>
      <c r="J48" s="114">
        <v>89.198712171947221</v>
      </c>
      <c r="K48" s="109">
        <v>97.639907973247077</v>
      </c>
      <c r="L48" s="114"/>
      <c r="M48" s="113">
        <v>189.13137399392252</v>
      </c>
      <c r="N48" s="114">
        <v>193.46249615363126</v>
      </c>
      <c r="O48" s="109">
        <v>212.27063665218213</v>
      </c>
      <c r="P48" s="119"/>
      <c r="Q48" s="120">
        <v>0.08</v>
      </c>
      <c r="R48" s="120">
        <v>0.05</v>
      </c>
      <c r="S48" s="120">
        <v>0.03</v>
      </c>
      <c r="T48" s="120">
        <v>1.4999999999999999E-2</v>
      </c>
      <c r="U48" s="120">
        <v>0.02</v>
      </c>
      <c r="V48" s="121">
        <f t="shared" si="0"/>
        <v>0</v>
      </c>
      <c r="W48" s="119"/>
      <c r="X48" s="113">
        <f t="shared" si="1"/>
        <v>2051.1524684708415</v>
      </c>
      <c r="Y48" s="113">
        <f t="shared" si="2"/>
        <v>2663.5503683255783</v>
      </c>
      <c r="Z48" s="113">
        <f t="shared" si="3"/>
        <v>3256.7708246254283</v>
      </c>
      <c r="AA48" s="22"/>
      <c r="AB48" s="22"/>
      <c r="AC48" s="22"/>
      <c r="AD48" s="22"/>
      <c r="AE48" s="22"/>
      <c r="AF48" s="22"/>
      <c r="AG48" s="22"/>
      <c r="AH48" s="22"/>
      <c r="AI48" s="22"/>
      <c r="AJ48" s="22"/>
      <c r="AK48" s="22"/>
      <c r="AL48" s="22"/>
      <c r="AM48" s="22"/>
      <c r="AN48" s="22"/>
      <c r="AO48" s="22"/>
      <c r="AP48" s="22"/>
      <c r="AQ48" s="22"/>
      <c r="AR48" s="22"/>
    </row>
    <row r="49" spans="1:44" hidden="1" x14ac:dyDescent="0.25">
      <c r="A49" s="16"/>
      <c r="B49" s="3" t="s">
        <v>66</v>
      </c>
      <c r="C49" s="3" t="s">
        <v>67</v>
      </c>
      <c r="D49" s="11" t="s">
        <v>243</v>
      </c>
      <c r="E49" s="107">
        <v>1798.87968</v>
      </c>
      <c r="F49" s="108">
        <v>2380.8891599999997</v>
      </c>
      <c r="G49" s="109">
        <v>2946.8602799999994</v>
      </c>
      <c r="H49" s="114"/>
      <c r="I49" s="113">
        <v>63.141414476919174</v>
      </c>
      <c r="J49" s="114">
        <v>89.198712171947221</v>
      </c>
      <c r="K49" s="109">
        <v>97.639907973247077</v>
      </c>
      <c r="L49" s="114"/>
      <c r="M49" s="113">
        <v>189.13137399392252</v>
      </c>
      <c r="N49" s="114">
        <v>193.46249615363126</v>
      </c>
      <c r="O49" s="109">
        <v>212.27063665218213</v>
      </c>
      <c r="P49" s="119"/>
      <c r="Q49" s="120">
        <v>0.08</v>
      </c>
      <c r="R49" s="120">
        <v>0.05</v>
      </c>
      <c r="S49" s="120">
        <v>0.03</v>
      </c>
      <c r="T49" s="120">
        <v>1.4999999999999999E-2</v>
      </c>
      <c r="U49" s="120">
        <v>0.02</v>
      </c>
      <c r="V49" s="121">
        <f t="shared" si="0"/>
        <v>0</v>
      </c>
      <c r="W49" s="119"/>
      <c r="X49" s="113">
        <f t="shared" si="1"/>
        <v>2051.1524684708415</v>
      </c>
      <c r="Y49" s="113">
        <f t="shared" si="2"/>
        <v>2663.5503683255783</v>
      </c>
      <c r="Z49" s="113">
        <f t="shared" si="3"/>
        <v>3256.7708246254283</v>
      </c>
      <c r="AA49" s="22"/>
      <c r="AB49" s="22"/>
      <c r="AC49" s="22"/>
      <c r="AD49" s="22"/>
      <c r="AE49" s="22"/>
      <c r="AF49" s="22"/>
      <c r="AG49" s="22"/>
      <c r="AH49" s="22"/>
      <c r="AI49" s="22"/>
      <c r="AJ49" s="22"/>
      <c r="AK49" s="22"/>
      <c r="AL49" s="22"/>
      <c r="AM49" s="22"/>
      <c r="AN49" s="22"/>
      <c r="AO49" s="22"/>
      <c r="AP49" s="22"/>
      <c r="AQ49" s="22"/>
      <c r="AR49" s="22"/>
    </row>
    <row r="50" spans="1:44" hidden="1" x14ac:dyDescent="0.25">
      <c r="A50" s="16"/>
      <c r="B50" s="3" t="s">
        <v>68</v>
      </c>
      <c r="C50" s="3" t="s">
        <v>69</v>
      </c>
      <c r="D50" s="11" t="s">
        <v>243</v>
      </c>
      <c r="E50" s="107">
        <v>2227.2868799999997</v>
      </c>
      <c r="F50" s="108">
        <v>2949.8741999999997</v>
      </c>
      <c r="G50" s="109">
        <v>3652.4404799999998</v>
      </c>
      <c r="H50" s="114"/>
      <c r="I50" s="113">
        <v>156.28839243471788</v>
      </c>
      <c r="J50" s="114">
        <v>220.7857306981403</v>
      </c>
      <c r="K50" s="109">
        <v>241.67948059178724</v>
      </c>
      <c r="L50" s="114"/>
      <c r="M50" s="113">
        <v>468.14026333357833</v>
      </c>
      <c r="N50" s="114">
        <v>478.86070926256048</v>
      </c>
      <c r="O50" s="109">
        <v>525.4148459976401</v>
      </c>
      <c r="P50" s="119"/>
      <c r="Q50" s="120">
        <v>0.08</v>
      </c>
      <c r="R50" s="120">
        <v>0.05</v>
      </c>
      <c r="S50" s="120">
        <v>0.03</v>
      </c>
      <c r="T50" s="120">
        <v>1.4999999999999999E-2</v>
      </c>
      <c r="U50" s="120">
        <v>0.02</v>
      </c>
      <c r="V50" s="121">
        <f t="shared" si="0"/>
        <v>0</v>
      </c>
      <c r="W50" s="119"/>
      <c r="X50" s="113">
        <f t="shared" si="1"/>
        <v>2851.7155357682959</v>
      </c>
      <c r="Y50" s="113">
        <f t="shared" si="2"/>
        <v>3649.5206399607005</v>
      </c>
      <c r="Z50" s="113">
        <f t="shared" si="3"/>
        <v>4419.5348065894268</v>
      </c>
      <c r="AA50" s="22"/>
      <c r="AB50" s="22"/>
      <c r="AC50" s="22"/>
      <c r="AD50" s="22"/>
      <c r="AE50" s="22"/>
      <c r="AF50" s="22"/>
      <c r="AG50" s="22"/>
      <c r="AH50" s="22"/>
      <c r="AI50" s="22"/>
      <c r="AJ50" s="22"/>
      <c r="AK50" s="22"/>
      <c r="AL50" s="22"/>
      <c r="AM50" s="22"/>
      <c r="AN50" s="22"/>
      <c r="AO50" s="22"/>
      <c r="AP50" s="22"/>
      <c r="AQ50" s="22"/>
      <c r="AR50" s="22"/>
    </row>
    <row r="51" spans="1:44" hidden="1" x14ac:dyDescent="0.25">
      <c r="A51" s="16"/>
      <c r="B51" s="3" t="s">
        <v>70</v>
      </c>
      <c r="C51" s="3" t="s">
        <v>71</v>
      </c>
      <c r="D51" s="11" t="s">
        <v>243</v>
      </c>
      <c r="E51" s="107">
        <v>2230.3007999999995</v>
      </c>
      <c r="F51" s="108">
        <v>2953.96452</v>
      </c>
      <c r="G51" s="109">
        <v>3657.4995600000002</v>
      </c>
      <c r="H51" s="114"/>
      <c r="I51" s="113">
        <v>129.87914430013242</v>
      </c>
      <c r="J51" s="114">
        <v>183.47787273281835</v>
      </c>
      <c r="K51" s="109">
        <v>200.84104548757909</v>
      </c>
      <c r="L51" s="114"/>
      <c r="M51" s="113">
        <v>389.03501320228145</v>
      </c>
      <c r="N51" s="114">
        <v>397.9439431751432</v>
      </c>
      <c r="O51" s="109">
        <v>436.63147043542324</v>
      </c>
      <c r="P51" s="119"/>
      <c r="Q51" s="120">
        <v>0.08</v>
      </c>
      <c r="R51" s="120">
        <v>0.05</v>
      </c>
      <c r="S51" s="120">
        <v>0.03</v>
      </c>
      <c r="T51" s="120">
        <v>1.4999999999999999E-2</v>
      </c>
      <c r="U51" s="120">
        <v>0.02</v>
      </c>
      <c r="V51" s="121">
        <f t="shared" si="0"/>
        <v>0</v>
      </c>
      <c r="W51" s="119"/>
      <c r="X51" s="113">
        <f t="shared" si="1"/>
        <v>2749.2149575024132</v>
      </c>
      <c r="Y51" s="113">
        <f t="shared" si="2"/>
        <v>3535.3863359079614</v>
      </c>
      <c r="Z51" s="113">
        <f t="shared" si="3"/>
        <v>4294.9720759230031</v>
      </c>
      <c r="AA51" s="22"/>
      <c r="AB51" s="22"/>
      <c r="AC51" s="22"/>
      <c r="AD51" s="22"/>
      <c r="AE51" s="22"/>
      <c r="AF51" s="22"/>
      <c r="AG51" s="22"/>
      <c r="AH51" s="22"/>
      <c r="AI51" s="22"/>
      <c r="AJ51" s="22"/>
      <c r="AK51" s="22"/>
      <c r="AL51" s="22"/>
      <c r="AM51" s="22"/>
      <c r="AN51" s="22"/>
      <c r="AO51" s="22"/>
      <c r="AP51" s="22"/>
      <c r="AQ51" s="22"/>
      <c r="AR51" s="22"/>
    </row>
    <row r="52" spans="1:44" hidden="1" x14ac:dyDescent="0.25">
      <c r="A52" s="16"/>
      <c r="B52" s="3" t="s">
        <v>72</v>
      </c>
      <c r="C52" s="3" t="s">
        <v>73</v>
      </c>
      <c r="D52" s="11" t="s">
        <v>243</v>
      </c>
      <c r="E52" s="107">
        <v>1183.7170799999999</v>
      </c>
      <c r="F52" s="108">
        <v>1563.9015599999998</v>
      </c>
      <c r="G52" s="109">
        <v>1933.5373199999999</v>
      </c>
      <c r="H52" s="114"/>
      <c r="I52" s="113">
        <v>30.769889298752318</v>
      </c>
      <c r="J52" s="114">
        <v>43.468055346231836</v>
      </c>
      <c r="K52" s="109">
        <v>47.581594178182357</v>
      </c>
      <c r="L52" s="114"/>
      <c r="M52" s="113">
        <v>92.166947619477355</v>
      </c>
      <c r="N52" s="114">
        <v>94.277577393891534</v>
      </c>
      <c r="O52" s="109">
        <v>103.44310537342923</v>
      </c>
      <c r="P52" s="119"/>
      <c r="Q52" s="120">
        <v>0.08</v>
      </c>
      <c r="R52" s="120">
        <v>0.05</v>
      </c>
      <c r="S52" s="120">
        <v>0.03</v>
      </c>
      <c r="T52" s="120">
        <v>1.4999999999999999E-2</v>
      </c>
      <c r="U52" s="120">
        <v>0.02</v>
      </c>
      <c r="V52" s="121">
        <f t="shared" si="0"/>
        <v>0</v>
      </c>
      <c r="W52" s="119"/>
      <c r="X52" s="113">
        <f t="shared" si="1"/>
        <v>1306.6539169182297</v>
      </c>
      <c r="Y52" s="113">
        <f t="shared" si="2"/>
        <v>1701.647192740123</v>
      </c>
      <c r="Z52" s="113">
        <f t="shared" si="3"/>
        <v>2084.5620195516112</v>
      </c>
      <c r="AA52" s="22"/>
      <c r="AB52" s="22"/>
      <c r="AC52" s="22"/>
      <c r="AD52" s="22"/>
      <c r="AE52" s="22"/>
      <c r="AF52" s="22"/>
      <c r="AG52" s="22"/>
      <c r="AH52" s="22"/>
      <c r="AI52" s="22"/>
      <c r="AJ52" s="22"/>
      <c r="AK52" s="22"/>
      <c r="AL52" s="22"/>
      <c r="AM52" s="22"/>
      <c r="AN52" s="22"/>
      <c r="AO52" s="22"/>
      <c r="AP52" s="22"/>
      <c r="AQ52" s="22"/>
      <c r="AR52" s="22"/>
    </row>
    <row r="53" spans="1:44" hidden="1" x14ac:dyDescent="0.25">
      <c r="A53" s="16"/>
      <c r="B53" s="3" t="s">
        <v>74</v>
      </c>
      <c r="C53" s="3" t="s">
        <v>75</v>
      </c>
      <c r="D53" s="11" t="s">
        <v>243</v>
      </c>
      <c r="E53" s="107">
        <v>2238.48144</v>
      </c>
      <c r="F53" s="108">
        <v>2964.7285200000001</v>
      </c>
      <c r="G53" s="109">
        <v>3670.9545600000001</v>
      </c>
      <c r="H53" s="114"/>
      <c r="I53" s="113">
        <v>78.529204842218206</v>
      </c>
      <c r="J53" s="114">
        <v>110.93675993548446</v>
      </c>
      <c r="K53" s="109">
        <v>121.43510558841341</v>
      </c>
      <c r="L53" s="114"/>
      <c r="M53" s="113">
        <v>235.22337175211794</v>
      </c>
      <c r="N53" s="114">
        <v>240.61000399807068</v>
      </c>
      <c r="O53" s="109">
        <v>264.0017561491382</v>
      </c>
      <c r="P53" s="119"/>
      <c r="Q53" s="120">
        <v>0.08</v>
      </c>
      <c r="R53" s="120">
        <v>0.05</v>
      </c>
      <c r="S53" s="120">
        <v>0.03</v>
      </c>
      <c r="T53" s="120">
        <v>1.4999999999999999E-2</v>
      </c>
      <c r="U53" s="120">
        <v>0.02</v>
      </c>
      <c r="V53" s="121">
        <f t="shared" si="0"/>
        <v>0</v>
      </c>
      <c r="W53" s="119"/>
      <c r="X53" s="113">
        <f t="shared" si="1"/>
        <v>2552.2340165943365</v>
      </c>
      <c r="Y53" s="113">
        <f t="shared" si="2"/>
        <v>3316.2752839335553</v>
      </c>
      <c r="Z53" s="113">
        <f t="shared" si="3"/>
        <v>4056.3914217375518</v>
      </c>
      <c r="AA53" s="22"/>
      <c r="AB53" s="22"/>
      <c r="AC53" s="22"/>
      <c r="AD53" s="22"/>
      <c r="AE53" s="22"/>
      <c r="AF53" s="22"/>
      <c r="AG53" s="22"/>
      <c r="AH53" s="22"/>
      <c r="AI53" s="22"/>
      <c r="AJ53" s="22"/>
      <c r="AK53" s="22"/>
      <c r="AL53" s="22"/>
      <c r="AM53" s="22"/>
      <c r="AN53" s="22"/>
      <c r="AO53" s="22"/>
      <c r="AP53" s="22"/>
      <c r="AQ53" s="22"/>
      <c r="AR53" s="22"/>
    </row>
    <row r="54" spans="1:44" hidden="1" x14ac:dyDescent="0.25">
      <c r="A54" s="16"/>
      <c r="B54" s="3" t="s">
        <v>76</v>
      </c>
      <c r="C54" s="3" t="s">
        <v>77</v>
      </c>
      <c r="D54" s="11" t="s">
        <v>243</v>
      </c>
      <c r="E54" s="107">
        <v>1868.3074799999997</v>
      </c>
      <c r="F54" s="108">
        <v>2473.2442799999999</v>
      </c>
      <c r="G54" s="109">
        <v>3061.2815999999993</v>
      </c>
      <c r="H54" s="114"/>
      <c r="I54" s="113">
        <v>73.413444588164325</v>
      </c>
      <c r="J54" s="114">
        <v>103.70981973748107</v>
      </c>
      <c r="K54" s="109">
        <v>113.52425397767533</v>
      </c>
      <c r="L54" s="114"/>
      <c r="M54" s="113">
        <v>219.89981947049475</v>
      </c>
      <c r="N54" s="114">
        <v>224.93554125960003</v>
      </c>
      <c r="O54" s="109">
        <v>246.80344510267122</v>
      </c>
      <c r="P54" s="119"/>
      <c r="Q54" s="120">
        <v>0.08</v>
      </c>
      <c r="R54" s="120">
        <v>0.05</v>
      </c>
      <c r="S54" s="120">
        <v>0.03</v>
      </c>
      <c r="T54" s="120">
        <v>1.4999999999999999E-2</v>
      </c>
      <c r="U54" s="120">
        <v>0.02</v>
      </c>
      <c r="V54" s="121">
        <f t="shared" si="0"/>
        <v>0</v>
      </c>
      <c r="W54" s="119"/>
      <c r="X54" s="113">
        <f t="shared" si="1"/>
        <v>2161.6207440586586</v>
      </c>
      <c r="Y54" s="113">
        <f t="shared" si="2"/>
        <v>2801.8896409970812</v>
      </c>
      <c r="Z54" s="113">
        <f t="shared" si="3"/>
        <v>3421.6092990803459</v>
      </c>
      <c r="AA54" s="22"/>
      <c r="AB54" s="22"/>
      <c r="AC54" s="22"/>
      <c r="AD54" s="22"/>
      <c r="AE54" s="22"/>
      <c r="AF54" s="22"/>
      <c r="AG54" s="22"/>
      <c r="AH54" s="22"/>
      <c r="AI54" s="22"/>
      <c r="AJ54" s="22"/>
      <c r="AK54" s="22"/>
      <c r="AL54" s="22"/>
      <c r="AM54" s="22"/>
      <c r="AN54" s="22"/>
      <c r="AO54" s="22"/>
      <c r="AP54" s="22"/>
      <c r="AQ54" s="22"/>
      <c r="AR54" s="22"/>
    </row>
    <row r="55" spans="1:44" hidden="1" x14ac:dyDescent="0.25">
      <c r="A55" s="16"/>
      <c r="B55" s="3" t="s">
        <v>78</v>
      </c>
      <c r="C55" s="3" t="s">
        <v>79</v>
      </c>
      <c r="D55" s="11" t="s">
        <v>243</v>
      </c>
      <c r="E55" s="107">
        <v>1961.5237199999997</v>
      </c>
      <c r="F55" s="108">
        <v>2596.9226399999998</v>
      </c>
      <c r="G55" s="109">
        <v>3214.6685999999995</v>
      </c>
      <c r="H55" s="114"/>
      <c r="I55" s="113">
        <v>20.648598433892293</v>
      </c>
      <c r="J55" s="114">
        <v>29.169894335074549</v>
      </c>
      <c r="K55" s="109">
        <v>31.930346628499368</v>
      </c>
      <c r="L55" s="114"/>
      <c r="M55" s="113">
        <v>61.850020706747948</v>
      </c>
      <c r="N55" s="114">
        <v>63.266390659572643</v>
      </c>
      <c r="O55" s="109">
        <v>69.417056488966836</v>
      </c>
      <c r="P55" s="119"/>
      <c r="Q55" s="120">
        <v>0.08</v>
      </c>
      <c r="R55" s="120">
        <v>0.05</v>
      </c>
      <c r="S55" s="120">
        <v>0.03</v>
      </c>
      <c r="T55" s="120">
        <v>1.4999999999999999E-2</v>
      </c>
      <c r="U55" s="120">
        <v>0.02</v>
      </c>
      <c r="V55" s="121">
        <f t="shared" si="0"/>
        <v>0</v>
      </c>
      <c r="W55" s="119"/>
      <c r="X55" s="113">
        <f t="shared" si="1"/>
        <v>2044.02233914064</v>
      </c>
      <c r="Y55" s="113">
        <f t="shared" si="2"/>
        <v>2689.3589249946467</v>
      </c>
      <c r="Z55" s="113">
        <f t="shared" si="3"/>
        <v>3316.016003117466</v>
      </c>
      <c r="AA55" s="22"/>
      <c r="AB55" s="22"/>
      <c r="AC55" s="22"/>
      <c r="AD55" s="22"/>
      <c r="AE55" s="22"/>
      <c r="AF55" s="22"/>
      <c r="AG55" s="22"/>
      <c r="AH55" s="22"/>
      <c r="AI55" s="22"/>
      <c r="AJ55" s="22"/>
      <c r="AK55" s="22"/>
      <c r="AL55" s="22"/>
      <c r="AM55" s="22"/>
      <c r="AN55" s="22"/>
      <c r="AO55" s="22"/>
      <c r="AP55" s="22"/>
      <c r="AQ55" s="22"/>
      <c r="AR55" s="22"/>
    </row>
    <row r="56" spans="1:44" hidden="1" x14ac:dyDescent="0.25">
      <c r="A56" s="16"/>
      <c r="B56" s="3" t="s">
        <v>80</v>
      </c>
      <c r="C56" s="3" t="s">
        <v>81</v>
      </c>
      <c r="D56" s="11" t="s">
        <v>243</v>
      </c>
      <c r="E56" s="107">
        <v>2035.7953199999997</v>
      </c>
      <c r="F56" s="108">
        <v>2695.6285199999998</v>
      </c>
      <c r="G56" s="109">
        <v>3337.0552799999996</v>
      </c>
      <c r="H56" s="114"/>
      <c r="I56" s="113">
        <v>142.85493932821532</v>
      </c>
      <c r="J56" s="114">
        <v>201.80853915042354</v>
      </c>
      <c r="K56" s="109">
        <v>220.90640897234641</v>
      </c>
      <c r="L56" s="114"/>
      <c r="M56" s="113">
        <v>427.9022125302584</v>
      </c>
      <c r="N56" s="114">
        <v>437.70120418215515</v>
      </c>
      <c r="O56" s="109">
        <v>480.25387412240781</v>
      </c>
      <c r="P56" s="119"/>
      <c r="Q56" s="120">
        <v>0.08</v>
      </c>
      <c r="R56" s="120">
        <v>0.05</v>
      </c>
      <c r="S56" s="120">
        <v>0.03</v>
      </c>
      <c r="T56" s="120">
        <v>1.4999999999999999E-2</v>
      </c>
      <c r="U56" s="120">
        <v>0.02</v>
      </c>
      <c r="V56" s="121">
        <f t="shared" si="0"/>
        <v>0</v>
      </c>
      <c r="W56" s="119"/>
      <c r="X56" s="113">
        <f t="shared" si="1"/>
        <v>2606.5524718584734</v>
      </c>
      <c r="Y56" s="113">
        <f t="shared" si="2"/>
        <v>3335.1382633325784</v>
      </c>
      <c r="Z56" s="113">
        <f t="shared" si="3"/>
        <v>4038.2155630947541</v>
      </c>
      <c r="AA56" s="22"/>
      <c r="AB56" s="22"/>
      <c r="AC56" s="22"/>
      <c r="AD56" s="22"/>
      <c r="AE56" s="22"/>
      <c r="AF56" s="22"/>
      <c r="AG56" s="22"/>
      <c r="AH56" s="22"/>
      <c r="AI56" s="22"/>
      <c r="AJ56" s="22"/>
      <c r="AK56" s="22"/>
      <c r="AL56" s="22"/>
      <c r="AM56" s="22"/>
      <c r="AN56" s="22"/>
      <c r="AO56" s="22"/>
      <c r="AP56" s="22"/>
      <c r="AQ56" s="22"/>
      <c r="AR56" s="22"/>
    </row>
    <row r="57" spans="1:44" hidden="1" x14ac:dyDescent="0.25">
      <c r="A57" s="16"/>
      <c r="B57" s="3" t="s">
        <v>82</v>
      </c>
      <c r="C57" s="3" t="s">
        <v>83</v>
      </c>
      <c r="D57" s="11" t="s">
        <v>243</v>
      </c>
      <c r="E57" s="107">
        <v>1605.3429599999997</v>
      </c>
      <c r="F57" s="108">
        <v>2123.9524799999999</v>
      </c>
      <c r="G57" s="109">
        <v>2628.1382399999998</v>
      </c>
      <c r="H57" s="114"/>
      <c r="I57" s="113">
        <v>138.80789420578162</v>
      </c>
      <c r="J57" s="114">
        <v>196.09135311629052</v>
      </c>
      <c r="K57" s="109">
        <v>214.64818500648244</v>
      </c>
      <c r="L57" s="114"/>
      <c r="M57" s="113">
        <v>415.77984861170717</v>
      </c>
      <c r="N57" s="114">
        <v>425.30123725207301</v>
      </c>
      <c r="O57" s="109">
        <v>466.64840057044705</v>
      </c>
      <c r="P57" s="119"/>
      <c r="Q57" s="120">
        <v>0.08</v>
      </c>
      <c r="R57" s="120">
        <v>0.05</v>
      </c>
      <c r="S57" s="120">
        <v>0.03</v>
      </c>
      <c r="T57" s="120">
        <v>1.4999999999999999E-2</v>
      </c>
      <c r="U57" s="120">
        <v>0.02</v>
      </c>
      <c r="V57" s="121">
        <f t="shared" si="0"/>
        <v>0</v>
      </c>
      <c r="W57" s="119"/>
      <c r="X57" s="113">
        <f t="shared" si="1"/>
        <v>2159.9307028174885</v>
      </c>
      <c r="Y57" s="113">
        <f t="shared" si="2"/>
        <v>2745.3450703683634</v>
      </c>
      <c r="Z57" s="113">
        <f t="shared" si="3"/>
        <v>3309.4348255769291</v>
      </c>
      <c r="AA57" s="22"/>
      <c r="AB57" s="22"/>
      <c r="AC57" s="22"/>
      <c r="AD57" s="22"/>
      <c r="AE57" s="22"/>
      <c r="AF57" s="22"/>
      <c r="AG57" s="22"/>
      <c r="AH57" s="22"/>
      <c r="AI57" s="22"/>
      <c r="AJ57" s="22"/>
      <c r="AK57" s="22"/>
      <c r="AL57" s="22"/>
      <c r="AM57" s="22"/>
      <c r="AN57" s="22"/>
      <c r="AO57" s="22"/>
      <c r="AP57" s="22"/>
      <c r="AQ57" s="22"/>
      <c r="AR57" s="22"/>
    </row>
    <row r="58" spans="1:44" hidden="1" x14ac:dyDescent="0.25">
      <c r="A58" s="16"/>
      <c r="B58" s="3" t="s">
        <v>82</v>
      </c>
      <c r="C58" s="3" t="s">
        <v>84</v>
      </c>
      <c r="D58" s="11" t="s">
        <v>243</v>
      </c>
      <c r="E58" s="107">
        <v>1982.6374381107653</v>
      </c>
      <c r="F58" s="108">
        <v>2501.4945125720283</v>
      </c>
      <c r="G58" s="109">
        <v>3265.9440472153901</v>
      </c>
      <c r="H58" s="114"/>
      <c r="I58" s="113">
        <v>138.80789420578162</v>
      </c>
      <c r="J58" s="114">
        <v>196.09135311629052</v>
      </c>
      <c r="K58" s="109">
        <v>214.64818500648244</v>
      </c>
      <c r="L58" s="114"/>
      <c r="M58" s="113">
        <v>415.77984861170717</v>
      </c>
      <c r="N58" s="114">
        <v>425.30123725207301</v>
      </c>
      <c r="O58" s="109">
        <v>466.64840057044705</v>
      </c>
      <c r="P58" s="119"/>
      <c r="Q58" s="120">
        <v>0.08</v>
      </c>
      <c r="R58" s="120">
        <v>0.05</v>
      </c>
      <c r="S58" s="120">
        <v>0.03</v>
      </c>
      <c r="T58" s="120">
        <v>1.4999999999999999E-2</v>
      </c>
      <c r="U58" s="120">
        <v>0.02</v>
      </c>
      <c r="V58" s="121">
        <f>SUBTOTAL(9,Q58:U58)</f>
        <v>0</v>
      </c>
      <c r="W58" s="119"/>
      <c r="X58" s="113">
        <f t="shared" si="1"/>
        <v>2537.2251809282543</v>
      </c>
      <c r="Y58" s="113">
        <f t="shared" si="2"/>
        <v>3122.8871029403917</v>
      </c>
      <c r="Z58" s="113">
        <f t="shared" si="3"/>
        <v>3947.2406327923195</v>
      </c>
      <c r="AA58" s="22"/>
      <c r="AB58" s="22"/>
      <c r="AC58" s="22"/>
      <c r="AD58" s="22"/>
      <c r="AE58" s="22"/>
      <c r="AF58" s="22"/>
      <c r="AG58" s="22"/>
      <c r="AH58" s="22"/>
      <c r="AI58" s="22"/>
      <c r="AJ58" s="22"/>
      <c r="AK58" s="22"/>
      <c r="AL58" s="22"/>
      <c r="AM58" s="22"/>
      <c r="AN58" s="22"/>
      <c r="AO58" s="22"/>
      <c r="AP58" s="22"/>
      <c r="AQ58" s="22"/>
      <c r="AR58" s="22"/>
    </row>
    <row r="59" spans="1:44" hidden="1" x14ac:dyDescent="0.25">
      <c r="A59" s="16"/>
      <c r="B59" s="3" t="s">
        <v>85</v>
      </c>
      <c r="C59" s="3" t="s">
        <v>86</v>
      </c>
      <c r="D59" s="11" t="s">
        <v>243</v>
      </c>
      <c r="E59" s="107">
        <v>1187.2758826454499</v>
      </c>
      <c r="F59" s="108">
        <v>1497.986494281452</v>
      </c>
      <c r="G59" s="109">
        <v>1955.7668622575832</v>
      </c>
      <c r="H59" s="114"/>
      <c r="I59" s="113">
        <v>83.123248831801007</v>
      </c>
      <c r="J59" s="114">
        <v>117.42668118490235</v>
      </c>
      <c r="K59" s="109">
        <v>128.53919148962302</v>
      </c>
      <c r="L59" s="114"/>
      <c r="M59" s="113">
        <v>234.72419121951214</v>
      </c>
      <c r="N59" s="114">
        <v>240.09939219512191</v>
      </c>
      <c r="O59" s="109">
        <v>263.4415034146341</v>
      </c>
      <c r="P59" s="119"/>
      <c r="Q59" s="120">
        <v>0.08</v>
      </c>
      <c r="R59" s="120">
        <v>0.05</v>
      </c>
      <c r="S59" s="120">
        <v>0.03</v>
      </c>
      <c r="T59" s="120">
        <v>1.4999999999999999E-2</v>
      </c>
      <c r="U59" s="120">
        <v>0.02</v>
      </c>
      <c r="V59" s="121">
        <f t="shared" ref="V59:V69" si="4">SUBTOTAL(9,Q59:U59)</f>
        <v>0</v>
      </c>
      <c r="W59" s="119"/>
      <c r="X59" s="113">
        <f t="shared" si="1"/>
        <v>1505.1233226967629</v>
      </c>
      <c r="Y59" s="113">
        <f t="shared" si="2"/>
        <v>1855.5125676614764</v>
      </c>
      <c r="Z59" s="113">
        <f t="shared" si="3"/>
        <v>2347.7475571618402</v>
      </c>
      <c r="AA59" s="22"/>
      <c r="AB59" s="22"/>
      <c r="AC59" s="22"/>
      <c r="AD59" s="22"/>
      <c r="AE59" s="22"/>
      <c r="AF59" s="22"/>
      <c r="AG59" s="22"/>
      <c r="AH59" s="22"/>
      <c r="AI59" s="22"/>
      <c r="AJ59" s="22"/>
      <c r="AK59" s="22"/>
      <c r="AL59" s="22"/>
      <c r="AM59" s="22"/>
      <c r="AN59" s="22"/>
      <c r="AO59" s="22"/>
      <c r="AP59" s="22"/>
      <c r="AQ59" s="22"/>
      <c r="AR59" s="22"/>
    </row>
    <row r="60" spans="1:44" hidden="1" x14ac:dyDescent="0.25">
      <c r="A60" s="16"/>
      <c r="B60" s="3" t="s">
        <v>85</v>
      </c>
      <c r="C60" s="3" t="s">
        <v>87</v>
      </c>
      <c r="D60" s="11" t="s">
        <v>243</v>
      </c>
      <c r="E60" s="107">
        <v>1187.2758826454499</v>
      </c>
      <c r="F60" s="108">
        <v>1497.986494281452</v>
      </c>
      <c r="G60" s="109">
        <v>1955.7668622575832</v>
      </c>
      <c r="H60" s="114"/>
      <c r="I60" s="113">
        <v>83.123248831801007</v>
      </c>
      <c r="J60" s="114">
        <v>117.42668118490235</v>
      </c>
      <c r="K60" s="109">
        <v>128.53919148962302</v>
      </c>
      <c r="L60" s="114"/>
      <c r="M60" s="113">
        <v>234.72419121951214</v>
      </c>
      <c r="N60" s="114">
        <v>240.09939219512191</v>
      </c>
      <c r="O60" s="109">
        <v>263.4415034146341</v>
      </c>
      <c r="P60" s="119"/>
      <c r="Q60" s="120">
        <v>0.08</v>
      </c>
      <c r="R60" s="120">
        <v>0.05</v>
      </c>
      <c r="S60" s="120">
        <v>0.03</v>
      </c>
      <c r="T60" s="120">
        <v>1.4999999999999999E-2</v>
      </c>
      <c r="U60" s="120">
        <v>0.02</v>
      </c>
      <c r="V60" s="121">
        <f t="shared" si="4"/>
        <v>0</v>
      </c>
      <c r="W60" s="119"/>
      <c r="X60" s="113">
        <f t="shared" si="1"/>
        <v>1505.1233226967629</v>
      </c>
      <c r="Y60" s="113">
        <f t="shared" si="2"/>
        <v>1855.5125676614764</v>
      </c>
      <c r="Z60" s="113">
        <f t="shared" si="3"/>
        <v>2347.7475571618402</v>
      </c>
      <c r="AA60" s="22"/>
      <c r="AB60" s="22"/>
      <c r="AC60" s="22"/>
      <c r="AD60" s="22"/>
      <c r="AE60" s="22"/>
      <c r="AF60" s="22"/>
      <c r="AG60" s="22"/>
      <c r="AH60" s="22"/>
      <c r="AI60" s="22"/>
      <c r="AJ60" s="22"/>
      <c r="AK60" s="22"/>
      <c r="AL60" s="22"/>
      <c r="AM60" s="22"/>
      <c r="AN60" s="22"/>
      <c r="AO60" s="22"/>
      <c r="AP60" s="22"/>
      <c r="AQ60" s="22"/>
      <c r="AR60" s="22"/>
    </row>
    <row r="61" spans="1:44" s="34" customFormat="1" hidden="1" x14ac:dyDescent="0.25">
      <c r="A61" s="35"/>
      <c r="B61" s="3" t="s">
        <v>85</v>
      </c>
      <c r="C61" s="3" t="s">
        <v>88</v>
      </c>
      <c r="D61" s="11" t="s">
        <v>243</v>
      </c>
      <c r="E61" s="107">
        <v>1187.2758826454499</v>
      </c>
      <c r="F61" s="108">
        <v>1497.986494281452</v>
      </c>
      <c r="G61" s="109">
        <v>1955.7668622575832</v>
      </c>
      <c r="H61" s="114"/>
      <c r="I61" s="113">
        <v>98.97877995753278</v>
      </c>
      <c r="J61" s="114">
        <v>139.82549769754925</v>
      </c>
      <c r="K61" s="109">
        <v>153.05768878349204</v>
      </c>
      <c r="L61" s="114"/>
      <c r="M61" s="113">
        <v>234.72419121951214</v>
      </c>
      <c r="N61" s="114">
        <v>240.09939219512191</v>
      </c>
      <c r="O61" s="109">
        <v>263.4415034146341</v>
      </c>
      <c r="P61" s="119"/>
      <c r="Q61" s="120">
        <v>0.08</v>
      </c>
      <c r="R61" s="120">
        <v>0.05</v>
      </c>
      <c r="S61" s="120">
        <v>0.03</v>
      </c>
      <c r="T61" s="120">
        <v>1.4999999999999999E-2</v>
      </c>
      <c r="U61" s="120">
        <v>0.02</v>
      </c>
      <c r="V61" s="121">
        <f t="shared" si="4"/>
        <v>0</v>
      </c>
      <c r="W61" s="119"/>
      <c r="X61" s="113">
        <f t="shared" si="1"/>
        <v>1520.9788538224948</v>
      </c>
      <c r="Y61" s="113">
        <f t="shared" si="2"/>
        <v>1877.9113841741232</v>
      </c>
      <c r="Z61" s="113">
        <f t="shared" si="3"/>
        <v>2372.2660544557093</v>
      </c>
      <c r="AA61" s="33"/>
      <c r="AB61" s="33"/>
      <c r="AC61" s="33"/>
      <c r="AD61" s="33"/>
      <c r="AE61" s="33"/>
      <c r="AF61" s="33"/>
      <c r="AG61" s="33"/>
      <c r="AH61" s="33"/>
      <c r="AI61" s="33"/>
      <c r="AJ61" s="33"/>
      <c r="AK61" s="33"/>
      <c r="AL61" s="33"/>
      <c r="AM61" s="33"/>
      <c r="AN61" s="33"/>
      <c r="AO61" s="33"/>
      <c r="AP61" s="33"/>
      <c r="AQ61" s="33"/>
      <c r="AR61" s="33"/>
    </row>
    <row r="62" spans="1:44" hidden="1" x14ac:dyDescent="0.25">
      <c r="A62" s="16"/>
      <c r="B62" s="3" t="s">
        <v>89</v>
      </c>
      <c r="C62" s="3" t="s">
        <v>90</v>
      </c>
      <c r="D62" s="11" t="s">
        <v>243</v>
      </c>
      <c r="E62" s="107">
        <v>1191.79008</v>
      </c>
      <c r="F62" s="108">
        <v>1574.6655599999999</v>
      </c>
      <c r="G62" s="109">
        <v>1946.9923199999998</v>
      </c>
      <c r="H62" s="114"/>
      <c r="I62" s="113">
        <v>98.97877995753278</v>
      </c>
      <c r="J62" s="114">
        <v>139.82549769754925</v>
      </c>
      <c r="K62" s="109">
        <v>153.05768878349204</v>
      </c>
      <c r="L62" s="114"/>
      <c r="M62" s="113">
        <v>281.65338335318052</v>
      </c>
      <c r="N62" s="114">
        <v>288.10326622685488</v>
      </c>
      <c r="O62" s="109">
        <v>316.11224376523535</v>
      </c>
      <c r="P62" s="119"/>
      <c r="Q62" s="120">
        <v>0.08</v>
      </c>
      <c r="R62" s="120">
        <v>0.05</v>
      </c>
      <c r="S62" s="120">
        <v>0.03</v>
      </c>
      <c r="T62" s="120">
        <v>1.4999999999999999E-2</v>
      </c>
      <c r="U62" s="120">
        <v>0.02</v>
      </c>
      <c r="V62" s="121">
        <f t="shared" si="4"/>
        <v>0</v>
      </c>
      <c r="W62" s="119"/>
      <c r="X62" s="113">
        <f t="shared" si="1"/>
        <v>1572.4222433107134</v>
      </c>
      <c r="Y62" s="113">
        <f t="shared" si="2"/>
        <v>2002.5943239244041</v>
      </c>
      <c r="Z62" s="113">
        <f t="shared" si="3"/>
        <v>2416.1622525487269</v>
      </c>
      <c r="AA62" s="22"/>
      <c r="AB62" s="22"/>
      <c r="AC62" s="22"/>
      <c r="AD62" s="22"/>
      <c r="AE62" s="22"/>
      <c r="AF62" s="22"/>
      <c r="AG62" s="22"/>
      <c r="AH62" s="22"/>
      <c r="AI62" s="22"/>
      <c r="AJ62" s="22"/>
      <c r="AK62" s="22"/>
      <c r="AL62" s="22"/>
      <c r="AM62" s="22"/>
      <c r="AN62" s="22"/>
      <c r="AO62" s="22"/>
      <c r="AP62" s="22"/>
      <c r="AQ62" s="22"/>
      <c r="AR62" s="22"/>
    </row>
    <row r="63" spans="1:44" hidden="1" x14ac:dyDescent="0.25">
      <c r="A63" s="16"/>
      <c r="B63" s="3" t="s">
        <v>91</v>
      </c>
      <c r="C63" s="3" t="s">
        <v>92</v>
      </c>
      <c r="D63" s="11" t="s">
        <v>243</v>
      </c>
      <c r="E63" s="107">
        <v>1052.5039199999999</v>
      </c>
      <c r="F63" s="108">
        <v>1389.6324</v>
      </c>
      <c r="G63" s="109">
        <v>1717.5038399999999</v>
      </c>
      <c r="H63" s="114"/>
      <c r="I63" s="113">
        <v>98.97877995753278</v>
      </c>
      <c r="J63" s="114">
        <v>139.82549769754925</v>
      </c>
      <c r="K63" s="109">
        <v>153.05768878349204</v>
      </c>
      <c r="L63" s="114"/>
      <c r="M63" s="113">
        <v>259.76609999999994</v>
      </c>
      <c r="N63" s="114">
        <v>265.71476249999995</v>
      </c>
      <c r="O63" s="109">
        <v>291.54716250000001</v>
      </c>
      <c r="P63" s="119"/>
      <c r="Q63" s="120">
        <v>0.08</v>
      </c>
      <c r="R63" s="120">
        <v>0.05</v>
      </c>
      <c r="S63" s="120">
        <v>0.03</v>
      </c>
      <c r="T63" s="120">
        <v>1.4999999999999999E-2</v>
      </c>
      <c r="U63" s="120">
        <v>0.02</v>
      </c>
      <c r="V63" s="121">
        <f t="shared" si="4"/>
        <v>0</v>
      </c>
      <c r="W63" s="119"/>
      <c r="X63" s="113">
        <f t="shared" si="1"/>
        <v>1411.2487999575328</v>
      </c>
      <c r="Y63" s="113">
        <f t="shared" si="2"/>
        <v>1795.1726601975492</v>
      </c>
      <c r="Z63" s="113">
        <f t="shared" si="3"/>
        <v>2162.1086912834917</v>
      </c>
      <c r="AA63" s="22"/>
      <c r="AB63" s="22"/>
      <c r="AC63" s="22"/>
      <c r="AD63" s="22"/>
      <c r="AE63" s="22"/>
      <c r="AF63" s="22"/>
      <c r="AG63" s="22"/>
      <c r="AH63" s="22"/>
      <c r="AI63" s="22"/>
      <c r="AJ63" s="22"/>
      <c r="AK63" s="22"/>
      <c r="AL63" s="22"/>
      <c r="AM63" s="22"/>
      <c r="AN63" s="22"/>
      <c r="AO63" s="22"/>
      <c r="AP63" s="22"/>
      <c r="AQ63" s="22"/>
      <c r="AR63" s="22"/>
    </row>
    <row r="64" spans="1:44" hidden="1" x14ac:dyDescent="0.25">
      <c r="A64" s="16"/>
      <c r="B64" s="3" t="s">
        <v>93</v>
      </c>
      <c r="C64" s="3" t="s">
        <v>53</v>
      </c>
      <c r="D64" s="11" t="s">
        <v>243</v>
      </c>
      <c r="E64" s="107">
        <v>992.11788000000001</v>
      </c>
      <c r="F64" s="108">
        <v>1309.5482399999999</v>
      </c>
      <c r="G64" s="109">
        <v>1618.0444799999998</v>
      </c>
      <c r="H64" s="114"/>
      <c r="I64" s="113">
        <v>119.66172146692098</v>
      </c>
      <c r="J64" s="114">
        <v>169.04390786223635</v>
      </c>
      <c r="K64" s="109">
        <v>185.04114246951804</v>
      </c>
      <c r="L64" s="114"/>
      <c r="M64" s="113">
        <v>299.29031999999995</v>
      </c>
      <c r="N64" s="114">
        <v>306.14409000000001</v>
      </c>
      <c r="O64" s="109">
        <v>335.90697</v>
      </c>
      <c r="P64" s="119"/>
      <c r="Q64" s="120">
        <v>0.08</v>
      </c>
      <c r="R64" s="120">
        <v>0.05</v>
      </c>
      <c r="S64" s="120">
        <v>0.03</v>
      </c>
      <c r="T64" s="120">
        <v>1.4999999999999999E-2</v>
      </c>
      <c r="U64" s="120">
        <v>0.02</v>
      </c>
      <c r="V64" s="121">
        <f t="shared" si="4"/>
        <v>0</v>
      </c>
      <c r="W64" s="119"/>
      <c r="X64" s="113">
        <f t="shared" si="1"/>
        <v>1411.0699214669207</v>
      </c>
      <c r="Y64" s="113">
        <f t="shared" si="2"/>
        <v>1784.7362378622363</v>
      </c>
      <c r="Z64" s="113">
        <f t="shared" si="3"/>
        <v>2138.9925924695181</v>
      </c>
      <c r="AA64" s="22"/>
      <c r="AB64" s="22"/>
      <c r="AC64" s="22"/>
      <c r="AD64" s="22"/>
      <c r="AE64" s="22"/>
      <c r="AF64" s="22"/>
      <c r="AG64" s="22"/>
      <c r="AH64" s="22"/>
      <c r="AI64" s="22"/>
      <c r="AJ64" s="22"/>
      <c r="AK64" s="22"/>
      <c r="AL64" s="22"/>
      <c r="AM64" s="22"/>
      <c r="AN64" s="22"/>
      <c r="AO64" s="22"/>
      <c r="AP64" s="22"/>
      <c r="AQ64" s="22"/>
      <c r="AR64" s="22"/>
    </row>
    <row r="65" spans="1:44" hidden="1" x14ac:dyDescent="0.25">
      <c r="A65" s="16"/>
      <c r="B65" s="3" t="s">
        <v>94</v>
      </c>
      <c r="C65" s="3" t="s">
        <v>95</v>
      </c>
      <c r="D65" s="11" t="s">
        <v>243</v>
      </c>
      <c r="E65" s="107">
        <v>1238.407190612879</v>
      </c>
      <c r="F65" s="108">
        <v>1562.4988876432124</v>
      </c>
      <c r="G65" s="109">
        <v>2039.9940576452013</v>
      </c>
      <c r="H65" s="114"/>
      <c r="I65" s="113">
        <v>86.703040603366276</v>
      </c>
      <c r="J65" s="114">
        <v>122.48378702443145</v>
      </c>
      <c r="K65" s="109">
        <v>134.07486949168594</v>
      </c>
      <c r="L65" s="114"/>
      <c r="M65" s="113">
        <v>246.72161794097559</v>
      </c>
      <c r="N65" s="114">
        <v>252.37156085725607</v>
      </c>
      <c r="O65" s="109">
        <v>276.90675433823168</v>
      </c>
      <c r="P65" s="119"/>
      <c r="Q65" s="120">
        <v>0.08</v>
      </c>
      <c r="R65" s="120">
        <v>0.05</v>
      </c>
      <c r="S65" s="120">
        <v>0.03</v>
      </c>
      <c r="T65" s="120">
        <v>1.4999999999999999E-2</v>
      </c>
      <c r="U65" s="120">
        <v>0.02</v>
      </c>
      <c r="V65" s="121">
        <f t="shared" si="4"/>
        <v>0</v>
      </c>
      <c r="W65" s="119"/>
      <c r="X65" s="113">
        <f t="shared" si="1"/>
        <v>1571.8318491572209</v>
      </c>
      <c r="Y65" s="113">
        <f t="shared" si="2"/>
        <v>1937.3542355248999</v>
      </c>
      <c r="Z65" s="113">
        <f t="shared" si="3"/>
        <v>2450.975681475119</v>
      </c>
      <c r="AA65" s="22"/>
      <c r="AB65" s="22"/>
      <c r="AC65" s="22"/>
      <c r="AD65" s="22"/>
      <c r="AE65" s="22"/>
      <c r="AF65" s="22"/>
      <c r="AG65" s="22"/>
      <c r="AH65" s="22"/>
      <c r="AI65" s="22"/>
      <c r="AJ65" s="22"/>
      <c r="AK65" s="22"/>
      <c r="AL65" s="22"/>
      <c r="AM65" s="22"/>
      <c r="AN65" s="22"/>
      <c r="AO65" s="22"/>
      <c r="AP65" s="22"/>
      <c r="AQ65" s="22"/>
      <c r="AR65" s="22"/>
    </row>
    <row r="66" spans="1:44" hidden="1" x14ac:dyDescent="0.25">
      <c r="A66" s="16"/>
      <c r="B66" s="3" t="s">
        <v>94</v>
      </c>
      <c r="C66" s="3" t="s">
        <v>96</v>
      </c>
      <c r="D66" s="11" t="s">
        <v>243</v>
      </c>
      <c r="E66" s="107">
        <v>1238.407190612879</v>
      </c>
      <c r="F66" s="108">
        <v>1562.4988876432124</v>
      </c>
      <c r="G66" s="109">
        <v>2039.9940576452013</v>
      </c>
      <c r="H66" s="114"/>
      <c r="I66" s="113">
        <v>86.703040603366276</v>
      </c>
      <c r="J66" s="114">
        <v>122.48378702443145</v>
      </c>
      <c r="K66" s="109">
        <v>134.07486949168594</v>
      </c>
      <c r="L66" s="114"/>
      <c r="M66" s="113">
        <v>246.72161794097559</v>
      </c>
      <c r="N66" s="114">
        <v>252.37156085725607</v>
      </c>
      <c r="O66" s="109">
        <v>276.90675433823168</v>
      </c>
      <c r="P66" s="119"/>
      <c r="Q66" s="120">
        <v>0.08</v>
      </c>
      <c r="R66" s="120">
        <v>0.05</v>
      </c>
      <c r="S66" s="120">
        <v>0.03</v>
      </c>
      <c r="T66" s="120">
        <v>1.4999999999999999E-2</v>
      </c>
      <c r="U66" s="120">
        <v>0.02</v>
      </c>
      <c r="V66" s="121">
        <f t="shared" si="4"/>
        <v>0</v>
      </c>
      <c r="W66" s="119"/>
      <c r="X66" s="113">
        <f t="shared" si="1"/>
        <v>1571.8318491572209</v>
      </c>
      <c r="Y66" s="113">
        <f t="shared" si="2"/>
        <v>1937.3542355248999</v>
      </c>
      <c r="Z66" s="113">
        <f t="shared" si="3"/>
        <v>2450.975681475119</v>
      </c>
      <c r="AA66" s="22"/>
      <c r="AB66" s="22"/>
      <c r="AC66" s="22"/>
      <c r="AD66" s="22"/>
      <c r="AE66" s="22"/>
      <c r="AF66" s="22"/>
      <c r="AG66" s="22"/>
      <c r="AH66" s="22"/>
      <c r="AI66" s="22"/>
      <c r="AJ66" s="22"/>
      <c r="AK66" s="22"/>
      <c r="AL66" s="22"/>
      <c r="AM66" s="22"/>
      <c r="AN66" s="22"/>
      <c r="AO66" s="22"/>
      <c r="AP66" s="22"/>
      <c r="AQ66" s="22"/>
      <c r="AR66" s="22"/>
    </row>
    <row r="67" spans="1:44" hidden="1" x14ac:dyDescent="0.25">
      <c r="A67" s="16"/>
      <c r="B67" s="3" t="s">
        <v>94</v>
      </c>
      <c r="C67" s="3" t="s">
        <v>97</v>
      </c>
      <c r="D67" s="11" t="s">
        <v>243</v>
      </c>
      <c r="E67" s="107">
        <v>1238.407190612879</v>
      </c>
      <c r="F67" s="108">
        <v>1562.4988876432124</v>
      </c>
      <c r="G67" s="109">
        <v>2039.9940576452013</v>
      </c>
      <c r="H67" s="114"/>
      <c r="I67" s="113">
        <v>86.703040603366276</v>
      </c>
      <c r="J67" s="114">
        <v>122.48378702443145</v>
      </c>
      <c r="K67" s="109">
        <v>134.07486949168594</v>
      </c>
      <c r="L67" s="114"/>
      <c r="M67" s="113">
        <v>246.72161794097559</v>
      </c>
      <c r="N67" s="114">
        <v>252.37156085725607</v>
      </c>
      <c r="O67" s="109">
        <v>276.90675433823168</v>
      </c>
      <c r="P67" s="119"/>
      <c r="Q67" s="120">
        <v>0.08</v>
      </c>
      <c r="R67" s="120">
        <v>0.05</v>
      </c>
      <c r="S67" s="120">
        <v>0.03</v>
      </c>
      <c r="T67" s="120">
        <v>1.4999999999999999E-2</v>
      </c>
      <c r="U67" s="120">
        <v>0.02</v>
      </c>
      <c r="V67" s="121">
        <f t="shared" si="4"/>
        <v>0</v>
      </c>
      <c r="W67" s="119"/>
      <c r="X67" s="113">
        <f t="shared" si="1"/>
        <v>1571.8318491572209</v>
      </c>
      <c r="Y67" s="113">
        <f t="shared" si="2"/>
        <v>1937.3542355248999</v>
      </c>
      <c r="Z67" s="113">
        <f t="shared" si="3"/>
        <v>2450.975681475119</v>
      </c>
      <c r="AA67" s="22"/>
      <c r="AB67" s="22"/>
      <c r="AC67" s="22"/>
      <c r="AD67" s="22"/>
      <c r="AE67" s="22"/>
      <c r="AF67" s="22"/>
      <c r="AG67" s="22"/>
      <c r="AH67" s="22"/>
      <c r="AI67" s="22"/>
      <c r="AJ67" s="22"/>
      <c r="AK67" s="22"/>
      <c r="AL67" s="22"/>
      <c r="AM67" s="22"/>
      <c r="AN67" s="22"/>
      <c r="AO67" s="22"/>
      <c r="AP67" s="22"/>
      <c r="AQ67" s="22"/>
      <c r="AR67" s="22"/>
    </row>
    <row r="68" spans="1:44" hidden="1" x14ac:dyDescent="0.25">
      <c r="A68" s="16"/>
      <c r="B68" s="3" t="s">
        <v>94</v>
      </c>
      <c r="C68" s="3" t="s">
        <v>98</v>
      </c>
      <c r="D68" s="11" t="s">
        <v>243</v>
      </c>
      <c r="E68" s="110">
        <v>1238.407190612879</v>
      </c>
      <c r="F68" s="111">
        <v>1562.4988876432124</v>
      </c>
      <c r="G68" s="112">
        <v>2039.9940576452013</v>
      </c>
      <c r="H68" s="114"/>
      <c r="I68" s="113">
        <v>86.703040603366276</v>
      </c>
      <c r="J68" s="114">
        <v>122.48378702443145</v>
      </c>
      <c r="K68" s="109">
        <v>134.07486949168594</v>
      </c>
      <c r="L68" s="114"/>
      <c r="M68" s="113">
        <v>246.72161794097559</v>
      </c>
      <c r="N68" s="114">
        <v>252.37156085725607</v>
      </c>
      <c r="O68" s="109">
        <v>276.90675433823168</v>
      </c>
      <c r="P68" s="119"/>
      <c r="Q68" s="120">
        <v>0.08</v>
      </c>
      <c r="R68" s="120">
        <v>0.05</v>
      </c>
      <c r="S68" s="120">
        <v>0.03</v>
      </c>
      <c r="T68" s="120">
        <v>1.4999999999999999E-2</v>
      </c>
      <c r="U68" s="120">
        <v>0.02</v>
      </c>
      <c r="V68" s="121">
        <f t="shared" si="4"/>
        <v>0</v>
      </c>
      <c r="W68" s="119"/>
      <c r="X68" s="113">
        <f t="shared" si="1"/>
        <v>1571.8318491572209</v>
      </c>
      <c r="Y68" s="113">
        <f t="shared" si="2"/>
        <v>1937.3542355248999</v>
      </c>
      <c r="Z68" s="113">
        <f t="shared" si="3"/>
        <v>2450.975681475119</v>
      </c>
      <c r="AA68" s="22"/>
      <c r="AB68" s="22"/>
      <c r="AC68" s="22"/>
      <c r="AD68" s="22"/>
      <c r="AE68" s="22"/>
      <c r="AF68" s="22"/>
      <c r="AG68" s="22"/>
      <c r="AH68" s="22"/>
      <c r="AI68" s="22"/>
      <c r="AJ68" s="22"/>
      <c r="AK68" s="22"/>
      <c r="AL68" s="22"/>
      <c r="AM68" s="22"/>
      <c r="AN68" s="22"/>
      <c r="AO68" s="22"/>
      <c r="AP68" s="22"/>
      <c r="AQ68" s="22"/>
      <c r="AR68" s="22"/>
    </row>
    <row r="69" spans="1:44" hidden="1" x14ac:dyDescent="0.25">
      <c r="A69" s="16"/>
      <c r="B69" s="3" t="s">
        <v>99</v>
      </c>
      <c r="C69" s="3" t="s">
        <v>100</v>
      </c>
      <c r="D69" s="11" t="s">
        <v>243</v>
      </c>
      <c r="E69" s="110">
        <v>1425.1535999999999</v>
      </c>
      <c r="F69" s="111">
        <v>1884.5611200000001</v>
      </c>
      <c r="G69" s="112">
        <v>2331.26712</v>
      </c>
      <c r="H69" s="114"/>
      <c r="I69" s="113">
        <v>251.7552245853658</v>
      </c>
      <c r="J69" s="114">
        <v>283.07029170731704</v>
      </c>
      <c r="K69" s="109">
        <v>339.70855960975609</v>
      </c>
      <c r="L69" s="114"/>
      <c r="M69" s="113">
        <v>390.0563765853658</v>
      </c>
      <c r="N69" s="114">
        <v>398.98869585365844</v>
      </c>
      <c r="O69" s="109">
        <v>437.77779243902438</v>
      </c>
      <c r="P69" s="119"/>
      <c r="Q69" s="120">
        <v>0.08</v>
      </c>
      <c r="R69" s="120">
        <v>0.05</v>
      </c>
      <c r="S69" s="120">
        <v>0.03</v>
      </c>
      <c r="T69" s="120">
        <v>1.4999999999999999E-2</v>
      </c>
      <c r="U69" s="120">
        <v>0.02</v>
      </c>
      <c r="V69" s="121">
        <f t="shared" si="4"/>
        <v>0</v>
      </c>
      <c r="W69" s="119"/>
      <c r="X69" s="113">
        <f t="shared" si="1"/>
        <v>2066.9652011707312</v>
      </c>
      <c r="Y69" s="113">
        <f t="shared" si="2"/>
        <v>2566.6201075609756</v>
      </c>
      <c r="Z69" s="113">
        <f t="shared" si="3"/>
        <v>3108.7534720487806</v>
      </c>
      <c r="AA69" s="22"/>
      <c r="AB69" s="22"/>
      <c r="AC69" s="22"/>
      <c r="AD69" s="22"/>
      <c r="AE69" s="22"/>
      <c r="AF69" s="22"/>
      <c r="AG69" s="22"/>
      <c r="AH69" s="22"/>
      <c r="AI69" s="22"/>
      <c r="AJ69" s="22"/>
      <c r="AK69" s="22"/>
      <c r="AL69" s="22"/>
      <c r="AM69" s="22"/>
      <c r="AN69" s="22"/>
      <c r="AO69" s="22"/>
      <c r="AP69" s="22"/>
      <c r="AQ69" s="22"/>
      <c r="AR69" s="22"/>
    </row>
    <row r="70" spans="1:44" hidden="1" x14ac:dyDescent="0.25">
      <c r="A70" s="16"/>
      <c r="B70" s="3" t="s">
        <v>244</v>
      </c>
      <c r="C70" s="3" t="s">
        <v>245</v>
      </c>
      <c r="D70" s="11" t="s">
        <v>19</v>
      </c>
      <c r="E70" s="110">
        <v>1636.8799999999999</v>
      </c>
      <c r="F70" s="111">
        <v>1916.6</v>
      </c>
      <c r="G70" s="112">
        <v>2853.44</v>
      </c>
      <c r="H70" s="114"/>
      <c r="I70" s="113">
        <v>107.39999999999999</v>
      </c>
      <c r="J70" s="114">
        <v>151.72200000000001</v>
      </c>
      <c r="K70" s="109">
        <v>166.08</v>
      </c>
      <c r="L70" s="114"/>
      <c r="M70" s="113">
        <v>301.58388479999996</v>
      </c>
      <c r="N70" s="114">
        <v>308.49017759999998</v>
      </c>
      <c r="O70" s="109">
        <v>338.48114079999999</v>
      </c>
      <c r="P70" s="119"/>
      <c r="Q70" s="120">
        <v>0.08</v>
      </c>
      <c r="R70" s="120">
        <v>0.05</v>
      </c>
      <c r="S70" s="120">
        <v>0.03</v>
      </c>
      <c r="T70" s="120">
        <v>1.4999999999999999E-2</v>
      </c>
      <c r="U70" s="120">
        <v>0.02</v>
      </c>
      <c r="V70" s="121">
        <f t="shared" ref="V70:V73" si="5">SUBTOTAL(9,Q70:U70)</f>
        <v>0</v>
      </c>
      <c r="W70" s="119"/>
      <c r="X70" s="113">
        <f t="shared" ref="X70:X73" si="6">(E70+I70+M70)*(1+V70)</f>
        <v>2045.8638848000001</v>
      </c>
      <c r="Y70" s="113">
        <f t="shared" ref="Y70:Y73" si="7">(F70+J70+N70)*(1+V70)</f>
        <v>2376.8121776000003</v>
      </c>
      <c r="Z70" s="113">
        <f t="shared" ref="Z70:Z73" si="8">(G70+K70+O70)*(1+V70)</f>
        <v>3358.0011408</v>
      </c>
      <c r="AA70" s="22"/>
      <c r="AB70" s="22"/>
      <c r="AC70" s="22"/>
      <c r="AD70" s="22"/>
      <c r="AE70" s="22"/>
      <c r="AF70" s="22"/>
      <c r="AG70" s="22"/>
      <c r="AH70" s="22"/>
      <c r="AI70" s="22"/>
      <c r="AJ70" s="22"/>
      <c r="AK70" s="22"/>
      <c r="AL70" s="22"/>
      <c r="AM70" s="22"/>
      <c r="AN70" s="22"/>
      <c r="AO70" s="22"/>
      <c r="AP70" s="22"/>
      <c r="AQ70" s="22"/>
      <c r="AR70" s="22"/>
    </row>
    <row r="71" spans="1:44" hidden="1" x14ac:dyDescent="0.25">
      <c r="A71" s="16"/>
      <c r="B71" s="3" t="s">
        <v>244</v>
      </c>
      <c r="C71" s="3" t="s">
        <v>246</v>
      </c>
      <c r="D71" s="11" t="s">
        <v>19</v>
      </c>
      <c r="E71" s="110">
        <f t="shared" ref="E71:G72" si="9">E$25*0.58</f>
        <v>1059.3222675285926</v>
      </c>
      <c r="F71" s="111">
        <f t="shared" si="9"/>
        <v>1402.1562008950771</v>
      </c>
      <c r="G71" s="112">
        <f t="shared" si="9"/>
        <v>1735.486036797613</v>
      </c>
      <c r="H71" s="114"/>
      <c r="I71" s="113">
        <v>103.82</v>
      </c>
      <c r="J71" s="114">
        <v>146.66459999999998</v>
      </c>
      <c r="K71" s="109">
        <v>160.54399999999998</v>
      </c>
      <c r="L71" s="114"/>
      <c r="M71" s="113">
        <v>292.31974364326396</v>
      </c>
      <c r="N71" s="114">
        <v>299.01388693994619</v>
      </c>
      <c r="O71" s="109">
        <v>328.08357904253489</v>
      </c>
      <c r="P71" s="119"/>
      <c r="Q71" s="120">
        <v>0.08</v>
      </c>
      <c r="R71" s="120">
        <v>0.05</v>
      </c>
      <c r="S71" s="120">
        <v>0.03</v>
      </c>
      <c r="T71" s="120">
        <v>1.4999999999999999E-2</v>
      </c>
      <c r="U71" s="120">
        <v>0.02</v>
      </c>
      <c r="V71" s="121">
        <f t="shared" si="5"/>
        <v>0</v>
      </c>
      <c r="W71" s="119"/>
      <c r="X71" s="113">
        <f t="shared" si="6"/>
        <v>1455.4620111718566</v>
      </c>
      <c r="Y71" s="113">
        <f t="shared" si="7"/>
        <v>1847.8346878350233</v>
      </c>
      <c r="Z71" s="113">
        <f t="shared" si="8"/>
        <v>2224.1136158401478</v>
      </c>
      <c r="AA71" s="22"/>
      <c r="AB71" s="22"/>
      <c r="AC71" s="22"/>
      <c r="AD71" s="22"/>
      <c r="AE71" s="22"/>
      <c r="AF71" s="22"/>
      <c r="AG71" s="22"/>
      <c r="AH71" s="22"/>
      <c r="AI71" s="22"/>
      <c r="AJ71" s="22"/>
      <c r="AK71" s="22"/>
      <c r="AL71" s="22"/>
      <c r="AM71" s="22"/>
      <c r="AN71" s="22"/>
      <c r="AO71" s="22"/>
      <c r="AP71" s="22"/>
      <c r="AQ71" s="22"/>
      <c r="AR71" s="22"/>
    </row>
    <row r="72" spans="1:44" hidden="1" x14ac:dyDescent="0.25">
      <c r="A72" s="16"/>
      <c r="B72" s="3" t="s">
        <v>244</v>
      </c>
      <c r="C72" s="3" t="s">
        <v>247</v>
      </c>
      <c r="D72" s="11" t="s">
        <v>19</v>
      </c>
      <c r="E72" s="110">
        <f t="shared" si="9"/>
        <v>1059.3222675285926</v>
      </c>
      <c r="F72" s="111">
        <f t="shared" si="9"/>
        <v>1402.1562008950771</v>
      </c>
      <c r="G72" s="112">
        <f t="shared" si="9"/>
        <v>1735.486036797613</v>
      </c>
      <c r="H72" s="114"/>
      <c r="I72" s="113">
        <v>103.82</v>
      </c>
      <c r="J72" s="114">
        <v>146.66459999999998</v>
      </c>
      <c r="K72" s="109">
        <v>160.54399999999998</v>
      </c>
      <c r="L72" s="114"/>
      <c r="M72" s="113">
        <v>292.31974364326396</v>
      </c>
      <c r="N72" s="114">
        <v>299.01388693994619</v>
      </c>
      <c r="O72" s="109">
        <v>328.08357904253489</v>
      </c>
      <c r="P72" s="119"/>
      <c r="Q72" s="120">
        <v>0.08</v>
      </c>
      <c r="R72" s="120">
        <v>0.05</v>
      </c>
      <c r="S72" s="120">
        <v>0.03</v>
      </c>
      <c r="T72" s="120">
        <v>1.4999999999999999E-2</v>
      </c>
      <c r="U72" s="120">
        <v>0.02</v>
      </c>
      <c r="V72" s="121">
        <f t="shared" si="5"/>
        <v>0</v>
      </c>
      <c r="W72" s="119"/>
      <c r="X72" s="113">
        <f t="shared" si="6"/>
        <v>1455.4620111718566</v>
      </c>
      <c r="Y72" s="113">
        <f t="shared" si="7"/>
        <v>1847.8346878350233</v>
      </c>
      <c r="Z72" s="113">
        <f t="shared" si="8"/>
        <v>2224.1136158401478</v>
      </c>
      <c r="AA72" s="22"/>
      <c r="AB72" s="22"/>
      <c r="AC72" s="22"/>
      <c r="AD72" s="22"/>
      <c r="AE72" s="22"/>
      <c r="AF72" s="22"/>
      <c r="AG72" s="22"/>
      <c r="AH72" s="22"/>
      <c r="AI72" s="22"/>
      <c r="AJ72" s="22"/>
      <c r="AK72" s="22"/>
      <c r="AL72" s="22"/>
      <c r="AM72" s="22"/>
      <c r="AN72" s="22"/>
      <c r="AO72" s="22"/>
      <c r="AP72" s="22"/>
      <c r="AQ72" s="22"/>
      <c r="AR72" s="22"/>
    </row>
    <row r="73" spans="1:44" hidden="1" x14ac:dyDescent="0.25">
      <c r="A73" s="16"/>
      <c r="B73" s="3" t="s">
        <v>244</v>
      </c>
      <c r="C73" s="3" t="s">
        <v>248</v>
      </c>
      <c r="D73" s="11" t="s">
        <v>19</v>
      </c>
      <c r="E73" s="110">
        <f t="shared" ref="E73:G73" si="10">E$25*0.59</f>
        <v>1077.5864445549478</v>
      </c>
      <c r="F73" s="111">
        <f t="shared" si="10"/>
        <v>1426.3313078070612</v>
      </c>
      <c r="G73" s="112">
        <f t="shared" si="10"/>
        <v>1765.4082098458478</v>
      </c>
      <c r="H73" s="114"/>
      <c r="I73" s="113">
        <v>105.61</v>
      </c>
      <c r="J73" s="114">
        <v>149.19329999999999</v>
      </c>
      <c r="K73" s="109">
        <v>163.31200000000001</v>
      </c>
      <c r="L73" s="114"/>
      <c r="M73" s="113">
        <v>297.35973922332028</v>
      </c>
      <c r="N73" s="114">
        <v>304.16929878373844</v>
      </c>
      <c r="O73" s="109">
        <v>333.74019247430272</v>
      </c>
      <c r="P73" s="119"/>
      <c r="Q73" s="120">
        <v>0.08</v>
      </c>
      <c r="R73" s="120">
        <v>0.05</v>
      </c>
      <c r="S73" s="120">
        <v>0.03</v>
      </c>
      <c r="T73" s="120">
        <v>1.4999999999999999E-2</v>
      </c>
      <c r="U73" s="120">
        <v>0.02</v>
      </c>
      <c r="V73" s="121">
        <f t="shared" si="5"/>
        <v>0</v>
      </c>
      <c r="W73" s="119"/>
      <c r="X73" s="113">
        <f t="shared" si="6"/>
        <v>1480.556183778268</v>
      </c>
      <c r="Y73" s="113">
        <f t="shared" si="7"/>
        <v>1879.6939065907995</v>
      </c>
      <c r="Z73" s="113">
        <f t="shared" si="8"/>
        <v>2262.4604023201505</v>
      </c>
      <c r="AA73" s="22"/>
      <c r="AB73" s="22"/>
      <c r="AC73" s="22"/>
      <c r="AD73" s="22"/>
      <c r="AE73" s="22"/>
      <c r="AF73" s="22"/>
      <c r="AG73" s="22"/>
      <c r="AH73" s="22"/>
      <c r="AI73" s="22"/>
      <c r="AJ73" s="22"/>
      <c r="AK73" s="22"/>
      <c r="AL73" s="22"/>
      <c r="AM73" s="22"/>
      <c r="AN73" s="22"/>
      <c r="AO73" s="22"/>
      <c r="AP73" s="22"/>
      <c r="AQ73" s="22"/>
      <c r="AR73" s="22"/>
    </row>
    <row r="74" spans="1:44" hidden="1" x14ac:dyDescent="0.25">
      <c r="A74" s="16"/>
      <c r="B74" s="3" t="s">
        <v>101</v>
      </c>
      <c r="C74" s="3" t="s">
        <v>102</v>
      </c>
      <c r="D74" s="11" t="s">
        <v>6</v>
      </c>
      <c r="E74" s="110">
        <v>941.60585280954751</v>
      </c>
      <c r="F74" s="111">
        <v>1144.7536797613127</v>
      </c>
      <c r="G74" s="112">
        <v>1626.1950452511189</v>
      </c>
      <c r="H74" s="114"/>
      <c r="I74" s="113">
        <v>125.37815278388499</v>
      </c>
      <c r="J74" s="114">
        <v>140.97356009477596</v>
      </c>
      <c r="K74" s="109">
        <v>169.18032886464798</v>
      </c>
      <c r="L74" s="114"/>
      <c r="M74" s="113">
        <v>197.95443474710518</v>
      </c>
      <c r="N74" s="114">
        <v>202.48760563695106</v>
      </c>
      <c r="O74" s="109">
        <v>222.17315405978655</v>
      </c>
      <c r="P74" s="119"/>
      <c r="Q74" s="120">
        <v>0.05</v>
      </c>
      <c r="R74" s="120">
        <v>0.08</v>
      </c>
      <c r="S74" s="120">
        <v>0.08</v>
      </c>
      <c r="T74" s="120">
        <v>1.2E-2</v>
      </c>
      <c r="U74" s="120">
        <v>0.02</v>
      </c>
      <c r="V74" s="121">
        <f>SUBTOTAL(9,Q74:U74)</f>
        <v>0</v>
      </c>
      <c r="W74" s="119"/>
      <c r="X74" s="113">
        <f t="shared" si="1"/>
        <v>1264.9384403405377</v>
      </c>
      <c r="Y74" s="113">
        <f t="shared" si="2"/>
        <v>1488.2148454930395</v>
      </c>
      <c r="Z74" s="113">
        <f t="shared" si="3"/>
        <v>2017.5485281755534</v>
      </c>
      <c r="AA74" s="22"/>
      <c r="AB74" s="22"/>
      <c r="AC74" s="22"/>
      <c r="AD74" s="22"/>
      <c r="AE74" s="22"/>
      <c r="AF74" s="22"/>
      <c r="AG74" s="22"/>
      <c r="AH74" s="22"/>
      <c r="AI74" s="22"/>
      <c r="AJ74" s="22"/>
      <c r="AK74" s="22"/>
      <c r="AL74" s="22"/>
      <c r="AM74" s="22"/>
      <c r="AN74" s="22"/>
      <c r="AO74" s="22"/>
      <c r="AP74" s="22"/>
      <c r="AQ74" s="22"/>
      <c r="AR74" s="22"/>
    </row>
    <row r="75" spans="1:44" hidden="1" x14ac:dyDescent="0.25">
      <c r="A75" s="16"/>
      <c r="B75" s="3" t="s">
        <v>103</v>
      </c>
      <c r="C75" s="3" t="s">
        <v>104</v>
      </c>
      <c r="D75" s="11" t="s">
        <v>6</v>
      </c>
      <c r="E75" s="110">
        <v>1140.8467165589259</v>
      </c>
      <c r="F75" s="111">
        <v>1500.9848264545003</v>
      </c>
      <c r="G75" s="112">
        <v>1928.0522078567878</v>
      </c>
      <c r="H75" s="114"/>
      <c r="I75" s="113">
        <v>131.04994797730845</v>
      </c>
      <c r="J75" s="114">
        <v>147.3508526516664</v>
      </c>
      <c r="K75" s="109">
        <v>176.83362535028294</v>
      </c>
      <c r="L75" s="114"/>
      <c r="M75" s="113">
        <v>207.8762664341792</v>
      </c>
      <c r="N75" s="114">
        <v>212.6366479881118</v>
      </c>
      <c r="O75" s="109">
        <v>233.3088714423435</v>
      </c>
      <c r="P75" s="119"/>
      <c r="Q75" s="120" t="s">
        <v>249</v>
      </c>
      <c r="R75" s="120">
        <v>0.05</v>
      </c>
      <c r="S75" s="120">
        <v>0.09</v>
      </c>
      <c r="T75" s="120">
        <v>7.0000000000000007E-2</v>
      </c>
      <c r="U75" s="120">
        <v>0.05</v>
      </c>
      <c r="V75" s="121">
        <f t="shared" ref="V75:V90" si="11">SUBTOTAL(9,Q75:U75)</f>
        <v>0</v>
      </c>
      <c r="W75" s="119"/>
      <c r="X75" s="113">
        <f t="shared" ref="X75:X138" si="12">(E75+I75+M75)*(1+V75)</f>
        <v>1479.7729309704134</v>
      </c>
      <c r="Y75" s="113">
        <f t="shared" ref="Y75:Y138" si="13">(F75+J75+N75)*(1+V75)</f>
        <v>1860.9723270942786</v>
      </c>
      <c r="Z75" s="113">
        <f t="shared" ref="Z75:Z138" si="14">(G75+K75+O75)*(1+V75)</f>
        <v>2338.1947046494142</v>
      </c>
      <c r="AA75" s="22"/>
      <c r="AB75" s="22"/>
      <c r="AC75" s="22"/>
      <c r="AD75" s="22"/>
      <c r="AE75" s="22"/>
      <c r="AF75" s="22"/>
      <c r="AG75" s="22"/>
      <c r="AH75" s="22"/>
      <c r="AI75" s="22"/>
      <c r="AJ75" s="22"/>
      <c r="AK75" s="22"/>
      <c r="AL75" s="22"/>
      <c r="AM75" s="22"/>
      <c r="AN75" s="22"/>
      <c r="AO75" s="22"/>
      <c r="AP75" s="22"/>
      <c r="AQ75" s="22"/>
      <c r="AR75" s="22"/>
    </row>
    <row r="76" spans="1:44" hidden="1" x14ac:dyDescent="0.25">
      <c r="A76" s="16"/>
      <c r="B76" s="3" t="s">
        <v>105</v>
      </c>
      <c r="C76" s="3" t="s">
        <v>106</v>
      </c>
      <c r="D76" s="11" t="s">
        <v>6</v>
      </c>
      <c r="E76" s="110">
        <v>1150.2660094480357</v>
      </c>
      <c r="F76" s="111">
        <v>1432.9167821979115</v>
      </c>
      <c r="G76" s="112">
        <v>1944.1945887618099</v>
      </c>
      <c r="H76" s="114"/>
      <c r="I76" s="113">
        <v>123.54046960344567</v>
      </c>
      <c r="J76" s="114">
        <v>138.90729308955559</v>
      </c>
      <c r="K76" s="109">
        <v>166.70063174108566</v>
      </c>
      <c r="L76" s="114"/>
      <c r="M76" s="113">
        <v>191.40714165729227</v>
      </c>
      <c r="N76" s="114">
        <v>195.79037906128349</v>
      </c>
      <c r="O76" s="109">
        <v>214.82483292630991</v>
      </c>
      <c r="P76" s="119"/>
      <c r="Q76" s="120">
        <v>0.05</v>
      </c>
      <c r="R76" s="120">
        <v>0.02</v>
      </c>
      <c r="S76" s="120">
        <v>0.04</v>
      </c>
      <c r="T76" s="120">
        <v>0.03</v>
      </c>
      <c r="U76" s="120">
        <v>0.02</v>
      </c>
      <c r="V76" s="121">
        <f t="shared" si="11"/>
        <v>0</v>
      </c>
      <c r="W76" s="119"/>
      <c r="X76" s="113">
        <f t="shared" si="12"/>
        <v>1465.2136207087735</v>
      </c>
      <c r="Y76" s="113">
        <f t="shared" si="13"/>
        <v>1767.6144543487508</v>
      </c>
      <c r="Z76" s="113">
        <f t="shared" si="14"/>
        <v>2325.7200534292051</v>
      </c>
      <c r="AA76" s="22"/>
      <c r="AB76" s="22"/>
      <c r="AC76" s="22"/>
      <c r="AD76" s="22"/>
      <c r="AE76" s="22"/>
      <c r="AF76" s="22"/>
      <c r="AG76" s="22"/>
      <c r="AH76" s="22"/>
      <c r="AI76" s="22"/>
      <c r="AJ76" s="22"/>
      <c r="AK76" s="22"/>
      <c r="AL76" s="22"/>
      <c r="AM76" s="22"/>
      <c r="AN76" s="22"/>
      <c r="AO76" s="22"/>
      <c r="AP76" s="22"/>
      <c r="AQ76" s="22"/>
      <c r="AR76" s="22"/>
    </row>
    <row r="77" spans="1:44" hidden="1" x14ac:dyDescent="0.25">
      <c r="A77" s="16"/>
      <c r="B77" s="3" t="s">
        <v>107</v>
      </c>
      <c r="C77" s="3" t="s">
        <v>108</v>
      </c>
      <c r="D77" s="11" t="s">
        <v>6</v>
      </c>
      <c r="E77" s="107">
        <v>967.29903033316759</v>
      </c>
      <c r="F77" s="108">
        <v>967.29903033316759</v>
      </c>
      <c r="G77" s="109">
        <v>967.29903033316759</v>
      </c>
      <c r="H77" s="114"/>
      <c r="I77" s="113">
        <v>138.80265842994473</v>
      </c>
      <c r="J77" s="114">
        <v>156.06789919147312</v>
      </c>
      <c r="K77" s="109">
        <v>187.29482672266414</v>
      </c>
      <c r="L77" s="114"/>
      <c r="M77" s="113">
        <v>215.05357871626691</v>
      </c>
      <c r="N77" s="114">
        <v>219.97832124117778</v>
      </c>
      <c r="O77" s="109">
        <v>241.36429141523087</v>
      </c>
      <c r="P77" s="119"/>
      <c r="Q77" s="120">
        <v>4.4999999999999998E-2</v>
      </c>
      <c r="R77" s="120">
        <v>5.0000000000000001E-3</v>
      </c>
      <c r="S77" s="120">
        <v>7.0000000000000007E-2</v>
      </c>
      <c r="T77" s="120">
        <v>0.03</v>
      </c>
      <c r="U77" s="120">
        <v>0</v>
      </c>
      <c r="V77" s="121">
        <f t="shared" si="11"/>
        <v>0</v>
      </c>
      <c r="W77" s="119"/>
      <c r="X77" s="113">
        <f t="shared" si="12"/>
        <v>1321.1552674793793</v>
      </c>
      <c r="Y77" s="113">
        <f t="shared" si="13"/>
        <v>1343.3452507658185</v>
      </c>
      <c r="Z77" s="113">
        <f t="shared" si="14"/>
        <v>1395.9581484710625</v>
      </c>
      <c r="AA77" s="22"/>
      <c r="AB77" s="22"/>
      <c r="AC77" s="22"/>
      <c r="AD77" s="22"/>
      <c r="AE77" s="22"/>
      <c r="AF77" s="22"/>
      <c r="AG77" s="22"/>
      <c r="AH77" s="22"/>
      <c r="AI77" s="22"/>
      <c r="AJ77" s="22"/>
      <c r="AK77" s="22"/>
      <c r="AL77" s="22"/>
      <c r="AM77" s="22"/>
      <c r="AN77" s="22"/>
      <c r="AO77" s="22"/>
      <c r="AP77" s="22"/>
      <c r="AQ77" s="22"/>
      <c r="AR77" s="22"/>
    </row>
    <row r="78" spans="1:44" hidden="1" x14ac:dyDescent="0.25">
      <c r="A78" s="16"/>
      <c r="B78" s="3" t="s">
        <v>109</v>
      </c>
      <c r="C78" s="3" t="s">
        <v>110</v>
      </c>
      <c r="D78" s="11" t="s">
        <v>6</v>
      </c>
      <c r="E78" s="107">
        <v>1058.3843013426156</v>
      </c>
      <c r="F78" s="108">
        <v>1058.3843013426156</v>
      </c>
      <c r="G78" s="109">
        <v>1058.3843013426156</v>
      </c>
      <c r="H78" s="114"/>
      <c r="I78" s="113">
        <v>151.86638353239104</v>
      </c>
      <c r="J78" s="114">
        <v>170.7565813494069</v>
      </c>
      <c r="K78" s="109">
        <v>204.92250156039151</v>
      </c>
      <c r="L78" s="114"/>
      <c r="M78" s="113">
        <v>235.29383107472259</v>
      </c>
      <c r="N78" s="114">
        <v>240.68207684426503</v>
      </c>
      <c r="O78" s="109">
        <v>264.08083581186963</v>
      </c>
      <c r="P78" s="119"/>
      <c r="Q78" s="120">
        <v>4.4999999999999998E-2</v>
      </c>
      <c r="R78" s="120">
        <v>5.0000000000000001E-3</v>
      </c>
      <c r="S78" s="120">
        <v>7.0000000000000007E-2</v>
      </c>
      <c r="T78" s="120">
        <v>0.03</v>
      </c>
      <c r="U78" s="120" t="s">
        <v>250</v>
      </c>
      <c r="V78" s="121">
        <f t="shared" si="11"/>
        <v>0</v>
      </c>
      <c r="W78" s="119"/>
      <c r="X78" s="113">
        <f t="shared" si="12"/>
        <v>1445.5445159497292</v>
      </c>
      <c r="Y78" s="113">
        <f t="shared" si="13"/>
        <v>1469.8229595362875</v>
      </c>
      <c r="Z78" s="113">
        <f t="shared" si="14"/>
        <v>1527.3876387148766</v>
      </c>
      <c r="AA78" s="22"/>
      <c r="AB78" s="22"/>
      <c r="AC78" s="22"/>
      <c r="AD78" s="22"/>
      <c r="AE78" s="22"/>
      <c r="AF78" s="22"/>
      <c r="AG78" s="22"/>
      <c r="AH78" s="22"/>
      <c r="AI78" s="22"/>
      <c r="AJ78" s="22"/>
      <c r="AK78" s="22"/>
      <c r="AL78" s="22"/>
      <c r="AM78" s="22"/>
      <c r="AN78" s="22"/>
      <c r="AO78" s="22"/>
      <c r="AP78" s="22"/>
      <c r="AQ78" s="22"/>
      <c r="AR78" s="22"/>
    </row>
    <row r="79" spans="1:44" hidden="1" x14ac:dyDescent="0.25">
      <c r="A79" s="16"/>
      <c r="B79" s="3" t="s">
        <v>111</v>
      </c>
      <c r="C79" s="3" t="s">
        <v>112</v>
      </c>
      <c r="D79" s="11" t="s">
        <v>6</v>
      </c>
      <c r="E79" s="107">
        <v>649.62988761810038</v>
      </c>
      <c r="F79" s="108">
        <v>927.69384584783677</v>
      </c>
      <c r="G79" s="109">
        <v>1298.2303838886126</v>
      </c>
      <c r="H79" s="114"/>
      <c r="I79" s="113">
        <v>72.430533049535782</v>
      </c>
      <c r="J79" s="114">
        <v>81.439946887363902</v>
      </c>
      <c r="K79" s="109">
        <v>97.734901408893748</v>
      </c>
      <c r="L79" s="114"/>
      <c r="M79" s="113">
        <v>114.8919859837106</v>
      </c>
      <c r="N79" s="114">
        <v>117.52302078221518</v>
      </c>
      <c r="O79" s="109">
        <v>128.94843671880432</v>
      </c>
      <c r="P79" s="119"/>
      <c r="Q79" s="120">
        <v>3.1E-2</v>
      </c>
      <c r="R79" s="120">
        <v>5.3999999999999999E-2</v>
      </c>
      <c r="S79" s="120">
        <v>8.5999999999999993E-2</v>
      </c>
      <c r="T79" s="120">
        <v>1.6E-2</v>
      </c>
      <c r="U79" s="120">
        <v>5.0000000000000001E-3</v>
      </c>
      <c r="V79" s="121">
        <f t="shared" si="11"/>
        <v>0</v>
      </c>
      <c r="W79" s="119"/>
      <c r="X79" s="113">
        <f t="shared" si="12"/>
        <v>836.95240665134679</v>
      </c>
      <c r="Y79" s="113">
        <f t="shared" si="13"/>
        <v>1126.6568135174159</v>
      </c>
      <c r="Z79" s="113">
        <f t="shared" si="14"/>
        <v>1524.9137220163107</v>
      </c>
      <c r="AA79" s="22"/>
      <c r="AB79" s="22"/>
      <c r="AC79" s="22"/>
      <c r="AD79" s="22"/>
      <c r="AE79" s="22"/>
      <c r="AF79" s="22"/>
      <c r="AG79" s="22"/>
      <c r="AH79" s="22"/>
      <c r="AI79" s="22"/>
      <c r="AJ79" s="22"/>
      <c r="AK79" s="22"/>
      <c r="AL79" s="22"/>
      <c r="AM79" s="22"/>
      <c r="AN79" s="22"/>
      <c r="AO79" s="22"/>
      <c r="AP79" s="22"/>
      <c r="AQ79" s="22"/>
      <c r="AR79" s="22"/>
    </row>
    <row r="80" spans="1:44" hidden="1" x14ac:dyDescent="0.25">
      <c r="A80" s="16"/>
      <c r="B80" s="3" t="s">
        <v>113</v>
      </c>
      <c r="C80" s="3" t="s">
        <v>114</v>
      </c>
      <c r="D80" s="11" t="s">
        <v>6</v>
      </c>
      <c r="E80" s="107">
        <v>1495.7273301093981</v>
      </c>
      <c r="F80" s="108">
        <v>1887.1598188612627</v>
      </c>
      <c r="G80" s="109">
        <v>2463.8704364843366</v>
      </c>
      <c r="H80" s="114"/>
      <c r="I80" s="113">
        <v>193.25034913170728</v>
      </c>
      <c r="J80" s="114">
        <v>217.28817263414632</v>
      </c>
      <c r="K80" s="109">
        <v>260.76439071219511</v>
      </c>
      <c r="L80" s="114"/>
      <c r="M80" s="113">
        <v>299.41198273170727</v>
      </c>
      <c r="N80" s="114">
        <v>306.26853881707314</v>
      </c>
      <c r="O80" s="109">
        <v>336.04351754878047</v>
      </c>
      <c r="P80" s="119"/>
      <c r="Q80" s="120"/>
      <c r="R80" s="120"/>
      <c r="S80" s="120"/>
      <c r="T80" s="120"/>
      <c r="U80" s="120"/>
      <c r="V80" s="121">
        <v>0.24</v>
      </c>
      <c r="W80" s="119"/>
      <c r="X80" s="113">
        <f t="shared" si="12"/>
        <v>2465.6031808462876</v>
      </c>
      <c r="Y80" s="113">
        <f t="shared" si="13"/>
        <v>2989.2884975874777</v>
      </c>
      <c r="Z80" s="113">
        <f t="shared" si="14"/>
        <v>3795.241147484187</v>
      </c>
      <c r="AA80" s="22"/>
      <c r="AB80" s="22"/>
      <c r="AC80" s="22"/>
      <c r="AD80" s="22"/>
      <c r="AE80" s="22"/>
      <c r="AF80" s="22"/>
      <c r="AG80" s="22"/>
      <c r="AH80" s="22"/>
      <c r="AI80" s="22"/>
      <c r="AJ80" s="22"/>
      <c r="AK80" s="22"/>
      <c r="AL80" s="22"/>
      <c r="AM80" s="22"/>
      <c r="AN80" s="22"/>
      <c r="AO80" s="22"/>
      <c r="AP80" s="22"/>
      <c r="AQ80" s="22"/>
      <c r="AR80" s="22"/>
    </row>
    <row r="81" spans="1:44" hidden="1" x14ac:dyDescent="0.25">
      <c r="A81" s="16"/>
      <c r="B81" s="3" t="s">
        <v>115</v>
      </c>
      <c r="C81" s="3" t="s">
        <v>116</v>
      </c>
      <c r="D81" s="11" t="s">
        <v>6</v>
      </c>
      <c r="E81" s="107">
        <v>1158.1098498259571</v>
      </c>
      <c r="F81" s="108">
        <v>1385.1916737941322</v>
      </c>
      <c r="G81" s="109">
        <v>2090.2599801093984</v>
      </c>
      <c r="H81" s="114"/>
      <c r="I81" s="113">
        <v>118.91077488683567</v>
      </c>
      <c r="J81" s="114">
        <v>133.7017247201006</v>
      </c>
      <c r="K81" s="109">
        <v>160.4535044919779</v>
      </c>
      <c r="L81" s="114"/>
      <c r="M81" s="113">
        <v>182.4795240177676</v>
      </c>
      <c r="N81" s="114">
        <v>186.65831833135331</v>
      </c>
      <c r="O81" s="109">
        <v>204.80496662855833</v>
      </c>
      <c r="P81" s="119"/>
      <c r="Q81" s="120">
        <v>0.05</v>
      </c>
      <c r="R81" s="120">
        <v>0.02</v>
      </c>
      <c r="S81" s="120">
        <v>0.04</v>
      </c>
      <c r="T81" s="120">
        <v>0.03</v>
      </c>
      <c r="U81" s="120">
        <v>0.02</v>
      </c>
      <c r="V81" s="121">
        <f t="shared" si="11"/>
        <v>0</v>
      </c>
      <c r="W81" s="119"/>
      <c r="X81" s="113">
        <f t="shared" si="12"/>
        <v>1459.5001487305603</v>
      </c>
      <c r="Y81" s="113">
        <f t="shared" si="13"/>
        <v>1705.551716845586</v>
      </c>
      <c r="Z81" s="113">
        <f t="shared" si="14"/>
        <v>2455.5184512299347</v>
      </c>
      <c r="AA81" s="22"/>
      <c r="AB81" s="22"/>
      <c r="AC81" s="22"/>
      <c r="AD81" s="22"/>
      <c r="AE81" s="22"/>
      <c r="AF81" s="22"/>
      <c r="AG81" s="22"/>
      <c r="AH81" s="22"/>
      <c r="AI81" s="22"/>
      <c r="AJ81" s="22"/>
      <c r="AK81" s="22"/>
      <c r="AL81" s="22"/>
      <c r="AM81" s="22"/>
      <c r="AN81" s="22"/>
      <c r="AO81" s="22"/>
      <c r="AP81" s="22"/>
      <c r="AQ81" s="22"/>
      <c r="AR81" s="22"/>
    </row>
    <row r="82" spans="1:44" hidden="1" x14ac:dyDescent="0.25">
      <c r="A82" s="16"/>
      <c r="B82" s="3" t="s">
        <v>117</v>
      </c>
      <c r="C82" s="3" t="s">
        <v>118</v>
      </c>
      <c r="D82" s="11" t="s">
        <v>6</v>
      </c>
      <c r="E82" s="107">
        <v>1373.9820823097959</v>
      </c>
      <c r="F82" s="108">
        <v>1733.5537870934857</v>
      </c>
      <c r="G82" s="109">
        <v>2263.3228428170064</v>
      </c>
      <c r="H82" s="114"/>
      <c r="I82" s="113">
        <v>177.52066955121947</v>
      </c>
      <c r="J82" s="114">
        <v>199.6019260243902</v>
      </c>
      <c r="K82" s="109">
        <v>239.5393821658536</v>
      </c>
      <c r="L82" s="114"/>
      <c r="M82" s="113">
        <v>275.04123995121955</v>
      </c>
      <c r="N82" s="114">
        <v>281.33970426219514</v>
      </c>
      <c r="O82" s="109">
        <v>308.69113821341466</v>
      </c>
      <c r="P82" s="119"/>
      <c r="Q82" s="120">
        <v>0.04</v>
      </c>
      <c r="R82" s="120">
        <v>0.04</v>
      </c>
      <c r="S82" s="120">
        <v>0.08</v>
      </c>
      <c r="T82" s="120">
        <v>5.0000000000000001E-3</v>
      </c>
      <c r="U82" s="120">
        <v>0.02</v>
      </c>
      <c r="V82" s="121">
        <f t="shared" si="11"/>
        <v>0</v>
      </c>
      <c r="W82" s="119"/>
      <c r="X82" s="113">
        <f t="shared" si="12"/>
        <v>1826.5439918122349</v>
      </c>
      <c r="Y82" s="113">
        <f t="shared" si="13"/>
        <v>2214.4954173800711</v>
      </c>
      <c r="Z82" s="113">
        <f t="shared" si="14"/>
        <v>2811.5533631962744</v>
      </c>
      <c r="AA82" s="22"/>
      <c r="AB82" s="22"/>
      <c r="AC82" s="22"/>
      <c r="AD82" s="22"/>
      <c r="AE82" s="22"/>
      <c r="AF82" s="22"/>
      <c r="AG82" s="22"/>
      <c r="AH82" s="22"/>
      <c r="AI82" s="22"/>
      <c r="AJ82" s="22"/>
      <c r="AK82" s="22"/>
      <c r="AL82" s="22"/>
      <c r="AM82" s="22"/>
      <c r="AN82" s="22"/>
      <c r="AO82" s="22"/>
      <c r="AP82" s="22"/>
      <c r="AQ82" s="22"/>
      <c r="AR82" s="22"/>
    </row>
    <row r="83" spans="1:44" hidden="1" x14ac:dyDescent="0.25">
      <c r="A83" s="21"/>
      <c r="B83" s="3" t="s">
        <v>119</v>
      </c>
      <c r="C83" s="3" t="s">
        <v>120</v>
      </c>
      <c r="D83" s="11" t="s">
        <v>6</v>
      </c>
      <c r="E83" s="107">
        <v>1460.942973595226</v>
      </c>
      <c r="F83" s="108">
        <v>1843.2723812133265</v>
      </c>
      <c r="G83" s="109">
        <v>2406.5711240079563</v>
      </c>
      <c r="H83" s="114"/>
      <c r="I83" s="113">
        <v>188.75615496585368</v>
      </c>
      <c r="J83" s="114">
        <v>212.23495931707322</v>
      </c>
      <c r="K83" s="109">
        <v>254.70010255609756</v>
      </c>
      <c r="L83" s="114"/>
      <c r="M83" s="113">
        <v>292.44891336585368</v>
      </c>
      <c r="N83" s="114">
        <v>299.14601465853656</v>
      </c>
      <c r="O83" s="109">
        <v>328.2285520243903</v>
      </c>
      <c r="P83" s="119"/>
      <c r="Q83" s="120">
        <v>0.1</v>
      </c>
      <c r="R83" s="120">
        <v>0.04</v>
      </c>
      <c r="S83" s="120">
        <v>0.03</v>
      </c>
      <c r="T83" s="120">
        <v>0.02</v>
      </c>
      <c r="U83" s="120" t="s">
        <v>250</v>
      </c>
      <c r="V83" s="121">
        <f t="shared" si="11"/>
        <v>0</v>
      </c>
      <c r="W83" s="119"/>
      <c r="X83" s="113">
        <f t="shared" si="12"/>
        <v>1942.1480419269335</v>
      </c>
      <c r="Y83" s="113">
        <f t="shared" si="13"/>
        <v>2354.6533551889361</v>
      </c>
      <c r="Z83" s="113">
        <f t="shared" si="14"/>
        <v>2989.4997785884443</v>
      </c>
      <c r="AA83" s="22"/>
      <c r="AB83" s="22"/>
      <c r="AC83" s="22"/>
      <c r="AD83" s="22"/>
      <c r="AE83" s="22"/>
      <c r="AF83" s="22"/>
      <c r="AG83" s="22"/>
      <c r="AH83" s="22"/>
      <c r="AI83" s="22"/>
      <c r="AJ83" s="22"/>
      <c r="AK83" s="22"/>
      <c r="AL83" s="22"/>
      <c r="AM83" s="22"/>
      <c r="AN83" s="22"/>
      <c r="AO83" s="22"/>
      <c r="AP83" s="22"/>
      <c r="AQ83" s="22"/>
      <c r="AR83" s="22"/>
    </row>
    <row r="84" spans="1:44" hidden="1" x14ac:dyDescent="0.25">
      <c r="A84" s="21"/>
      <c r="B84" s="3" t="s">
        <v>122</v>
      </c>
      <c r="C84" s="3" t="s">
        <v>124</v>
      </c>
      <c r="D84" s="11" t="s">
        <v>6</v>
      </c>
      <c r="E84" s="107">
        <v>1228.1855862754851</v>
      </c>
      <c r="F84" s="108">
        <v>1438.0752113376432</v>
      </c>
      <c r="G84" s="109">
        <v>1726.6877851815018</v>
      </c>
      <c r="H84" s="114"/>
      <c r="I84" s="113">
        <v>174.86181152863549</v>
      </c>
      <c r="J84" s="114">
        <v>196.61234073454858</v>
      </c>
      <c r="K84" s="109">
        <v>235.95162413403338</v>
      </c>
      <c r="L84" s="114"/>
      <c r="M84" s="113">
        <v>277.37226213003811</v>
      </c>
      <c r="N84" s="114">
        <v>283.72410701770104</v>
      </c>
      <c r="O84" s="109">
        <v>311.30734911221612</v>
      </c>
      <c r="P84" s="119"/>
      <c r="Q84" s="120">
        <v>0.12</v>
      </c>
      <c r="R84" s="120">
        <v>0.06</v>
      </c>
      <c r="S84" s="120">
        <v>0.05</v>
      </c>
      <c r="T84" s="120">
        <v>0.03</v>
      </c>
      <c r="U84" s="120" t="s">
        <v>250</v>
      </c>
      <c r="V84" s="121">
        <f t="shared" si="11"/>
        <v>0</v>
      </c>
      <c r="W84" s="119"/>
      <c r="X84" s="113">
        <f t="shared" si="12"/>
        <v>1680.4196599341585</v>
      </c>
      <c r="Y84" s="113">
        <f t="shared" si="13"/>
        <v>1918.4116590898927</v>
      </c>
      <c r="Z84" s="113">
        <f t="shared" si="14"/>
        <v>2273.9467584277513</v>
      </c>
      <c r="AA84" s="22"/>
      <c r="AB84" s="22"/>
      <c r="AC84" s="22"/>
      <c r="AD84" s="22"/>
      <c r="AE84" s="22"/>
      <c r="AF84" s="22"/>
      <c r="AG84" s="22"/>
      <c r="AH84" s="22"/>
      <c r="AI84" s="22"/>
      <c r="AJ84" s="22"/>
      <c r="AK84" s="22"/>
      <c r="AL84" s="22"/>
      <c r="AM84" s="22"/>
      <c r="AN84" s="22"/>
      <c r="AO84" s="22"/>
      <c r="AP84" s="22"/>
      <c r="AQ84" s="22"/>
      <c r="AR84" s="22"/>
    </row>
    <row r="85" spans="1:44" hidden="1" x14ac:dyDescent="0.25">
      <c r="A85" s="21"/>
      <c r="B85" s="3" t="s">
        <v>129</v>
      </c>
      <c r="C85" s="3" t="s">
        <v>130</v>
      </c>
      <c r="D85" s="11" t="s">
        <v>6</v>
      </c>
      <c r="E85" s="107">
        <v>1264.8225022376928</v>
      </c>
      <c r="F85" s="108">
        <v>1580.0541183490802</v>
      </c>
      <c r="G85" s="109">
        <v>2164.7676340129287</v>
      </c>
      <c r="H85" s="114"/>
      <c r="I85" s="113">
        <v>136.96513067479896</v>
      </c>
      <c r="J85" s="114">
        <v>154.00180694442611</v>
      </c>
      <c r="K85" s="109">
        <v>184.81533932385605</v>
      </c>
      <c r="L85" s="114"/>
      <c r="M85" s="113">
        <v>210.18559399982186</v>
      </c>
      <c r="N85" s="114">
        <v>214.99885932222904</v>
      </c>
      <c r="O85" s="109">
        <v>235.90073350227414</v>
      </c>
      <c r="P85" s="119"/>
      <c r="Q85" s="120">
        <v>0.05</v>
      </c>
      <c r="R85" s="120">
        <v>0.02</v>
      </c>
      <c r="S85" s="120">
        <v>0.04</v>
      </c>
      <c r="T85" s="120">
        <v>0.03</v>
      </c>
      <c r="U85" s="120">
        <v>0.02</v>
      </c>
      <c r="V85" s="121">
        <f t="shared" si="11"/>
        <v>0</v>
      </c>
      <c r="W85" s="119"/>
      <c r="X85" s="113">
        <f t="shared" si="12"/>
        <v>1611.9732269123135</v>
      </c>
      <c r="Y85" s="113">
        <f t="shared" si="13"/>
        <v>1949.0547846157353</v>
      </c>
      <c r="Z85" s="113">
        <f t="shared" si="14"/>
        <v>2585.4837068390589</v>
      </c>
      <c r="AA85" s="22"/>
      <c r="AB85" s="22"/>
      <c r="AC85" s="22"/>
      <c r="AD85" s="22"/>
      <c r="AE85" s="22"/>
      <c r="AF85" s="22"/>
      <c r="AG85" s="22"/>
      <c r="AH85" s="22"/>
      <c r="AI85" s="22"/>
      <c r="AJ85" s="22"/>
      <c r="AK85" s="22"/>
      <c r="AL85" s="22"/>
      <c r="AM85" s="22"/>
      <c r="AN85" s="22"/>
      <c r="AO85" s="22"/>
      <c r="AP85" s="22"/>
      <c r="AQ85" s="22"/>
      <c r="AR85" s="22"/>
    </row>
    <row r="86" spans="1:44" hidden="1" x14ac:dyDescent="0.25">
      <c r="A86" s="21"/>
      <c r="B86" s="3" t="s">
        <v>131</v>
      </c>
      <c r="C86" s="3" t="s">
        <v>132</v>
      </c>
      <c r="D86" s="11" t="s">
        <v>6</v>
      </c>
      <c r="E86" s="107">
        <v>1024.0751564395823</v>
      </c>
      <c r="F86" s="108">
        <v>1231.2371560815516</v>
      </c>
      <c r="G86" s="109">
        <v>1475.2084022476381</v>
      </c>
      <c r="H86" s="114"/>
      <c r="I86" s="113">
        <v>139.40606408737656</v>
      </c>
      <c r="J86" s="114">
        <v>156.74636064445144</v>
      </c>
      <c r="K86" s="109">
        <v>188.10903849159229</v>
      </c>
      <c r="L86" s="114"/>
      <c r="M86" s="113">
        <v>215.9884638799675</v>
      </c>
      <c r="N86" s="114">
        <v>220.93461534282338</v>
      </c>
      <c r="O86" s="109">
        <v>242.41355502869033</v>
      </c>
      <c r="P86" s="119"/>
      <c r="Q86" s="120">
        <v>0.06</v>
      </c>
      <c r="R86" s="120">
        <v>0.04</v>
      </c>
      <c r="S86" s="120">
        <v>7.0000000000000007E-2</v>
      </c>
      <c r="T86" s="120">
        <v>0.03</v>
      </c>
      <c r="U86" s="120">
        <v>0.03</v>
      </c>
      <c r="V86" s="121">
        <f t="shared" si="11"/>
        <v>0</v>
      </c>
      <c r="W86" s="119"/>
      <c r="X86" s="113">
        <f t="shared" si="12"/>
        <v>1379.4696844069263</v>
      </c>
      <c r="Y86" s="113">
        <f t="shared" si="13"/>
        <v>1608.9181320688265</v>
      </c>
      <c r="Z86" s="113">
        <f t="shared" si="14"/>
        <v>1905.7309957679206</v>
      </c>
      <c r="AA86" s="22"/>
      <c r="AB86" s="22"/>
      <c r="AC86" s="22"/>
      <c r="AD86" s="22"/>
      <c r="AE86" s="22"/>
      <c r="AF86" s="22"/>
      <c r="AG86" s="22"/>
      <c r="AH86" s="22"/>
      <c r="AI86" s="22"/>
      <c r="AJ86" s="22"/>
      <c r="AK86" s="22"/>
      <c r="AL86" s="22"/>
      <c r="AM86" s="22"/>
      <c r="AN86" s="22"/>
      <c r="AO86" s="22"/>
      <c r="AP86" s="22"/>
      <c r="AQ86" s="22"/>
      <c r="AR86" s="22"/>
    </row>
    <row r="87" spans="1:44" hidden="1" x14ac:dyDescent="0.25">
      <c r="A87" s="21"/>
      <c r="B87" s="3" t="s">
        <v>133</v>
      </c>
      <c r="C87" s="3" t="s">
        <v>134</v>
      </c>
      <c r="D87" s="11" t="s">
        <v>6</v>
      </c>
      <c r="E87" s="107">
        <v>1355.8854838388861</v>
      </c>
      <c r="F87" s="108">
        <v>1678.3695967180511</v>
      </c>
      <c r="G87" s="109">
        <v>2447.6861884634513</v>
      </c>
      <c r="H87" s="114"/>
      <c r="I87" s="113">
        <v>165.3925315891527</v>
      </c>
      <c r="J87" s="114">
        <v>185.96520584730916</v>
      </c>
      <c r="K87" s="109">
        <v>223.17415167410238</v>
      </c>
      <c r="L87" s="114"/>
      <c r="M87" s="113">
        <v>261.13149998754506</v>
      </c>
      <c r="N87" s="114">
        <v>267.11143024613017</v>
      </c>
      <c r="O87" s="109">
        <v>293.07961223861599</v>
      </c>
      <c r="P87" s="119"/>
      <c r="Q87" s="120">
        <v>3.3000000000000002E-2</v>
      </c>
      <c r="R87" s="120">
        <v>1.4999999999999999E-2</v>
      </c>
      <c r="S87" s="120">
        <v>2.5000000000000001E-2</v>
      </c>
      <c r="T87" s="120" t="s">
        <v>251</v>
      </c>
      <c r="U87" s="120">
        <v>1.7999999999999999E-2</v>
      </c>
      <c r="V87" s="121">
        <f>SUBTOTAL(9,Q87:U87)</f>
        <v>0</v>
      </c>
      <c r="W87" s="119"/>
      <c r="X87" s="113">
        <f t="shared" si="12"/>
        <v>1782.4095154155839</v>
      </c>
      <c r="Y87" s="113">
        <f t="shared" si="13"/>
        <v>2131.4462328114905</v>
      </c>
      <c r="Z87" s="113">
        <f t="shared" si="14"/>
        <v>2963.9399523761695</v>
      </c>
      <c r="AA87" s="22"/>
      <c r="AB87" s="22"/>
      <c r="AC87" s="22"/>
      <c r="AD87" s="22"/>
      <c r="AE87" s="22"/>
      <c r="AF87" s="22"/>
      <c r="AG87" s="22"/>
      <c r="AH87" s="22"/>
      <c r="AI87" s="22"/>
      <c r="AJ87" s="22"/>
      <c r="AK87" s="22"/>
      <c r="AL87" s="22"/>
      <c r="AM87" s="22"/>
      <c r="AN87" s="22"/>
      <c r="AO87" s="22"/>
      <c r="AP87" s="22"/>
      <c r="AQ87" s="22"/>
      <c r="AR87" s="22"/>
    </row>
    <row r="88" spans="1:44" x14ac:dyDescent="0.25">
      <c r="A88" s="21"/>
      <c r="B88" s="3" t="s">
        <v>135</v>
      </c>
      <c r="C88" s="3" t="s">
        <v>136</v>
      </c>
      <c r="D88" s="11" t="s">
        <v>6</v>
      </c>
      <c r="E88" s="107">
        <v>1170.9677274987569</v>
      </c>
      <c r="F88" s="108">
        <v>1170.9677274987569</v>
      </c>
      <c r="G88" s="109">
        <v>1170.9677274987569</v>
      </c>
      <c r="H88" s="114"/>
      <c r="I88" s="113">
        <v>168.02930280093949</v>
      </c>
      <c r="J88" s="114">
        <v>188.92995701509614</v>
      </c>
      <c r="K88" s="109">
        <v>226.73210663552098</v>
      </c>
      <c r="L88" s="114"/>
      <c r="M88" s="113">
        <v>269.26161206158048</v>
      </c>
      <c r="N88" s="114">
        <v>275.427722475373</v>
      </c>
      <c r="O88" s="109">
        <v>302.20440221695429</v>
      </c>
      <c r="P88" s="119"/>
      <c r="Q88" s="120">
        <v>0.05</v>
      </c>
      <c r="R88" s="120">
        <v>0.02</v>
      </c>
      <c r="S88" s="120">
        <v>0.05</v>
      </c>
      <c r="T88" s="120">
        <v>0.02</v>
      </c>
      <c r="U88" s="120">
        <v>0.03</v>
      </c>
      <c r="V88" s="121">
        <f t="shared" si="11"/>
        <v>0.17</v>
      </c>
      <c r="W88" s="119"/>
      <c r="X88" s="113">
        <f t="shared" si="12"/>
        <v>1881.6626115626937</v>
      </c>
      <c r="Y88" s="113">
        <f t="shared" si="13"/>
        <v>1913.3307261773941</v>
      </c>
      <c r="Z88" s="113">
        <f t="shared" si="14"/>
        <v>1988.8879565309414</v>
      </c>
      <c r="AA88" s="22"/>
      <c r="AB88" s="22"/>
      <c r="AC88" s="22"/>
      <c r="AD88" s="22"/>
      <c r="AE88" s="22"/>
      <c r="AF88" s="22"/>
      <c r="AG88" s="22"/>
      <c r="AH88" s="22"/>
      <c r="AI88" s="22"/>
      <c r="AJ88" s="22"/>
      <c r="AK88" s="22"/>
      <c r="AL88" s="22"/>
      <c r="AM88" s="22"/>
      <c r="AN88" s="22"/>
      <c r="AO88" s="22"/>
      <c r="AP88" s="22"/>
      <c r="AQ88" s="22"/>
      <c r="AR88" s="22"/>
    </row>
    <row r="89" spans="1:44" hidden="1" x14ac:dyDescent="0.25">
      <c r="A89" s="16"/>
      <c r="B89" s="3" t="s">
        <v>137</v>
      </c>
      <c r="C89" s="3" t="s">
        <v>138</v>
      </c>
      <c r="D89" s="11" t="s">
        <v>6</v>
      </c>
      <c r="E89" s="107">
        <v>858.10036051715565</v>
      </c>
      <c r="F89" s="108">
        <v>1039.1328677274989</v>
      </c>
      <c r="G89" s="109">
        <v>1443.1224082545996</v>
      </c>
      <c r="H89" s="114"/>
      <c r="I89" s="113">
        <v>109.8902206562995</v>
      </c>
      <c r="J89" s="114">
        <v>123.55913116874527</v>
      </c>
      <c r="K89" s="109">
        <v>148.28152478595968</v>
      </c>
      <c r="L89" s="114"/>
      <c r="M89" s="113">
        <v>174.31192564544222</v>
      </c>
      <c r="N89" s="114">
        <v>178.3036813648753</v>
      </c>
      <c r="O89" s="109">
        <v>195.63810409379693</v>
      </c>
      <c r="P89" s="119"/>
      <c r="Q89" s="120">
        <v>0.05</v>
      </c>
      <c r="R89" s="120">
        <v>0.04</v>
      </c>
      <c r="S89" s="120">
        <v>0.02</v>
      </c>
      <c r="T89" s="120">
        <v>0.01</v>
      </c>
      <c r="U89" s="120">
        <v>0.02</v>
      </c>
      <c r="V89" s="121">
        <f t="shared" si="11"/>
        <v>0</v>
      </c>
      <c r="W89" s="119"/>
      <c r="X89" s="113">
        <f t="shared" si="12"/>
        <v>1142.3025068188974</v>
      </c>
      <c r="Y89" s="113">
        <f t="shared" si="13"/>
        <v>1340.9956802611196</v>
      </c>
      <c r="Z89" s="113">
        <f t="shared" si="14"/>
        <v>1787.0420371343562</v>
      </c>
      <c r="AA89" s="22"/>
      <c r="AB89" s="22"/>
      <c r="AC89" s="22"/>
      <c r="AD89" s="22"/>
      <c r="AE89" s="22"/>
      <c r="AF89" s="22"/>
      <c r="AG89" s="22"/>
      <c r="AH89" s="22"/>
      <c r="AI89" s="22"/>
      <c r="AJ89" s="22"/>
      <c r="AK89" s="22"/>
      <c r="AL89" s="22"/>
      <c r="AM89" s="22"/>
      <c r="AN89" s="22"/>
      <c r="AO89" s="22"/>
      <c r="AP89" s="22"/>
      <c r="AQ89" s="22"/>
      <c r="AR89" s="22"/>
    </row>
    <row r="90" spans="1:44" hidden="1" x14ac:dyDescent="0.25">
      <c r="A90" s="16"/>
      <c r="B90" s="3" t="s">
        <v>139</v>
      </c>
      <c r="C90" s="3" t="s">
        <v>140</v>
      </c>
      <c r="D90" s="11" t="s">
        <v>6</v>
      </c>
      <c r="E90" s="107">
        <v>1012.6319152660368</v>
      </c>
      <c r="F90" s="108">
        <v>1257.4741828940826</v>
      </c>
      <c r="G90" s="109">
        <v>1700.9926338140228</v>
      </c>
      <c r="H90" s="114"/>
      <c r="I90" s="113">
        <v>107.07611904876822</v>
      </c>
      <c r="J90" s="114">
        <v>120.39499201632103</v>
      </c>
      <c r="K90" s="109">
        <v>144.48428719033711</v>
      </c>
      <c r="L90" s="114"/>
      <c r="M90" s="113">
        <v>164.3181558297303</v>
      </c>
      <c r="N90" s="114">
        <v>168.08105349672175</v>
      </c>
      <c r="O90" s="109">
        <v>184.42164731807074</v>
      </c>
      <c r="P90" s="119"/>
      <c r="Q90" s="120">
        <v>0.05</v>
      </c>
      <c r="R90" s="120">
        <v>0.02</v>
      </c>
      <c r="S90" s="120">
        <v>0.04</v>
      </c>
      <c r="T90" s="120">
        <v>0.03</v>
      </c>
      <c r="U90" s="120">
        <v>0.02</v>
      </c>
      <c r="V90" s="121">
        <f t="shared" si="11"/>
        <v>0</v>
      </c>
      <c r="W90" s="119"/>
      <c r="X90" s="113">
        <f t="shared" si="12"/>
        <v>1284.0261901445353</v>
      </c>
      <c r="Y90" s="113">
        <f t="shared" si="13"/>
        <v>1545.9502284071255</v>
      </c>
      <c r="Z90" s="113">
        <f t="shared" si="14"/>
        <v>2029.8985683224307</v>
      </c>
      <c r="AA90" s="22"/>
      <c r="AB90" s="22"/>
      <c r="AC90" s="22"/>
      <c r="AD90" s="22"/>
      <c r="AE90" s="22"/>
      <c r="AF90" s="22"/>
      <c r="AG90" s="22"/>
      <c r="AH90" s="22"/>
      <c r="AI90" s="22"/>
      <c r="AJ90" s="22"/>
      <c r="AK90" s="22"/>
      <c r="AL90" s="22"/>
      <c r="AM90" s="22"/>
      <c r="AN90" s="22"/>
      <c r="AO90" s="22"/>
      <c r="AP90" s="22"/>
      <c r="AQ90" s="22"/>
      <c r="AR90" s="22"/>
    </row>
    <row r="91" spans="1:44" hidden="1" x14ac:dyDescent="0.25">
      <c r="A91" s="16"/>
      <c r="B91" s="3" t="s">
        <v>141</v>
      </c>
      <c r="C91" s="3" t="s">
        <v>141</v>
      </c>
      <c r="D91" s="11" t="s">
        <v>6</v>
      </c>
      <c r="E91" s="107">
        <v>1228.1882645450025</v>
      </c>
      <c r="F91" s="108">
        <v>1659.8113376429637</v>
      </c>
      <c r="G91" s="109">
        <v>1947.8415713575334</v>
      </c>
      <c r="H91" s="114"/>
      <c r="I91" s="113">
        <v>144.84107501839961</v>
      </c>
      <c r="J91" s="114">
        <v>162.85741606429826</v>
      </c>
      <c r="K91" s="109">
        <v>195.44282764286791</v>
      </c>
      <c r="L91" s="114"/>
      <c r="M91" s="113">
        <v>224.40918553111982</v>
      </c>
      <c r="N91" s="114">
        <v>229.54817212954245</v>
      </c>
      <c r="O91" s="109">
        <v>251.86450918935935</v>
      </c>
      <c r="P91" s="119"/>
      <c r="Q91" s="120"/>
      <c r="R91" s="120"/>
      <c r="S91" s="120"/>
      <c r="T91" s="120"/>
      <c r="U91" s="120"/>
      <c r="V91" s="121">
        <v>0.22</v>
      </c>
      <c r="W91" s="119"/>
      <c r="X91" s="113">
        <f t="shared" si="12"/>
        <v>1948.8750006153168</v>
      </c>
      <c r="Y91" s="113">
        <f t="shared" si="13"/>
        <v>2503.7046495209015</v>
      </c>
      <c r="Z91" s="113">
        <f t="shared" si="14"/>
        <v>2922.0816679915079</v>
      </c>
      <c r="AA91" s="22"/>
      <c r="AB91" s="22"/>
      <c r="AC91" s="22"/>
      <c r="AD91" s="22"/>
      <c r="AE91" s="22"/>
      <c r="AF91" s="22"/>
      <c r="AG91" s="22"/>
      <c r="AH91" s="22"/>
      <c r="AI91" s="22"/>
      <c r="AJ91" s="22"/>
      <c r="AK91" s="22"/>
      <c r="AL91" s="22"/>
      <c r="AM91" s="22"/>
      <c r="AN91" s="22"/>
      <c r="AO91" s="22"/>
      <c r="AP91" s="22"/>
      <c r="AQ91" s="22"/>
      <c r="AR91" s="22"/>
    </row>
    <row r="92" spans="1:44" hidden="1" x14ac:dyDescent="0.25">
      <c r="A92" s="16"/>
      <c r="B92" s="3" t="s">
        <v>142</v>
      </c>
      <c r="C92" s="3" t="s">
        <v>143</v>
      </c>
      <c r="D92" s="11" t="s">
        <v>6</v>
      </c>
      <c r="E92" s="107">
        <v>1371.1235742799602</v>
      </c>
      <c r="F92" s="108">
        <v>1729.9472062767777</v>
      </c>
      <c r="G92" s="109">
        <v>2258.6141012667331</v>
      </c>
      <c r="H92" s="114"/>
      <c r="I92" s="113">
        <v>177.1513457689756</v>
      </c>
      <c r="J92" s="114">
        <v>199.18666317951221</v>
      </c>
      <c r="K92" s="109">
        <v>239.04103123668295</v>
      </c>
      <c r="L92" s="114"/>
      <c r="M92" s="113">
        <v>271.8550382485854</v>
      </c>
      <c r="N92" s="114">
        <v>278.08053830985369</v>
      </c>
      <c r="O92" s="109">
        <v>305.11512092110576</v>
      </c>
      <c r="P92" s="119"/>
      <c r="Q92" s="120">
        <v>0.05</v>
      </c>
      <c r="R92" s="120">
        <v>0.02</v>
      </c>
      <c r="S92" s="120">
        <v>0.04</v>
      </c>
      <c r="T92" s="120">
        <v>0.03</v>
      </c>
      <c r="U92" s="120">
        <v>0.02</v>
      </c>
      <c r="V92" s="121">
        <f t="shared" ref="V92:V95" si="15">SUBTOTAL(9,Q92:U92)</f>
        <v>0</v>
      </c>
      <c r="W92" s="119"/>
      <c r="X92" s="113">
        <f t="shared" si="12"/>
        <v>1820.1299582975212</v>
      </c>
      <c r="Y92" s="113">
        <f t="shared" si="13"/>
        <v>2207.2144077661437</v>
      </c>
      <c r="Z92" s="113">
        <f t="shared" si="14"/>
        <v>2802.7702534245218</v>
      </c>
      <c r="AA92" s="22"/>
      <c r="AB92" s="22"/>
      <c r="AC92" s="22"/>
      <c r="AD92" s="22"/>
      <c r="AE92" s="22"/>
      <c r="AF92" s="22"/>
      <c r="AG92" s="22"/>
      <c r="AH92" s="22"/>
      <c r="AI92" s="22"/>
      <c r="AJ92" s="22"/>
      <c r="AK92" s="22"/>
      <c r="AL92" s="22"/>
      <c r="AM92" s="22"/>
      <c r="AN92" s="22"/>
      <c r="AO92" s="22"/>
      <c r="AP92" s="22"/>
      <c r="AQ92" s="22"/>
      <c r="AR92" s="22"/>
    </row>
    <row r="93" spans="1:44" hidden="1" x14ac:dyDescent="0.25">
      <c r="A93" s="16"/>
      <c r="B93" s="3" t="s">
        <v>144</v>
      </c>
      <c r="C93" s="3" t="s">
        <v>145</v>
      </c>
      <c r="D93" s="11" t="s">
        <v>6</v>
      </c>
      <c r="E93" s="107">
        <v>742.82315763301847</v>
      </c>
      <c r="F93" s="108">
        <v>906.49325211337646</v>
      </c>
      <c r="G93" s="109">
        <v>1185.0784733963203</v>
      </c>
      <c r="H93" s="114"/>
      <c r="I93" s="113">
        <v>107.91772440766788</v>
      </c>
      <c r="J93" s="114">
        <v>121.34128210757349</v>
      </c>
      <c r="K93" s="109">
        <v>145.61991623121412</v>
      </c>
      <c r="L93" s="114"/>
      <c r="M93" s="113">
        <v>167.99827778779343</v>
      </c>
      <c r="N93" s="114">
        <v>171.84545051410694</v>
      </c>
      <c r="O93" s="109">
        <v>188.55201349952114</v>
      </c>
      <c r="P93" s="119"/>
      <c r="Q93" s="120">
        <v>0.04</v>
      </c>
      <c r="R93" s="120">
        <v>0.03</v>
      </c>
      <c r="S93" s="120">
        <v>0.06</v>
      </c>
      <c r="T93" s="120">
        <v>2.5000000000000001E-2</v>
      </c>
      <c r="U93" s="120">
        <v>0.02</v>
      </c>
      <c r="V93" s="121">
        <f t="shared" si="15"/>
        <v>0</v>
      </c>
      <c r="W93" s="119"/>
      <c r="X93" s="113">
        <f t="shared" si="12"/>
        <v>1018.7391598284797</v>
      </c>
      <c r="Y93" s="113">
        <f t="shared" si="13"/>
        <v>1199.6799847350569</v>
      </c>
      <c r="Z93" s="113">
        <f t="shared" si="14"/>
        <v>1519.2504031270555</v>
      </c>
      <c r="AA93" s="22"/>
      <c r="AB93" s="22"/>
      <c r="AC93" s="22"/>
      <c r="AD93" s="22"/>
      <c r="AE93" s="22"/>
      <c r="AF93" s="22"/>
      <c r="AG93" s="22"/>
      <c r="AH93" s="22"/>
      <c r="AI93" s="22"/>
      <c r="AJ93" s="22"/>
      <c r="AK93" s="22"/>
      <c r="AL93" s="22"/>
      <c r="AM93" s="22"/>
      <c r="AN93" s="22"/>
      <c r="AO93" s="22"/>
      <c r="AP93" s="22"/>
      <c r="AQ93" s="22"/>
      <c r="AR93" s="22"/>
    </row>
    <row r="94" spans="1:44" hidden="1" x14ac:dyDescent="0.25">
      <c r="A94" s="16"/>
      <c r="B94" s="3" t="s">
        <v>146</v>
      </c>
      <c r="C94" s="3" t="s">
        <v>147</v>
      </c>
      <c r="D94" s="11" t="s">
        <v>6</v>
      </c>
      <c r="E94" s="107">
        <v>1212.2018458478367</v>
      </c>
      <c r="F94" s="108">
        <v>1535.4781294878167</v>
      </c>
      <c r="G94" s="109">
        <v>2170.2963180507209</v>
      </c>
      <c r="H94" s="114"/>
      <c r="I94" s="113">
        <v>138.23363011881614</v>
      </c>
      <c r="J94" s="114">
        <v>155.4280911784073</v>
      </c>
      <c r="K94" s="109">
        <v>186.527002387463</v>
      </c>
      <c r="L94" s="114"/>
      <c r="M94" s="113">
        <v>212.1322231003499</v>
      </c>
      <c r="N94" s="114">
        <v>216.99006637011715</v>
      </c>
      <c r="O94" s="109">
        <v>238.08552278270324</v>
      </c>
      <c r="P94" s="119"/>
      <c r="Q94" s="120">
        <v>0.05</v>
      </c>
      <c r="R94" s="120">
        <v>0.02</v>
      </c>
      <c r="S94" s="120">
        <v>0.04</v>
      </c>
      <c r="T94" s="120">
        <v>0.03</v>
      </c>
      <c r="U94" s="120">
        <v>0.02</v>
      </c>
      <c r="V94" s="121">
        <f t="shared" si="15"/>
        <v>0</v>
      </c>
      <c r="W94" s="119"/>
      <c r="X94" s="113">
        <f t="shared" si="12"/>
        <v>1562.5676990670026</v>
      </c>
      <c r="Y94" s="113">
        <f t="shared" si="13"/>
        <v>1907.8962870363412</v>
      </c>
      <c r="Z94" s="113">
        <f t="shared" si="14"/>
        <v>2594.9088432208873</v>
      </c>
      <c r="AA94" s="22"/>
      <c r="AB94" s="22"/>
      <c r="AC94" s="22"/>
      <c r="AD94" s="22"/>
      <c r="AE94" s="22"/>
      <c r="AF94" s="22"/>
      <c r="AG94" s="22"/>
      <c r="AH94" s="22"/>
      <c r="AI94" s="22"/>
      <c r="AJ94" s="22"/>
      <c r="AK94" s="22"/>
      <c r="AL94" s="22"/>
      <c r="AM94" s="22"/>
      <c r="AN94" s="22"/>
      <c r="AO94" s="22"/>
      <c r="AP94" s="22"/>
      <c r="AQ94" s="22"/>
      <c r="AR94" s="22"/>
    </row>
    <row r="95" spans="1:44" hidden="1" x14ac:dyDescent="0.25">
      <c r="A95" s="16"/>
      <c r="B95" s="3" t="s">
        <v>148</v>
      </c>
      <c r="C95" s="3" t="s">
        <v>149</v>
      </c>
      <c r="D95" s="11" t="s">
        <v>6</v>
      </c>
      <c r="E95" s="113">
        <v>1387.0774526106416</v>
      </c>
      <c r="F95" s="114">
        <v>1750.0762214619592</v>
      </c>
      <c r="G95" s="109">
        <v>2284.8944856489311</v>
      </c>
      <c r="H95" s="114"/>
      <c r="I95" s="113">
        <v>179.21261221463416</v>
      </c>
      <c r="J95" s="114">
        <v>201.50432429268295</v>
      </c>
      <c r="K95" s="109">
        <v>241.82242279024393</v>
      </c>
      <c r="L95" s="114"/>
      <c r="M95" s="113">
        <v>277.66264741463419</v>
      </c>
      <c r="N95" s="114">
        <v>284.02114214634145</v>
      </c>
      <c r="O95" s="109">
        <v>311.63326156097565</v>
      </c>
      <c r="P95" s="119"/>
      <c r="Q95" s="120">
        <v>0.04</v>
      </c>
      <c r="R95" s="120">
        <v>0.04</v>
      </c>
      <c r="S95" s="120">
        <v>0.08</v>
      </c>
      <c r="T95" s="120">
        <v>5.0000000000000001E-3</v>
      </c>
      <c r="U95" s="120">
        <v>0.02</v>
      </c>
      <c r="V95" s="121">
        <f t="shared" si="15"/>
        <v>0</v>
      </c>
      <c r="W95" s="119"/>
      <c r="X95" s="113">
        <f t="shared" si="12"/>
        <v>1843.9527122399099</v>
      </c>
      <c r="Y95" s="113">
        <f t="shared" si="13"/>
        <v>2235.6016879009835</v>
      </c>
      <c r="Z95" s="113">
        <f t="shared" si="14"/>
        <v>2838.3501700001507</v>
      </c>
      <c r="AA95" s="22"/>
      <c r="AB95" s="22"/>
      <c r="AC95" s="22"/>
      <c r="AD95" s="22"/>
      <c r="AE95" s="22"/>
      <c r="AF95" s="22"/>
      <c r="AG95" s="22"/>
      <c r="AH95" s="22"/>
      <c r="AI95" s="22"/>
      <c r="AJ95" s="22"/>
      <c r="AK95" s="22"/>
      <c r="AL95" s="22"/>
      <c r="AM95" s="22"/>
      <c r="AN95" s="22"/>
      <c r="AO95" s="22"/>
      <c r="AP95" s="22"/>
      <c r="AQ95" s="22"/>
      <c r="AR95" s="22"/>
    </row>
    <row r="96" spans="1:44" hidden="1" x14ac:dyDescent="0.25">
      <c r="A96" s="16"/>
      <c r="B96" s="3" t="s">
        <v>150</v>
      </c>
      <c r="C96" s="3" t="s">
        <v>151</v>
      </c>
      <c r="D96" s="11" t="s">
        <v>6</v>
      </c>
      <c r="E96" s="107">
        <v>935.20507608155151</v>
      </c>
      <c r="F96" s="108">
        <v>1167.1389159622076</v>
      </c>
      <c r="G96" s="109">
        <v>1435.5876877175535</v>
      </c>
      <c r="H96" s="114"/>
      <c r="I96" s="113">
        <v>143.86481408589378</v>
      </c>
      <c r="J96" s="114">
        <v>161.75972100195338</v>
      </c>
      <c r="K96" s="109">
        <v>194.12549968778359</v>
      </c>
      <c r="L96" s="114"/>
      <c r="M96" s="113">
        <v>228.20368023802047</v>
      </c>
      <c r="N96" s="114">
        <v>233.42956103999541</v>
      </c>
      <c r="O96" s="109">
        <v>256.12324104435567</v>
      </c>
      <c r="P96" s="119"/>
      <c r="Q96" s="120"/>
      <c r="R96" s="120"/>
      <c r="S96" s="120"/>
      <c r="T96" s="120"/>
      <c r="U96" s="120"/>
      <c r="V96" s="121">
        <v>0.14000000000000001</v>
      </c>
      <c r="W96" s="119"/>
      <c r="X96" s="113">
        <f t="shared" si="12"/>
        <v>1490.2918702622312</v>
      </c>
      <c r="Y96" s="113">
        <f t="shared" si="13"/>
        <v>1781.0541457247386</v>
      </c>
      <c r="Z96" s="113">
        <f t="shared" si="14"/>
        <v>2149.8535284326499</v>
      </c>
      <c r="AA96" s="22"/>
      <c r="AB96" s="22"/>
      <c r="AC96" s="22"/>
      <c r="AD96" s="22"/>
      <c r="AE96" s="22"/>
      <c r="AF96" s="22"/>
      <c r="AG96" s="22"/>
      <c r="AH96" s="22"/>
      <c r="AI96" s="22"/>
      <c r="AJ96" s="22"/>
      <c r="AK96" s="22"/>
      <c r="AL96" s="22"/>
      <c r="AM96" s="22"/>
      <c r="AN96" s="22"/>
      <c r="AO96" s="22"/>
      <c r="AP96" s="22"/>
      <c r="AQ96" s="22"/>
      <c r="AR96" s="22"/>
    </row>
    <row r="97" spans="1:44" hidden="1" x14ac:dyDescent="0.25">
      <c r="A97" s="16"/>
      <c r="B97" s="3" t="s">
        <v>152</v>
      </c>
      <c r="C97" s="3" t="s">
        <v>153</v>
      </c>
      <c r="D97" s="11" t="s">
        <v>6</v>
      </c>
      <c r="E97" s="107">
        <v>840.83376429636996</v>
      </c>
      <c r="F97" s="108">
        <v>1340.9766882148185</v>
      </c>
      <c r="G97" s="109">
        <v>1571.3847120835405</v>
      </c>
      <c r="H97" s="114"/>
      <c r="I97" s="113">
        <v>113.53486315710464</v>
      </c>
      <c r="J97" s="114">
        <v>127.65711967154976</v>
      </c>
      <c r="K97" s="109">
        <v>153.19946146941939</v>
      </c>
      <c r="L97" s="114"/>
      <c r="M97" s="113">
        <v>176.74262113991662</v>
      </c>
      <c r="N97" s="114">
        <v>180.79003996218299</v>
      </c>
      <c r="O97" s="109">
        <v>198.36618283199851</v>
      </c>
      <c r="P97" s="119"/>
      <c r="Q97" s="120">
        <v>0.04</v>
      </c>
      <c r="R97" s="120">
        <v>0.03</v>
      </c>
      <c r="S97" s="120">
        <v>0.06</v>
      </c>
      <c r="T97" s="120">
        <v>0.04</v>
      </c>
      <c r="U97" s="120">
        <v>0.02</v>
      </c>
      <c r="V97" s="121">
        <f t="shared" ref="V97:V104" si="16">SUBTOTAL(9,Q97:U97)</f>
        <v>0</v>
      </c>
      <c r="W97" s="119"/>
      <c r="X97" s="113">
        <f t="shared" si="12"/>
        <v>1131.1112485933911</v>
      </c>
      <c r="Y97" s="113">
        <f t="shared" si="13"/>
        <v>1649.4238478485513</v>
      </c>
      <c r="Z97" s="113">
        <f t="shared" si="14"/>
        <v>1922.9503563849585</v>
      </c>
      <c r="AA97" s="22"/>
      <c r="AB97" s="22"/>
      <c r="AC97" s="22"/>
      <c r="AD97" s="22"/>
      <c r="AE97" s="22"/>
      <c r="AF97" s="22"/>
      <c r="AG97" s="22"/>
      <c r="AH97" s="22"/>
      <c r="AI97" s="22"/>
      <c r="AJ97" s="22"/>
      <c r="AK97" s="22"/>
      <c r="AL97" s="22"/>
      <c r="AM97" s="22"/>
      <c r="AN97" s="22"/>
      <c r="AO97" s="22"/>
      <c r="AP97" s="22"/>
      <c r="AQ97" s="22"/>
      <c r="AR97" s="22"/>
    </row>
    <row r="98" spans="1:44" hidden="1" x14ac:dyDescent="0.25">
      <c r="A98" s="16"/>
      <c r="B98" s="3" t="s">
        <v>154</v>
      </c>
      <c r="C98" s="3" t="s">
        <v>155</v>
      </c>
      <c r="D98" s="11" t="s">
        <v>6</v>
      </c>
      <c r="E98" s="107">
        <v>1078.8648354152162</v>
      </c>
      <c r="F98" s="108">
        <v>1395.1896568523121</v>
      </c>
      <c r="G98" s="109">
        <v>1903.0768497165586</v>
      </c>
      <c r="H98" s="114"/>
      <c r="I98" s="113">
        <v>118.47066310495902</v>
      </c>
      <c r="J98" s="114">
        <v>133.20686877149083</v>
      </c>
      <c r="K98" s="109">
        <v>159.85963503113618</v>
      </c>
      <c r="L98" s="114"/>
      <c r="M98" s="113">
        <v>181.80413199759201</v>
      </c>
      <c r="N98" s="114">
        <v>185.96745978500968</v>
      </c>
      <c r="O98" s="109">
        <v>204.04694382628605</v>
      </c>
      <c r="P98" s="119"/>
      <c r="Q98" s="120">
        <v>0.05</v>
      </c>
      <c r="R98" s="120">
        <v>0.02</v>
      </c>
      <c r="S98" s="120">
        <v>0.04</v>
      </c>
      <c r="T98" s="120">
        <v>0.03</v>
      </c>
      <c r="U98" s="120">
        <v>0.02</v>
      </c>
      <c r="V98" s="121">
        <f t="shared" si="16"/>
        <v>0</v>
      </c>
      <c r="W98" s="119"/>
      <c r="X98" s="113">
        <f t="shared" si="12"/>
        <v>1379.1396305177673</v>
      </c>
      <c r="Y98" s="113">
        <f t="shared" si="13"/>
        <v>1714.3639854088126</v>
      </c>
      <c r="Z98" s="113">
        <f t="shared" si="14"/>
        <v>2266.9834285739812</v>
      </c>
      <c r="AA98" s="22"/>
      <c r="AB98" s="22"/>
      <c r="AC98" s="22"/>
      <c r="AD98" s="22"/>
      <c r="AE98" s="22"/>
      <c r="AF98" s="22"/>
      <c r="AG98" s="22"/>
      <c r="AH98" s="22"/>
      <c r="AI98" s="22"/>
      <c r="AJ98" s="22"/>
      <c r="AK98" s="22"/>
      <c r="AL98" s="22"/>
      <c r="AM98" s="22"/>
      <c r="AN98" s="22"/>
      <c r="AO98" s="22"/>
      <c r="AP98" s="22"/>
      <c r="AQ98" s="22"/>
      <c r="AR98" s="22"/>
    </row>
    <row r="99" spans="1:44" hidden="1" x14ac:dyDescent="0.25">
      <c r="A99" s="16"/>
      <c r="B99" s="3" t="s">
        <v>156</v>
      </c>
      <c r="C99" s="3" t="s">
        <v>157</v>
      </c>
      <c r="D99" s="11" t="s">
        <v>6</v>
      </c>
      <c r="E99" s="107">
        <v>1222.4189525609152</v>
      </c>
      <c r="F99" s="108">
        <v>1490.3509609149678</v>
      </c>
      <c r="G99" s="109">
        <v>2307.8214762804578</v>
      </c>
      <c r="H99" s="114"/>
      <c r="I99" s="113">
        <v>137.86756603427605</v>
      </c>
      <c r="J99" s="114">
        <v>155.01649349512192</v>
      </c>
      <c r="K99" s="109">
        <v>186.03304996566609</v>
      </c>
      <c r="L99" s="114"/>
      <c r="M99" s="113">
        <v>211.57046408422676</v>
      </c>
      <c r="N99" s="114">
        <v>216.41544303184705</v>
      </c>
      <c r="O99" s="109">
        <v>237.45503540517592</v>
      </c>
      <c r="P99" s="119"/>
      <c r="Q99" s="120">
        <v>0.05</v>
      </c>
      <c r="R99" s="120">
        <v>0.02</v>
      </c>
      <c r="S99" s="120">
        <v>0.04</v>
      </c>
      <c r="T99" s="120">
        <v>0.03</v>
      </c>
      <c r="U99" s="120">
        <v>0.02</v>
      </c>
      <c r="V99" s="121">
        <f t="shared" si="16"/>
        <v>0</v>
      </c>
      <c r="W99" s="119"/>
      <c r="X99" s="113">
        <f t="shared" si="12"/>
        <v>1571.856982679418</v>
      </c>
      <c r="Y99" s="113">
        <f t="shared" si="13"/>
        <v>1861.7828974419367</v>
      </c>
      <c r="Z99" s="113">
        <f t="shared" si="14"/>
        <v>2731.3095616512996</v>
      </c>
      <c r="AA99" s="22"/>
      <c r="AB99" s="22"/>
      <c r="AC99" s="22"/>
      <c r="AD99" s="22"/>
      <c r="AE99" s="22"/>
      <c r="AF99" s="22"/>
      <c r="AG99" s="22"/>
      <c r="AH99" s="22"/>
      <c r="AI99" s="22"/>
      <c r="AJ99" s="22"/>
      <c r="AK99" s="22"/>
      <c r="AL99" s="22"/>
      <c r="AM99" s="22"/>
      <c r="AN99" s="22"/>
      <c r="AO99" s="22"/>
      <c r="AP99" s="22"/>
      <c r="AQ99" s="22"/>
      <c r="AR99" s="22"/>
    </row>
    <row r="100" spans="1:44" hidden="1" x14ac:dyDescent="0.25">
      <c r="A100" s="16"/>
      <c r="B100" s="3" t="s">
        <v>158</v>
      </c>
      <c r="C100" s="3" t="s">
        <v>159</v>
      </c>
      <c r="D100" s="11" t="s">
        <v>6</v>
      </c>
      <c r="E100" s="107">
        <v>925.81870059671814</v>
      </c>
      <c r="F100" s="108">
        <v>925.81870059671814</v>
      </c>
      <c r="G100" s="109">
        <v>925.81870059671814</v>
      </c>
      <c r="H100" s="114"/>
      <c r="I100" s="113">
        <v>132.85009264940928</v>
      </c>
      <c r="J100" s="114">
        <v>149.37491184760245</v>
      </c>
      <c r="K100" s="109">
        <v>179.26266949288498</v>
      </c>
      <c r="L100" s="114"/>
      <c r="M100" s="113">
        <v>205.83098465266522</v>
      </c>
      <c r="N100" s="114">
        <v>210.54452910569967</v>
      </c>
      <c r="O100" s="109">
        <v>231.0133598266502</v>
      </c>
      <c r="P100" s="119"/>
      <c r="Q100" s="120">
        <v>4.4999999999999998E-2</v>
      </c>
      <c r="R100" s="120">
        <v>5.0000000000000001E-3</v>
      </c>
      <c r="S100" s="120">
        <v>7.0000000000000007E-2</v>
      </c>
      <c r="T100" s="120">
        <v>0.03</v>
      </c>
      <c r="U100" s="120" t="s">
        <v>250</v>
      </c>
      <c r="V100" s="121">
        <f t="shared" si="16"/>
        <v>0</v>
      </c>
      <c r="W100" s="119"/>
      <c r="X100" s="113">
        <f t="shared" si="12"/>
        <v>1264.4997778987927</v>
      </c>
      <c r="Y100" s="113">
        <f t="shared" si="13"/>
        <v>1285.7381415500201</v>
      </c>
      <c r="Z100" s="113">
        <f t="shared" si="14"/>
        <v>1336.0947299162533</v>
      </c>
      <c r="AA100" s="22"/>
      <c r="AB100" s="22"/>
      <c r="AC100" s="22"/>
      <c r="AD100" s="22"/>
      <c r="AE100" s="22"/>
      <c r="AF100" s="22"/>
      <c r="AG100" s="22"/>
      <c r="AH100" s="22"/>
      <c r="AI100" s="22"/>
      <c r="AJ100" s="22"/>
      <c r="AK100" s="22"/>
      <c r="AL100" s="22"/>
      <c r="AM100" s="22"/>
      <c r="AN100" s="22"/>
      <c r="AO100" s="22"/>
      <c r="AP100" s="22"/>
      <c r="AQ100" s="22"/>
      <c r="AR100" s="22"/>
    </row>
    <row r="101" spans="1:44" hidden="1" x14ac:dyDescent="0.25">
      <c r="A101" s="16"/>
      <c r="B101" s="3" t="s">
        <v>160</v>
      </c>
      <c r="C101" s="3" t="s">
        <v>161</v>
      </c>
      <c r="D101" s="11" t="s">
        <v>6</v>
      </c>
      <c r="E101" s="107">
        <v>1446.8076031824962</v>
      </c>
      <c r="F101" s="108">
        <v>1742.8634609646942</v>
      </c>
      <c r="G101" s="109">
        <v>1939.8408304326208</v>
      </c>
      <c r="H101" s="114"/>
      <c r="I101" s="113">
        <v>206.9935349170764</v>
      </c>
      <c r="J101" s="114">
        <v>232.74083152398461</v>
      </c>
      <c r="K101" s="109">
        <v>279.30890296724834</v>
      </c>
      <c r="L101" s="114"/>
      <c r="M101" s="113">
        <v>354.30261798224149</v>
      </c>
      <c r="N101" s="114">
        <v>362.41617358954664</v>
      </c>
      <c r="O101" s="109">
        <v>397.64974313062407</v>
      </c>
      <c r="P101" s="119"/>
      <c r="Q101" s="122"/>
      <c r="R101" s="122"/>
      <c r="S101" s="122"/>
      <c r="T101" s="122"/>
      <c r="U101" s="122"/>
      <c r="V101" s="121">
        <v>0.192</v>
      </c>
      <c r="W101" s="119"/>
      <c r="X101" s="113">
        <f t="shared" si="12"/>
        <v>2393.6596772495222</v>
      </c>
      <c r="Y101" s="113">
        <f t="shared" si="13"/>
        <v>2786.9203955652447</v>
      </c>
      <c r="Z101" s="113">
        <f t="shared" si="14"/>
        <v>3119.2249760243476</v>
      </c>
      <c r="AA101" s="22"/>
      <c r="AB101" s="22"/>
      <c r="AC101" s="22"/>
      <c r="AD101" s="22"/>
      <c r="AE101" s="22"/>
      <c r="AF101" s="22"/>
      <c r="AG101" s="22"/>
      <c r="AH101" s="22"/>
      <c r="AI101" s="22"/>
      <c r="AJ101" s="22"/>
      <c r="AK101" s="22"/>
      <c r="AL101" s="22"/>
      <c r="AM101" s="22"/>
      <c r="AN101" s="22"/>
      <c r="AO101" s="22"/>
      <c r="AP101" s="22"/>
      <c r="AQ101" s="22"/>
      <c r="AR101" s="22"/>
    </row>
    <row r="102" spans="1:44" hidden="1" x14ac:dyDescent="0.25">
      <c r="A102" s="16"/>
      <c r="B102" s="3" t="s">
        <v>162</v>
      </c>
      <c r="C102" s="3" t="s">
        <v>163</v>
      </c>
      <c r="D102" s="11" t="s">
        <v>6</v>
      </c>
      <c r="E102" s="107">
        <v>1137.7632968672301</v>
      </c>
      <c r="F102" s="108">
        <v>1137.7632968672301</v>
      </c>
      <c r="G102" s="109">
        <v>1137.7632968672301</v>
      </c>
      <c r="H102" s="114"/>
      <c r="I102" s="113">
        <v>163.26999705261628</v>
      </c>
      <c r="J102" s="114">
        <v>183.57865569167379</v>
      </c>
      <c r="K102" s="109">
        <v>220.31008737785476</v>
      </c>
      <c r="L102" s="114"/>
      <c r="M102" s="113">
        <v>252.96199338199852</v>
      </c>
      <c r="N102" s="114">
        <v>258.75484134775212</v>
      </c>
      <c r="O102" s="109">
        <v>283.91060800799431</v>
      </c>
      <c r="P102" s="119"/>
      <c r="Q102" s="120">
        <v>4.4999999999999998E-2</v>
      </c>
      <c r="R102" s="120">
        <v>5.0000000000000001E-3</v>
      </c>
      <c r="S102" s="120">
        <v>7.0000000000000007E-2</v>
      </c>
      <c r="T102" s="120">
        <v>0.03</v>
      </c>
      <c r="U102" s="120" t="s">
        <v>250</v>
      </c>
      <c r="V102" s="121">
        <f t="shared" si="16"/>
        <v>0</v>
      </c>
      <c r="W102" s="119"/>
      <c r="X102" s="113">
        <f t="shared" si="12"/>
        <v>1553.9952873018449</v>
      </c>
      <c r="Y102" s="113">
        <f t="shared" si="13"/>
        <v>1580.0967939066559</v>
      </c>
      <c r="Z102" s="113">
        <f t="shared" si="14"/>
        <v>1641.9839922530794</v>
      </c>
      <c r="AA102" s="22"/>
      <c r="AB102" s="22"/>
      <c r="AC102" s="22"/>
      <c r="AD102" s="22"/>
      <c r="AE102" s="22"/>
      <c r="AF102" s="22"/>
      <c r="AG102" s="22"/>
      <c r="AH102" s="22"/>
      <c r="AI102" s="22"/>
      <c r="AJ102" s="22"/>
      <c r="AK102" s="22"/>
      <c r="AL102" s="22"/>
      <c r="AM102" s="22"/>
      <c r="AN102" s="22"/>
      <c r="AO102" s="22"/>
      <c r="AP102" s="22"/>
      <c r="AQ102" s="22"/>
      <c r="AR102" s="22"/>
    </row>
    <row r="103" spans="1:44" hidden="1" x14ac:dyDescent="0.25">
      <c r="A103" s="16"/>
      <c r="B103" s="3" t="s">
        <v>164</v>
      </c>
      <c r="C103" s="3" t="s">
        <v>165</v>
      </c>
      <c r="D103" s="11" t="s">
        <v>6</v>
      </c>
      <c r="E103" s="107">
        <v>870.900401292889</v>
      </c>
      <c r="F103" s="108">
        <v>1128.3439085032321</v>
      </c>
      <c r="G103" s="109">
        <v>1448.0780706116359</v>
      </c>
      <c r="H103" s="114"/>
      <c r="I103" s="113">
        <v>110.15944763324455</v>
      </c>
      <c r="J103" s="114">
        <v>123.86184647097913</v>
      </c>
      <c r="K103" s="109">
        <v>148.64480903833905</v>
      </c>
      <c r="L103" s="114"/>
      <c r="M103" s="113">
        <v>169.04980721305591</v>
      </c>
      <c r="N103" s="114">
        <v>172.92106003935055</v>
      </c>
      <c r="O103" s="109">
        <v>189.73219220729143</v>
      </c>
      <c r="P103" s="119"/>
      <c r="Q103" s="120">
        <v>0.05</v>
      </c>
      <c r="R103" s="120">
        <v>0.02</v>
      </c>
      <c r="S103" s="120">
        <v>0.04</v>
      </c>
      <c r="T103" s="120">
        <v>0.03</v>
      </c>
      <c r="U103" s="120">
        <v>0.02</v>
      </c>
      <c r="V103" s="121">
        <f t="shared" si="16"/>
        <v>0</v>
      </c>
      <c r="W103" s="119"/>
      <c r="X103" s="113">
        <f t="shared" si="12"/>
        <v>1150.1096561391894</v>
      </c>
      <c r="Y103" s="113">
        <f t="shared" si="13"/>
        <v>1425.1268150135618</v>
      </c>
      <c r="Z103" s="113">
        <f t="shared" si="14"/>
        <v>1786.4550718572664</v>
      </c>
      <c r="AA103" s="22"/>
      <c r="AB103" s="22"/>
      <c r="AC103" s="22"/>
      <c r="AD103" s="22"/>
      <c r="AE103" s="22"/>
      <c r="AF103" s="22"/>
      <c r="AG103" s="22"/>
      <c r="AH103" s="22"/>
      <c r="AI103" s="22"/>
      <c r="AJ103" s="22"/>
      <c r="AK103" s="22"/>
      <c r="AL103" s="22"/>
      <c r="AM103" s="22"/>
      <c r="AN103" s="22"/>
      <c r="AO103" s="22"/>
      <c r="AP103" s="22"/>
      <c r="AQ103" s="22"/>
      <c r="AR103" s="22"/>
    </row>
    <row r="104" spans="1:44" hidden="1" x14ac:dyDescent="0.25">
      <c r="A104" s="16"/>
      <c r="B104" s="3" t="s">
        <v>166</v>
      </c>
      <c r="C104" s="3" t="s">
        <v>167</v>
      </c>
      <c r="D104" s="11" t="s">
        <v>6</v>
      </c>
      <c r="E104" s="107">
        <v>858.10036051715565</v>
      </c>
      <c r="F104" s="108">
        <v>1039.1328677274989</v>
      </c>
      <c r="G104" s="109">
        <v>1443.1224082545996</v>
      </c>
      <c r="H104" s="114"/>
      <c r="I104" s="113">
        <v>98.445924925850889</v>
      </c>
      <c r="J104" s="114">
        <v>110.69131427978762</v>
      </c>
      <c r="K104" s="109">
        <v>132.83904400034038</v>
      </c>
      <c r="L104" s="114"/>
      <c r="M104" s="113">
        <v>168.50598229981094</v>
      </c>
      <c r="N104" s="114">
        <v>172.3647814962132</v>
      </c>
      <c r="O104" s="109">
        <v>189.12183307900881</v>
      </c>
      <c r="P104" s="119"/>
      <c r="Q104" s="120">
        <v>0.05</v>
      </c>
      <c r="R104" s="120">
        <v>0.03</v>
      </c>
      <c r="S104" s="120">
        <v>0.03</v>
      </c>
      <c r="T104" s="120">
        <v>0.02</v>
      </c>
      <c r="U104" s="120">
        <v>0.05</v>
      </c>
      <c r="V104" s="121">
        <f t="shared" si="16"/>
        <v>0</v>
      </c>
      <c r="W104" s="119"/>
      <c r="X104" s="113">
        <f t="shared" si="12"/>
        <v>1125.0522677428175</v>
      </c>
      <c r="Y104" s="113">
        <f t="shared" si="13"/>
        <v>1322.1889635034997</v>
      </c>
      <c r="Z104" s="113">
        <f t="shared" si="14"/>
        <v>1765.0832853339489</v>
      </c>
      <c r="AA104" s="22"/>
      <c r="AB104" s="22"/>
      <c r="AC104" s="22"/>
      <c r="AD104" s="22"/>
      <c r="AE104" s="22"/>
      <c r="AF104" s="22"/>
      <c r="AG104" s="22"/>
      <c r="AH104" s="22"/>
      <c r="AI104" s="22"/>
      <c r="AJ104" s="22"/>
      <c r="AK104" s="22"/>
      <c r="AL104" s="22"/>
      <c r="AM104" s="22"/>
      <c r="AN104" s="22"/>
      <c r="AO104" s="22"/>
      <c r="AP104" s="22"/>
      <c r="AQ104" s="22"/>
      <c r="AR104" s="22"/>
    </row>
    <row r="105" spans="1:44" hidden="1" x14ac:dyDescent="0.25">
      <c r="A105" s="16"/>
      <c r="B105" s="3" t="s">
        <v>168</v>
      </c>
      <c r="C105" s="3" t="s">
        <v>169</v>
      </c>
      <c r="D105" s="11" t="s">
        <v>6</v>
      </c>
      <c r="E105" s="107">
        <v>1385.652721551467</v>
      </c>
      <c r="F105" s="108">
        <v>1748.2786376688214</v>
      </c>
      <c r="G105" s="109">
        <v>2282.5475654142224</v>
      </c>
      <c r="H105" s="114"/>
      <c r="I105" s="113">
        <v>179.02853469658535</v>
      </c>
      <c r="J105" s="114">
        <v>201.29734993170734</v>
      </c>
      <c r="K105" s="109">
        <v>241.57403585560974</v>
      </c>
      <c r="L105" s="114"/>
      <c r="M105" s="113">
        <v>283.98167227317072</v>
      </c>
      <c r="N105" s="114">
        <v>290.48487313170727</v>
      </c>
      <c r="O105" s="109">
        <v>318.72538700487803</v>
      </c>
      <c r="P105" s="119"/>
      <c r="Q105" s="120"/>
      <c r="R105" s="120"/>
      <c r="S105" s="120"/>
      <c r="T105" s="120"/>
      <c r="U105" s="120"/>
      <c r="V105" s="121">
        <v>0.16</v>
      </c>
      <c r="W105" s="119"/>
      <c r="X105" s="113">
        <f t="shared" si="12"/>
        <v>2144.4489970846189</v>
      </c>
      <c r="Y105" s="113">
        <f t="shared" si="13"/>
        <v>2598.4705984493935</v>
      </c>
      <c r="Z105" s="113">
        <f t="shared" si="14"/>
        <v>3297.7025063986639</v>
      </c>
      <c r="AA105" s="22"/>
      <c r="AB105" s="22"/>
      <c r="AC105" s="22"/>
      <c r="AD105" s="22"/>
      <c r="AE105" s="22"/>
      <c r="AF105" s="22"/>
      <c r="AG105" s="22"/>
      <c r="AH105" s="22"/>
      <c r="AI105" s="22"/>
      <c r="AJ105" s="22"/>
      <c r="AK105" s="22"/>
      <c r="AL105" s="22"/>
      <c r="AM105" s="22"/>
      <c r="AN105" s="22"/>
      <c r="AO105" s="22"/>
      <c r="AP105" s="22"/>
      <c r="AQ105" s="22"/>
      <c r="AR105" s="22"/>
    </row>
    <row r="106" spans="1:44" hidden="1" x14ac:dyDescent="0.25">
      <c r="A106" s="16"/>
      <c r="B106" s="3" t="s">
        <v>170</v>
      </c>
      <c r="C106" s="3" t="s">
        <v>171</v>
      </c>
      <c r="D106" s="11" t="s">
        <v>6</v>
      </c>
      <c r="E106" s="107">
        <v>1475.5609199403282</v>
      </c>
      <c r="F106" s="108">
        <v>1923.5797712580807</v>
      </c>
      <c r="G106" s="109">
        <v>2522.8467478866237</v>
      </c>
      <c r="H106" s="114"/>
      <c r="I106" s="113">
        <v>186.32827723368749</v>
      </c>
      <c r="J106" s="114">
        <v>209.5050852538601</v>
      </c>
      <c r="K106" s="109">
        <v>251.42402020801066</v>
      </c>
      <c r="L106" s="114"/>
      <c r="M106" s="113">
        <v>283.18848114189836</v>
      </c>
      <c r="N106" s="114">
        <v>289.67351786609282</v>
      </c>
      <c r="O106" s="109">
        <v>317.83515296878704</v>
      </c>
      <c r="P106" s="119"/>
      <c r="Q106" s="120">
        <v>0.14000000000000001</v>
      </c>
      <c r="R106" s="120">
        <v>0.08</v>
      </c>
      <c r="S106" s="120">
        <v>0.04</v>
      </c>
      <c r="T106" s="120">
        <v>0.02</v>
      </c>
      <c r="U106" s="120">
        <v>0.01</v>
      </c>
      <c r="V106" s="121">
        <f t="shared" ref="V106:V111" si="17">SUBTOTAL(9,Q106:U106)</f>
        <v>0</v>
      </c>
      <c r="W106" s="119"/>
      <c r="X106" s="113">
        <f t="shared" si="12"/>
        <v>1945.077678315914</v>
      </c>
      <c r="Y106" s="113">
        <f t="shared" si="13"/>
        <v>2422.7583743780337</v>
      </c>
      <c r="Z106" s="113">
        <f t="shared" si="14"/>
        <v>3092.1059210634212</v>
      </c>
      <c r="AA106" s="22"/>
      <c r="AB106" s="22"/>
      <c r="AC106" s="22"/>
      <c r="AD106" s="22"/>
      <c r="AE106" s="22"/>
      <c r="AF106" s="22"/>
      <c r="AG106" s="22"/>
      <c r="AH106" s="22"/>
      <c r="AI106" s="22"/>
      <c r="AJ106" s="22"/>
      <c r="AK106" s="22"/>
      <c r="AL106" s="22"/>
      <c r="AM106" s="22"/>
      <c r="AN106" s="22"/>
      <c r="AO106" s="22"/>
      <c r="AP106" s="22"/>
      <c r="AQ106" s="22"/>
      <c r="AR106" s="22"/>
    </row>
    <row r="107" spans="1:44" hidden="1" x14ac:dyDescent="0.25">
      <c r="A107" s="16"/>
      <c r="B107" s="3" t="s">
        <v>170</v>
      </c>
      <c r="C107" s="3" t="s">
        <v>172</v>
      </c>
      <c r="D107" s="11" t="s">
        <v>6</v>
      </c>
      <c r="E107" s="107">
        <v>2226.2694880905028</v>
      </c>
      <c r="F107" s="108">
        <v>2808.8851753306822</v>
      </c>
      <c r="G107" s="109">
        <v>3667.2724131824975</v>
      </c>
      <c r="H107" s="114"/>
      <c r="I107" s="113">
        <v>287.63755744390249</v>
      </c>
      <c r="J107" s="114">
        <v>323.41591887804884</v>
      </c>
      <c r="K107" s="109">
        <v>388.12676277073177</v>
      </c>
      <c r="L107" s="114"/>
      <c r="M107" s="113">
        <v>437.16200364878057</v>
      </c>
      <c r="N107" s="114">
        <v>447.17304518780492</v>
      </c>
      <c r="O107" s="109">
        <v>490.64655363658545</v>
      </c>
      <c r="P107" s="119"/>
      <c r="Q107" s="120">
        <v>0.14000000000000001</v>
      </c>
      <c r="R107" s="120">
        <v>0.08</v>
      </c>
      <c r="S107" s="120">
        <v>0.04</v>
      </c>
      <c r="T107" s="120">
        <v>0.02</v>
      </c>
      <c r="U107" s="120">
        <v>0.01</v>
      </c>
      <c r="V107" s="121">
        <f t="shared" si="17"/>
        <v>0</v>
      </c>
      <c r="W107" s="119"/>
      <c r="X107" s="113">
        <f t="shared" si="12"/>
        <v>2951.0690491831861</v>
      </c>
      <c r="Y107" s="113">
        <f t="shared" si="13"/>
        <v>3579.474139396536</v>
      </c>
      <c r="Z107" s="113">
        <f t="shared" si="14"/>
        <v>4546.045729589815</v>
      </c>
      <c r="AA107" s="22"/>
      <c r="AB107" s="22"/>
      <c r="AC107" s="22"/>
      <c r="AD107" s="22"/>
      <c r="AE107" s="22"/>
      <c r="AF107" s="22"/>
      <c r="AG107" s="22"/>
      <c r="AH107" s="22"/>
      <c r="AI107" s="22"/>
      <c r="AJ107" s="22"/>
      <c r="AK107" s="22"/>
      <c r="AL107" s="22"/>
      <c r="AM107" s="22"/>
      <c r="AN107" s="22"/>
      <c r="AO107" s="22"/>
      <c r="AP107" s="22"/>
      <c r="AQ107" s="22"/>
      <c r="AR107" s="22"/>
    </row>
    <row r="108" spans="1:44" hidden="1" x14ac:dyDescent="0.25">
      <c r="A108" s="16"/>
      <c r="B108" s="3" t="s">
        <v>173</v>
      </c>
      <c r="C108" s="3" t="s">
        <v>174</v>
      </c>
      <c r="D108" s="11" t="s">
        <v>6</v>
      </c>
      <c r="E108" s="107">
        <v>1212.3570856663353</v>
      </c>
      <c r="F108" s="108">
        <v>1529.6314589731476</v>
      </c>
      <c r="G108" s="109">
        <v>1997.0824372227748</v>
      </c>
      <c r="H108" s="114"/>
      <c r="I108" s="113">
        <v>156.63846301463417</v>
      </c>
      <c r="J108" s="114">
        <v>176.12224529268295</v>
      </c>
      <c r="K108" s="109">
        <v>211.36175719024391</v>
      </c>
      <c r="L108" s="114"/>
      <c r="M108" s="113">
        <v>346.69634487804876</v>
      </c>
      <c r="N108" s="114">
        <v>354.63571628048777</v>
      </c>
      <c r="O108" s="109">
        <v>389.11288115853665</v>
      </c>
      <c r="P108" s="119"/>
      <c r="Q108" s="120">
        <v>0.05</v>
      </c>
      <c r="R108" s="120">
        <v>0.01</v>
      </c>
      <c r="S108" s="120">
        <v>0.03</v>
      </c>
      <c r="T108" s="120">
        <v>0.01</v>
      </c>
      <c r="U108" s="120">
        <v>0.01</v>
      </c>
      <c r="V108" s="121">
        <f t="shared" si="17"/>
        <v>0</v>
      </c>
      <c r="W108" s="119"/>
      <c r="X108" s="113">
        <f t="shared" si="12"/>
        <v>1715.6918935590184</v>
      </c>
      <c r="Y108" s="113">
        <f t="shared" si="13"/>
        <v>2060.3894205463184</v>
      </c>
      <c r="Z108" s="113">
        <f t="shared" si="14"/>
        <v>2597.5570755715553</v>
      </c>
      <c r="AA108" s="22"/>
      <c r="AB108" s="22"/>
      <c r="AC108" s="22"/>
      <c r="AD108" s="22"/>
      <c r="AE108" s="22"/>
      <c r="AF108" s="22"/>
      <c r="AG108" s="22"/>
      <c r="AH108" s="22"/>
      <c r="AI108" s="22"/>
      <c r="AJ108" s="22"/>
      <c r="AK108" s="22"/>
      <c r="AL108" s="22"/>
      <c r="AM108" s="22"/>
      <c r="AN108" s="22"/>
      <c r="AO108" s="22"/>
      <c r="AP108" s="22"/>
      <c r="AQ108" s="22"/>
      <c r="AR108" s="22"/>
    </row>
    <row r="109" spans="1:44" hidden="1" x14ac:dyDescent="0.25">
      <c r="A109" s="16"/>
      <c r="B109" s="3" t="s">
        <v>175</v>
      </c>
      <c r="C109" s="3" t="s">
        <v>176</v>
      </c>
      <c r="D109" s="11" t="s">
        <v>6</v>
      </c>
      <c r="E109" s="107">
        <v>1665.7904660616607</v>
      </c>
      <c r="F109" s="108">
        <v>2101.7285509945305</v>
      </c>
      <c r="G109" s="109">
        <v>2744.0107565638991</v>
      </c>
      <c r="H109" s="114"/>
      <c r="I109" s="113">
        <v>86.186827454450707</v>
      </c>
      <c r="J109" s="114">
        <v>119.03285955041245</v>
      </c>
      <c r="K109" s="109">
        <v>122.44260777462053</v>
      </c>
      <c r="L109" s="114"/>
      <c r="M109" s="113">
        <v>322.3397489268292</v>
      </c>
      <c r="N109" s="114">
        <v>329.72135251829258</v>
      </c>
      <c r="O109" s="109">
        <v>361.77637944512185</v>
      </c>
      <c r="P109" s="119"/>
      <c r="Q109" s="120" t="s">
        <v>252</v>
      </c>
      <c r="R109" s="120" t="s">
        <v>252</v>
      </c>
      <c r="S109" s="120" t="s">
        <v>252</v>
      </c>
      <c r="T109" s="120" t="s">
        <v>252</v>
      </c>
      <c r="U109" s="120">
        <v>0.12</v>
      </c>
      <c r="V109" s="121">
        <f t="shared" si="17"/>
        <v>0</v>
      </c>
      <c r="W109" s="119"/>
      <c r="X109" s="113">
        <f t="shared" si="12"/>
        <v>2074.3170424429404</v>
      </c>
      <c r="Y109" s="113">
        <f t="shared" si="13"/>
        <v>2550.4827630632353</v>
      </c>
      <c r="Z109" s="113">
        <f t="shared" si="14"/>
        <v>3228.2297437836414</v>
      </c>
      <c r="AA109" s="22"/>
      <c r="AB109" s="22"/>
      <c r="AC109" s="22"/>
      <c r="AD109" s="22"/>
      <c r="AE109" s="22"/>
      <c r="AF109" s="22"/>
      <c r="AG109" s="22"/>
      <c r="AH109" s="22"/>
      <c r="AI109" s="22"/>
      <c r="AJ109" s="22"/>
      <c r="AK109" s="22"/>
      <c r="AL109" s="22"/>
      <c r="AM109" s="22"/>
      <c r="AN109" s="22"/>
      <c r="AO109" s="22"/>
      <c r="AP109" s="22"/>
      <c r="AQ109" s="22"/>
      <c r="AR109" s="22"/>
    </row>
    <row r="110" spans="1:44" hidden="1" x14ac:dyDescent="0.25">
      <c r="A110" s="16"/>
      <c r="B110" s="3" t="s">
        <v>175</v>
      </c>
      <c r="C110" s="3" t="s">
        <v>177</v>
      </c>
      <c r="D110" s="11" t="s">
        <v>6</v>
      </c>
      <c r="E110" s="107">
        <v>1665.7904660616607</v>
      </c>
      <c r="F110" s="108">
        <v>2101.7285509945305</v>
      </c>
      <c r="G110" s="109">
        <v>2744.0107565638991</v>
      </c>
      <c r="H110" s="114"/>
      <c r="I110" s="113">
        <v>86.186827454450707</v>
      </c>
      <c r="J110" s="114">
        <v>119.03285955041245</v>
      </c>
      <c r="K110" s="109">
        <v>122.44260777462053</v>
      </c>
      <c r="L110" s="114"/>
      <c r="M110" s="113">
        <v>322.3397489268292</v>
      </c>
      <c r="N110" s="114">
        <v>329.72135251829258</v>
      </c>
      <c r="O110" s="109">
        <v>361.77637944512185</v>
      </c>
      <c r="P110" s="119"/>
      <c r="Q110" s="120" t="s">
        <v>252</v>
      </c>
      <c r="R110" s="120" t="s">
        <v>252</v>
      </c>
      <c r="S110" s="120" t="s">
        <v>252</v>
      </c>
      <c r="T110" s="120" t="s">
        <v>252</v>
      </c>
      <c r="U110" s="120">
        <v>0.12</v>
      </c>
      <c r="V110" s="121">
        <f t="shared" si="17"/>
        <v>0</v>
      </c>
      <c r="W110" s="119"/>
      <c r="X110" s="113">
        <f t="shared" si="12"/>
        <v>2074.3170424429404</v>
      </c>
      <c r="Y110" s="113">
        <f t="shared" si="13"/>
        <v>2550.4827630632353</v>
      </c>
      <c r="Z110" s="113">
        <f t="shared" si="14"/>
        <v>3228.2297437836414</v>
      </c>
      <c r="AA110" s="22"/>
      <c r="AB110" s="22"/>
      <c r="AC110" s="22"/>
      <c r="AD110" s="22"/>
      <c r="AE110" s="22"/>
      <c r="AF110" s="22"/>
      <c r="AG110" s="22"/>
      <c r="AH110" s="22"/>
      <c r="AI110" s="22"/>
      <c r="AJ110" s="22"/>
      <c r="AK110" s="22"/>
      <c r="AL110" s="22"/>
      <c r="AM110" s="22"/>
      <c r="AN110" s="22"/>
      <c r="AO110" s="22"/>
      <c r="AP110" s="22"/>
      <c r="AQ110" s="22"/>
      <c r="AR110" s="22"/>
    </row>
    <row r="111" spans="1:44" hidden="1" x14ac:dyDescent="0.25">
      <c r="A111" s="16"/>
      <c r="B111" s="3" t="s">
        <v>178</v>
      </c>
      <c r="C111" s="3" t="s">
        <v>179</v>
      </c>
      <c r="D111" s="11" t="s">
        <v>6</v>
      </c>
      <c r="E111" s="107">
        <v>1195.1703760367977</v>
      </c>
      <c r="F111" s="108">
        <v>1454.3398449577326</v>
      </c>
      <c r="G111" s="109">
        <v>2259.037383431129</v>
      </c>
      <c r="H111" s="114"/>
      <c r="I111" s="113">
        <v>135.7133852026065</v>
      </c>
      <c r="J111" s="114">
        <v>152.59436065789751</v>
      </c>
      <c r="K111" s="109">
        <v>183.12628340830599</v>
      </c>
      <c r="L111" s="114"/>
      <c r="M111" s="113">
        <v>208.2646754104471</v>
      </c>
      <c r="N111" s="114">
        <v>213.0339515580614</v>
      </c>
      <c r="O111" s="109">
        <v>233.74480028340642</v>
      </c>
      <c r="P111" s="119"/>
      <c r="Q111" s="120">
        <v>0.05</v>
      </c>
      <c r="R111" s="120">
        <v>0.02</v>
      </c>
      <c r="S111" s="120">
        <v>0.04</v>
      </c>
      <c r="T111" s="120">
        <v>0.03</v>
      </c>
      <c r="U111" s="120">
        <v>0.02</v>
      </c>
      <c r="V111" s="121">
        <f t="shared" si="17"/>
        <v>0</v>
      </c>
      <c r="W111" s="119"/>
      <c r="X111" s="113">
        <f t="shared" si="12"/>
        <v>1539.1484366498514</v>
      </c>
      <c r="Y111" s="113">
        <f t="shared" si="13"/>
        <v>1819.9681571736915</v>
      </c>
      <c r="Z111" s="113">
        <f t="shared" si="14"/>
        <v>2675.9084671228411</v>
      </c>
      <c r="AA111" s="22"/>
      <c r="AB111" s="22"/>
      <c r="AC111" s="22"/>
      <c r="AD111" s="22"/>
      <c r="AE111" s="22"/>
      <c r="AF111" s="22"/>
      <c r="AG111" s="22"/>
      <c r="AH111" s="22"/>
      <c r="AI111" s="22"/>
      <c r="AJ111" s="22"/>
      <c r="AK111" s="22"/>
      <c r="AL111" s="22"/>
      <c r="AM111" s="22"/>
      <c r="AN111" s="22"/>
      <c r="AO111" s="22"/>
      <c r="AP111" s="22"/>
      <c r="AQ111" s="22"/>
      <c r="AR111" s="22"/>
    </row>
    <row r="112" spans="1:44" hidden="1" x14ac:dyDescent="0.25">
      <c r="A112" s="16"/>
      <c r="B112" s="3" t="s">
        <v>180</v>
      </c>
      <c r="C112" s="3" t="s">
        <v>181</v>
      </c>
      <c r="D112" s="11" t="s">
        <v>8</v>
      </c>
      <c r="E112" s="107">
        <v>987.90945574341117</v>
      </c>
      <c r="F112" s="108">
        <v>1333.4941315266037</v>
      </c>
      <c r="G112" s="109">
        <v>1889.7377630532073</v>
      </c>
      <c r="H112" s="114"/>
      <c r="I112" s="113">
        <v>61.776000000000003</v>
      </c>
      <c r="J112" s="114">
        <v>85.319000000000003</v>
      </c>
      <c r="K112" s="109">
        <v>87.763000000000005</v>
      </c>
      <c r="L112" s="114"/>
      <c r="M112" s="113">
        <v>204.82992000000002</v>
      </c>
      <c r="N112" s="114">
        <v>209.52053999999998</v>
      </c>
      <c r="O112" s="109">
        <v>229.88981999999999</v>
      </c>
      <c r="P112" s="119"/>
      <c r="Q112" s="120">
        <v>0.04</v>
      </c>
      <c r="R112" s="120">
        <v>0.02</v>
      </c>
      <c r="S112" s="120">
        <v>0.04</v>
      </c>
      <c r="T112" s="120">
        <v>0.02</v>
      </c>
      <c r="U112" s="120">
        <v>0.02</v>
      </c>
      <c r="V112" s="121">
        <f>SUBTOTAL(9,Q112:U112)</f>
        <v>0</v>
      </c>
      <c r="W112" s="119"/>
      <c r="X112" s="113">
        <f t="shared" si="12"/>
        <v>1254.5153757434114</v>
      </c>
      <c r="Y112" s="113">
        <f t="shared" si="13"/>
        <v>1628.3336715266037</v>
      </c>
      <c r="Z112" s="113">
        <f t="shared" si="14"/>
        <v>2207.3905830532071</v>
      </c>
      <c r="AA112" s="22"/>
      <c r="AB112" s="22"/>
      <c r="AC112" s="22"/>
      <c r="AD112" s="22"/>
      <c r="AE112" s="22"/>
      <c r="AF112" s="22"/>
      <c r="AG112" s="22"/>
      <c r="AH112" s="22"/>
      <c r="AI112" s="22"/>
      <c r="AJ112" s="22"/>
      <c r="AK112" s="22"/>
      <c r="AL112" s="22"/>
      <c r="AM112" s="22"/>
      <c r="AN112" s="22"/>
      <c r="AO112" s="22"/>
      <c r="AP112" s="22"/>
      <c r="AQ112" s="22"/>
      <c r="AR112" s="22"/>
    </row>
    <row r="113" spans="1:44" hidden="1" x14ac:dyDescent="0.25">
      <c r="A113" s="16"/>
      <c r="B113" s="3" t="s">
        <v>182</v>
      </c>
      <c r="C113" s="3" t="s">
        <v>183</v>
      </c>
      <c r="D113" s="11" t="s">
        <v>8</v>
      </c>
      <c r="E113" s="107">
        <v>1029.7733664843361</v>
      </c>
      <c r="F113" s="108">
        <v>1365.7991447041275</v>
      </c>
      <c r="G113" s="109">
        <v>1931.4582595723521</v>
      </c>
      <c r="H113" s="114"/>
      <c r="I113" s="113">
        <v>71.284732057921218</v>
      </c>
      <c r="J113" s="114">
        <v>98.451535457941276</v>
      </c>
      <c r="K113" s="109">
        <v>101.271722668987</v>
      </c>
      <c r="L113" s="114"/>
      <c r="M113" s="113">
        <v>276.5005056</v>
      </c>
      <c r="N113" s="114">
        <v>282.83238719999997</v>
      </c>
      <c r="O113" s="109">
        <v>310.32893760000007</v>
      </c>
      <c r="P113" s="119"/>
      <c r="Q113" s="120">
        <v>0.05</v>
      </c>
      <c r="R113" s="120">
        <v>0.05</v>
      </c>
      <c r="S113" s="120">
        <v>0.03</v>
      </c>
      <c r="T113" s="120">
        <v>0.05</v>
      </c>
      <c r="U113" s="120">
        <v>5.0000000000000001E-3</v>
      </c>
      <c r="V113" s="121">
        <f t="shared" ref="V113:V135" si="18">SUBTOTAL(9,Q113:U113)</f>
        <v>0</v>
      </c>
      <c r="W113" s="119"/>
      <c r="X113" s="113">
        <f t="shared" si="12"/>
        <v>1377.5586041422573</v>
      </c>
      <c r="Y113" s="113">
        <f t="shared" si="13"/>
        <v>1747.0830673620685</v>
      </c>
      <c r="Z113" s="113">
        <f t="shared" si="14"/>
        <v>2343.058919841339</v>
      </c>
      <c r="AA113" s="22"/>
      <c r="AB113" s="22"/>
      <c r="AC113" s="22"/>
      <c r="AD113" s="22"/>
      <c r="AE113" s="22"/>
      <c r="AF113" s="22"/>
      <c r="AG113" s="22"/>
      <c r="AH113" s="22"/>
      <c r="AI113" s="22"/>
      <c r="AJ113" s="22"/>
      <c r="AK113" s="22"/>
      <c r="AL113" s="22"/>
      <c r="AM113" s="22"/>
      <c r="AN113" s="22"/>
      <c r="AO113" s="22"/>
      <c r="AP113" s="22"/>
      <c r="AQ113" s="22"/>
      <c r="AR113" s="22"/>
    </row>
    <row r="114" spans="1:44" hidden="1" x14ac:dyDescent="0.25">
      <c r="A114" s="21"/>
      <c r="B114" s="3" t="s">
        <v>182</v>
      </c>
      <c r="C114" s="3" t="s">
        <v>184</v>
      </c>
      <c r="D114" s="11" t="s">
        <v>8</v>
      </c>
      <c r="E114" s="107">
        <v>1050.3688338140228</v>
      </c>
      <c r="F114" s="108">
        <v>1393.1151275982099</v>
      </c>
      <c r="G114" s="109">
        <v>1970.0874247637992</v>
      </c>
      <c r="H114" s="114"/>
      <c r="I114" s="113">
        <v>72.710426699079648</v>
      </c>
      <c r="J114" s="114">
        <v>100.42056616710011</v>
      </c>
      <c r="K114" s="109">
        <v>103.29715712236674</v>
      </c>
      <c r="L114" s="114"/>
      <c r="M114" s="113">
        <v>282.03051571200001</v>
      </c>
      <c r="N114" s="114">
        <v>288.48903494399997</v>
      </c>
      <c r="O114" s="109">
        <v>316.53551635200006</v>
      </c>
      <c r="P114" s="119"/>
      <c r="Q114" s="120">
        <v>0.05</v>
      </c>
      <c r="R114" s="120">
        <v>0.05</v>
      </c>
      <c r="S114" s="120">
        <v>0.03</v>
      </c>
      <c r="T114" s="120">
        <v>0.05</v>
      </c>
      <c r="U114" s="120">
        <v>5.0000000000000001E-3</v>
      </c>
      <c r="V114" s="121">
        <f t="shared" si="18"/>
        <v>0</v>
      </c>
      <c r="W114" s="119"/>
      <c r="X114" s="113">
        <f t="shared" si="12"/>
        <v>1405.1097762251025</v>
      </c>
      <c r="Y114" s="113">
        <f t="shared" si="13"/>
        <v>1782.02472870931</v>
      </c>
      <c r="Z114" s="113">
        <f t="shared" si="14"/>
        <v>2389.9200982381662</v>
      </c>
      <c r="AA114" s="22"/>
      <c r="AB114" s="22"/>
      <c r="AC114" s="22"/>
      <c r="AD114" s="22"/>
      <c r="AE114" s="22"/>
      <c r="AF114" s="22"/>
      <c r="AG114" s="22"/>
      <c r="AH114" s="22"/>
      <c r="AI114" s="22"/>
      <c r="AJ114" s="22"/>
      <c r="AK114" s="22"/>
      <c r="AL114" s="22"/>
      <c r="AM114" s="22"/>
      <c r="AN114" s="22"/>
      <c r="AO114" s="22"/>
      <c r="AP114" s="22"/>
      <c r="AQ114" s="22"/>
      <c r="AR114" s="22"/>
    </row>
    <row r="115" spans="1:44" hidden="1" x14ac:dyDescent="0.25">
      <c r="A115" s="21"/>
      <c r="B115" s="3" t="s">
        <v>182</v>
      </c>
      <c r="C115" s="3" t="s">
        <v>185</v>
      </c>
      <c r="D115" s="11" t="s">
        <v>8</v>
      </c>
      <c r="E115" s="107">
        <v>1070.9643011437095</v>
      </c>
      <c r="F115" s="108">
        <v>1420.4311104922926</v>
      </c>
      <c r="G115" s="109">
        <v>2008.7165899552463</v>
      </c>
      <c r="H115" s="114"/>
      <c r="I115" s="113">
        <v>74.136121340238063</v>
      </c>
      <c r="J115" s="114">
        <v>102.38959687625893</v>
      </c>
      <c r="K115" s="109">
        <v>105.32259157574649</v>
      </c>
      <c r="L115" s="114"/>
      <c r="M115" s="113">
        <v>287.56052582400002</v>
      </c>
      <c r="N115" s="114">
        <v>294.14568268799997</v>
      </c>
      <c r="O115" s="109">
        <v>322.7420951040001</v>
      </c>
      <c r="P115" s="119"/>
      <c r="Q115" s="120">
        <v>0.05</v>
      </c>
      <c r="R115" s="120">
        <v>0.05</v>
      </c>
      <c r="S115" s="120">
        <v>0.03</v>
      </c>
      <c r="T115" s="120">
        <v>0.05</v>
      </c>
      <c r="U115" s="120">
        <v>5.0000000000000001E-3</v>
      </c>
      <c r="V115" s="121">
        <f t="shared" si="18"/>
        <v>0</v>
      </c>
      <c r="W115" s="119"/>
      <c r="X115" s="113">
        <f t="shared" si="12"/>
        <v>1432.6609483079476</v>
      </c>
      <c r="Y115" s="113">
        <f t="shared" si="13"/>
        <v>1816.9663900565515</v>
      </c>
      <c r="Z115" s="113">
        <f t="shared" si="14"/>
        <v>2436.7812766349925</v>
      </c>
      <c r="AA115" s="22"/>
      <c r="AB115" s="22"/>
      <c r="AC115" s="22"/>
      <c r="AD115" s="22"/>
      <c r="AE115" s="22"/>
      <c r="AF115" s="22"/>
      <c r="AG115" s="22"/>
      <c r="AH115" s="22"/>
      <c r="AI115" s="22"/>
      <c r="AJ115" s="22"/>
      <c r="AK115" s="22"/>
      <c r="AL115" s="22"/>
      <c r="AM115" s="22"/>
      <c r="AN115" s="22"/>
      <c r="AO115" s="22"/>
      <c r="AP115" s="22"/>
      <c r="AQ115" s="22"/>
      <c r="AR115" s="22"/>
    </row>
    <row r="116" spans="1:44" hidden="1" x14ac:dyDescent="0.25">
      <c r="A116" s="21"/>
      <c r="B116" s="3" t="s">
        <v>182</v>
      </c>
      <c r="C116" s="3" t="s">
        <v>186</v>
      </c>
      <c r="D116" s="11" t="s">
        <v>8</v>
      </c>
      <c r="E116" s="107">
        <v>1060.6665674788662</v>
      </c>
      <c r="F116" s="108">
        <v>1406.7731190452514</v>
      </c>
      <c r="G116" s="109">
        <v>1989.4020073595227</v>
      </c>
      <c r="H116" s="114"/>
      <c r="I116" s="113">
        <v>73.423274019658862</v>
      </c>
      <c r="J116" s="114">
        <v>101.40508152167952</v>
      </c>
      <c r="K116" s="109">
        <v>104.30987434905661</v>
      </c>
      <c r="L116" s="114"/>
      <c r="M116" s="113">
        <v>284.79552076800002</v>
      </c>
      <c r="N116" s="114">
        <v>291.31735881599997</v>
      </c>
      <c r="O116" s="109">
        <v>319.63880572800008</v>
      </c>
      <c r="P116" s="119"/>
      <c r="Q116" s="120">
        <v>0.05</v>
      </c>
      <c r="R116" s="120">
        <v>0.05</v>
      </c>
      <c r="S116" s="120">
        <v>0.03</v>
      </c>
      <c r="T116" s="120">
        <v>0.05</v>
      </c>
      <c r="U116" s="120">
        <v>5.0000000000000001E-3</v>
      </c>
      <c r="V116" s="121">
        <f t="shared" si="18"/>
        <v>0</v>
      </c>
      <c r="W116" s="119"/>
      <c r="X116" s="113">
        <f t="shared" si="12"/>
        <v>1418.8853622665251</v>
      </c>
      <c r="Y116" s="113">
        <f t="shared" si="13"/>
        <v>1799.4955593829309</v>
      </c>
      <c r="Z116" s="113">
        <f t="shared" si="14"/>
        <v>2413.3506874365794</v>
      </c>
      <c r="AA116" s="22"/>
      <c r="AB116" s="22"/>
      <c r="AC116" s="22"/>
      <c r="AD116" s="22"/>
      <c r="AE116" s="22"/>
      <c r="AF116" s="22"/>
      <c r="AG116" s="22"/>
      <c r="AH116" s="22"/>
      <c r="AI116" s="22"/>
      <c r="AJ116" s="22"/>
      <c r="AK116" s="22"/>
      <c r="AL116" s="22"/>
      <c r="AM116" s="22"/>
      <c r="AN116" s="22"/>
      <c r="AO116" s="22"/>
      <c r="AP116" s="22"/>
      <c r="AQ116" s="22"/>
      <c r="AR116" s="22"/>
    </row>
    <row r="117" spans="1:44" hidden="1" x14ac:dyDescent="0.25">
      <c r="A117" s="16"/>
      <c r="B117" s="3" t="s">
        <v>180</v>
      </c>
      <c r="C117" s="3" t="s">
        <v>187</v>
      </c>
      <c r="D117" s="11" t="s">
        <v>8</v>
      </c>
      <c r="E117" s="107">
        <v>899.18778447538546</v>
      </c>
      <c r="F117" s="108">
        <v>1276.643287369468</v>
      </c>
      <c r="G117" s="109">
        <v>1940.6529726205868</v>
      </c>
      <c r="H117" s="114"/>
      <c r="I117" s="113">
        <v>58.924800000000005</v>
      </c>
      <c r="J117" s="114">
        <v>81.381199999999993</v>
      </c>
      <c r="K117" s="109">
        <v>83.712400000000002</v>
      </c>
      <c r="L117" s="114"/>
      <c r="M117" s="113">
        <v>196.079904</v>
      </c>
      <c r="N117" s="114">
        <v>200.57014799999996</v>
      </c>
      <c r="O117" s="109">
        <v>220.06928400000001</v>
      </c>
      <c r="P117" s="119"/>
      <c r="Q117" s="120">
        <v>0.05</v>
      </c>
      <c r="R117" s="120">
        <v>0.02</v>
      </c>
      <c r="S117" s="120">
        <v>0.04</v>
      </c>
      <c r="T117" s="120">
        <v>0.02</v>
      </c>
      <c r="U117" s="120">
        <v>0.02</v>
      </c>
      <c r="V117" s="121">
        <f t="shared" si="18"/>
        <v>0</v>
      </c>
      <c r="W117" s="119"/>
      <c r="X117" s="113">
        <f t="shared" si="12"/>
        <v>1154.1924884753855</v>
      </c>
      <c r="Y117" s="113">
        <f t="shared" si="13"/>
        <v>1558.5946353694681</v>
      </c>
      <c r="Z117" s="113">
        <f t="shared" si="14"/>
        <v>2244.4346566205868</v>
      </c>
      <c r="AA117" s="22"/>
      <c r="AB117" s="22"/>
      <c r="AC117" s="22"/>
      <c r="AD117" s="22"/>
      <c r="AE117" s="22"/>
      <c r="AF117" s="22"/>
      <c r="AG117" s="22"/>
      <c r="AH117" s="22"/>
      <c r="AI117" s="22"/>
      <c r="AJ117" s="22"/>
      <c r="AK117" s="22"/>
      <c r="AL117" s="22"/>
      <c r="AM117" s="22"/>
      <c r="AN117" s="22"/>
      <c r="AO117" s="22"/>
      <c r="AP117" s="22"/>
      <c r="AQ117" s="22"/>
      <c r="AR117" s="22"/>
    </row>
    <row r="118" spans="1:44" hidden="1" x14ac:dyDescent="0.25">
      <c r="A118" s="16"/>
      <c r="B118" s="3" t="s">
        <v>180</v>
      </c>
      <c r="C118" s="3" t="s">
        <v>188</v>
      </c>
      <c r="D118" s="11" t="s">
        <v>8</v>
      </c>
      <c r="E118" s="107">
        <v>862.40045574838393</v>
      </c>
      <c r="F118" s="108">
        <v>1223.1128008702137</v>
      </c>
      <c r="G118" s="109">
        <v>1856.7166185629042</v>
      </c>
      <c r="H118" s="114"/>
      <c r="I118" s="113">
        <v>57.024000000000001</v>
      </c>
      <c r="J118" s="114">
        <v>78.755999999999986</v>
      </c>
      <c r="K118" s="109">
        <v>81.012</v>
      </c>
      <c r="L118" s="114"/>
      <c r="M118" s="113">
        <v>192.69921599999998</v>
      </c>
      <c r="N118" s="114">
        <v>197.11204199999997</v>
      </c>
      <c r="O118" s="109">
        <v>216.27498599999998</v>
      </c>
      <c r="P118" s="119"/>
      <c r="Q118" s="120">
        <v>0.05</v>
      </c>
      <c r="R118" s="120">
        <v>0.02</v>
      </c>
      <c r="S118" s="120">
        <v>0.04</v>
      </c>
      <c r="T118" s="120">
        <v>0.02</v>
      </c>
      <c r="U118" s="120">
        <v>0.02</v>
      </c>
      <c r="V118" s="121">
        <f t="shared" si="18"/>
        <v>0</v>
      </c>
      <c r="W118" s="119"/>
      <c r="X118" s="113">
        <f t="shared" si="12"/>
        <v>1112.1236717483839</v>
      </c>
      <c r="Y118" s="113">
        <f t="shared" si="13"/>
        <v>1498.9808428702138</v>
      </c>
      <c r="Z118" s="113">
        <f t="shared" si="14"/>
        <v>2154.003604562904</v>
      </c>
      <c r="AA118" s="22"/>
      <c r="AB118" s="22"/>
      <c r="AC118" s="22"/>
      <c r="AD118" s="22"/>
      <c r="AE118" s="22"/>
      <c r="AF118" s="22"/>
      <c r="AG118" s="22"/>
      <c r="AH118" s="22"/>
      <c r="AI118" s="22"/>
      <c r="AJ118" s="22"/>
      <c r="AK118" s="22"/>
      <c r="AL118" s="22"/>
      <c r="AM118" s="22"/>
      <c r="AN118" s="22"/>
      <c r="AO118" s="22"/>
      <c r="AP118" s="22"/>
      <c r="AQ118" s="22"/>
      <c r="AR118" s="22"/>
    </row>
    <row r="119" spans="1:44" hidden="1" x14ac:dyDescent="0.25">
      <c r="A119" s="16"/>
      <c r="B119" s="3" t="s">
        <v>180</v>
      </c>
      <c r="C119" s="3" t="s">
        <v>189</v>
      </c>
      <c r="D119" s="11" t="s">
        <v>8</v>
      </c>
      <c r="E119" s="107">
        <v>776.72555857782208</v>
      </c>
      <c r="F119" s="108">
        <v>1089.2915621581303</v>
      </c>
      <c r="G119" s="109">
        <v>1730.3081148184986</v>
      </c>
      <c r="H119" s="114"/>
      <c r="I119" s="113">
        <v>58.924800000000005</v>
      </c>
      <c r="J119" s="114">
        <v>81.381199999999993</v>
      </c>
      <c r="K119" s="109">
        <v>83.712400000000002</v>
      </c>
      <c r="L119" s="114"/>
      <c r="M119" s="113">
        <v>189.31852800000001</v>
      </c>
      <c r="N119" s="114">
        <v>193.65393599999999</v>
      </c>
      <c r="O119" s="109">
        <v>212.48068800000004</v>
      </c>
      <c r="P119" s="119"/>
      <c r="Q119" s="120">
        <v>0.05</v>
      </c>
      <c r="R119" s="120">
        <v>0.02</v>
      </c>
      <c r="S119" s="120">
        <v>0.04</v>
      </c>
      <c r="T119" s="120">
        <v>0.02</v>
      </c>
      <c r="U119" s="120">
        <v>0.02</v>
      </c>
      <c r="V119" s="121">
        <f t="shared" si="18"/>
        <v>0</v>
      </c>
      <c r="W119" s="119"/>
      <c r="X119" s="113">
        <f t="shared" si="12"/>
        <v>1024.9688865778221</v>
      </c>
      <c r="Y119" s="113">
        <f t="shared" si="13"/>
        <v>1364.3266981581303</v>
      </c>
      <c r="Z119" s="113">
        <f t="shared" si="14"/>
        <v>2026.5012028184988</v>
      </c>
      <c r="AA119" s="22"/>
      <c r="AB119" s="22"/>
      <c r="AC119" s="22"/>
      <c r="AD119" s="22"/>
      <c r="AE119" s="22"/>
      <c r="AF119" s="22"/>
      <c r="AG119" s="22"/>
      <c r="AH119" s="22"/>
      <c r="AI119" s="22"/>
      <c r="AJ119" s="22"/>
      <c r="AK119" s="22"/>
      <c r="AL119" s="22"/>
      <c r="AM119" s="22"/>
      <c r="AN119" s="22"/>
      <c r="AO119" s="22"/>
      <c r="AP119" s="22"/>
      <c r="AQ119" s="22"/>
      <c r="AR119" s="22"/>
    </row>
    <row r="120" spans="1:44" hidden="1" x14ac:dyDescent="0.25">
      <c r="A120" s="16"/>
      <c r="B120" s="3" t="s">
        <v>190</v>
      </c>
      <c r="C120" s="3" t="s">
        <v>191</v>
      </c>
      <c r="D120" s="11" t="s">
        <v>8</v>
      </c>
      <c r="E120" s="107">
        <v>518.40874191944306</v>
      </c>
      <c r="F120" s="108">
        <v>638.70439184485326</v>
      </c>
      <c r="G120" s="109">
        <v>986.48250820487317</v>
      </c>
      <c r="H120" s="114"/>
      <c r="I120" s="113">
        <v>25.660800000000002</v>
      </c>
      <c r="J120" s="114">
        <v>35.440199999999997</v>
      </c>
      <c r="K120" s="109">
        <v>36.455400000000004</v>
      </c>
      <c r="L120" s="114"/>
      <c r="M120" s="113">
        <v>99.39980684643551</v>
      </c>
      <c r="N120" s="114">
        <v>101.67606962088773</v>
      </c>
      <c r="O120" s="109">
        <v>111.5608681776658</v>
      </c>
      <c r="P120" s="119"/>
      <c r="Q120" s="120">
        <v>0.03</v>
      </c>
      <c r="R120" s="120">
        <v>1.4999999999999999E-2</v>
      </c>
      <c r="S120" s="120">
        <v>0.05</v>
      </c>
      <c r="T120" s="120">
        <v>2.5000000000000001E-2</v>
      </c>
      <c r="U120" s="120">
        <v>0.03</v>
      </c>
      <c r="V120" s="121">
        <f t="shared" si="18"/>
        <v>0</v>
      </c>
      <c r="W120" s="119"/>
      <c r="X120" s="113">
        <f t="shared" si="12"/>
        <v>643.46934876587852</v>
      </c>
      <c r="Y120" s="113">
        <f t="shared" si="13"/>
        <v>775.82066146574095</v>
      </c>
      <c r="Z120" s="113">
        <f t="shared" si="14"/>
        <v>1134.4987763825391</v>
      </c>
      <c r="AA120" s="22"/>
      <c r="AB120" s="22"/>
      <c r="AC120" s="22"/>
      <c r="AD120" s="22"/>
      <c r="AE120" s="22"/>
      <c r="AF120" s="22"/>
      <c r="AG120" s="22"/>
      <c r="AH120" s="22"/>
      <c r="AI120" s="22"/>
      <c r="AJ120" s="22"/>
      <c r="AK120" s="22"/>
      <c r="AL120" s="22"/>
      <c r="AM120" s="22"/>
      <c r="AN120" s="22"/>
      <c r="AO120" s="22"/>
      <c r="AP120" s="22"/>
      <c r="AQ120" s="22"/>
      <c r="AR120" s="22"/>
    </row>
    <row r="121" spans="1:44" hidden="1" x14ac:dyDescent="0.25">
      <c r="A121" s="21"/>
      <c r="B121" s="3" t="s">
        <v>190</v>
      </c>
      <c r="C121" s="3" t="s">
        <v>192</v>
      </c>
      <c r="D121" s="11" t="s">
        <v>8</v>
      </c>
      <c r="E121" s="107">
        <v>513.27598209845848</v>
      </c>
      <c r="F121" s="108">
        <v>632.38058598500322</v>
      </c>
      <c r="G121" s="109">
        <v>976.71535465829027</v>
      </c>
      <c r="H121" s="114"/>
      <c r="I121" s="113">
        <v>25.406732673267328</v>
      </c>
      <c r="J121" s="114">
        <v>35.08930693069307</v>
      </c>
      <c r="K121" s="109">
        <v>36.094455445544561</v>
      </c>
      <c r="L121" s="114"/>
      <c r="M121" s="113">
        <v>98.415650343005453</v>
      </c>
      <c r="N121" s="114">
        <v>100.66937586226508</v>
      </c>
      <c r="O121" s="109">
        <v>110.45630512640177</v>
      </c>
      <c r="P121" s="119"/>
      <c r="Q121" s="120">
        <v>0.03</v>
      </c>
      <c r="R121" s="120">
        <v>1.4999999999999999E-2</v>
      </c>
      <c r="S121" s="120">
        <v>0.05</v>
      </c>
      <c r="T121" s="120">
        <v>2.5000000000000001E-2</v>
      </c>
      <c r="U121" s="120">
        <v>0.03</v>
      </c>
      <c r="V121" s="121">
        <f t="shared" si="18"/>
        <v>0</v>
      </c>
      <c r="W121" s="119"/>
      <c r="X121" s="113">
        <f t="shared" si="12"/>
        <v>637.09836511473134</v>
      </c>
      <c r="Y121" s="113">
        <f t="shared" si="13"/>
        <v>768.13926877796132</v>
      </c>
      <c r="Z121" s="113">
        <f t="shared" si="14"/>
        <v>1123.2661152302367</v>
      </c>
      <c r="AA121" s="22"/>
      <c r="AB121" s="22"/>
      <c r="AC121" s="22"/>
      <c r="AD121" s="22"/>
      <c r="AE121" s="22"/>
      <c r="AF121" s="22"/>
      <c r="AG121" s="22"/>
      <c r="AH121" s="22"/>
      <c r="AI121" s="22"/>
      <c r="AJ121" s="22"/>
      <c r="AK121" s="22"/>
      <c r="AL121" s="22"/>
      <c r="AM121" s="22"/>
      <c r="AN121" s="22"/>
      <c r="AO121" s="22"/>
      <c r="AP121" s="22"/>
      <c r="AQ121" s="22"/>
      <c r="AR121" s="22"/>
    </row>
    <row r="122" spans="1:44" hidden="1" x14ac:dyDescent="0.25">
      <c r="A122" s="21"/>
      <c r="B122" s="3" t="s">
        <v>190</v>
      </c>
      <c r="C122" s="3" t="s">
        <v>193</v>
      </c>
      <c r="D122" s="11" t="s">
        <v>8</v>
      </c>
      <c r="E122" s="107">
        <v>513.27598209845848</v>
      </c>
      <c r="F122" s="108">
        <v>632.38058598500322</v>
      </c>
      <c r="G122" s="109">
        <v>976.71535465829027</v>
      </c>
      <c r="H122" s="114"/>
      <c r="I122" s="113">
        <v>25.406732673267328</v>
      </c>
      <c r="J122" s="114">
        <v>35.08930693069307</v>
      </c>
      <c r="K122" s="109">
        <v>36.094455445544561</v>
      </c>
      <c r="L122" s="114"/>
      <c r="M122" s="113">
        <v>98.415650343005453</v>
      </c>
      <c r="N122" s="114">
        <v>100.66937586226508</v>
      </c>
      <c r="O122" s="109">
        <v>110.45630512640177</v>
      </c>
      <c r="P122" s="119"/>
      <c r="Q122" s="120">
        <v>0.03</v>
      </c>
      <c r="R122" s="120">
        <v>1.4999999999999999E-2</v>
      </c>
      <c r="S122" s="120">
        <v>0.05</v>
      </c>
      <c r="T122" s="120">
        <v>2.5000000000000001E-2</v>
      </c>
      <c r="U122" s="120">
        <v>0.03</v>
      </c>
      <c r="V122" s="121">
        <f t="shared" si="18"/>
        <v>0</v>
      </c>
      <c r="W122" s="119"/>
      <c r="X122" s="113">
        <f t="shared" si="12"/>
        <v>637.09836511473134</v>
      </c>
      <c r="Y122" s="113">
        <f t="shared" si="13"/>
        <v>768.13926877796132</v>
      </c>
      <c r="Z122" s="113">
        <f t="shared" si="14"/>
        <v>1123.2661152302367</v>
      </c>
      <c r="AA122" s="22"/>
      <c r="AB122" s="22"/>
      <c r="AC122" s="22"/>
      <c r="AD122" s="22"/>
      <c r="AE122" s="22"/>
      <c r="AF122" s="22"/>
      <c r="AG122" s="22"/>
      <c r="AH122" s="22"/>
      <c r="AI122" s="22"/>
      <c r="AJ122" s="22"/>
      <c r="AK122" s="22"/>
      <c r="AL122" s="22"/>
      <c r="AM122" s="22"/>
      <c r="AN122" s="22"/>
      <c r="AO122" s="22"/>
      <c r="AP122" s="22"/>
      <c r="AQ122" s="22"/>
      <c r="AR122" s="22"/>
    </row>
    <row r="123" spans="1:44" hidden="1" x14ac:dyDescent="0.25">
      <c r="A123" s="21"/>
      <c r="B123" s="3" t="s">
        <v>190</v>
      </c>
      <c r="C123" s="3" t="s">
        <v>194</v>
      </c>
      <c r="D123" s="11" t="s">
        <v>8</v>
      </c>
      <c r="E123" s="107">
        <v>508.24386462690495</v>
      </c>
      <c r="F123" s="108">
        <v>626.18077631848359</v>
      </c>
      <c r="G123" s="109">
        <v>967.13971392634619</v>
      </c>
      <c r="H123" s="114"/>
      <c r="I123" s="113">
        <v>25.157647058823532</v>
      </c>
      <c r="J123" s="114">
        <v>34.745294117647056</v>
      </c>
      <c r="K123" s="109">
        <v>35.740588235294119</v>
      </c>
      <c r="L123" s="114"/>
      <c r="M123" s="113">
        <v>97.450791025917169</v>
      </c>
      <c r="N123" s="114">
        <v>99.682421196948752</v>
      </c>
      <c r="O123" s="109">
        <v>109.37340017418215</v>
      </c>
      <c r="P123" s="119"/>
      <c r="Q123" s="120">
        <v>0.03</v>
      </c>
      <c r="R123" s="120">
        <v>1.4999999999999999E-2</v>
      </c>
      <c r="S123" s="120">
        <v>0.05</v>
      </c>
      <c r="T123" s="120">
        <v>2.5000000000000001E-2</v>
      </c>
      <c r="U123" s="120">
        <v>0.03</v>
      </c>
      <c r="V123" s="121">
        <f t="shared" si="18"/>
        <v>0</v>
      </c>
      <c r="W123" s="119"/>
      <c r="X123" s="113">
        <f t="shared" si="12"/>
        <v>630.85230271164562</v>
      </c>
      <c r="Y123" s="113">
        <f t="shared" si="13"/>
        <v>760.60849163307944</v>
      </c>
      <c r="Z123" s="113">
        <f t="shared" si="14"/>
        <v>1112.2537023358225</v>
      </c>
      <c r="AA123" s="22"/>
      <c r="AB123" s="22"/>
      <c r="AC123" s="22"/>
      <c r="AD123" s="22"/>
      <c r="AE123" s="22"/>
      <c r="AF123" s="22"/>
      <c r="AG123" s="22"/>
      <c r="AH123" s="22"/>
      <c r="AI123" s="22"/>
      <c r="AJ123" s="22"/>
      <c r="AK123" s="22"/>
      <c r="AL123" s="22"/>
      <c r="AM123" s="22"/>
      <c r="AN123" s="22"/>
      <c r="AO123" s="22"/>
      <c r="AP123" s="22"/>
      <c r="AQ123" s="22"/>
      <c r="AR123" s="22"/>
    </row>
    <row r="124" spans="1:44" hidden="1" x14ac:dyDescent="0.25">
      <c r="A124" s="21"/>
      <c r="B124" s="3" t="s">
        <v>190</v>
      </c>
      <c r="C124" s="3" t="s">
        <v>195</v>
      </c>
      <c r="D124" s="11" t="s">
        <v>8</v>
      </c>
      <c r="E124" s="107">
        <v>559.88144127299859</v>
      </c>
      <c r="F124" s="108">
        <v>689.80074319244159</v>
      </c>
      <c r="G124" s="109">
        <v>1065.4011088612631</v>
      </c>
      <c r="H124" s="114"/>
      <c r="I124" s="113">
        <v>27.713664000000005</v>
      </c>
      <c r="J124" s="114">
        <v>38.275416</v>
      </c>
      <c r="K124" s="109">
        <v>39.371832000000005</v>
      </c>
      <c r="L124" s="114"/>
      <c r="M124" s="113">
        <v>107.35179139415035</v>
      </c>
      <c r="N124" s="114">
        <v>109.81015519055876</v>
      </c>
      <c r="O124" s="109">
        <v>120.48573763187906</v>
      </c>
      <c r="P124" s="119"/>
      <c r="Q124" s="120">
        <v>0.03</v>
      </c>
      <c r="R124" s="120">
        <v>1.4999999999999999E-2</v>
      </c>
      <c r="S124" s="120">
        <v>0.05</v>
      </c>
      <c r="T124" s="120">
        <v>2.5000000000000001E-2</v>
      </c>
      <c r="U124" s="120">
        <v>0.03</v>
      </c>
      <c r="V124" s="121">
        <f t="shared" si="18"/>
        <v>0</v>
      </c>
      <c r="W124" s="119"/>
      <c r="X124" s="113">
        <f t="shared" si="12"/>
        <v>694.94689666714896</v>
      </c>
      <c r="Y124" s="113">
        <f t="shared" si="13"/>
        <v>837.88631438300035</v>
      </c>
      <c r="Z124" s="113">
        <f t="shared" si="14"/>
        <v>1225.2586784931423</v>
      </c>
      <c r="AA124" s="22"/>
      <c r="AB124" s="22"/>
      <c r="AC124" s="22"/>
      <c r="AD124" s="22"/>
      <c r="AE124" s="22"/>
      <c r="AF124" s="22"/>
      <c r="AG124" s="22"/>
      <c r="AH124" s="22"/>
      <c r="AI124" s="22"/>
      <c r="AJ124" s="22"/>
      <c r="AK124" s="22"/>
      <c r="AL124" s="22"/>
      <c r="AM124" s="22"/>
      <c r="AN124" s="22"/>
      <c r="AO124" s="22"/>
      <c r="AP124" s="22"/>
      <c r="AQ124" s="22"/>
      <c r="AR124" s="22"/>
    </row>
    <row r="125" spans="1:44" hidden="1" x14ac:dyDescent="0.25">
      <c r="A125" s="21"/>
      <c r="B125" s="3" t="s">
        <v>190</v>
      </c>
      <c r="C125" s="3" t="s">
        <v>196</v>
      </c>
      <c r="D125" s="11" t="s">
        <v>8</v>
      </c>
      <c r="E125" s="107">
        <v>544.32917901541521</v>
      </c>
      <c r="F125" s="108">
        <v>670.63961143709594</v>
      </c>
      <c r="G125" s="109">
        <v>1035.8066336151169</v>
      </c>
      <c r="H125" s="114"/>
      <c r="I125" s="113">
        <v>26.943840000000002</v>
      </c>
      <c r="J125" s="114">
        <v>37.212209999999999</v>
      </c>
      <c r="K125" s="109">
        <v>38.278170000000003</v>
      </c>
      <c r="L125" s="114"/>
      <c r="M125" s="113">
        <v>104.36979718875729</v>
      </c>
      <c r="N125" s="114">
        <v>106.75987310193211</v>
      </c>
      <c r="O125" s="109">
        <v>117.13891158654909</v>
      </c>
      <c r="P125" s="119"/>
      <c r="Q125" s="120">
        <v>0.03</v>
      </c>
      <c r="R125" s="120">
        <v>1.4999999999999999E-2</v>
      </c>
      <c r="S125" s="120">
        <v>0.05</v>
      </c>
      <c r="T125" s="120">
        <v>2.5000000000000001E-2</v>
      </c>
      <c r="U125" s="120">
        <v>0.03</v>
      </c>
      <c r="V125" s="121">
        <f t="shared" si="18"/>
        <v>0</v>
      </c>
      <c r="W125" s="119"/>
      <c r="X125" s="113">
        <f t="shared" si="12"/>
        <v>675.6428162041725</v>
      </c>
      <c r="Y125" s="113">
        <f t="shared" si="13"/>
        <v>814.61169453902812</v>
      </c>
      <c r="Z125" s="113">
        <f t="shared" si="14"/>
        <v>1191.223715201666</v>
      </c>
      <c r="AA125" s="22"/>
      <c r="AB125" s="22"/>
      <c r="AC125" s="22"/>
      <c r="AD125" s="22"/>
      <c r="AE125" s="22"/>
      <c r="AF125" s="22"/>
      <c r="AG125" s="22"/>
      <c r="AH125" s="22"/>
      <c r="AI125" s="22"/>
      <c r="AJ125" s="22"/>
      <c r="AK125" s="22"/>
      <c r="AL125" s="22"/>
      <c r="AM125" s="22"/>
      <c r="AN125" s="22"/>
      <c r="AO125" s="22"/>
      <c r="AP125" s="22"/>
      <c r="AQ125" s="22"/>
      <c r="AR125" s="22"/>
    </row>
    <row r="126" spans="1:44" hidden="1" x14ac:dyDescent="0.25">
      <c r="A126" s="21"/>
      <c r="B126" s="3" t="s">
        <v>190</v>
      </c>
      <c r="C126" s="3" t="s">
        <v>197</v>
      </c>
      <c r="D126" s="11" t="s">
        <v>8</v>
      </c>
      <c r="E126" s="107">
        <v>513.27598209845848</v>
      </c>
      <c r="F126" s="108">
        <v>632.38058598500322</v>
      </c>
      <c r="G126" s="109">
        <v>976.71535465829027</v>
      </c>
      <c r="H126" s="114"/>
      <c r="I126" s="113">
        <v>25.406732673267328</v>
      </c>
      <c r="J126" s="114">
        <v>35.08930693069307</v>
      </c>
      <c r="K126" s="109">
        <v>36.094455445544561</v>
      </c>
      <c r="L126" s="114"/>
      <c r="M126" s="113">
        <v>98.415650343005453</v>
      </c>
      <c r="N126" s="114">
        <v>100.66937586226508</v>
      </c>
      <c r="O126" s="109">
        <v>110.45630512640177</v>
      </c>
      <c r="P126" s="119"/>
      <c r="Q126" s="120">
        <v>0.03</v>
      </c>
      <c r="R126" s="120">
        <v>1.4999999999999999E-2</v>
      </c>
      <c r="S126" s="120">
        <v>0.05</v>
      </c>
      <c r="T126" s="120">
        <v>2.5000000000000001E-2</v>
      </c>
      <c r="U126" s="120">
        <v>0.03</v>
      </c>
      <c r="V126" s="121">
        <f t="shared" si="18"/>
        <v>0</v>
      </c>
      <c r="W126" s="119"/>
      <c r="X126" s="113">
        <f t="shared" si="12"/>
        <v>637.09836511473134</v>
      </c>
      <c r="Y126" s="113">
        <f t="shared" si="13"/>
        <v>768.13926877796132</v>
      </c>
      <c r="Z126" s="113">
        <f t="shared" si="14"/>
        <v>1123.2661152302367</v>
      </c>
      <c r="AA126" s="22"/>
      <c r="AB126" s="22"/>
      <c r="AC126" s="22"/>
      <c r="AD126" s="22"/>
      <c r="AE126" s="22"/>
      <c r="AF126" s="22"/>
      <c r="AG126" s="22"/>
      <c r="AH126" s="22"/>
      <c r="AI126" s="22"/>
      <c r="AJ126" s="22"/>
      <c r="AK126" s="22"/>
      <c r="AL126" s="22"/>
      <c r="AM126" s="22"/>
      <c r="AN126" s="22"/>
      <c r="AO126" s="22"/>
      <c r="AP126" s="22"/>
      <c r="AQ126" s="22"/>
      <c r="AR126" s="22"/>
    </row>
    <row r="127" spans="1:44" hidden="1" x14ac:dyDescent="0.25">
      <c r="A127" s="16"/>
      <c r="B127" s="3" t="s">
        <v>198</v>
      </c>
      <c r="C127" s="3" t="s">
        <v>199</v>
      </c>
      <c r="D127" s="11" t="s">
        <v>8</v>
      </c>
      <c r="E127" s="107">
        <v>994.45204850187952</v>
      </c>
      <c r="F127" s="108">
        <v>1076.2543262284632</v>
      </c>
      <c r="G127" s="109">
        <v>1438.4205608455891</v>
      </c>
      <c r="H127" s="114"/>
      <c r="I127" s="113">
        <v>44.668799999999997</v>
      </c>
      <c r="J127" s="114">
        <v>61.692199999999993</v>
      </c>
      <c r="K127" s="109">
        <v>63.459400000000002</v>
      </c>
      <c r="L127" s="114"/>
      <c r="M127" s="113">
        <v>167.04576</v>
      </c>
      <c r="N127" s="114">
        <v>170.87111999999999</v>
      </c>
      <c r="O127" s="109">
        <v>187.48295999999999</v>
      </c>
      <c r="P127" s="119"/>
      <c r="Q127" s="120">
        <v>2.1000000000000001E-2</v>
      </c>
      <c r="R127" s="120">
        <v>1.4E-2</v>
      </c>
      <c r="S127" s="120">
        <v>2.1000000000000001E-2</v>
      </c>
      <c r="T127" s="120">
        <v>1.4E-2</v>
      </c>
      <c r="U127" s="120">
        <v>3.5000000000000003E-2</v>
      </c>
      <c r="V127" s="121">
        <f>SUBTOTAL(9,Q127:U127)</f>
        <v>0</v>
      </c>
      <c r="W127" s="119"/>
      <c r="X127" s="113">
        <f t="shared" si="12"/>
        <v>1206.1666085018794</v>
      </c>
      <c r="Y127" s="113">
        <f t="shared" si="13"/>
        <v>1308.8176462284632</v>
      </c>
      <c r="Z127" s="113">
        <f t="shared" si="14"/>
        <v>1689.3629208455891</v>
      </c>
      <c r="AA127" s="22"/>
      <c r="AB127" s="22"/>
      <c r="AC127" s="22"/>
      <c r="AD127" s="22"/>
      <c r="AE127" s="22"/>
      <c r="AF127" s="22"/>
      <c r="AG127" s="22"/>
      <c r="AH127" s="22"/>
      <c r="AI127" s="22"/>
      <c r="AJ127" s="22"/>
      <c r="AK127" s="22"/>
      <c r="AL127" s="22"/>
      <c r="AM127" s="22"/>
      <c r="AN127" s="22"/>
      <c r="AO127" s="22"/>
      <c r="AP127" s="22"/>
      <c r="AQ127" s="22"/>
      <c r="AR127" s="22"/>
    </row>
    <row r="128" spans="1:44" hidden="1" x14ac:dyDescent="0.25">
      <c r="A128" s="16"/>
      <c r="B128" s="3" t="s">
        <v>200</v>
      </c>
      <c r="C128" s="3" t="s">
        <v>201</v>
      </c>
      <c r="D128" s="11" t="s">
        <v>8</v>
      </c>
      <c r="E128" s="107">
        <v>1441.4861540527099</v>
      </c>
      <c r="F128" s="108">
        <v>1763.3797524614617</v>
      </c>
      <c r="G128" s="109">
        <v>2482.5079315763301</v>
      </c>
      <c r="H128" s="114"/>
      <c r="I128" s="113">
        <v>102.10122872110331</v>
      </c>
      <c r="J128" s="114">
        <v>141.01228200686046</v>
      </c>
      <c r="K128" s="109">
        <v>145.05164038219033</v>
      </c>
      <c r="L128" s="114"/>
      <c r="M128" s="113">
        <v>378.09763145775258</v>
      </c>
      <c r="N128" s="114">
        <v>386.7560945966747</v>
      </c>
      <c r="O128" s="109">
        <v>424.35595560574887</v>
      </c>
      <c r="P128" s="119"/>
      <c r="Q128" s="120">
        <v>0.1</v>
      </c>
      <c r="R128" s="120">
        <v>0.02</v>
      </c>
      <c r="S128" s="120">
        <v>0.1</v>
      </c>
      <c r="T128" s="120">
        <v>0.02</v>
      </c>
      <c r="U128" s="120">
        <v>2.5000000000000001E-2</v>
      </c>
      <c r="V128" s="121">
        <f t="shared" si="18"/>
        <v>0</v>
      </c>
      <c r="W128" s="119"/>
      <c r="X128" s="113">
        <f t="shared" si="12"/>
        <v>1921.6850142315659</v>
      </c>
      <c r="Y128" s="113">
        <f t="shared" si="13"/>
        <v>2291.1481290649967</v>
      </c>
      <c r="Z128" s="113">
        <f t="shared" si="14"/>
        <v>3051.9155275642693</v>
      </c>
      <c r="AA128" s="22"/>
      <c r="AB128" s="22"/>
      <c r="AC128" s="22"/>
      <c r="AD128" s="22"/>
      <c r="AE128" s="22"/>
      <c r="AF128" s="22"/>
      <c r="AG128" s="22"/>
      <c r="AH128" s="22"/>
      <c r="AI128" s="22"/>
      <c r="AJ128" s="22"/>
      <c r="AK128" s="22"/>
      <c r="AL128" s="22"/>
      <c r="AM128" s="22"/>
      <c r="AN128" s="22"/>
      <c r="AO128" s="22"/>
      <c r="AP128" s="22"/>
      <c r="AQ128" s="22"/>
      <c r="AR128" s="22"/>
    </row>
    <row r="129" spans="1:44" hidden="1" x14ac:dyDescent="0.25">
      <c r="A129" s="16"/>
      <c r="B129" s="3" t="s">
        <v>202</v>
      </c>
      <c r="C129" s="3" t="s">
        <v>203</v>
      </c>
      <c r="D129" s="11" t="s">
        <v>8</v>
      </c>
      <c r="E129" s="107">
        <v>938.79304326205863</v>
      </c>
      <c r="F129" s="108">
        <v>1105.2009696668324</v>
      </c>
      <c r="G129" s="109">
        <v>1538.5297563401293</v>
      </c>
      <c r="H129" s="114"/>
      <c r="I129" s="113">
        <v>44.535780627422724</v>
      </c>
      <c r="J129" s="114">
        <v>61.508486586232181</v>
      </c>
      <c r="K129" s="109">
        <v>63.270424035296891</v>
      </c>
      <c r="L129" s="114"/>
      <c r="M129" s="113">
        <v>167.38485765203467</v>
      </c>
      <c r="N129" s="114">
        <v>171.21798301282078</v>
      </c>
      <c r="O129" s="109">
        <v>187.86354452685367</v>
      </c>
      <c r="P129" s="119"/>
      <c r="Q129" s="120">
        <v>0.03</v>
      </c>
      <c r="R129" s="120">
        <v>1.4999999999999999E-2</v>
      </c>
      <c r="S129" s="120">
        <v>0.02</v>
      </c>
      <c r="T129" s="120">
        <v>0.01</v>
      </c>
      <c r="U129" s="120">
        <v>5.0000000000000001E-3</v>
      </c>
      <c r="V129" s="121">
        <f>SUBTOTAL(9,Q129:U129)</f>
        <v>0</v>
      </c>
      <c r="W129" s="119"/>
      <c r="X129" s="113">
        <f t="shared" si="12"/>
        <v>1150.7136815415161</v>
      </c>
      <c r="Y129" s="113">
        <f t="shared" si="13"/>
        <v>1337.9274392658854</v>
      </c>
      <c r="Z129" s="113">
        <f t="shared" si="14"/>
        <v>1789.6637249022799</v>
      </c>
      <c r="AA129" s="22"/>
      <c r="AB129" s="22"/>
      <c r="AC129" s="22"/>
      <c r="AD129" s="22"/>
      <c r="AE129" s="22"/>
      <c r="AF129" s="22"/>
      <c r="AG129" s="22"/>
      <c r="AH129" s="22"/>
      <c r="AI129" s="22"/>
      <c r="AJ129" s="22"/>
      <c r="AK129" s="22"/>
      <c r="AL129" s="22"/>
      <c r="AM129" s="22"/>
      <c r="AN129" s="22"/>
      <c r="AO129" s="22"/>
      <c r="AP129" s="22"/>
      <c r="AQ129" s="22"/>
      <c r="AR129" s="22"/>
    </row>
    <row r="130" spans="1:44" hidden="1" x14ac:dyDescent="0.25">
      <c r="A130" s="16"/>
      <c r="B130" s="3" t="s">
        <v>204</v>
      </c>
      <c r="C130" s="3" t="s">
        <v>205</v>
      </c>
      <c r="D130" s="11" t="s">
        <v>8</v>
      </c>
      <c r="E130" s="107">
        <v>814.14249627051208</v>
      </c>
      <c r="F130" s="108">
        <v>1093.3321979114869</v>
      </c>
      <c r="G130" s="109">
        <v>1553.6275484833416</v>
      </c>
      <c r="H130" s="114"/>
      <c r="I130" s="113">
        <v>60.255224709519645</v>
      </c>
      <c r="J130" s="114">
        <v>83.218653149953155</v>
      </c>
      <c r="K130" s="109">
        <v>85.602487797552001</v>
      </c>
      <c r="L130" s="114"/>
      <c r="M130" s="113">
        <v>234.23624455159489</v>
      </c>
      <c r="N130" s="114">
        <v>239.60027151317649</v>
      </c>
      <c r="O130" s="109">
        <v>262.89385895108552</v>
      </c>
      <c r="P130" s="119"/>
      <c r="Q130" s="120">
        <v>0.04</v>
      </c>
      <c r="R130" s="120">
        <v>0.03</v>
      </c>
      <c r="S130" s="120">
        <v>0.04</v>
      </c>
      <c r="T130" s="120">
        <v>0.02</v>
      </c>
      <c r="U130" s="120">
        <v>0.02</v>
      </c>
      <c r="V130" s="121">
        <f t="shared" si="18"/>
        <v>0</v>
      </c>
      <c r="W130" s="119"/>
      <c r="X130" s="113">
        <f t="shared" si="12"/>
        <v>1108.6339655316267</v>
      </c>
      <c r="Y130" s="113">
        <f t="shared" si="13"/>
        <v>1416.1511225746165</v>
      </c>
      <c r="Z130" s="113">
        <f t="shared" si="14"/>
        <v>1902.1238952319791</v>
      </c>
      <c r="AA130" s="22"/>
      <c r="AB130" s="22"/>
      <c r="AC130" s="22"/>
      <c r="AD130" s="22"/>
      <c r="AE130" s="22"/>
      <c r="AF130" s="22"/>
      <c r="AG130" s="22"/>
      <c r="AH130" s="22"/>
      <c r="AI130" s="22"/>
      <c r="AJ130" s="22"/>
      <c r="AK130" s="22"/>
      <c r="AL130" s="22"/>
      <c r="AM130" s="22"/>
      <c r="AN130" s="22"/>
      <c r="AO130" s="22"/>
      <c r="AP130" s="22"/>
      <c r="AQ130" s="22"/>
      <c r="AR130" s="22"/>
    </row>
    <row r="131" spans="1:44" hidden="1" x14ac:dyDescent="0.25">
      <c r="A131" s="16"/>
      <c r="B131" s="3" t="s">
        <v>206</v>
      </c>
      <c r="C131" s="3" t="s">
        <v>207</v>
      </c>
      <c r="D131" s="11" t="s">
        <v>8</v>
      </c>
      <c r="E131" s="107">
        <v>761.32215551964202</v>
      </c>
      <c r="F131" s="108">
        <v>979.09215813028345</v>
      </c>
      <c r="G131" s="109">
        <v>1089.5529543759326</v>
      </c>
      <c r="H131" s="114"/>
      <c r="I131" s="113">
        <v>33.264000000000003</v>
      </c>
      <c r="J131" s="114">
        <v>45.940999999999995</v>
      </c>
      <c r="K131" s="109">
        <v>47.256999999999998</v>
      </c>
      <c r="L131" s="114"/>
      <c r="M131" s="113">
        <v>127.6044</v>
      </c>
      <c r="N131" s="114">
        <v>130.52654999999999</v>
      </c>
      <c r="O131" s="109">
        <v>143.21615</v>
      </c>
      <c r="P131" s="119"/>
      <c r="Q131" s="120">
        <v>0.02</v>
      </c>
      <c r="R131" s="120">
        <v>1.4999999999999999E-2</v>
      </c>
      <c r="S131" s="120">
        <v>1.4999999999999999E-2</v>
      </c>
      <c r="T131" s="122" t="s">
        <v>251</v>
      </c>
      <c r="U131" s="122" t="s">
        <v>250</v>
      </c>
      <c r="V131" s="121">
        <f>SUBTOTAL(9,Q131:U131)</f>
        <v>0</v>
      </c>
      <c r="W131" s="119"/>
      <c r="X131" s="113">
        <f t="shared" si="12"/>
        <v>922.19055551964198</v>
      </c>
      <c r="Y131" s="113">
        <f t="shared" si="13"/>
        <v>1155.5597081302835</v>
      </c>
      <c r="Z131" s="113">
        <f t="shared" si="14"/>
        <v>1280.0261043759326</v>
      </c>
      <c r="AA131" s="22"/>
      <c r="AB131" s="22"/>
      <c r="AC131" s="22"/>
      <c r="AD131" s="22"/>
      <c r="AE131" s="22"/>
      <c r="AF131" s="22"/>
      <c r="AG131" s="22"/>
      <c r="AH131" s="22"/>
      <c r="AI131" s="22"/>
      <c r="AJ131" s="22"/>
      <c r="AK131" s="22"/>
      <c r="AL131" s="22"/>
      <c r="AM131" s="22"/>
      <c r="AN131" s="22"/>
      <c r="AO131" s="22"/>
      <c r="AP131" s="22"/>
      <c r="AQ131" s="22"/>
      <c r="AR131" s="22"/>
    </row>
    <row r="132" spans="1:44" hidden="1" x14ac:dyDescent="0.25">
      <c r="A132" s="16"/>
      <c r="B132" s="3" t="s">
        <v>208</v>
      </c>
      <c r="C132" s="3" t="s">
        <v>209</v>
      </c>
      <c r="D132" s="11" t="s">
        <v>8</v>
      </c>
      <c r="E132" s="107">
        <v>720.54624181998997</v>
      </c>
      <c r="F132" s="108">
        <v>771.27427056190936</v>
      </c>
      <c r="G132" s="109">
        <v>1001.7878594231724</v>
      </c>
      <c r="H132" s="114"/>
      <c r="I132" s="113">
        <v>47.52</v>
      </c>
      <c r="J132" s="114">
        <v>65.63</v>
      </c>
      <c r="K132" s="109">
        <v>67.510000000000005</v>
      </c>
      <c r="L132" s="114"/>
      <c r="M132" s="113">
        <v>180.93309600000003</v>
      </c>
      <c r="N132" s="114">
        <v>185.07647700000001</v>
      </c>
      <c r="O132" s="109">
        <v>203.06934100000004</v>
      </c>
      <c r="P132" s="119"/>
      <c r="Q132" s="120">
        <v>0.03</v>
      </c>
      <c r="R132" s="120">
        <v>0.03</v>
      </c>
      <c r="S132" s="120">
        <v>0.03</v>
      </c>
      <c r="T132" s="120">
        <v>0.01</v>
      </c>
      <c r="U132" s="120">
        <v>0.01</v>
      </c>
      <c r="V132" s="121">
        <f t="shared" si="18"/>
        <v>0</v>
      </c>
      <c r="W132" s="119"/>
      <c r="X132" s="113">
        <f t="shared" si="12"/>
        <v>948.99933781998993</v>
      </c>
      <c r="Y132" s="113">
        <f t="shared" si="13"/>
        <v>1021.9807475619093</v>
      </c>
      <c r="Z132" s="113">
        <f t="shared" si="14"/>
        <v>1272.3672004231726</v>
      </c>
      <c r="AA132" s="22"/>
      <c r="AB132" s="22"/>
      <c r="AC132" s="22"/>
      <c r="AD132" s="22"/>
      <c r="AE132" s="22"/>
      <c r="AF132" s="22"/>
      <c r="AG132" s="22"/>
      <c r="AH132" s="22"/>
      <c r="AI132" s="22"/>
      <c r="AJ132" s="22"/>
      <c r="AK132" s="22"/>
      <c r="AL132" s="22"/>
      <c r="AM132" s="22"/>
      <c r="AN132" s="22"/>
      <c r="AO132" s="22"/>
      <c r="AP132" s="22"/>
      <c r="AQ132" s="22"/>
      <c r="AR132" s="22"/>
    </row>
    <row r="133" spans="1:44" hidden="1" x14ac:dyDescent="0.25">
      <c r="A133" s="16"/>
      <c r="B133" s="3" t="s">
        <v>210</v>
      </c>
      <c r="C133" s="3" t="s">
        <v>210</v>
      </c>
      <c r="D133" s="11" t="s">
        <v>8</v>
      </c>
      <c r="E133" s="107">
        <v>1310.2220134261561</v>
      </c>
      <c r="F133" s="108">
        <v>1734.3075131775236</v>
      </c>
      <c r="G133" s="109">
        <v>2044.7764082545996</v>
      </c>
      <c r="H133" s="114"/>
      <c r="I133" s="113">
        <v>85.536000000000001</v>
      </c>
      <c r="J133" s="114">
        <v>118.134</v>
      </c>
      <c r="K133" s="109">
        <v>121.51800000000001</v>
      </c>
      <c r="L133" s="114"/>
      <c r="M133" s="113">
        <v>319.17671999999999</v>
      </c>
      <c r="N133" s="114">
        <v>326.48589000000004</v>
      </c>
      <c r="O133" s="109">
        <v>358.22637000000003</v>
      </c>
      <c r="P133" s="119"/>
      <c r="Q133" s="120">
        <v>7.0000000000000007E-2</v>
      </c>
      <c r="R133" s="120">
        <v>7.0000000000000007E-2</v>
      </c>
      <c r="S133" s="120">
        <v>0.1</v>
      </c>
      <c r="T133" s="120" t="s">
        <v>251</v>
      </c>
      <c r="U133" s="120" t="s">
        <v>250</v>
      </c>
      <c r="V133" s="121">
        <f t="shared" si="18"/>
        <v>0</v>
      </c>
      <c r="W133" s="119"/>
      <c r="X133" s="113">
        <f t="shared" si="12"/>
        <v>1714.9347334261561</v>
      </c>
      <c r="Y133" s="113">
        <f t="shared" si="13"/>
        <v>2178.9274031775235</v>
      </c>
      <c r="Z133" s="113">
        <f t="shared" si="14"/>
        <v>2524.5207782545995</v>
      </c>
      <c r="AA133" s="22"/>
      <c r="AB133" s="22"/>
      <c r="AC133" s="22"/>
      <c r="AD133" s="22"/>
      <c r="AE133" s="22"/>
      <c r="AF133" s="22"/>
      <c r="AG133" s="22"/>
      <c r="AH133" s="22"/>
      <c r="AI133" s="22"/>
      <c r="AJ133" s="22"/>
      <c r="AK133" s="22"/>
      <c r="AL133" s="22"/>
      <c r="AM133" s="22"/>
      <c r="AN133" s="22"/>
      <c r="AO133" s="22"/>
      <c r="AP133" s="22"/>
      <c r="AQ133" s="22"/>
      <c r="AR133" s="22"/>
    </row>
    <row r="134" spans="1:44" hidden="1" x14ac:dyDescent="0.25">
      <c r="A134" s="16"/>
      <c r="B134" s="3" t="s">
        <v>211</v>
      </c>
      <c r="C134" s="3" t="s">
        <v>212</v>
      </c>
      <c r="D134" s="11" t="s">
        <v>8</v>
      </c>
      <c r="E134" s="107">
        <v>1027.6041531824962</v>
      </c>
      <c r="F134" s="108">
        <v>1478.2359327697666</v>
      </c>
      <c r="G134" s="109">
        <v>1582.451336673297</v>
      </c>
      <c r="H134" s="114"/>
      <c r="I134" s="113">
        <v>57.024000000000001</v>
      </c>
      <c r="J134" s="114">
        <v>78.755999999999986</v>
      </c>
      <c r="K134" s="109">
        <v>81.012</v>
      </c>
      <c r="L134" s="114"/>
      <c r="M134" s="113">
        <v>191.77118400000001</v>
      </c>
      <c r="N134" s="114">
        <v>196.162758</v>
      </c>
      <c r="O134" s="109">
        <v>215.23341400000001</v>
      </c>
      <c r="P134" s="119"/>
      <c r="Q134" s="120">
        <v>0.03</v>
      </c>
      <c r="R134" s="120">
        <v>0.02</v>
      </c>
      <c r="S134" s="120">
        <v>0.04</v>
      </c>
      <c r="T134" s="120">
        <v>1.4999999999999999E-2</v>
      </c>
      <c r="U134" s="120">
        <v>1.4999999999999999E-2</v>
      </c>
      <c r="V134" s="121">
        <f t="shared" si="18"/>
        <v>0</v>
      </c>
      <c r="W134" s="119"/>
      <c r="X134" s="113">
        <f t="shared" si="12"/>
        <v>1276.3993371824961</v>
      </c>
      <c r="Y134" s="113">
        <f t="shared" si="13"/>
        <v>1753.1546907697666</v>
      </c>
      <c r="Z134" s="113">
        <f t="shared" si="14"/>
        <v>1878.6967506732969</v>
      </c>
      <c r="AA134" s="22"/>
      <c r="AB134" s="22"/>
      <c r="AC134" s="22"/>
      <c r="AD134" s="22"/>
      <c r="AE134" s="22"/>
      <c r="AF134" s="22"/>
      <c r="AG134" s="22"/>
      <c r="AH134" s="22"/>
      <c r="AI134" s="22"/>
      <c r="AJ134" s="22"/>
      <c r="AK134" s="22"/>
      <c r="AL134" s="22"/>
      <c r="AM134" s="22"/>
      <c r="AN134" s="22"/>
      <c r="AO134" s="22"/>
      <c r="AP134" s="22"/>
      <c r="AQ134" s="22"/>
      <c r="AR134" s="22"/>
    </row>
    <row r="135" spans="1:44" hidden="1" x14ac:dyDescent="0.25">
      <c r="A135" s="16"/>
      <c r="B135" s="3" t="s">
        <v>213</v>
      </c>
      <c r="C135" s="3" t="s">
        <v>214</v>
      </c>
      <c r="D135" s="11" t="s">
        <v>8</v>
      </c>
      <c r="E135" s="107">
        <v>719.30217544505217</v>
      </c>
      <c r="F135" s="108">
        <v>906.1576564395823</v>
      </c>
      <c r="G135" s="109">
        <v>1351.6231607458974</v>
      </c>
      <c r="H135" s="114"/>
      <c r="I135" s="113">
        <v>49.420800000000007</v>
      </c>
      <c r="J135" s="114">
        <v>68.255200000000002</v>
      </c>
      <c r="K135" s="109">
        <v>70.210400000000007</v>
      </c>
      <c r="L135" s="114"/>
      <c r="M135" s="113">
        <v>183.78220319467542</v>
      </c>
      <c r="N135" s="114">
        <v>187.99082895574099</v>
      </c>
      <c r="O135" s="109">
        <v>206.26702198403123</v>
      </c>
      <c r="P135" s="119"/>
      <c r="Q135" s="120">
        <v>0.04</v>
      </c>
      <c r="R135" s="120">
        <v>0.02</v>
      </c>
      <c r="S135" s="120">
        <v>0.04</v>
      </c>
      <c r="T135" s="120">
        <v>0.02</v>
      </c>
      <c r="U135" s="120">
        <v>0.02</v>
      </c>
      <c r="V135" s="121">
        <f t="shared" si="18"/>
        <v>0</v>
      </c>
      <c r="W135" s="119"/>
      <c r="X135" s="113">
        <f t="shared" si="12"/>
        <v>952.50517863972755</v>
      </c>
      <c r="Y135" s="113">
        <f t="shared" si="13"/>
        <v>1162.4036853953235</v>
      </c>
      <c r="Z135" s="113">
        <f t="shared" si="14"/>
        <v>1628.1005827299286</v>
      </c>
      <c r="AA135" s="22"/>
      <c r="AB135" s="22"/>
      <c r="AC135" s="22"/>
      <c r="AD135" s="22"/>
      <c r="AE135" s="22"/>
      <c r="AF135" s="22"/>
      <c r="AG135" s="22"/>
      <c r="AH135" s="22"/>
      <c r="AI135" s="22"/>
      <c r="AJ135" s="22"/>
      <c r="AK135" s="22"/>
      <c r="AL135" s="22"/>
      <c r="AM135" s="22"/>
      <c r="AN135" s="22"/>
      <c r="AO135" s="22"/>
      <c r="AP135" s="22"/>
      <c r="AQ135" s="22"/>
      <c r="AR135" s="22"/>
    </row>
    <row r="136" spans="1:44" hidden="1" x14ac:dyDescent="0.25">
      <c r="A136" s="16"/>
      <c r="B136" s="3" t="s">
        <v>215</v>
      </c>
      <c r="C136" s="3" t="s">
        <v>216</v>
      </c>
      <c r="D136" s="11" t="s">
        <v>8</v>
      </c>
      <c r="E136" s="107">
        <v>605.25191248135252</v>
      </c>
      <c r="F136" s="108">
        <v>836.63430532073596</v>
      </c>
      <c r="G136" s="109">
        <v>1155.8849448035803</v>
      </c>
      <c r="H136" s="114"/>
      <c r="I136" s="113">
        <v>29.902903852964055</v>
      </c>
      <c r="J136" s="114">
        <v>41.298981057871011</v>
      </c>
      <c r="K136" s="109">
        <v>42.482008398855285</v>
      </c>
      <c r="L136" s="114"/>
      <c r="M136" s="113">
        <v>110.73536785143243</v>
      </c>
      <c r="N136" s="114">
        <v>113.27121579372175</v>
      </c>
      <c r="O136" s="109">
        <v>124.28327747723374</v>
      </c>
      <c r="P136" s="119"/>
      <c r="Q136" s="120">
        <v>0.03</v>
      </c>
      <c r="R136" s="120">
        <v>1.4999999999999999E-2</v>
      </c>
      <c r="S136" s="120">
        <v>0.03</v>
      </c>
      <c r="T136" s="120" t="s">
        <v>250</v>
      </c>
      <c r="U136" s="120">
        <v>1.4999999999999999E-2</v>
      </c>
      <c r="V136" s="121">
        <f>SUBTOTAL(9,Q136:U136)</f>
        <v>0</v>
      </c>
      <c r="W136" s="119"/>
      <c r="X136" s="113">
        <f t="shared" si="12"/>
        <v>745.89018418574904</v>
      </c>
      <c r="Y136" s="113">
        <f t="shared" si="13"/>
        <v>991.20450217232883</v>
      </c>
      <c r="Z136" s="113">
        <f t="shared" si="14"/>
        <v>1322.6502306796692</v>
      </c>
      <c r="AA136" s="22"/>
      <c r="AB136" s="22"/>
      <c r="AC136" s="22"/>
      <c r="AD136" s="22"/>
      <c r="AE136" s="22"/>
      <c r="AF136" s="22"/>
      <c r="AG136" s="22"/>
      <c r="AH136" s="22"/>
      <c r="AI136" s="22"/>
      <c r="AJ136" s="22"/>
      <c r="AK136" s="22"/>
      <c r="AL136" s="22"/>
      <c r="AM136" s="22"/>
      <c r="AN136" s="22"/>
      <c r="AO136" s="22"/>
      <c r="AP136" s="22"/>
      <c r="AQ136" s="22"/>
      <c r="AR136" s="22"/>
    </row>
    <row r="137" spans="1:44" hidden="1" x14ac:dyDescent="0.25">
      <c r="A137" s="16"/>
      <c r="B137" s="3" t="s">
        <v>217</v>
      </c>
      <c r="C137" s="3" t="s">
        <v>218</v>
      </c>
      <c r="D137" s="11" t="s">
        <v>8</v>
      </c>
      <c r="E137" s="107">
        <v>474.29589361113875</v>
      </c>
      <c r="F137" s="108">
        <v>571.93005475385382</v>
      </c>
      <c r="G137" s="109">
        <v>851.23458758329184</v>
      </c>
      <c r="H137" s="114"/>
      <c r="I137" s="113">
        <v>35.175506749737814</v>
      </c>
      <c r="J137" s="114">
        <v>48.580987120902613</v>
      </c>
      <c r="K137" s="109">
        <v>49.972610704436022</v>
      </c>
      <c r="L137" s="114"/>
      <c r="M137" s="113">
        <v>134.14906158745211</v>
      </c>
      <c r="N137" s="114">
        <v>137.22108481171216</v>
      </c>
      <c r="O137" s="109">
        <v>150.5615176801723</v>
      </c>
      <c r="P137" s="119"/>
      <c r="Q137" s="120">
        <v>0.03</v>
      </c>
      <c r="R137" s="120">
        <v>0.03</v>
      </c>
      <c r="S137" s="120">
        <v>0.04</v>
      </c>
      <c r="T137" s="120">
        <v>0.03</v>
      </c>
      <c r="U137" s="120">
        <v>1.4999999999999999E-2</v>
      </c>
      <c r="V137" s="121">
        <f>SUBTOTAL(9,Q137:U137)</f>
        <v>0</v>
      </c>
      <c r="W137" s="119"/>
      <c r="X137" s="113">
        <f t="shared" si="12"/>
        <v>643.62046194832863</v>
      </c>
      <c r="Y137" s="113">
        <f t="shared" si="13"/>
        <v>757.73212668646852</v>
      </c>
      <c r="Z137" s="113">
        <f t="shared" si="14"/>
        <v>1051.7687159679001</v>
      </c>
      <c r="AA137" s="22"/>
      <c r="AB137" s="22"/>
      <c r="AC137" s="22"/>
      <c r="AD137" s="22"/>
      <c r="AE137" s="22"/>
      <c r="AF137" s="22"/>
      <c r="AG137" s="22"/>
      <c r="AH137" s="22"/>
      <c r="AI137" s="22"/>
      <c r="AJ137" s="22"/>
      <c r="AK137" s="22"/>
      <c r="AL137" s="22"/>
      <c r="AM137" s="22"/>
      <c r="AN137" s="22"/>
      <c r="AO137" s="22"/>
      <c r="AP137" s="22"/>
      <c r="AQ137" s="22"/>
      <c r="AR137" s="22"/>
    </row>
    <row r="138" spans="1:44" x14ac:dyDescent="0.25">
      <c r="A138" s="16"/>
      <c r="B138" s="3" t="s">
        <v>219</v>
      </c>
      <c r="C138" s="3" t="s">
        <v>220</v>
      </c>
      <c r="D138" s="11" t="s">
        <v>6</v>
      </c>
      <c r="E138" s="107">
        <v>1738.5111138736945</v>
      </c>
      <c r="F138" s="108">
        <v>2193.4802237692688</v>
      </c>
      <c r="G138" s="109">
        <v>2863.8014768771759</v>
      </c>
      <c r="H138" s="114"/>
      <c r="I138" s="113">
        <v>224.61840000000001</v>
      </c>
      <c r="J138" s="114">
        <v>252.55800000000002</v>
      </c>
      <c r="K138" s="109">
        <v>303.09120000000001</v>
      </c>
      <c r="L138" s="114"/>
      <c r="M138" s="113">
        <v>353.64648</v>
      </c>
      <c r="N138" s="114">
        <v>361.74500999999998</v>
      </c>
      <c r="O138" s="109">
        <v>396.91332999999997</v>
      </c>
      <c r="P138" s="119"/>
      <c r="Q138" s="120">
        <v>0.05</v>
      </c>
      <c r="R138" s="120">
        <v>0.01</v>
      </c>
      <c r="S138" s="120">
        <v>0.05</v>
      </c>
      <c r="T138" s="120">
        <v>0.02</v>
      </c>
      <c r="U138" s="120">
        <v>0.02</v>
      </c>
      <c r="V138" s="121">
        <f t="shared" ref="V138:V139" si="19">SUBTOTAL(9,Q138:U138)</f>
        <v>0.15</v>
      </c>
      <c r="W138" s="119"/>
      <c r="X138" s="113">
        <f t="shared" si="12"/>
        <v>2664.2923929547483</v>
      </c>
      <c r="Y138" s="113">
        <f t="shared" si="13"/>
        <v>3228.9507188346588</v>
      </c>
      <c r="Z138" s="113">
        <f t="shared" si="14"/>
        <v>4098.3769079087515</v>
      </c>
      <c r="AA138" s="22"/>
      <c r="AB138" s="22"/>
      <c r="AC138" s="22"/>
      <c r="AD138" s="22"/>
      <c r="AE138" s="22"/>
      <c r="AF138" s="22"/>
      <c r="AG138" s="22"/>
      <c r="AH138" s="22"/>
      <c r="AI138" s="22"/>
      <c r="AJ138" s="22"/>
      <c r="AK138" s="22"/>
      <c r="AL138" s="22"/>
      <c r="AM138" s="22"/>
      <c r="AN138" s="22"/>
      <c r="AO138" s="22"/>
      <c r="AP138" s="22"/>
      <c r="AQ138" s="22"/>
      <c r="AR138" s="22"/>
    </row>
    <row r="139" spans="1:44" hidden="1" x14ac:dyDescent="0.25">
      <c r="A139" s="16"/>
      <c r="B139" s="3" t="s">
        <v>221</v>
      </c>
      <c r="C139" s="3" t="s">
        <v>222</v>
      </c>
      <c r="D139" s="11" t="s">
        <v>6</v>
      </c>
      <c r="E139" s="107">
        <v>1210.3430370462456</v>
      </c>
      <c r="F139" s="108">
        <v>1474.0886072103433</v>
      </c>
      <c r="G139" s="109">
        <v>2278.7861442068624</v>
      </c>
      <c r="H139" s="114"/>
      <c r="I139" s="113">
        <v>135.7133852026065</v>
      </c>
      <c r="J139" s="114">
        <v>152.59436065789751</v>
      </c>
      <c r="K139" s="109">
        <v>183.12628340830599</v>
      </c>
      <c r="L139" s="114"/>
      <c r="M139" s="113">
        <v>206.81856000000002</v>
      </c>
      <c r="N139" s="114">
        <v>211.55471999999997</v>
      </c>
      <c r="O139" s="109">
        <v>232.12175999999999</v>
      </c>
      <c r="P139" s="119"/>
      <c r="Q139" s="120">
        <v>0.05</v>
      </c>
      <c r="R139" s="120">
        <v>0.02</v>
      </c>
      <c r="S139" s="120">
        <v>0.04</v>
      </c>
      <c r="T139" s="120">
        <v>0.03</v>
      </c>
      <c r="U139" s="120">
        <v>0.02</v>
      </c>
      <c r="V139" s="121">
        <f t="shared" si="19"/>
        <v>0</v>
      </c>
      <c r="W139" s="119"/>
      <c r="X139" s="113">
        <f t="shared" ref="X139" si="20">(E139+I139+M139)*(1+V139)</f>
        <v>1552.8749822488521</v>
      </c>
      <c r="Y139" s="113">
        <f t="shared" ref="Y139" si="21">(F139+J139+N139)*(1+V139)</f>
        <v>1838.2376878682408</v>
      </c>
      <c r="Z139" s="113">
        <f t="shared" ref="Z139" si="22">(G139+K139+O139)*(1+V139)</f>
        <v>2694.0341876151683</v>
      </c>
      <c r="AA139" s="22"/>
      <c r="AB139" s="22"/>
      <c r="AC139" s="22"/>
      <c r="AD139" s="22"/>
      <c r="AE139" s="22"/>
      <c r="AF139" s="22"/>
      <c r="AG139" s="22"/>
      <c r="AH139" s="22"/>
      <c r="AI139" s="22"/>
      <c r="AJ139" s="22"/>
      <c r="AK139" s="22"/>
      <c r="AL139" s="22"/>
      <c r="AM139" s="22"/>
      <c r="AN139" s="22"/>
      <c r="AO139" s="22"/>
      <c r="AP139" s="22"/>
      <c r="AQ139" s="22"/>
      <c r="AR139" s="22"/>
    </row>
    <row r="140" spans="1:44" x14ac:dyDescent="0.25">
      <c r="A140" s="16"/>
      <c r="B140" s="17"/>
      <c r="C140" s="3"/>
      <c r="D140" s="1"/>
      <c r="F140" s="4"/>
      <c r="G140" s="4"/>
      <c r="H140" s="4"/>
      <c r="I140" s="4"/>
      <c r="J140" s="4"/>
      <c r="K140" s="4"/>
      <c r="L140" s="4"/>
      <c r="M140" s="4"/>
      <c r="N140" s="4"/>
      <c r="O140" s="4"/>
      <c r="P140" s="4"/>
      <c r="Q140" s="4"/>
      <c r="R140" s="4"/>
      <c r="S140" s="4"/>
      <c r="T140" s="4"/>
      <c r="U140" s="4"/>
      <c r="V140" s="4"/>
      <c r="W140" s="4"/>
      <c r="X140" s="4"/>
      <c r="Y140" s="4"/>
      <c r="Z140" s="4"/>
    </row>
    <row r="141" spans="1:44" x14ac:dyDescent="0.25">
      <c r="A141" s="16"/>
      <c r="B141" s="17"/>
      <c r="C141" s="3"/>
      <c r="D141" s="1"/>
      <c r="F141" s="4"/>
      <c r="G141" s="4"/>
      <c r="H141" s="4"/>
      <c r="I141" s="4"/>
      <c r="J141" s="4"/>
      <c r="K141" s="4"/>
      <c r="L141" s="4"/>
      <c r="M141" s="4"/>
      <c r="N141" s="4"/>
      <c r="O141" s="4"/>
      <c r="P141" s="4"/>
      <c r="Q141" s="4"/>
      <c r="R141" s="4"/>
      <c r="S141" s="4"/>
      <c r="T141" s="4"/>
      <c r="U141" s="4"/>
      <c r="V141" s="4"/>
      <c r="W141" s="4"/>
      <c r="X141" s="4"/>
      <c r="Y141" s="4"/>
      <c r="Z141" s="4"/>
    </row>
    <row r="142" spans="1:44" x14ac:dyDescent="0.25">
      <c r="A142" s="16"/>
      <c r="B142" s="17"/>
      <c r="C142" s="3"/>
      <c r="D142" s="1"/>
      <c r="F142" s="4"/>
      <c r="G142" s="4"/>
      <c r="H142" s="4"/>
      <c r="I142" s="4"/>
      <c r="J142" s="4"/>
      <c r="K142" s="4"/>
      <c r="L142" s="4"/>
      <c r="M142" s="4"/>
      <c r="N142" s="4"/>
      <c r="O142" s="4"/>
      <c r="P142" s="4"/>
      <c r="Q142" s="4"/>
      <c r="R142" s="4"/>
      <c r="S142" s="4"/>
      <c r="T142" s="4"/>
      <c r="U142" s="4"/>
      <c r="V142" s="4"/>
      <c r="W142" s="4"/>
      <c r="X142" s="4"/>
      <c r="Y142" s="4"/>
      <c r="Z142" s="4"/>
    </row>
    <row r="143" spans="1:44" x14ac:dyDescent="0.25">
      <c r="A143" s="16"/>
      <c r="B143" s="17"/>
      <c r="C143" s="3"/>
      <c r="D143" s="1"/>
      <c r="F143" s="4"/>
      <c r="G143" s="4"/>
      <c r="H143" s="4"/>
      <c r="I143" s="4"/>
      <c r="J143" s="4"/>
      <c r="K143" s="4"/>
      <c r="L143" s="4"/>
      <c r="M143" s="4"/>
      <c r="N143" s="4"/>
      <c r="O143" s="4"/>
      <c r="P143" s="4"/>
      <c r="Q143" s="4"/>
      <c r="R143" s="4"/>
      <c r="S143" s="4"/>
      <c r="T143" s="4"/>
      <c r="U143" s="4"/>
      <c r="V143" s="4"/>
      <c r="W143" s="4"/>
      <c r="X143" s="4"/>
      <c r="Y143" s="4"/>
      <c r="Z143" s="4"/>
    </row>
    <row r="144" spans="1:44" x14ac:dyDescent="0.25">
      <c r="A144" s="16"/>
      <c r="B144" s="17"/>
      <c r="C144" s="3"/>
      <c r="D144" s="1"/>
      <c r="F144" s="4"/>
      <c r="G144" s="4"/>
      <c r="H144" s="4"/>
      <c r="I144" s="4"/>
      <c r="J144" s="4"/>
      <c r="K144" s="4"/>
      <c r="L144" s="4"/>
      <c r="M144" s="4"/>
      <c r="N144" s="4"/>
      <c r="O144" s="4"/>
      <c r="P144" s="4"/>
      <c r="Q144" s="4"/>
      <c r="R144" s="4"/>
      <c r="S144" s="4"/>
      <c r="T144" s="4"/>
      <c r="U144" s="4"/>
      <c r="V144" s="4"/>
      <c r="W144" s="4"/>
      <c r="X144" s="4"/>
      <c r="Y144" s="4"/>
      <c r="Z144" s="4"/>
    </row>
    <row r="145" spans="1:26" x14ac:dyDescent="0.25">
      <c r="A145" s="16"/>
      <c r="B145" s="17"/>
      <c r="C145" s="3"/>
      <c r="D145" s="1"/>
      <c r="F145" s="4"/>
      <c r="G145" s="4"/>
      <c r="H145" s="4"/>
      <c r="I145" s="4"/>
      <c r="J145" s="4"/>
      <c r="K145" s="4"/>
      <c r="L145" s="4"/>
      <c r="M145" s="4"/>
      <c r="N145" s="4"/>
      <c r="O145" s="4"/>
      <c r="P145" s="4"/>
      <c r="Q145" s="4"/>
      <c r="R145" s="4"/>
      <c r="S145" s="4"/>
      <c r="T145" s="4"/>
      <c r="U145" s="4"/>
      <c r="V145" s="4"/>
      <c r="W145" s="4"/>
      <c r="X145" s="4"/>
      <c r="Y145" s="4"/>
      <c r="Z145" s="4"/>
    </row>
    <row r="146" spans="1:26" x14ac:dyDescent="0.25">
      <c r="A146" s="16"/>
      <c r="B146" s="17"/>
      <c r="C146" s="3"/>
      <c r="D146" s="1"/>
      <c r="F146" s="4"/>
      <c r="G146" s="4"/>
      <c r="H146" s="4"/>
      <c r="I146" s="4"/>
      <c r="J146" s="4"/>
      <c r="K146" s="4"/>
      <c r="L146" s="4"/>
      <c r="M146" s="4"/>
      <c r="N146" s="4"/>
      <c r="O146" s="4"/>
      <c r="P146" s="4"/>
      <c r="Q146" s="4"/>
      <c r="R146" s="4"/>
      <c r="S146" s="4"/>
      <c r="T146" s="4"/>
      <c r="U146" s="4"/>
      <c r="V146" s="4"/>
      <c r="W146" s="4"/>
      <c r="X146" s="4"/>
      <c r="Y146" s="4"/>
      <c r="Z146" s="4"/>
    </row>
    <row r="147" spans="1:26" x14ac:dyDescent="0.25">
      <c r="A147" s="16"/>
      <c r="B147" s="17"/>
      <c r="C147" s="3"/>
      <c r="D147" s="1"/>
      <c r="F147" s="4"/>
      <c r="G147" s="4"/>
      <c r="H147" s="4"/>
      <c r="I147" s="4"/>
      <c r="J147" s="4"/>
      <c r="K147" s="4"/>
      <c r="L147" s="4"/>
      <c r="M147" s="4"/>
      <c r="N147" s="4"/>
      <c r="O147" s="4"/>
      <c r="P147" s="4"/>
      <c r="Q147" s="4"/>
      <c r="R147" s="4"/>
      <c r="S147" s="4"/>
      <c r="T147" s="4"/>
      <c r="U147" s="4"/>
      <c r="V147" s="4"/>
      <c r="W147" s="4"/>
      <c r="X147" s="4"/>
      <c r="Y147" s="4"/>
      <c r="Z147" s="4"/>
    </row>
    <row r="148" spans="1:26" x14ac:dyDescent="0.25">
      <c r="A148" s="16"/>
      <c r="B148" s="17"/>
      <c r="C148" s="3"/>
      <c r="D148" s="1"/>
      <c r="F148" s="4"/>
      <c r="G148" s="4"/>
      <c r="H148" s="4"/>
      <c r="I148" s="4"/>
      <c r="J148" s="4"/>
      <c r="K148" s="4"/>
      <c r="L148" s="4"/>
      <c r="M148" s="4"/>
      <c r="N148" s="4"/>
      <c r="O148" s="4"/>
      <c r="P148" s="4"/>
      <c r="Q148" s="4"/>
      <c r="R148" s="4"/>
      <c r="S148" s="4"/>
      <c r="T148" s="4"/>
      <c r="U148" s="4"/>
      <c r="V148" s="4"/>
      <c r="W148" s="4"/>
      <c r="X148" s="4"/>
      <c r="Y148" s="4"/>
      <c r="Z148" s="4"/>
    </row>
    <row r="149" spans="1:26" x14ac:dyDescent="0.25">
      <c r="A149" s="16"/>
      <c r="B149" s="17"/>
      <c r="C149" s="3"/>
      <c r="D149" s="1"/>
      <c r="F149" s="4"/>
      <c r="G149" s="4"/>
      <c r="H149" s="4"/>
      <c r="I149" s="4"/>
      <c r="J149" s="4"/>
      <c r="K149" s="4"/>
      <c r="L149" s="4"/>
      <c r="M149" s="4"/>
      <c r="N149" s="4"/>
      <c r="O149" s="4"/>
      <c r="P149" s="4"/>
      <c r="Q149" s="4"/>
      <c r="R149" s="4"/>
      <c r="S149" s="4"/>
      <c r="T149" s="4"/>
      <c r="U149" s="4"/>
      <c r="V149" s="4"/>
      <c r="W149" s="4"/>
      <c r="X149" s="4"/>
      <c r="Y149" s="4"/>
      <c r="Z149" s="4"/>
    </row>
    <row r="150" spans="1:26" x14ac:dyDescent="0.25">
      <c r="A150" s="16"/>
      <c r="B150" s="17"/>
      <c r="C150" s="3"/>
      <c r="D150" s="1"/>
      <c r="F150" s="4"/>
      <c r="G150" s="4"/>
      <c r="H150" s="4"/>
      <c r="I150" s="4"/>
      <c r="J150" s="4"/>
      <c r="K150" s="4"/>
      <c r="L150" s="4"/>
      <c r="M150" s="4"/>
      <c r="N150" s="4"/>
      <c r="O150" s="4"/>
      <c r="P150" s="4"/>
      <c r="Q150" s="4"/>
      <c r="R150" s="4"/>
      <c r="S150" s="4"/>
      <c r="T150" s="4"/>
      <c r="U150" s="4"/>
      <c r="V150" s="4"/>
      <c r="W150" s="4"/>
      <c r="X150" s="4"/>
      <c r="Y150" s="4"/>
      <c r="Z150" s="4"/>
    </row>
    <row r="151" spans="1:26" x14ac:dyDescent="0.25">
      <c r="A151" s="16"/>
      <c r="B151" s="17"/>
      <c r="C151" s="3"/>
      <c r="D151" s="1"/>
      <c r="F151" s="4"/>
      <c r="G151" s="4"/>
      <c r="H151" s="4"/>
      <c r="I151" s="4"/>
      <c r="J151" s="4"/>
      <c r="K151" s="4"/>
      <c r="L151" s="4"/>
      <c r="M151" s="4"/>
      <c r="N151" s="4"/>
      <c r="O151" s="4"/>
      <c r="P151" s="4"/>
      <c r="Q151" s="4"/>
      <c r="R151" s="4"/>
      <c r="S151" s="4"/>
      <c r="T151" s="4"/>
      <c r="U151" s="4"/>
      <c r="V151" s="4"/>
      <c r="W151" s="4"/>
      <c r="X151" s="4"/>
      <c r="Y151" s="4"/>
      <c r="Z151" s="4"/>
    </row>
    <row r="152" spans="1:26" x14ac:dyDescent="0.25">
      <c r="A152" s="16"/>
      <c r="B152" s="17"/>
      <c r="C152" s="3"/>
      <c r="D152" s="1"/>
      <c r="F152" s="4"/>
      <c r="G152" s="4"/>
      <c r="H152" s="4"/>
      <c r="I152" s="4"/>
      <c r="J152" s="4"/>
      <c r="K152" s="4"/>
      <c r="L152" s="4"/>
      <c r="M152" s="4"/>
      <c r="N152" s="4"/>
      <c r="O152" s="4"/>
      <c r="P152" s="4"/>
      <c r="Q152" s="4"/>
      <c r="R152" s="4"/>
      <c r="S152" s="4"/>
      <c r="T152" s="4"/>
      <c r="U152" s="4"/>
      <c r="V152" s="4"/>
      <c r="W152" s="4"/>
      <c r="X152" s="4"/>
      <c r="Y152" s="4"/>
      <c r="Z152" s="4"/>
    </row>
    <row r="153" spans="1:26" x14ac:dyDescent="0.25">
      <c r="A153" s="16"/>
      <c r="B153" s="17"/>
      <c r="C153" s="3"/>
      <c r="D153" s="1"/>
      <c r="F153" s="4"/>
      <c r="G153" s="4"/>
      <c r="H153" s="4"/>
      <c r="I153" s="4"/>
      <c r="J153" s="4"/>
      <c r="K153" s="4"/>
      <c r="L153" s="4"/>
      <c r="M153" s="4"/>
      <c r="N153" s="4"/>
      <c r="O153" s="4"/>
      <c r="P153" s="4"/>
      <c r="Q153" s="4"/>
      <c r="R153" s="4"/>
      <c r="S153" s="4"/>
      <c r="T153" s="4"/>
      <c r="U153" s="4"/>
      <c r="V153" s="4"/>
      <c r="W153" s="4"/>
      <c r="X153" s="4"/>
      <c r="Y153" s="4"/>
      <c r="Z153" s="4"/>
    </row>
    <row r="154" spans="1:26" x14ac:dyDescent="0.25">
      <c r="A154" s="16"/>
      <c r="B154" s="17"/>
      <c r="C154" s="3"/>
      <c r="D154" s="1"/>
      <c r="F154" s="4"/>
      <c r="G154" s="4"/>
      <c r="H154" s="4"/>
      <c r="I154" s="4"/>
      <c r="J154" s="4"/>
      <c r="K154" s="4"/>
      <c r="L154" s="4"/>
      <c r="M154" s="4"/>
      <c r="N154" s="4"/>
      <c r="O154" s="4"/>
      <c r="P154" s="4"/>
      <c r="Q154" s="4"/>
      <c r="R154" s="4"/>
      <c r="S154" s="4"/>
      <c r="T154" s="4"/>
      <c r="U154" s="4"/>
      <c r="V154" s="4"/>
      <c r="W154" s="4"/>
      <c r="X154" s="4"/>
      <c r="Y154" s="4"/>
      <c r="Z154" s="4"/>
    </row>
    <row r="155" spans="1:26" x14ac:dyDescent="0.25">
      <c r="A155" s="16"/>
      <c r="B155" s="17"/>
      <c r="C155" s="3"/>
      <c r="D155" s="1"/>
      <c r="F155" s="4"/>
      <c r="G155" s="4"/>
      <c r="H155" s="4"/>
      <c r="I155" s="4"/>
      <c r="J155" s="4"/>
      <c r="K155" s="4"/>
      <c r="L155" s="4"/>
      <c r="M155" s="4"/>
      <c r="N155" s="4"/>
      <c r="O155" s="4"/>
      <c r="P155" s="4"/>
      <c r="Q155" s="4"/>
      <c r="R155" s="4"/>
      <c r="S155" s="4"/>
      <c r="T155" s="4"/>
      <c r="U155" s="4"/>
      <c r="V155" s="4"/>
      <c r="W155" s="4"/>
      <c r="X155" s="4"/>
      <c r="Y155" s="4"/>
      <c r="Z155" s="4"/>
    </row>
    <row r="156" spans="1:26" x14ac:dyDescent="0.25">
      <c r="A156" s="16"/>
      <c r="B156" s="17"/>
      <c r="C156" s="3"/>
      <c r="D156" s="1"/>
      <c r="F156" s="4"/>
      <c r="G156" s="4"/>
      <c r="H156" s="4"/>
      <c r="I156" s="4"/>
      <c r="J156" s="4"/>
      <c r="K156" s="4"/>
      <c r="L156" s="4"/>
      <c r="M156" s="4"/>
      <c r="N156" s="4"/>
      <c r="O156" s="4"/>
      <c r="P156" s="4"/>
      <c r="Q156" s="4"/>
      <c r="R156" s="4"/>
      <c r="S156" s="4"/>
      <c r="T156" s="4"/>
      <c r="U156" s="4"/>
      <c r="V156" s="4"/>
      <c r="W156" s="4"/>
      <c r="X156" s="4"/>
      <c r="Y156" s="4"/>
      <c r="Z156" s="4"/>
    </row>
    <row r="157" spans="1:26" x14ac:dyDescent="0.25">
      <c r="A157" s="16"/>
      <c r="B157" s="17"/>
      <c r="C157" s="3"/>
      <c r="D157" s="1"/>
      <c r="F157" s="4"/>
      <c r="G157" s="4"/>
      <c r="H157" s="4"/>
      <c r="I157" s="4"/>
      <c r="J157" s="4"/>
      <c r="K157" s="4"/>
      <c r="L157" s="4"/>
      <c r="M157" s="4"/>
      <c r="N157" s="4"/>
      <c r="O157" s="4"/>
      <c r="P157" s="4"/>
      <c r="Q157" s="4"/>
      <c r="R157" s="4"/>
      <c r="S157" s="4"/>
      <c r="T157" s="4"/>
      <c r="U157" s="4"/>
      <c r="V157" s="4"/>
      <c r="W157" s="4"/>
      <c r="X157" s="4"/>
      <c r="Y157" s="4"/>
      <c r="Z157" s="4"/>
    </row>
    <row r="158" spans="1:26" x14ac:dyDescent="0.25">
      <c r="A158" s="16"/>
      <c r="B158" s="17"/>
      <c r="C158" s="3"/>
      <c r="D158" s="1"/>
      <c r="F158" s="4"/>
      <c r="G158" s="4"/>
      <c r="H158" s="4"/>
      <c r="I158" s="4"/>
      <c r="J158" s="4"/>
      <c r="K158" s="4"/>
      <c r="L158" s="4"/>
      <c r="M158" s="4"/>
      <c r="N158" s="4"/>
      <c r="O158" s="4"/>
      <c r="P158" s="4"/>
      <c r="Q158" s="4"/>
      <c r="R158" s="4"/>
      <c r="S158" s="4"/>
      <c r="T158" s="4"/>
      <c r="U158" s="4"/>
      <c r="V158" s="4"/>
      <c r="W158" s="4"/>
      <c r="X158" s="4"/>
      <c r="Y158" s="4"/>
      <c r="Z158" s="4"/>
    </row>
    <row r="159" spans="1:26" x14ac:dyDescent="0.25">
      <c r="A159" s="16"/>
      <c r="B159" s="17"/>
      <c r="C159" s="3"/>
      <c r="D159" s="1"/>
      <c r="F159" s="4"/>
      <c r="G159" s="4"/>
      <c r="H159" s="4"/>
      <c r="I159" s="4"/>
      <c r="J159" s="4"/>
      <c r="K159" s="4"/>
      <c r="L159" s="4"/>
      <c r="M159" s="4"/>
      <c r="N159" s="4"/>
      <c r="O159" s="4"/>
      <c r="P159" s="4"/>
      <c r="Q159" s="4"/>
      <c r="R159" s="4"/>
      <c r="S159" s="4"/>
      <c r="T159" s="4"/>
      <c r="U159" s="4"/>
      <c r="V159" s="4"/>
      <c r="W159" s="4"/>
      <c r="X159" s="4"/>
      <c r="Y159" s="4"/>
      <c r="Z159" s="4"/>
    </row>
  </sheetData>
  <autoFilter ref="B5:D139" xr:uid="{B593B8AD-AE04-4543-B232-6D3D3239B900}">
    <filterColumn colId="0">
      <filters>
        <filter val="Israel"/>
        <filter val="United Kingdom"/>
      </filters>
    </filterColumn>
    <sortState xmlns:xlrd2="http://schemas.microsoft.com/office/spreadsheetml/2017/richdata2" ref="B69:D139">
      <sortCondition ref="B5:B139"/>
    </sortState>
  </autoFilter>
  <mergeCells count="10">
    <mergeCell ref="E3:G3"/>
    <mergeCell ref="I3:K3"/>
    <mergeCell ref="M3:O3"/>
    <mergeCell ref="X3:Z3"/>
    <mergeCell ref="E1:Z1"/>
    <mergeCell ref="E2:G2"/>
    <mergeCell ref="I2:K2"/>
    <mergeCell ref="M2:O2"/>
    <mergeCell ref="X2:Z2"/>
    <mergeCell ref="Q2:V4"/>
  </mergeCells>
  <pageMargins left="0.70866141732283472" right="0.70866141732283472" top="0.74803149606299213" bottom="0.74803149606299213" header="0.31496062992125984" footer="0.31496062992125984"/>
  <pageSetup paperSize="8" scale="70" orientation="landscape" horizontalDpi="1200" verticalDpi="1200" r:id="rId1"/>
  <colBreaks count="2" manualBreakCount="2">
    <brk id="26" max="1048575" man="1"/>
    <brk id="27"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2B490-6296-45FF-BEFC-721B6A64D86A}">
  <sheetPr filterMode="1">
    <tabColor theme="2" tint="-0.249977111117893"/>
  </sheetPr>
  <dimension ref="A1:AR159"/>
  <sheetViews>
    <sheetView view="pageBreakPreview" zoomScaleNormal="100" zoomScaleSheetLayoutView="100" workbookViewId="0">
      <selection activeCell="C143" sqref="C143"/>
    </sheetView>
  </sheetViews>
  <sheetFormatPr defaultColWidth="8.83203125" defaultRowHeight="13.5" x14ac:dyDescent="0.25"/>
  <cols>
    <col min="1" max="1" width="4.58203125" customWidth="1"/>
    <col min="2" max="2" width="21" customWidth="1"/>
    <col min="3" max="3" width="14.58203125" customWidth="1"/>
    <col min="4" max="4" width="10.08203125" bestFit="1" customWidth="1"/>
    <col min="5" max="5" width="11" style="4" bestFit="1" customWidth="1"/>
    <col min="6" max="6" width="11" bestFit="1" customWidth="1"/>
    <col min="7" max="7" width="10" customWidth="1"/>
    <col min="8" max="8" width="2.83203125" customWidth="1"/>
    <col min="9" max="11" width="11" customWidth="1"/>
    <col min="12" max="12" width="2.83203125" customWidth="1"/>
    <col min="13" max="15" width="10.83203125" customWidth="1"/>
    <col min="16" max="16" width="3.83203125" customWidth="1"/>
    <col min="17" max="17" width="7.83203125" hidden="1" customWidth="1"/>
    <col min="18" max="18" width="7" hidden="1" customWidth="1"/>
    <col min="19" max="19" width="5" hidden="1" customWidth="1"/>
    <col min="20" max="20" width="7.5" hidden="1" customWidth="1"/>
    <col min="21" max="21" width="5" hidden="1" customWidth="1"/>
    <col min="22" max="22" width="15.5" customWidth="1"/>
    <col min="23" max="23" width="5" customWidth="1"/>
    <col min="24" max="24" width="13" customWidth="1"/>
    <col min="25" max="25" width="11.83203125" customWidth="1"/>
    <col min="26" max="26" width="13.5" customWidth="1"/>
    <col min="27" max="27" width="6" customWidth="1"/>
    <col min="28" max="28" width="8.58203125" customWidth="1"/>
    <col min="29" max="44" width="6" customWidth="1"/>
  </cols>
  <sheetData>
    <row r="1" spans="1:44" ht="18.5" thickBot="1" x14ac:dyDescent="0.35">
      <c r="E1" s="136" t="s">
        <v>258</v>
      </c>
      <c r="F1" s="137"/>
      <c r="G1" s="137"/>
      <c r="H1" s="138"/>
      <c r="I1" s="138"/>
      <c r="J1" s="138"/>
      <c r="K1" s="138"/>
      <c r="L1" s="138"/>
      <c r="M1" s="138"/>
      <c r="N1" s="138"/>
      <c r="O1" s="138"/>
      <c r="P1" s="138"/>
      <c r="Q1" s="138"/>
      <c r="R1" s="138"/>
      <c r="S1" s="138"/>
      <c r="T1" s="138"/>
      <c r="U1" s="138"/>
      <c r="V1" s="138"/>
      <c r="W1" s="138"/>
      <c r="X1" s="138"/>
      <c r="Y1" s="138"/>
      <c r="Z1" s="138"/>
      <c r="AA1" s="53"/>
    </row>
    <row r="2" spans="1:44" ht="17.5" customHeight="1" x14ac:dyDescent="0.25">
      <c r="A2" s="20"/>
      <c r="B2" s="15"/>
      <c r="C2" s="2"/>
      <c r="D2" s="38"/>
      <c r="E2" s="150" t="s">
        <v>253</v>
      </c>
      <c r="F2" s="151"/>
      <c r="G2" s="152"/>
      <c r="H2" s="54"/>
      <c r="I2" s="139" t="s">
        <v>254</v>
      </c>
      <c r="J2" s="140"/>
      <c r="K2" s="141"/>
      <c r="L2" s="54"/>
      <c r="M2" s="145" t="s">
        <v>255</v>
      </c>
      <c r="N2" s="146"/>
      <c r="O2" s="160"/>
      <c r="P2" s="123"/>
      <c r="Q2" s="154" t="s">
        <v>232</v>
      </c>
      <c r="R2" s="140"/>
      <c r="S2" s="140"/>
      <c r="T2" s="140"/>
      <c r="U2" s="140"/>
      <c r="V2" s="140"/>
      <c r="W2" s="100"/>
      <c r="X2" s="147" t="s">
        <v>256</v>
      </c>
      <c r="Y2" s="148"/>
      <c r="Z2" s="149"/>
      <c r="AA2" s="22"/>
      <c r="AB2" s="22"/>
      <c r="AC2" s="22"/>
      <c r="AD2" s="22"/>
      <c r="AE2" s="22"/>
      <c r="AF2" s="22"/>
      <c r="AG2" s="22"/>
      <c r="AH2" s="22"/>
      <c r="AI2" s="22"/>
      <c r="AJ2" s="22"/>
      <c r="AK2" s="22"/>
      <c r="AL2" s="22"/>
      <c r="AM2" s="22"/>
      <c r="AN2" s="22"/>
      <c r="AO2" s="22"/>
      <c r="AP2" s="22"/>
      <c r="AQ2" s="22"/>
      <c r="AR2" s="22"/>
    </row>
    <row r="3" spans="1:44" x14ac:dyDescent="0.25">
      <c r="A3" s="16"/>
      <c r="B3" s="16"/>
      <c r="C3" s="1"/>
      <c r="D3" s="1"/>
      <c r="E3" s="142"/>
      <c r="F3" s="133"/>
      <c r="G3" s="143"/>
      <c r="H3" s="36"/>
      <c r="I3" s="142"/>
      <c r="J3" s="133"/>
      <c r="K3" s="143"/>
      <c r="L3" s="36"/>
      <c r="M3" s="142"/>
      <c r="N3" s="133"/>
      <c r="O3" s="143"/>
      <c r="P3" s="101"/>
      <c r="Q3" s="162"/>
      <c r="R3" s="162"/>
      <c r="S3" s="162"/>
      <c r="T3" s="162"/>
      <c r="U3" s="162"/>
      <c r="V3" s="162"/>
      <c r="W3" s="101"/>
      <c r="X3" s="142"/>
      <c r="Y3" s="133"/>
      <c r="Z3" s="143"/>
      <c r="AA3" s="22"/>
      <c r="AB3" s="22"/>
      <c r="AC3" s="22"/>
      <c r="AD3" s="22"/>
      <c r="AE3" s="22"/>
      <c r="AF3" s="22"/>
      <c r="AG3" s="22"/>
      <c r="AH3" s="22"/>
      <c r="AI3" s="22"/>
      <c r="AJ3" s="22"/>
      <c r="AK3" s="22"/>
      <c r="AL3" s="22"/>
      <c r="AM3" s="22"/>
      <c r="AN3" s="22"/>
      <c r="AO3" s="22"/>
      <c r="AP3" s="22"/>
      <c r="AQ3" s="22"/>
      <c r="AR3" s="22"/>
    </row>
    <row r="4" spans="1:44" x14ac:dyDescent="0.25">
      <c r="A4" s="16"/>
      <c r="B4" s="16"/>
      <c r="C4" s="1"/>
      <c r="D4" s="1"/>
      <c r="E4" s="39" t="s">
        <v>9</v>
      </c>
      <c r="F4" s="6" t="s">
        <v>10</v>
      </c>
      <c r="G4" s="40" t="s">
        <v>11</v>
      </c>
      <c r="H4" s="36"/>
      <c r="I4" s="48" t="s">
        <v>9</v>
      </c>
      <c r="J4" s="36" t="s">
        <v>10</v>
      </c>
      <c r="K4" s="49" t="s">
        <v>11</v>
      </c>
      <c r="L4" s="36"/>
      <c r="M4" s="48" t="s">
        <v>9</v>
      </c>
      <c r="N4" s="36" t="s">
        <v>10</v>
      </c>
      <c r="O4" s="49" t="s">
        <v>11</v>
      </c>
      <c r="P4" s="101"/>
      <c r="Q4" s="162"/>
      <c r="R4" s="162"/>
      <c r="S4" s="162"/>
      <c r="T4" s="162"/>
      <c r="U4" s="162"/>
      <c r="V4" s="162"/>
      <c r="W4" s="101"/>
      <c r="X4" s="48" t="s">
        <v>9</v>
      </c>
      <c r="Y4" s="36" t="s">
        <v>10</v>
      </c>
      <c r="Z4" s="49" t="s">
        <v>11</v>
      </c>
      <c r="AA4" s="22"/>
      <c r="AB4" s="22"/>
      <c r="AC4" s="22"/>
      <c r="AD4" s="22"/>
      <c r="AE4" s="22"/>
      <c r="AF4" s="22"/>
      <c r="AG4" s="22"/>
      <c r="AH4" s="22"/>
      <c r="AI4" s="22"/>
      <c r="AJ4" s="22"/>
      <c r="AK4" s="22"/>
      <c r="AL4" s="22"/>
      <c r="AM4" s="22"/>
      <c r="AN4" s="22"/>
      <c r="AO4" s="22"/>
      <c r="AP4" s="22"/>
      <c r="AQ4" s="22"/>
      <c r="AR4" s="22"/>
    </row>
    <row r="5" spans="1:44" x14ac:dyDescent="0.25">
      <c r="A5" s="16"/>
      <c r="B5" s="12" t="s">
        <v>14</v>
      </c>
      <c r="C5" s="12" t="s">
        <v>15</v>
      </c>
      <c r="D5" s="37" t="s">
        <v>16</v>
      </c>
      <c r="E5" s="41"/>
      <c r="F5" s="14"/>
      <c r="G5" s="42"/>
      <c r="H5" s="37"/>
      <c r="I5" s="50"/>
      <c r="J5" s="37"/>
      <c r="K5" s="51"/>
      <c r="L5" s="37"/>
      <c r="M5" s="50"/>
      <c r="N5" s="37"/>
      <c r="O5" s="51"/>
      <c r="P5" s="115"/>
      <c r="Q5" s="36" t="s">
        <v>234</v>
      </c>
      <c r="R5" s="36" t="s">
        <v>235</v>
      </c>
      <c r="S5" s="36" t="s">
        <v>236</v>
      </c>
      <c r="T5" s="36" t="s">
        <v>237</v>
      </c>
      <c r="U5" s="36" t="s">
        <v>238</v>
      </c>
      <c r="V5" s="36" t="s">
        <v>239</v>
      </c>
      <c r="W5" s="115"/>
      <c r="X5" s="50"/>
      <c r="Y5" s="37"/>
      <c r="Z5" s="51"/>
      <c r="AA5" s="22"/>
      <c r="AB5" s="22"/>
      <c r="AC5" s="22"/>
      <c r="AD5" s="22"/>
      <c r="AE5" s="22"/>
      <c r="AF5" s="22"/>
      <c r="AG5" s="22"/>
      <c r="AH5" s="22"/>
      <c r="AI5" s="22"/>
      <c r="AJ5" s="22"/>
      <c r="AK5" s="22"/>
      <c r="AL5" s="22"/>
      <c r="AM5" s="22"/>
      <c r="AN5" s="22"/>
      <c r="AO5" s="22"/>
      <c r="AP5" s="22"/>
      <c r="AQ5" s="22"/>
      <c r="AR5" s="22"/>
    </row>
    <row r="6" spans="1:44" hidden="1" x14ac:dyDescent="0.25">
      <c r="A6" s="16"/>
      <c r="B6" s="3" t="s">
        <v>17</v>
      </c>
      <c r="C6" s="3" t="s">
        <v>18</v>
      </c>
      <c r="D6" s="11" t="s">
        <v>19</v>
      </c>
      <c r="E6" s="116">
        <v>169.7111759923128</v>
      </c>
      <c r="F6" s="117">
        <v>225.87409453765983</v>
      </c>
      <c r="G6" s="118">
        <v>275.8472540468623</v>
      </c>
      <c r="H6" s="114"/>
      <c r="I6" s="113">
        <v>13.095374031378356</v>
      </c>
      <c r="J6" s="114">
        <v>18.497314251177244</v>
      </c>
      <c r="K6" s="109">
        <v>20.24546400160779</v>
      </c>
      <c r="L6" s="114"/>
      <c r="M6" s="113">
        <v>38.343304224021395</v>
      </c>
      <c r="N6" s="114">
        <v>39.214742956385514</v>
      </c>
      <c r="O6" s="109">
        <v>43.073971628283772</v>
      </c>
      <c r="P6" s="119"/>
      <c r="Q6" s="120">
        <v>0.08</v>
      </c>
      <c r="R6" s="120">
        <v>0.05</v>
      </c>
      <c r="S6" s="120">
        <v>0.03</v>
      </c>
      <c r="T6" s="120">
        <v>1.4999999999999999E-2</v>
      </c>
      <c r="U6" s="120">
        <v>0.02</v>
      </c>
      <c r="V6" s="121">
        <f t="shared" ref="V6:V57" si="0">SUBTOTAL(9,Q6:U6)</f>
        <v>0</v>
      </c>
      <c r="W6" s="119"/>
      <c r="X6" s="113">
        <f>(E6+I6+M6)*(1+V6)</f>
        <v>221.14985424771254</v>
      </c>
      <c r="Y6" s="113">
        <f>(F6+J6+N6)*(1+V6)</f>
        <v>283.58615174522259</v>
      </c>
      <c r="Z6" s="113">
        <f>(G6+K6+O6)*(1+V6)</f>
        <v>339.16668967675389</v>
      </c>
      <c r="AA6" s="22"/>
      <c r="AB6" s="22"/>
      <c r="AC6" s="22"/>
      <c r="AD6" s="22"/>
      <c r="AE6" s="22"/>
      <c r="AF6" s="22"/>
      <c r="AG6" s="22"/>
      <c r="AH6" s="22"/>
      <c r="AI6" s="22"/>
      <c r="AJ6" s="22"/>
      <c r="AK6" s="22"/>
      <c r="AL6" s="22"/>
      <c r="AM6" s="22"/>
      <c r="AN6" s="22"/>
      <c r="AO6" s="22"/>
      <c r="AP6" s="22"/>
      <c r="AQ6" s="22"/>
      <c r="AR6" s="22"/>
    </row>
    <row r="7" spans="1:44" hidden="1" x14ac:dyDescent="0.25">
      <c r="A7" s="16"/>
      <c r="B7" s="3" t="s">
        <v>17</v>
      </c>
      <c r="C7" s="3" t="s">
        <v>20</v>
      </c>
      <c r="D7" s="11" t="s">
        <v>19</v>
      </c>
      <c r="E7" s="107">
        <v>183.25716978342817</v>
      </c>
      <c r="F7" s="108">
        <v>243.49623955946484</v>
      </c>
      <c r="G7" s="109">
        <v>299.65014967846844</v>
      </c>
      <c r="H7" s="114"/>
      <c r="I7" s="113">
        <v>12.232494798311077</v>
      </c>
      <c r="J7" s="114">
        <v>17.278490848606566</v>
      </c>
      <c r="K7" s="109">
        <v>18.911451669547674</v>
      </c>
      <c r="L7" s="114"/>
      <c r="M7" s="113">
        <v>35.8167905969336</v>
      </c>
      <c r="N7" s="114">
        <v>36.630808565045733</v>
      </c>
      <c r="O7" s="109">
        <v>40.235745280970868</v>
      </c>
      <c r="P7" s="119"/>
      <c r="Q7" s="120">
        <v>0.08</v>
      </c>
      <c r="R7" s="120">
        <v>0.05</v>
      </c>
      <c r="S7" s="120">
        <v>0.03</v>
      </c>
      <c r="T7" s="120">
        <v>1.4999999999999999E-2</v>
      </c>
      <c r="U7" s="120">
        <v>0.02</v>
      </c>
      <c r="V7" s="121">
        <f t="shared" si="0"/>
        <v>0</v>
      </c>
      <c r="W7" s="119"/>
      <c r="X7" s="113">
        <f t="shared" ref="X7:X74" si="1">(E7+I7+M7)*(1+V7)</f>
        <v>231.30645517867285</v>
      </c>
      <c r="Y7" s="113">
        <f t="shared" ref="Y7:Y74" si="2">(F7+J7+N7)*(1+V7)</f>
        <v>297.40553897311713</v>
      </c>
      <c r="Z7" s="113">
        <f t="shared" ref="Z7:Z74" si="3">(G7+K7+O7)*(1+V7)</f>
        <v>358.79734662898699</v>
      </c>
      <c r="AA7" s="22"/>
      <c r="AB7" s="22"/>
      <c r="AC7" s="22"/>
      <c r="AD7" s="22"/>
      <c r="AE7" s="22"/>
      <c r="AF7" s="22"/>
      <c r="AG7" s="22"/>
      <c r="AH7" s="22"/>
      <c r="AI7" s="22"/>
      <c r="AJ7" s="22"/>
      <c r="AK7" s="22"/>
      <c r="AL7" s="22"/>
      <c r="AM7" s="22"/>
      <c r="AN7" s="22"/>
      <c r="AO7" s="22"/>
      <c r="AP7" s="22"/>
      <c r="AQ7" s="22"/>
      <c r="AR7" s="22"/>
    </row>
    <row r="8" spans="1:44" hidden="1" x14ac:dyDescent="0.25">
      <c r="A8" s="16"/>
      <c r="B8" s="3" t="s">
        <v>17</v>
      </c>
      <c r="C8" s="3" t="s">
        <v>240</v>
      </c>
      <c r="D8" s="11" t="s">
        <v>19</v>
      </c>
      <c r="E8" s="107">
        <v>183.25716978342817</v>
      </c>
      <c r="F8" s="108">
        <v>243.49623955946484</v>
      </c>
      <c r="G8" s="109">
        <v>299.65014967846844</v>
      </c>
      <c r="H8" s="114"/>
      <c r="I8" s="113">
        <v>12.232494798311077</v>
      </c>
      <c r="J8" s="114">
        <v>17.278490848606566</v>
      </c>
      <c r="K8" s="109">
        <v>18.911451669547674</v>
      </c>
      <c r="L8" s="114"/>
      <c r="M8" s="113">
        <v>35.8167905969336</v>
      </c>
      <c r="N8" s="114">
        <v>36.630808565045733</v>
      </c>
      <c r="O8" s="109">
        <v>40.235745280970868</v>
      </c>
      <c r="P8" s="119"/>
      <c r="Q8" s="120">
        <v>0.08</v>
      </c>
      <c r="R8" s="120">
        <v>0.05</v>
      </c>
      <c r="S8" s="120">
        <v>0.03</v>
      </c>
      <c r="T8" s="120">
        <v>1.4999999999999999E-2</v>
      </c>
      <c r="U8" s="120">
        <v>0.02</v>
      </c>
      <c r="V8" s="121">
        <f t="shared" si="0"/>
        <v>0</v>
      </c>
      <c r="W8" s="119"/>
      <c r="X8" s="113">
        <f t="shared" si="1"/>
        <v>231.30645517867285</v>
      </c>
      <c r="Y8" s="113">
        <f t="shared" si="2"/>
        <v>297.40553897311713</v>
      </c>
      <c r="Z8" s="113">
        <f t="shared" si="3"/>
        <v>358.79734662898699</v>
      </c>
      <c r="AA8" s="22"/>
      <c r="AB8" s="22"/>
      <c r="AC8" s="22"/>
      <c r="AD8" s="22"/>
      <c r="AE8" s="22"/>
      <c r="AF8" s="22"/>
      <c r="AG8" s="22"/>
      <c r="AH8" s="22"/>
      <c r="AI8" s="22"/>
      <c r="AJ8" s="22"/>
      <c r="AK8" s="22"/>
      <c r="AL8" s="22"/>
      <c r="AM8" s="22"/>
      <c r="AN8" s="22"/>
      <c r="AO8" s="22"/>
      <c r="AP8" s="22"/>
      <c r="AQ8" s="22"/>
      <c r="AR8" s="22"/>
    </row>
    <row r="9" spans="1:44" hidden="1" x14ac:dyDescent="0.25">
      <c r="A9" s="16"/>
      <c r="B9" s="3" t="s">
        <v>17</v>
      </c>
      <c r="C9" s="3" t="s">
        <v>22</v>
      </c>
      <c r="D9" s="11" t="s">
        <v>19</v>
      </c>
      <c r="E9" s="107">
        <v>240.2144929410895</v>
      </c>
      <c r="F9" s="108">
        <v>319.41505284943452</v>
      </c>
      <c r="G9" s="109">
        <v>393.24478897183826</v>
      </c>
      <c r="H9" s="114"/>
      <c r="I9" s="113">
        <v>16.026410325865236</v>
      </c>
      <c r="J9" s="114">
        <v>22.637425048380901</v>
      </c>
      <c r="K9" s="109">
        <v>24.776849637883057</v>
      </c>
      <c r="L9" s="114"/>
      <c r="M9" s="113">
        <v>46.925389475031949</v>
      </c>
      <c r="N9" s="114">
        <v>47.991875599464485</v>
      </c>
      <c r="O9" s="109">
        <v>52.714885579094329</v>
      </c>
      <c r="P9" s="119"/>
      <c r="Q9" s="120">
        <v>0.08</v>
      </c>
      <c r="R9" s="120">
        <v>0.05</v>
      </c>
      <c r="S9" s="120">
        <v>0.03</v>
      </c>
      <c r="T9" s="120">
        <v>1.4999999999999999E-2</v>
      </c>
      <c r="U9" s="120">
        <v>0.02</v>
      </c>
      <c r="V9" s="121">
        <f t="shared" si="0"/>
        <v>0</v>
      </c>
      <c r="W9" s="119"/>
      <c r="X9" s="113">
        <f t="shared" si="1"/>
        <v>303.16629274198669</v>
      </c>
      <c r="Y9" s="113">
        <f t="shared" si="2"/>
        <v>390.04435349727993</v>
      </c>
      <c r="Z9" s="113">
        <f t="shared" si="3"/>
        <v>470.73652418881568</v>
      </c>
      <c r="AA9" s="22"/>
      <c r="AB9" s="22"/>
      <c r="AC9" s="22"/>
      <c r="AD9" s="22"/>
      <c r="AE9" s="22"/>
      <c r="AF9" s="22"/>
      <c r="AG9" s="22"/>
      <c r="AH9" s="22"/>
      <c r="AI9" s="22"/>
      <c r="AJ9" s="22"/>
      <c r="AK9" s="22"/>
      <c r="AL9" s="22"/>
      <c r="AM9" s="22"/>
      <c r="AN9" s="22"/>
      <c r="AO9" s="22"/>
      <c r="AP9" s="22"/>
      <c r="AQ9" s="22"/>
      <c r="AR9" s="22"/>
    </row>
    <row r="10" spans="1:44" hidden="1" x14ac:dyDescent="0.25">
      <c r="A10" s="16"/>
      <c r="B10" s="3" t="s">
        <v>17</v>
      </c>
      <c r="C10" s="3" t="s">
        <v>23</v>
      </c>
      <c r="D10" s="11" t="s">
        <v>19</v>
      </c>
      <c r="E10" s="107">
        <v>180.25699423460713</v>
      </c>
      <c r="F10" s="108">
        <v>238.6416678985882</v>
      </c>
      <c r="G10" s="109">
        <v>295.40792002365288</v>
      </c>
      <c r="H10" s="114"/>
      <c r="I10" s="113">
        <v>12.701911647936258</v>
      </c>
      <c r="J10" s="114">
        <v>17.941545677090964</v>
      </c>
      <c r="K10" s="109">
        <v>19.637170683610417</v>
      </c>
      <c r="L10" s="114"/>
      <c r="M10" s="113">
        <v>37.191244891246384</v>
      </c>
      <c r="N10" s="114">
        <v>38.036500456956531</v>
      </c>
      <c r="O10" s="109">
        <v>41.779775105101457</v>
      </c>
      <c r="P10" s="119"/>
      <c r="Q10" s="120">
        <v>0.08</v>
      </c>
      <c r="R10" s="120">
        <v>0.05</v>
      </c>
      <c r="S10" s="120">
        <v>0.03</v>
      </c>
      <c r="T10" s="120">
        <v>1.4999999999999999E-2</v>
      </c>
      <c r="U10" s="120">
        <v>0.02</v>
      </c>
      <c r="V10" s="121">
        <f t="shared" si="0"/>
        <v>0</v>
      </c>
      <c r="W10" s="119"/>
      <c r="X10" s="113">
        <f t="shared" si="1"/>
        <v>230.15015077378979</v>
      </c>
      <c r="Y10" s="113">
        <f t="shared" si="2"/>
        <v>294.61971403263567</v>
      </c>
      <c r="Z10" s="113">
        <f t="shared" si="3"/>
        <v>356.82486581236475</v>
      </c>
      <c r="AA10" s="22"/>
      <c r="AB10" s="22"/>
      <c r="AC10" s="22"/>
      <c r="AD10" s="22"/>
      <c r="AE10" s="22"/>
      <c r="AF10" s="22"/>
      <c r="AG10" s="22"/>
      <c r="AH10" s="22"/>
      <c r="AI10" s="22"/>
      <c r="AJ10" s="22"/>
      <c r="AK10" s="22"/>
      <c r="AL10" s="22"/>
      <c r="AM10" s="22"/>
      <c r="AN10" s="22"/>
      <c r="AO10" s="22"/>
      <c r="AP10" s="22"/>
      <c r="AQ10" s="22"/>
      <c r="AR10" s="22"/>
    </row>
    <row r="11" spans="1:44" hidden="1" x14ac:dyDescent="0.25">
      <c r="A11" s="16"/>
      <c r="B11" s="3" t="s">
        <v>17</v>
      </c>
      <c r="C11" s="3" t="s">
        <v>24</v>
      </c>
      <c r="D11" s="11" t="s">
        <v>19</v>
      </c>
      <c r="E11" s="107">
        <v>232.82633601892229</v>
      </c>
      <c r="F11" s="108">
        <v>307.44262325375121</v>
      </c>
      <c r="G11" s="109">
        <v>377.01811848621475</v>
      </c>
      <c r="H11" s="114"/>
      <c r="I11" s="113">
        <v>15.601821123965117</v>
      </c>
      <c r="J11" s="114">
        <v>22.037689609256798</v>
      </c>
      <c r="K11" s="109">
        <v>24.120434221115044</v>
      </c>
      <c r="L11" s="114"/>
      <c r="M11" s="113">
        <v>45.682190701199204</v>
      </c>
      <c r="N11" s="114">
        <v>46.72042230804464</v>
      </c>
      <c r="O11" s="109">
        <v>51.318305138360145</v>
      </c>
      <c r="P11" s="119"/>
      <c r="Q11" s="120">
        <v>0.08</v>
      </c>
      <c r="R11" s="120">
        <v>0.05</v>
      </c>
      <c r="S11" s="120">
        <v>0.03</v>
      </c>
      <c r="T11" s="120">
        <v>1.4999999999999999E-2</v>
      </c>
      <c r="U11" s="120">
        <v>0.02</v>
      </c>
      <c r="V11" s="121">
        <f t="shared" si="0"/>
        <v>0</v>
      </c>
      <c r="W11" s="119"/>
      <c r="X11" s="113">
        <f t="shared" si="1"/>
        <v>294.11034784408662</v>
      </c>
      <c r="Y11" s="113">
        <f t="shared" si="2"/>
        <v>376.20073517105266</v>
      </c>
      <c r="Z11" s="113">
        <f t="shared" si="3"/>
        <v>452.45685784568991</v>
      </c>
      <c r="AA11" s="22"/>
      <c r="AB11" s="22"/>
      <c r="AC11" s="22"/>
      <c r="AD11" s="22"/>
      <c r="AE11" s="22"/>
      <c r="AF11" s="22"/>
      <c r="AG11" s="22"/>
      <c r="AH11" s="22"/>
      <c r="AI11" s="22"/>
      <c r="AJ11" s="22"/>
      <c r="AK11" s="22"/>
      <c r="AL11" s="22"/>
      <c r="AM11" s="22"/>
      <c r="AN11" s="22"/>
      <c r="AO11" s="22"/>
      <c r="AP11" s="22"/>
      <c r="AQ11" s="22"/>
      <c r="AR11" s="22"/>
    </row>
    <row r="12" spans="1:44" hidden="1" x14ac:dyDescent="0.25">
      <c r="A12" s="16"/>
      <c r="B12" s="3" t="s">
        <v>17</v>
      </c>
      <c r="C12" s="3" t="s">
        <v>25</v>
      </c>
      <c r="D12" s="11" t="s">
        <v>19</v>
      </c>
      <c r="E12" s="107">
        <v>199.91259516593982</v>
      </c>
      <c r="F12" s="108">
        <v>265.6963282578165</v>
      </c>
      <c r="G12" s="109">
        <v>327.01899623032006</v>
      </c>
      <c r="H12" s="114"/>
      <c r="I12" s="113">
        <v>12.756240788427794</v>
      </c>
      <c r="J12" s="114">
        <v>18.018285996402216</v>
      </c>
      <c r="K12" s="109">
        <v>19.721163600149044</v>
      </c>
      <c r="L12" s="114"/>
      <c r="M12" s="113">
        <v>37.350320818142784</v>
      </c>
      <c r="N12" s="114">
        <v>38.199191745827846</v>
      </c>
      <c r="O12" s="109">
        <v>41.958477282718839</v>
      </c>
      <c r="P12" s="119"/>
      <c r="Q12" s="120">
        <v>0.08</v>
      </c>
      <c r="R12" s="120">
        <v>0.05</v>
      </c>
      <c r="S12" s="120">
        <v>0.03</v>
      </c>
      <c r="T12" s="120">
        <v>1.4999999999999999E-2</v>
      </c>
      <c r="U12" s="120">
        <v>0.02</v>
      </c>
      <c r="V12" s="121">
        <f t="shared" si="0"/>
        <v>0</v>
      </c>
      <c r="W12" s="119"/>
      <c r="X12" s="113">
        <f t="shared" si="1"/>
        <v>250.0191567725104</v>
      </c>
      <c r="Y12" s="113">
        <f t="shared" si="2"/>
        <v>321.91380600004652</v>
      </c>
      <c r="Z12" s="113">
        <f t="shared" si="3"/>
        <v>388.69863711318794</v>
      </c>
      <c r="AA12" s="22"/>
      <c r="AB12" s="22"/>
      <c r="AC12" s="22"/>
      <c r="AD12" s="22"/>
      <c r="AE12" s="22"/>
      <c r="AF12" s="22"/>
      <c r="AG12" s="22"/>
      <c r="AH12" s="22"/>
      <c r="AI12" s="22"/>
      <c r="AJ12" s="22"/>
      <c r="AK12" s="22"/>
      <c r="AL12" s="22"/>
      <c r="AM12" s="22"/>
      <c r="AN12" s="22"/>
      <c r="AO12" s="22"/>
      <c r="AP12" s="22"/>
      <c r="AQ12" s="22"/>
      <c r="AR12" s="22"/>
    </row>
    <row r="13" spans="1:44" hidden="1" x14ac:dyDescent="0.25">
      <c r="A13" s="16"/>
      <c r="B13" s="3" t="s">
        <v>17</v>
      </c>
      <c r="C13" s="3" t="s">
        <v>26</v>
      </c>
      <c r="D13" s="11" t="s">
        <v>19</v>
      </c>
      <c r="E13" s="107">
        <v>176.10110688151377</v>
      </c>
      <c r="F13" s="108">
        <v>233.12227437356788</v>
      </c>
      <c r="G13" s="109">
        <v>288.56271712617337</v>
      </c>
      <c r="H13" s="114"/>
      <c r="I13" s="113">
        <v>12.409459652055752</v>
      </c>
      <c r="J13" s="114">
        <v>17.528455034683681</v>
      </c>
      <c r="K13" s="109">
        <v>19.185039546262981</v>
      </c>
      <c r="L13" s="114"/>
      <c r="M13" s="113">
        <v>36.334944351674224</v>
      </c>
      <c r="N13" s="114">
        <v>37.160738541485003</v>
      </c>
      <c r="O13" s="109">
        <v>40.817827096361313</v>
      </c>
      <c r="P13" s="119"/>
      <c r="Q13" s="120">
        <v>0.08</v>
      </c>
      <c r="R13" s="120">
        <v>0.05</v>
      </c>
      <c r="S13" s="120">
        <v>0.03</v>
      </c>
      <c r="T13" s="120">
        <v>1.4999999999999999E-2</v>
      </c>
      <c r="U13" s="120">
        <v>0.02</v>
      </c>
      <c r="V13" s="121">
        <f t="shared" si="0"/>
        <v>0</v>
      </c>
      <c r="W13" s="119"/>
      <c r="X13" s="113">
        <f t="shared" si="1"/>
        <v>224.84551088524375</v>
      </c>
      <c r="Y13" s="113">
        <f t="shared" si="2"/>
        <v>287.81146794973654</v>
      </c>
      <c r="Z13" s="113">
        <f t="shared" si="3"/>
        <v>348.56558376879769</v>
      </c>
      <c r="AA13" s="22"/>
      <c r="AB13" s="22"/>
      <c r="AC13" s="22"/>
      <c r="AD13" s="22"/>
      <c r="AE13" s="22"/>
      <c r="AF13" s="22"/>
      <c r="AG13" s="22"/>
      <c r="AH13" s="22"/>
      <c r="AI13" s="22"/>
      <c r="AJ13" s="22"/>
      <c r="AK13" s="22"/>
      <c r="AL13" s="22"/>
      <c r="AM13" s="22"/>
      <c r="AN13" s="22"/>
      <c r="AO13" s="22"/>
      <c r="AP13" s="22"/>
      <c r="AQ13" s="22"/>
      <c r="AR13" s="22"/>
    </row>
    <row r="14" spans="1:44" hidden="1" x14ac:dyDescent="0.25">
      <c r="A14" s="16"/>
      <c r="B14" s="3" t="s">
        <v>17</v>
      </c>
      <c r="C14" s="3" t="s">
        <v>27</v>
      </c>
      <c r="D14" s="11" t="s">
        <v>19</v>
      </c>
      <c r="E14" s="107">
        <v>165.80041022987655</v>
      </c>
      <c r="F14" s="108">
        <v>221.53457387833541</v>
      </c>
      <c r="G14" s="109">
        <v>272.02158326557765</v>
      </c>
      <c r="H14" s="114"/>
      <c r="I14" s="113">
        <v>11.647026823803621</v>
      </c>
      <c r="J14" s="114">
        <v>16.451512933923457</v>
      </c>
      <c r="K14" s="109">
        <v>18.006317476848537</v>
      </c>
      <c r="L14" s="114"/>
      <c r="M14" s="113">
        <v>34.102538174194827</v>
      </c>
      <c r="N14" s="114">
        <v>34.877595859971976</v>
      </c>
      <c r="O14" s="109">
        <v>38.309994182699377</v>
      </c>
      <c r="P14" s="119"/>
      <c r="Q14" s="120">
        <v>0.08</v>
      </c>
      <c r="R14" s="120">
        <v>0.05</v>
      </c>
      <c r="S14" s="120">
        <v>0.03</v>
      </c>
      <c r="T14" s="120">
        <v>1.4999999999999999E-2</v>
      </c>
      <c r="U14" s="120">
        <v>0.02</v>
      </c>
      <c r="V14" s="121">
        <f t="shared" si="0"/>
        <v>0</v>
      </c>
      <c r="W14" s="119"/>
      <c r="X14" s="113">
        <f t="shared" si="1"/>
        <v>211.549975227875</v>
      </c>
      <c r="Y14" s="113">
        <f t="shared" si="2"/>
        <v>272.86368267223082</v>
      </c>
      <c r="Z14" s="113">
        <f t="shared" si="3"/>
        <v>328.33789492512557</v>
      </c>
      <c r="AA14" s="22"/>
      <c r="AB14" s="22"/>
      <c r="AC14" s="22"/>
      <c r="AD14" s="22"/>
      <c r="AE14" s="22"/>
      <c r="AF14" s="22"/>
      <c r="AG14" s="22"/>
      <c r="AH14" s="22"/>
      <c r="AI14" s="22"/>
      <c r="AJ14" s="22"/>
      <c r="AK14" s="22"/>
      <c r="AL14" s="22"/>
      <c r="AM14" s="22"/>
      <c r="AN14" s="22"/>
      <c r="AO14" s="22"/>
      <c r="AP14" s="22"/>
      <c r="AQ14" s="22"/>
      <c r="AR14" s="22"/>
    </row>
    <row r="15" spans="1:44" hidden="1" x14ac:dyDescent="0.25">
      <c r="A15" s="16"/>
      <c r="B15" s="3" t="s">
        <v>17</v>
      </c>
      <c r="C15" s="3" t="s">
        <v>28</v>
      </c>
      <c r="D15" s="11" t="s">
        <v>19</v>
      </c>
      <c r="E15" s="107">
        <v>174.4009165496341</v>
      </c>
      <c r="F15" s="108">
        <v>230.86430076132751</v>
      </c>
      <c r="G15" s="109">
        <v>285.76239005100155</v>
      </c>
      <c r="H15" s="114"/>
      <c r="I15" s="113">
        <v>12.289819872627655</v>
      </c>
      <c r="J15" s="114">
        <v>17.35946294696474</v>
      </c>
      <c r="K15" s="109">
        <v>19.000076303382865</v>
      </c>
      <c r="L15" s="114"/>
      <c r="M15" s="113">
        <v>35.984638629293606</v>
      </c>
      <c r="N15" s="114">
        <v>36.802471325413919</v>
      </c>
      <c r="O15" s="109">
        <v>40.424301836803863</v>
      </c>
      <c r="P15" s="119"/>
      <c r="Q15" s="120">
        <v>0.08</v>
      </c>
      <c r="R15" s="120">
        <v>0.05</v>
      </c>
      <c r="S15" s="120">
        <v>0.03</v>
      </c>
      <c r="T15" s="120">
        <v>1.4999999999999999E-2</v>
      </c>
      <c r="U15" s="120">
        <v>0.02</v>
      </c>
      <c r="V15" s="121">
        <f t="shared" si="0"/>
        <v>0</v>
      </c>
      <c r="W15" s="119"/>
      <c r="X15" s="113">
        <f t="shared" si="1"/>
        <v>222.67537505155536</v>
      </c>
      <c r="Y15" s="113">
        <f t="shared" si="2"/>
        <v>285.0262350337062</v>
      </c>
      <c r="Z15" s="113">
        <f t="shared" si="3"/>
        <v>345.18676819118826</v>
      </c>
      <c r="AA15" s="22"/>
      <c r="AB15" s="22"/>
      <c r="AC15" s="22"/>
      <c r="AD15" s="22"/>
      <c r="AE15" s="22"/>
      <c r="AF15" s="22"/>
      <c r="AG15" s="22"/>
      <c r="AH15" s="22"/>
      <c r="AI15" s="22"/>
      <c r="AJ15" s="22"/>
      <c r="AK15" s="22"/>
      <c r="AL15" s="22"/>
      <c r="AM15" s="22"/>
      <c r="AN15" s="22"/>
      <c r="AO15" s="22"/>
      <c r="AP15" s="22"/>
      <c r="AQ15" s="22"/>
      <c r="AR15" s="22"/>
    </row>
    <row r="16" spans="1:44" hidden="1" x14ac:dyDescent="0.25">
      <c r="A16" s="16"/>
      <c r="B16" s="3" t="s">
        <v>17</v>
      </c>
      <c r="C16" s="3" t="s">
        <v>29</v>
      </c>
      <c r="D16" s="11" t="s">
        <v>19</v>
      </c>
      <c r="E16" s="107">
        <v>166.08918804050558</v>
      </c>
      <c r="F16" s="108">
        <v>219.82542131717051</v>
      </c>
      <c r="G16" s="109">
        <v>272.07207665015892</v>
      </c>
      <c r="H16" s="114"/>
      <c r="I16" s="113">
        <v>11.704912288619848</v>
      </c>
      <c r="J16" s="114">
        <v>16.533276588074578</v>
      </c>
      <c r="K16" s="109">
        <v>18.095808475070132</v>
      </c>
      <c r="L16" s="114"/>
      <c r="M16" s="113">
        <v>34.272027032037229</v>
      </c>
      <c r="N16" s="114">
        <v>35.050936737310799</v>
      </c>
      <c r="O16" s="109">
        <v>38.500394003522338</v>
      </c>
      <c r="P16" s="119"/>
      <c r="Q16" s="120">
        <v>0.08</v>
      </c>
      <c r="R16" s="120">
        <v>0.05</v>
      </c>
      <c r="S16" s="120">
        <v>0.03</v>
      </c>
      <c r="T16" s="120">
        <v>1.4999999999999999E-2</v>
      </c>
      <c r="U16" s="120">
        <v>0.02</v>
      </c>
      <c r="V16" s="121">
        <f t="shared" si="0"/>
        <v>0</v>
      </c>
      <c r="W16" s="119"/>
      <c r="X16" s="113">
        <f t="shared" si="1"/>
        <v>212.06612736116267</v>
      </c>
      <c r="Y16" s="113">
        <f t="shared" si="2"/>
        <v>271.40963464255589</v>
      </c>
      <c r="Z16" s="113">
        <f t="shared" si="3"/>
        <v>328.66827912875141</v>
      </c>
      <c r="AA16" s="22"/>
      <c r="AB16" s="22"/>
      <c r="AC16" s="22"/>
      <c r="AD16" s="22"/>
      <c r="AE16" s="22"/>
      <c r="AF16" s="22"/>
      <c r="AG16" s="22"/>
      <c r="AH16" s="22"/>
      <c r="AI16" s="22"/>
      <c r="AJ16" s="22"/>
      <c r="AK16" s="22"/>
      <c r="AL16" s="22"/>
      <c r="AM16" s="22"/>
      <c r="AN16" s="22"/>
      <c r="AO16" s="22"/>
      <c r="AP16" s="22"/>
      <c r="AQ16" s="22"/>
      <c r="AR16" s="22"/>
    </row>
    <row r="17" spans="1:44" hidden="1" x14ac:dyDescent="0.25">
      <c r="A17" s="16"/>
      <c r="B17" s="3" t="s">
        <v>17</v>
      </c>
      <c r="C17" s="3" t="s">
        <v>30</v>
      </c>
      <c r="D17" s="11" t="s">
        <v>19</v>
      </c>
      <c r="E17" s="107">
        <v>177.42340527755192</v>
      </c>
      <c r="F17" s="108">
        <v>234.8784555399512</v>
      </c>
      <c r="G17" s="109">
        <v>290.74072363071917</v>
      </c>
      <c r="H17" s="114"/>
      <c r="I17" s="113">
        <v>12.502513212971692</v>
      </c>
      <c r="J17" s="114">
        <v>17.659893888917924</v>
      </c>
      <c r="K17" s="109">
        <v>19.328900463349505</v>
      </c>
      <c r="L17" s="114"/>
      <c r="M17" s="113">
        <v>36.60740552664938</v>
      </c>
      <c r="N17" s="114">
        <v>37.439392015891407</v>
      </c>
      <c r="O17" s="109">
        <v>41.12390361110613</v>
      </c>
      <c r="P17" s="119"/>
      <c r="Q17" s="120">
        <v>0.08</v>
      </c>
      <c r="R17" s="120">
        <v>0.05</v>
      </c>
      <c r="S17" s="120">
        <v>0.03</v>
      </c>
      <c r="T17" s="120">
        <v>1.4999999999999999E-2</v>
      </c>
      <c r="U17" s="120">
        <v>0.02</v>
      </c>
      <c r="V17" s="121">
        <f t="shared" si="0"/>
        <v>0</v>
      </c>
      <c r="W17" s="119"/>
      <c r="X17" s="113">
        <f t="shared" si="1"/>
        <v>226.53332401717299</v>
      </c>
      <c r="Y17" s="113">
        <f t="shared" si="2"/>
        <v>289.97774144476057</v>
      </c>
      <c r="Z17" s="113">
        <f t="shared" si="3"/>
        <v>351.1935277051748</v>
      </c>
      <c r="AA17" s="22"/>
      <c r="AB17" s="22"/>
      <c r="AC17" s="22"/>
      <c r="AD17" s="22"/>
      <c r="AE17" s="22"/>
      <c r="AF17" s="22"/>
      <c r="AG17" s="22"/>
      <c r="AH17" s="22"/>
      <c r="AI17" s="22"/>
      <c r="AJ17" s="22"/>
      <c r="AK17" s="22"/>
      <c r="AL17" s="22"/>
      <c r="AM17" s="22"/>
      <c r="AN17" s="22"/>
      <c r="AO17" s="22"/>
      <c r="AP17" s="22"/>
      <c r="AQ17" s="22"/>
      <c r="AR17" s="22"/>
    </row>
    <row r="18" spans="1:44" hidden="1" x14ac:dyDescent="0.25">
      <c r="A18" s="16"/>
      <c r="B18" s="3" t="s">
        <v>17</v>
      </c>
      <c r="C18" s="3" t="s">
        <v>32</v>
      </c>
      <c r="D18" s="11" t="s">
        <v>19</v>
      </c>
      <c r="E18" s="107">
        <v>186.3018792963264</v>
      </c>
      <c r="F18" s="108">
        <v>246.66997745583561</v>
      </c>
      <c r="G18" s="109">
        <v>305.3644947889718</v>
      </c>
      <c r="H18" s="114"/>
      <c r="I18" s="113">
        <v>13.127301920871131</v>
      </c>
      <c r="J18" s="114">
        <v>18.542412635072932</v>
      </c>
      <c r="K18" s="109">
        <v>20.294824557161565</v>
      </c>
      <c r="L18" s="114"/>
      <c r="M18" s="113">
        <v>38.436789204070003</v>
      </c>
      <c r="N18" s="114">
        <v>39.310352595071599</v>
      </c>
      <c r="O18" s="109">
        <v>43.178990469507212</v>
      </c>
      <c r="P18" s="119"/>
      <c r="Q18" s="120">
        <v>0.08</v>
      </c>
      <c r="R18" s="120">
        <v>0.05</v>
      </c>
      <c r="S18" s="120">
        <v>0.03</v>
      </c>
      <c r="T18" s="120">
        <v>1.4999999999999999E-2</v>
      </c>
      <c r="U18" s="120">
        <v>0.02</v>
      </c>
      <c r="V18" s="121">
        <f t="shared" si="0"/>
        <v>0</v>
      </c>
      <c r="W18" s="119"/>
      <c r="X18" s="113">
        <f t="shared" si="1"/>
        <v>237.86597042126755</v>
      </c>
      <c r="Y18" s="113">
        <f t="shared" si="2"/>
        <v>304.52274268598012</v>
      </c>
      <c r="Z18" s="113">
        <f t="shared" si="3"/>
        <v>368.83830981564057</v>
      </c>
      <c r="AA18" s="22"/>
      <c r="AB18" s="22"/>
      <c r="AC18" s="22"/>
      <c r="AD18" s="22"/>
      <c r="AE18" s="22"/>
      <c r="AF18" s="22"/>
      <c r="AG18" s="22"/>
      <c r="AH18" s="22"/>
      <c r="AI18" s="22"/>
      <c r="AJ18" s="22"/>
      <c r="AK18" s="22"/>
      <c r="AL18" s="22"/>
      <c r="AM18" s="22"/>
      <c r="AN18" s="22"/>
      <c r="AO18" s="22"/>
      <c r="AP18" s="22"/>
      <c r="AQ18" s="22"/>
      <c r="AR18" s="22"/>
    </row>
    <row r="19" spans="1:44" hidden="1" x14ac:dyDescent="0.25">
      <c r="A19" s="16"/>
      <c r="B19" s="3" t="s">
        <v>17</v>
      </c>
      <c r="C19" s="3" t="s">
        <v>33</v>
      </c>
      <c r="D19" s="11" t="s">
        <v>19</v>
      </c>
      <c r="E19" s="107">
        <v>164.95578941533003</v>
      </c>
      <c r="F19" s="108">
        <v>218.32013637371571</v>
      </c>
      <c r="G19" s="109">
        <v>270.20520733239704</v>
      </c>
      <c r="H19" s="114"/>
      <c r="I19" s="113">
        <v>11.625157225330172</v>
      </c>
      <c r="J19" s="114">
        <v>16.420621961696074</v>
      </c>
      <c r="K19" s="109">
        <v>17.9725070513072</v>
      </c>
      <c r="L19" s="114"/>
      <c r="M19" s="113">
        <v>34.038503907932899</v>
      </c>
      <c r="N19" s="114">
        <v>34.812106269476836</v>
      </c>
      <c r="O19" s="109">
        <v>38.238059584885661</v>
      </c>
      <c r="P19" s="119"/>
      <c r="Q19" s="120">
        <v>0.08</v>
      </c>
      <c r="R19" s="120">
        <v>0.05</v>
      </c>
      <c r="S19" s="120">
        <v>0.03</v>
      </c>
      <c r="T19" s="120">
        <v>1.4999999999999999E-2</v>
      </c>
      <c r="U19" s="120">
        <v>0.02</v>
      </c>
      <c r="V19" s="121">
        <f t="shared" si="0"/>
        <v>0</v>
      </c>
      <c r="W19" s="119"/>
      <c r="X19" s="113">
        <f t="shared" si="1"/>
        <v>210.61945054859311</v>
      </c>
      <c r="Y19" s="113">
        <f t="shared" si="2"/>
        <v>269.55286460488861</v>
      </c>
      <c r="Z19" s="113">
        <f t="shared" si="3"/>
        <v>326.41577396858992</v>
      </c>
      <c r="AA19" s="22"/>
      <c r="AB19" s="22"/>
      <c r="AC19" s="22"/>
      <c r="AD19" s="22"/>
      <c r="AE19" s="22"/>
      <c r="AF19" s="22"/>
      <c r="AG19" s="22"/>
      <c r="AH19" s="22"/>
      <c r="AI19" s="22"/>
      <c r="AJ19" s="22"/>
      <c r="AK19" s="22"/>
      <c r="AL19" s="22"/>
      <c r="AM19" s="22"/>
      <c r="AN19" s="22"/>
      <c r="AO19" s="22"/>
      <c r="AP19" s="22"/>
      <c r="AQ19" s="22"/>
      <c r="AR19" s="22"/>
    </row>
    <row r="20" spans="1:44" hidden="1" x14ac:dyDescent="0.25">
      <c r="A20" s="16"/>
      <c r="B20" s="3" t="s">
        <v>17</v>
      </c>
      <c r="C20" s="3" t="s">
        <v>34</v>
      </c>
      <c r="D20" s="11" t="s">
        <v>19</v>
      </c>
      <c r="E20" s="107">
        <v>175.34546160100524</v>
      </c>
      <c r="F20" s="108">
        <v>232.11873567891195</v>
      </c>
      <c r="G20" s="109">
        <v>287.31816837903762</v>
      </c>
      <c r="H20" s="114"/>
      <c r="I20" s="113">
        <v>12.35628721503144</v>
      </c>
      <c r="J20" s="114">
        <v>17.453348567714283</v>
      </c>
      <c r="K20" s="109">
        <v>19.102834894675787</v>
      </c>
      <c r="L20" s="114"/>
      <c r="M20" s="113">
        <v>36.179255256863293</v>
      </c>
      <c r="N20" s="114">
        <v>37.001511058155643</v>
      </c>
      <c r="O20" s="109">
        <v>40.64292960673604</v>
      </c>
      <c r="P20" s="119"/>
      <c r="Q20" s="120">
        <v>0.08</v>
      </c>
      <c r="R20" s="120">
        <v>0.05</v>
      </c>
      <c r="S20" s="120">
        <v>0.03</v>
      </c>
      <c r="T20" s="120">
        <v>1.4999999999999999E-2</v>
      </c>
      <c r="U20" s="120">
        <v>0.02</v>
      </c>
      <c r="V20" s="121">
        <f t="shared" si="0"/>
        <v>0</v>
      </c>
      <c r="W20" s="119"/>
      <c r="X20" s="113">
        <f t="shared" si="1"/>
        <v>223.88100407289997</v>
      </c>
      <c r="Y20" s="113">
        <f t="shared" si="2"/>
        <v>286.57359530478186</v>
      </c>
      <c r="Z20" s="113">
        <f t="shared" si="3"/>
        <v>347.06393288044944</v>
      </c>
      <c r="AA20" s="22"/>
      <c r="AB20" s="22"/>
      <c r="AC20" s="22"/>
      <c r="AD20" s="22"/>
      <c r="AE20" s="22"/>
      <c r="AF20" s="22"/>
      <c r="AG20" s="22"/>
      <c r="AH20" s="22"/>
      <c r="AI20" s="22"/>
      <c r="AJ20" s="22"/>
      <c r="AK20" s="22"/>
      <c r="AL20" s="22"/>
      <c r="AM20" s="22"/>
      <c r="AN20" s="22"/>
      <c r="AO20" s="22"/>
      <c r="AP20" s="22"/>
      <c r="AQ20" s="22"/>
      <c r="AR20" s="22"/>
    </row>
    <row r="21" spans="1:44" hidden="1" x14ac:dyDescent="0.25">
      <c r="A21" s="16"/>
      <c r="B21" s="3" t="s">
        <v>17</v>
      </c>
      <c r="C21" s="3" t="s">
        <v>35</v>
      </c>
      <c r="D21" s="11" t="s">
        <v>19</v>
      </c>
      <c r="E21" s="107">
        <v>184.22393561977972</v>
      </c>
      <c r="F21" s="108">
        <v>243.91025759479635</v>
      </c>
      <c r="G21" s="109">
        <v>301.94193953729024</v>
      </c>
      <c r="H21" s="114"/>
      <c r="I21" s="113">
        <v>12.981075922930879</v>
      </c>
      <c r="J21" s="114">
        <v>18.335867313869294</v>
      </c>
      <c r="K21" s="109">
        <v>20.068758988487847</v>
      </c>
      <c r="L21" s="114"/>
      <c r="M21" s="113">
        <v>38.008638934283915</v>
      </c>
      <c r="N21" s="114">
        <v>38.872471637335821</v>
      </c>
      <c r="O21" s="109">
        <v>42.698016465137137</v>
      </c>
      <c r="P21" s="119"/>
      <c r="Q21" s="120">
        <v>0.08</v>
      </c>
      <c r="R21" s="120">
        <v>0.05</v>
      </c>
      <c r="S21" s="120">
        <v>0.03</v>
      </c>
      <c r="T21" s="120">
        <v>1.4999999999999999E-2</v>
      </c>
      <c r="U21" s="120">
        <v>0.02</v>
      </c>
      <c r="V21" s="121">
        <f t="shared" si="0"/>
        <v>0</v>
      </c>
      <c r="W21" s="119"/>
      <c r="X21" s="113">
        <f t="shared" si="1"/>
        <v>235.2136504769945</v>
      </c>
      <c r="Y21" s="113">
        <f t="shared" si="2"/>
        <v>301.11859654600147</v>
      </c>
      <c r="Z21" s="113">
        <f t="shared" si="3"/>
        <v>364.70871499091521</v>
      </c>
      <c r="AA21" s="22"/>
      <c r="AB21" s="22"/>
      <c r="AC21" s="22"/>
      <c r="AD21" s="22"/>
      <c r="AE21" s="22"/>
      <c r="AF21" s="22"/>
      <c r="AG21" s="22"/>
      <c r="AH21" s="22"/>
      <c r="AI21" s="22"/>
      <c r="AJ21" s="22"/>
      <c r="AK21" s="22"/>
      <c r="AL21" s="22"/>
      <c r="AM21" s="22"/>
      <c r="AN21" s="22"/>
      <c r="AO21" s="22"/>
      <c r="AP21" s="22"/>
      <c r="AQ21" s="22"/>
      <c r="AR21" s="22"/>
    </row>
    <row r="22" spans="1:44" hidden="1" x14ac:dyDescent="0.25">
      <c r="A22" s="16"/>
      <c r="B22" s="3" t="s">
        <v>17</v>
      </c>
      <c r="C22" s="3" t="s">
        <v>36</v>
      </c>
      <c r="D22" s="11" t="s">
        <v>19</v>
      </c>
      <c r="E22" s="107">
        <v>217.4709882474684</v>
      </c>
      <c r="F22" s="108">
        <v>288.0656367802498</v>
      </c>
      <c r="G22" s="109">
        <v>356.70333173183531</v>
      </c>
      <c r="H22" s="114"/>
      <c r="I22" s="113">
        <v>15.320695482221726</v>
      </c>
      <c r="J22" s="114">
        <v>21.640597527203148</v>
      </c>
      <c r="K22" s="109">
        <v>23.685813640885186</v>
      </c>
      <c r="L22" s="114"/>
      <c r="M22" s="113">
        <v>44.859053768973261</v>
      </c>
      <c r="N22" s="114">
        <v>45.878577718268112</v>
      </c>
      <c r="O22" s="109">
        <v>50.393612350859577</v>
      </c>
      <c r="P22" s="119"/>
      <c r="Q22" s="120">
        <v>0.08</v>
      </c>
      <c r="R22" s="120">
        <v>0.05</v>
      </c>
      <c r="S22" s="120">
        <v>0.03</v>
      </c>
      <c r="T22" s="120">
        <v>1.4999999999999999E-2</v>
      </c>
      <c r="U22" s="120">
        <v>0.02</v>
      </c>
      <c r="V22" s="121">
        <f t="shared" si="0"/>
        <v>0</v>
      </c>
      <c r="W22" s="119"/>
      <c r="X22" s="113">
        <f t="shared" si="1"/>
        <v>277.65073749866337</v>
      </c>
      <c r="Y22" s="113">
        <f t="shared" si="2"/>
        <v>355.58481202572108</v>
      </c>
      <c r="Z22" s="113">
        <f t="shared" si="3"/>
        <v>430.78275772358006</v>
      </c>
      <c r="AA22" s="22"/>
      <c r="AB22" s="22"/>
      <c r="AC22" s="22"/>
      <c r="AD22" s="22"/>
      <c r="AE22" s="22"/>
      <c r="AF22" s="22"/>
      <c r="AG22" s="22"/>
      <c r="AH22" s="22"/>
      <c r="AI22" s="22"/>
      <c r="AJ22" s="22"/>
      <c r="AK22" s="22"/>
      <c r="AL22" s="22"/>
      <c r="AM22" s="22"/>
      <c r="AN22" s="22"/>
      <c r="AO22" s="22"/>
      <c r="AP22" s="22"/>
      <c r="AQ22" s="22"/>
      <c r="AR22" s="22"/>
    </row>
    <row r="23" spans="1:44" hidden="1" x14ac:dyDescent="0.25">
      <c r="A23" s="16"/>
      <c r="B23" s="3" t="s">
        <v>17</v>
      </c>
      <c r="C23" s="3" t="s">
        <v>37</v>
      </c>
      <c r="D23" s="11" t="s">
        <v>19</v>
      </c>
      <c r="E23" s="107">
        <v>170.24507539359894</v>
      </c>
      <c r="F23" s="108">
        <v>225.34490723630717</v>
      </c>
      <c r="G23" s="109">
        <v>278.9172333505802</v>
      </c>
      <c r="H23" s="114"/>
      <c r="I23" s="113">
        <v>11.997367876747148</v>
      </c>
      <c r="J23" s="114">
        <v>16.946372304557457</v>
      </c>
      <c r="K23" s="109">
        <v>18.547945166035429</v>
      </c>
      <c r="L23" s="114"/>
      <c r="M23" s="113">
        <v>35.128338089721446</v>
      </c>
      <c r="N23" s="114">
        <v>35.92670940994239</v>
      </c>
      <c r="O23" s="109">
        <v>39.462353828063712</v>
      </c>
      <c r="P23" s="119"/>
      <c r="Q23" s="120">
        <v>0.08</v>
      </c>
      <c r="R23" s="120">
        <v>0.05</v>
      </c>
      <c r="S23" s="120">
        <v>0.03</v>
      </c>
      <c r="T23" s="120">
        <v>1.4999999999999999E-2</v>
      </c>
      <c r="U23" s="120">
        <v>0.02</v>
      </c>
      <c r="V23" s="121">
        <f t="shared" si="0"/>
        <v>0</v>
      </c>
      <c r="W23" s="119"/>
      <c r="X23" s="113">
        <f t="shared" si="1"/>
        <v>217.37078136006753</v>
      </c>
      <c r="Y23" s="113">
        <f t="shared" si="2"/>
        <v>278.21798895080701</v>
      </c>
      <c r="Z23" s="113">
        <f t="shared" si="3"/>
        <v>336.92753234467938</v>
      </c>
      <c r="AA23" s="22"/>
      <c r="AB23" s="22"/>
      <c r="AC23" s="22"/>
      <c r="AD23" s="22"/>
      <c r="AE23" s="22"/>
      <c r="AF23" s="22"/>
      <c r="AG23" s="22"/>
      <c r="AH23" s="22"/>
      <c r="AI23" s="22"/>
      <c r="AJ23" s="22"/>
      <c r="AK23" s="22"/>
      <c r="AL23" s="22"/>
      <c r="AM23" s="22"/>
      <c r="AN23" s="22"/>
      <c r="AO23" s="22"/>
      <c r="AP23" s="22"/>
      <c r="AQ23" s="22"/>
      <c r="AR23" s="22"/>
    </row>
    <row r="24" spans="1:44" hidden="1" x14ac:dyDescent="0.25">
      <c r="A24" s="16"/>
      <c r="B24" s="3" t="s">
        <v>17</v>
      </c>
      <c r="C24" s="3" t="s">
        <v>38</v>
      </c>
      <c r="D24" s="11" t="s">
        <v>19</v>
      </c>
      <c r="E24" s="107">
        <v>200.09183975164461</v>
      </c>
      <c r="F24" s="108">
        <v>264.98443159139623</v>
      </c>
      <c r="G24" s="109">
        <v>328.07806378889791</v>
      </c>
      <c r="H24" s="114"/>
      <c r="I24" s="113">
        <v>14.097707877181803</v>
      </c>
      <c r="J24" s="114">
        <v>19.91311834245343</v>
      </c>
      <c r="K24" s="109">
        <v>21.79507333267253</v>
      </c>
      <c r="L24" s="114"/>
      <c r="M24" s="113">
        <v>41.27814147964957</v>
      </c>
      <c r="N24" s="114">
        <v>42.216281058732513</v>
      </c>
      <c r="O24" s="109">
        <v>46.370899194671267</v>
      </c>
      <c r="P24" s="119"/>
      <c r="Q24" s="120">
        <v>0.08</v>
      </c>
      <c r="R24" s="120">
        <v>0.05</v>
      </c>
      <c r="S24" s="120">
        <v>0.03</v>
      </c>
      <c r="T24" s="120">
        <v>1.4999999999999999E-2</v>
      </c>
      <c r="U24" s="120">
        <v>0.02</v>
      </c>
      <c r="V24" s="121">
        <f t="shared" si="0"/>
        <v>0</v>
      </c>
      <c r="W24" s="119"/>
      <c r="X24" s="113">
        <f t="shared" si="1"/>
        <v>255.46768910847598</v>
      </c>
      <c r="Y24" s="113">
        <f t="shared" si="2"/>
        <v>327.11383099258217</v>
      </c>
      <c r="Z24" s="113">
        <f t="shared" si="3"/>
        <v>396.2440363162417</v>
      </c>
      <c r="AA24" s="22"/>
      <c r="AB24" s="22"/>
      <c r="AC24" s="22"/>
      <c r="AD24" s="22"/>
      <c r="AE24" s="22"/>
      <c r="AF24" s="22"/>
      <c r="AG24" s="22"/>
      <c r="AH24" s="22"/>
      <c r="AI24" s="22"/>
      <c r="AJ24" s="22"/>
      <c r="AK24" s="22"/>
      <c r="AL24" s="22"/>
      <c r="AM24" s="22"/>
      <c r="AN24" s="22"/>
      <c r="AO24" s="22"/>
      <c r="AP24" s="22"/>
      <c r="AQ24" s="22"/>
      <c r="AR24" s="22"/>
    </row>
    <row r="25" spans="1:44" hidden="1" x14ac:dyDescent="0.25">
      <c r="A25" s="16"/>
      <c r="B25" s="3" t="s">
        <v>17</v>
      </c>
      <c r="C25" s="3" t="s">
        <v>39</v>
      </c>
      <c r="D25" s="11" t="s">
        <v>19</v>
      </c>
      <c r="E25" s="107">
        <v>169.67837608101115</v>
      </c>
      <c r="F25" s="108">
        <v>224.59226476457977</v>
      </c>
      <c r="G25" s="109">
        <v>277.98382179022838</v>
      </c>
      <c r="H25" s="114"/>
      <c r="I25" s="113">
        <v>11.957490345102309</v>
      </c>
      <c r="J25" s="114">
        <v>16.890044991368203</v>
      </c>
      <c r="K25" s="109">
        <v>18.48629445415396</v>
      </c>
      <c r="L25" s="114"/>
      <c r="M25" s="113">
        <v>35.011576527669291</v>
      </c>
      <c r="N25" s="114">
        <v>35.807294176025408</v>
      </c>
      <c r="O25" s="109">
        <v>39.331186618745377</v>
      </c>
      <c r="P25" s="119"/>
      <c r="Q25" s="120">
        <v>0.08</v>
      </c>
      <c r="R25" s="120">
        <v>0.05</v>
      </c>
      <c r="S25" s="120">
        <v>0.03</v>
      </c>
      <c r="T25" s="120">
        <v>1.4999999999999999E-2</v>
      </c>
      <c r="U25" s="120">
        <v>0.02</v>
      </c>
      <c r="V25" s="121">
        <f t="shared" si="0"/>
        <v>0</v>
      </c>
      <c r="W25" s="119"/>
      <c r="X25" s="113">
        <f t="shared" si="1"/>
        <v>216.64744295378276</v>
      </c>
      <c r="Y25" s="113">
        <f t="shared" si="2"/>
        <v>277.28960393197337</v>
      </c>
      <c r="Z25" s="113">
        <f t="shared" si="3"/>
        <v>335.80130286312772</v>
      </c>
      <c r="AA25" s="22"/>
      <c r="AB25" s="22"/>
      <c r="AC25" s="22"/>
      <c r="AD25" s="22"/>
      <c r="AE25" s="22"/>
      <c r="AF25" s="22"/>
      <c r="AG25" s="22"/>
      <c r="AH25" s="22"/>
      <c r="AI25" s="22"/>
      <c r="AJ25" s="22"/>
      <c r="AK25" s="22"/>
      <c r="AL25" s="22"/>
      <c r="AM25" s="22"/>
      <c r="AN25" s="22"/>
      <c r="AO25" s="22"/>
      <c r="AP25" s="22"/>
      <c r="AQ25" s="22"/>
      <c r="AR25" s="22"/>
    </row>
    <row r="26" spans="1:44" hidden="1" x14ac:dyDescent="0.25">
      <c r="A26" s="16"/>
      <c r="B26" s="3" t="s">
        <v>17</v>
      </c>
      <c r="C26" s="3" t="s">
        <v>40</v>
      </c>
      <c r="D26" s="11" t="s">
        <v>19</v>
      </c>
      <c r="E26" s="107">
        <v>243.37390974942713</v>
      </c>
      <c r="F26" s="108">
        <v>338.76154926454279</v>
      </c>
      <c r="G26" s="109">
        <v>412.5956741074728</v>
      </c>
      <c r="H26" s="114"/>
      <c r="I26" s="113">
        <v>16.63</v>
      </c>
      <c r="J26" s="114">
        <v>23.49</v>
      </c>
      <c r="K26" s="109">
        <v>25.71</v>
      </c>
      <c r="L26" s="114"/>
      <c r="M26" s="113">
        <v>48.692702302170133</v>
      </c>
      <c r="N26" s="114">
        <v>49.799354627219451</v>
      </c>
      <c r="O26" s="109">
        <v>54.700243495295013</v>
      </c>
      <c r="P26" s="119"/>
      <c r="Q26" s="120">
        <v>0.08</v>
      </c>
      <c r="R26" s="120">
        <v>0.05</v>
      </c>
      <c r="S26" s="120">
        <v>0.03</v>
      </c>
      <c r="T26" s="120">
        <v>1.4999999999999999E-2</v>
      </c>
      <c r="U26" s="120">
        <v>0.02</v>
      </c>
      <c r="V26" s="121">
        <f t="shared" si="0"/>
        <v>0</v>
      </c>
      <c r="W26" s="119"/>
      <c r="X26" s="113">
        <f t="shared" si="1"/>
        <v>308.69661205159724</v>
      </c>
      <c r="Y26" s="113">
        <f t="shared" si="2"/>
        <v>412.05090389176223</v>
      </c>
      <c r="Z26" s="113">
        <f t="shared" si="3"/>
        <v>493.00591760276779</v>
      </c>
      <c r="AA26" s="22"/>
      <c r="AB26" s="22"/>
      <c r="AC26" s="22"/>
      <c r="AD26" s="22"/>
      <c r="AE26" s="22"/>
      <c r="AF26" s="22"/>
      <c r="AG26" s="22"/>
      <c r="AH26" s="22"/>
      <c r="AI26" s="22"/>
      <c r="AJ26" s="22"/>
      <c r="AK26" s="22"/>
      <c r="AL26" s="22"/>
      <c r="AM26" s="22"/>
      <c r="AN26" s="22"/>
      <c r="AO26" s="22"/>
      <c r="AP26" s="22"/>
      <c r="AQ26" s="22"/>
      <c r="AR26" s="22"/>
    </row>
    <row r="27" spans="1:44" hidden="1" x14ac:dyDescent="0.25">
      <c r="A27" s="16"/>
      <c r="B27" s="3" t="s">
        <v>17</v>
      </c>
      <c r="C27" s="3" t="s">
        <v>41</v>
      </c>
      <c r="D27" s="11" t="s">
        <v>19</v>
      </c>
      <c r="E27" s="107">
        <v>218.41548710178134</v>
      </c>
      <c r="F27" s="108">
        <v>289.32007169783424</v>
      </c>
      <c r="G27" s="109">
        <v>358.25906386281321</v>
      </c>
      <c r="H27" s="114"/>
      <c r="I27" s="113">
        <v>15.387162824625513</v>
      </c>
      <c r="J27" s="114">
        <v>21.734483147952695</v>
      </c>
      <c r="K27" s="109">
        <v>23.788572232178112</v>
      </c>
      <c r="L27" s="114"/>
      <c r="M27" s="113">
        <v>45.053670396542955</v>
      </c>
      <c r="N27" s="114">
        <v>46.077617451009843</v>
      </c>
      <c r="O27" s="109">
        <v>50.612240120791768</v>
      </c>
      <c r="P27" s="119"/>
      <c r="Q27" s="120">
        <v>0.08</v>
      </c>
      <c r="R27" s="120">
        <v>0.05</v>
      </c>
      <c r="S27" s="120">
        <v>0.03</v>
      </c>
      <c r="T27" s="120">
        <v>1.4999999999999999E-2</v>
      </c>
      <c r="U27" s="120">
        <v>0.02</v>
      </c>
      <c r="V27" s="121">
        <f t="shared" si="0"/>
        <v>0</v>
      </c>
      <c r="W27" s="119"/>
      <c r="X27" s="113">
        <f t="shared" si="1"/>
        <v>278.85632032294978</v>
      </c>
      <c r="Y27" s="113">
        <f t="shared" si="2"/>
        <v>357.13217229679674</v>
      </c>
      <c r="Z27" s="113">
        <f t="shared" si="3"/>
        <v>432.65987621578313</v>
      </c>
      <c r="AA27" s="22"/>
      <c r="AB27" s="22"/>
      <c r="AC27" s="22"/>
      <c r="AD27" s="22"/>
      <c r="AE27" s="22"/>
      <c r="AF27" s="22"/>
      <c r="AG27" s="22"/>
      <c r="AH27" s="22"/>
      <c r="AI27" s="22"/>
      <c r="AJ27" s="22"/>
      <c r="AK27" s="22"/>
      <c r="AL27" s="22"/>
      <c r="AM27" s="22"/>
      <c r="AN27" s="22"/>
      <c r="AO27" s="22"/>
      <c r="AP27" s="22"/>
      <c r="AQ27" s="22"/>
      <c r="AR27" s="22"/>
    </row>
    <row r="28" spans="1:44" hidden="1" x14ac:dyDescent="0.25">
      <c r="A28" s="16"/>
      <c r="B28" s="3" t="s">
        <v>17</v>
      </c>
      <c r="C28" s="3" t="s">
        <v>42</v>
      </c>
      <c r="D28" s="11" t="s">
        <v>19</v>
      </c>
      <c r="E28" s="107">
        <v>226.72721561090989</v>
      </c>
      <c r="F28" s="108">
        <v>300.3589049449331</v>
      </c>
      <c r="G28" s="109">
        <v>371.94937726365583</v>
      </c>
      <c r="H28" s="114"/>
      <c r="I28" s="113">
        <v>15.972066816386528</v>
      </c>
      <c r="J28" s="114">
        <v>22.560664432767261</v>
      </c>
      <c r="K28" s="109">
        <v>24.69283450687298</v>
      </c>
      <c r="L28" s="114"/>
      <c r="M28" s="113">
        <v>46.766271475687269</v>
      </c>
      <c r="N28" s="114">
        <v>47.829141281952893</v>
      </c>
      <c r="O28" s="109">
        <v>52.53613613827207</v>
      </c>
      <c r="P28" s="119"/>
      <c r="Q28" s="120">
        <v>0.08</v>
      </c>
      <c r="R28" s="120">
        <v>0.05</v>
      </c>
      <c r="S28" s="120">
        <v>0.03</v>
      </c>
      <c r="T28" s="120">
        <v>1.4999999999999999E-2</v>
      </c>
      <c r="U28" s="120">
        <v>0.02</v>
      </c>
      <c r="V28" s="121">
        <f t="shared" si="0"/>
        <v>0</v>
      </c>
      <c r="W28" s="119"/>
      <c r="X28" s="113">
        <f t="shared" si="1"/>
        <v>289.46555390298369</v>
      </c>
      <c r="Y28" s="113">
        <f t="shared" si="2"/>
        <v>370.74871065965328</v>
      </c>
      <c r="Z28" s="113">
        <f t="shared" si="3"/>
        <v>449.1783479088009</v>
      </c>
      <c r="AA28" s="22"/>
      <c r="AB28" s="22"/>
      <c r="AC28" s="22"/>
      <c r="AD28" s="22"/>
      <c r="AE28" s="22"/>
      <c r="AF28" s="22"/>
      <c r="AG28" s="22"/>
      <c r="AH28" s="22"/>
      <c r="AI28" s="22"/>
      <c r="AJ28" s="22"/>
      <c r="AK28" s="22"/>
      <c r="AL28" s="22"/>
      <c r="AM28" s="22"/>
      <c r="AN28" s="22"/>
      <c r="AO28" s="22"/>
      <c r="AP28" s="22"/>
      <c r="AQ28" s="22"/>
      <c r="AR28" s="22"/>
    </row>
    <row r="29" spans="1:44" hidden="1" x14ac:dyDescent="0.25">
      <c r="A29" s="16"/>
      <c r="B29" s="3" t="s">
        <v>17</v>
      </c>
      <c r="C29" s="3" t="s">
        <v>43</v>
      </c>
      <c r="D29" s="11" t="s">
        <v>19</v>
      </c>
      <c r="E29" s="107">
        <v>170.43392896740335</v>
      </c>
      <c r="F29" s="108">
        <v>225.5958034592357</v>
      </c>
      <c r="G29" s="109">
        <v>279.22837053736419</v>
      </c>
      <c r="H29" s="114"/>
      <c r="I29" s="113">
        <v>12.01065918987983</v>
      </c>
      <c r="J29" s="114">
        <v>16.96514638426201</v>
      </c>
      <c r="K29" s="109">
        <v>18.5684935521233</v>
      </c>
      <c r="L29" s="114"/>
      <c r="M29" s="113">
        <v>35.167255104368152</v>
      </c>
      <c r="N29" s="114">
        <v>35.966510902194699</v>
      </c>
      <c r="O29" s="109">
        <v>39.506072292569421</v>
      </c>
      <c r="P29" s="119"/>
      <c r="Q29" s="120">
        <v>0.08</v>
      </c>
      <c r="R29" s="120">
        <v>0.05</v>
      </c>
      <c r="S29" s="120">
        <v>0.03</v>
      </c>
      <c r="T29" s="120">
        <v>1.4999999999999999E-2</v>
      </c>
      <c r="U29" s="120">
        <v>0.02</v>
      </c>
      <c r="V29" s="121">
        <f t="shared" si="0"/>
        <v>0</v>
      </c>
      <c r="W29" s="119"/>
      <c r="X29" s="113">
        <f t="shared" si="1"/>
        <v>217.6118432616513</v>
      </c>
      <c r="Y29" s="113">
        <f t="shared" si="2"/>
        <v>278.52746074569239</v>
      </c>
      <c r="Z29" s="113">
        <f t="shared" si="3"/>
        <v>337.30293638205688</v>
      </c>
      <c r="AA29" s="22"/>
      <c r="AB29" s="22"/>
      <c r="AC29" s="22"/>
      <c r="AD29" s="22"/>
      <c r="AE29" s="22"/>
      <c r="AF29" s="22"/>
      <c r="AG29" s="22"/>
      <c r="AH29" s="22"/>
      <c r="AI29" s="22"/>
      <c r="AJ29" s="22"/>
      <c r="AK29" s="22"/>
      <c r="AL29" s="22"/>
      <c r="AM29" s="22"/>
      <c r="AN29" s="22"/>
      <c r="AO29" s="22"/>
      <c r="AP29" s="22"/>
      <c r="AQ29" s="22"/>
      <c r="AR29" s="22"/>
    </row>
    <row r="30" spans="1:44" hidden="1" x14ac:dyDescent="0.25">
      <c r="A30" s="16"/>
      <c r="B30" s="3" t="s">
        <v>17</v>
      </c>
      <c r="C30" s="3" t="s">
        <v>44</v>
      </c>
      <c r="D30" s="11" t="s">
        <v>19</v>
      </c>
      <c r="E30" s="107">
        <v>175.37544349175843</v>
      </c>
      <c r="F30" s="108">
        <v>243.59625619040577</v>
      </c>
      <c r="G30" s="109">
        <v>296.40198832138367</v>
      </c>
      <c r="H30" s="114"/>
      <c r="I30" s="113">
        <v>11.944848079120117</v>
      </c>
      <c r="J30" s="114">
        <v>16.872187695642307</v>
      </c>
      <c r="K30" s="109">
        <v>18.466749495741325</v>
      </c>
      <c r="L30" s="114"/>
      <c r="M30" s="113">
        <v>34.974559925510803</v>
      </c>
      <c r="N30" s="114">
        <v>35.769436287454226</v>
      </c>
      <c r="O30" s="109">
        <v>39.28960303320369</v>
      </c>
      <c r="P30" s="119"/>
      <c r="Q30" s="120">
        <v>0.08</v>
      </c>
      <c r="R30" s="120">
        <v>0.05</v>
      </c>
      <c r="S30" s="120">
        <v>0.03</v>
      </c>
      <c r="T30" s="120">
        <v>1.4999999999999999E-2</v>
      </c>
      <c r="U30" s="120">
        <v>0.02</v>
      </c>
      <c r="V30" s="121">
        <f t="shared" si="0"/>
        <v>0</v>
      </c>
      <c r="W30" s="119"/>
      <c r="X30" s="113">
        <f t="shared" si="1"/>
        <v>222.29485149638936</v>
      </c>
      <c r="Y30" s="113">
        <f t="shared" si="2"/>
        <v>296.23788017350228</v>
      </c>
      <c r="Z30" s="113">
        <f t="shared" si="3"/>
        <v>354.15834085032873</v>
      </c>
      <c r="AA30" s="22"/>
      <c r="AB30" s="22"/>
      <c r="AC30" s="22"/>
      <c r="AD30" s="22"/>
      <c r="AE30" s="22"/>
      <c r="AF30" s="22"/>
      <c r="AG30" s="22"/>
      <c r="AH30" s="22"/>
      <c r="AI30" s="22"/>
      <c r="AJ30" s="22"/>
      <c r="AK30" s="22"/>
      <c r="AL30" s="22"/>
      <c r="AM30" s="22"/>
      <c r="AN30" s="22"/>
      <c r="AO30" s="22"/>
      <c r="AP30" s="22"/>
      <c r="AQ30" s="22"/>
      <c r="AR30" s="22"/>
    </row>
    <row r="31" spans="1:44" hidden="1" x14ac:dyDescent="0.25">
      <c r="A31" s="16"/>
      <c r="B31" s="3" t="s">
        <v>17</v>
      </c>
      <c r="C31" s="3" t="s">
        <v>45</v>
      </c>
      <c r="D31" s="11" t="s">
        <v>19</v>
      </c>
      <c r="E31" s="107">
        <v>220.77107509793774</v>
      </c>
      <c r="F31" s="108">
        <v>307.12839086406973</v>
      </c>
      <c r="G31" s="109">
        <v>373.97266982038582</v>
      </c>
      <c r="H31" s="114"/>
      <c r="I31" s="113">
        <v>15.072646746030205</v>
      </c>
      <c r="J31" s="114">
        <v>21.290226822865275</v>
      </c>
      <c r="K31" s="109">
        <v>23.302329996418315</v>
      </c>
      <c r="L31" s="114"/>
      <c r="M31" s="113">
        <v>44.132766140121589</v>
      </c>
      <c r="N31" s="114">
        <v>45.135783552397079</v>
      </c>
      <c r="O31" s="109">
        <v>49.577717806759971</v>
      </c>
      <c r="P31" s="119"/>
      <c r="Q31" s="120">
        <v>0.08</v>
      </c>
      <c r="R31" s="120">
        <v>0.05</v>
      </c>
      <c r="S31" s="120">
        <v>0.03</v>
      </c>
      <c r="T31" s="120">
        <v>1.4999999999999999E-2</v>
      </c>
      <c r="U31" s="120">
        <v>0.02</v>
      </c>
      <c r="V31" s="121">
        <f t="shared" si="0"/>
        <v>0</v>
      </c>
      <c r="W31" s="119"/>
      <c r="X31" s="113">
        <f t="shared" si="1"/>
        <v>279.97648798408954</v>
      </c>
      <c r="Y31" s="113">
        <f t="shared" si="2"/>
        <v>373.55440123933209</v>
      </c>
      <c r="Z31" s="113">
        <f t="shared" si="3"/>
        <v>446.8527176235641</v>
      </c>
      <c r="AA31" s="22"/>
      <c r="AB31" s="22"/>
      <c r="AC31" s="22"/>
      <c r="AD31" s="22"/>
      <c r="AE31" s="22"/>
      <c r="AF31" s="22"/>
      <c r="AG31" s="22"/>
      <c r="AH31" s="22"/>
      <c r="AI31" s="22"/>
      <c r="AJ31" s="22"/>
      <c r="AK31" s="22"/>
      <c r="AL31" s="22"/>
      <c r="AM31" s="22"/>
      <c r="AN31" s="22"/>
      <c r="AO31" s="22"/>
      <c r="AP31" s="22"/>
      <c r="AQ31" s="22"/>
      <c r="AR31" s="22"/>
    </row>
    <row r="32" spans="1:44" hidden="1" x14ac:dyDescent="0.25">
      <c r="A32" s="16"/>
      <c r="B32" s="3" t="s">
        <v>17</v>
      </c>
      <c r="C32" s="3" t="s">
        <v>46</v>
      </c>
      <c r="D32" s="11" t="s">
        <v>19</v>
      </c>
      <c r="E32" s="107">
        <v>174.58986251755488</v>
      </c>
      <c r="F32" s="108">
        <v>231.11519698425602</v>
      </c>
      <c r="G32" s="109">
        <v>286.07352723778547</v>
      </c>
      <c r="H32" s="114"/>
      <c r="I32" s="113">
        <v>12.303114778007128</v>
      </c>
      <c r="J32" s="114">
        <v>17.378242100744885</v>
      </c>
      <c r="K32" s="109">
        <v>19.020630243088593</v>
      </c>
      <c r="L32" s="114"/>
      <c r="M32" s="113">
        <v>36.023566162052383</v>
      </c>
      <c r="N32" s="114">
        <v>36.842283574826297</v>
      </c>
      <c r="O32" s="109">
        <v>40.468032117110788</v>
      </c>
      <c r="P32" s="119"/>
      <c r="Q32" s="120">
        <v>0.08</v>
      </c>
      <c r="R32" s="120">
        <v>0.05</v>
      </c>
      <c r="S32" s="120">
        <v>0.03</v>
      </c>
      <c r="T32" s="120">
        <v>1.4999999999999999E-2</v>
      </c>
      <c r="U32" s="120">
        <v>0.02</v>
      </c>
      <c r="V32" s="121">
        <f t="shared" si="0"/>
        <v>0</v>
      </c>
      <c r="W32" s="119"/>
      <c r="X32" s="113">
        <f t="shared" si="1"/>
        <v>222.91654345761438</v>
      </c>
      <c r="Y32" s="113">
        <f t="shared" si="2"/>
        <v>285.33572265982718</v>
      </c>
      <c r="Z32" s="113">
        <f t="shared" si="3"/>
        <v>345.56218959798485</v>
      </c>
      <c r="AA32" s="22"/>
      <c r="AB32" s="22"/>
      <c r="AC32" s="22"/>
      <c r="AD32" s="22"/>
      <c r="AE32" s="22"/>
      <c r="AF32" s="22"/>
      <c r="AG32" s="22"/>
      <c r="AH32" s="22"/>
      <c r="AI32" s="22"/>
      <c r="AJ32" s="22"/>
      <c r="AK32" s="22"/>
      <c r="AL32" s="22"/>
      <c r="AM32" s="22"/>
      <c r="AN32" s="22"/>
      <c r="AO32" s="22"/>
      <c r="AP32" s="22"/>
      <c r="AQ32" s="22"/>
      <c r="AR32" s="22"/>
    </row>
    <row r="33" spans="1:44" hidden="1" x14ac:dyDescent="0.25">
      <c r="A33" s="16"/>
      <c r="B33" s="3" t="s">
        <v>17</v>
      </c>
      <c r="C33" s="3" t="s">
        <v>47</v>
      </c>
      <c r="D33" s="11" t="s">
        <v>19</v>
      </c>
      <c r="E33" s="107">
        <v>189.81091544090472</v>
      </c>
      <c r="F33" s="108">
        <v>263.79892268460344</v>
      </c>
      <c r="G33" s="109">
        <v>321.06881513785203</v>
      </c>
      <c r="H33" s="114"/>
      <c r="I33" s="113">
        <v>12.939459995295689</v>
      </c>
      <c r="J33" s="114">
        <v>18.277084503276953</v>
      </c>
      <c r="K33" s="109">
        <v>20.004420714314623</v>
      </c>
      <c r="L33" s="114"/>
      <c r="M33" s="113">
        <v>37.886787342259332</v>
      </c>
      <c r="N33" s="114">
        <v>38.747850690947047</v>
      </c>
      <c r="O33" s="109">
        <v>42.561131235135484</v>
      </c>
      <c r="P33" s="119"/>
      <c r="Q33" s="120">
        <v>0.08</v>
      </c>
      <c r="R33" s="120">
        <v>0.05</v>
      </c>
      <c r="S33" s="120">
        <v>0.03</v>
      </c>
      <c r="T33" s="120">
        <v>1.4999999999999999E-2</v>
      </c>
      <c r="U33" s="120">
        <v>0.02</v>
      </c>
      <c r="V33" s="121">
        <f t="shared" si="0"/>
        <v>0</v>
      </c>
      <c r="W33" s="119"/>
      <c r="X33" s="113">
        <f t="shared" si="1"/>
        <v>240.63716277845975</v>
      </c>
      <c r="Y33" s="113">
        <f t="shared" si="2"/>
        <v>320.82385787882743</v>
      </c>
      <c r="Z33" s="113">
        <f t="shared" si="3"/>
        <v>383.63436708730211</v>
      </c>
      <c r="AA33" s="22"/>
      <c r="AB33" s="22"/>
      <c r="AC33" s="22"/>
      <c r="AD33" s="22"/>
      <c r="AE33" s="22"/>
      <c r="AF33" s="22"/>
      <c r="AG33" s="22"/>
      <c r="AH33" s="22"/>
      <c r="AI33" s="22"/>
      <c r="AJ33" s="22"/>
      <c r="AK33" s="22"/>
      <c r="AL33" s="22"/>
      <c r="AM33" s="22"/>
      <c r="AN33" s="22"/>
      <c r="AO33" s="22"/>
      <c r="AP33" s="22"/>
      <c r="AQ33" s="22"/>
      <c r="AR33" s="22"/>
    </row>
    <row r="34" spans="1:44" hidden="1" x14ac:dyDescent="0.25">
      <c r="A34" s="16"/>
      <c r="B34" s="3" t="s">
        <v>17</v>
      </c>
      <c r="C34" s="3" t="s">
        <v>48</v>
      </c>
      <c r="D34" s="11" t="s">
        <v>19</v>
      </c>
      <c r="E34" s="107">
        <v>211.23715721782835</v>
      </c>
      <c r="F34" s="108">
        <v>279.78652339419023</v>
      </c>
      <c r="G34" s="109">
        <v>346.43557358267424</v>
      </c>
      <c r="H34" s="114"/>
      <c r="I34" s="113">
        <v>14.882013896154174</v>
      </c>
      <c r="J34" s="114">
        <v>21.020956489516628</v>
      </c>
      <c r="K34" s="109">
        <v>23.007611381246171</v>
      </c>
      <c r="L34" s="114"/>
      <c r="M34" s="113">
        <v>43.574592441502951</v>
      </c>
      <c r="N34" s="114">
        <v>44.564924087900749</v>
      </c>
      <c r="O34" s="109">
        <v>48.95067852194812</v>
      </c>
      <c r="P34" s="119"/>
      <c r="Q34" s="120">
        <v>0.08</v>
      </c>
      <c r="R34" s="120">
        <v>0.05</v>
      </c>
      <c r="S34" s="120">
        <v>0.03</v>
      </c>
      <c r="T34" s="120">
        <v>1.4999999999999999E-2</v>
      </c>
      <c r="U34" s="120">
        <v>0.02</v>
      </c>
      <c r="V34" s="121">
        <f t="shared" si="0"/>
        <v>0</v>
      </c>
      <c r="W34" s="119"/>
      <c r="X34" s="113">
        <f t="shared" si="1"/>
        <v>269.69376355548548</v>
      </c>
      <c r="Y34" s="113">
        <f t="shared" si="2"/>
        <v>345.37240397160758</v>
      </c>
      <c r="Z34" s="113">
        <f t="shared" si="3"/>
        <v>418.39386348586856</v>
      </c>
      <c r="AA34" s="22"/>
      <c r="AB34" s="22"/>
      <c r="AC34" s="22"/>
      <c r="AD34" s="22"/>
      <c r="AE34" s="22"/>
      <c r="AF34" s="22"/>
      <c r="AG34" s="22"/>
      <c r="AH34" s="22"/>
      <c r="AI34" s="22"/>
      <c r="AJ34" s="22"/>
      <c r="AK34" s="22"/>
      <c r="AL34" s="22"/>
      <c r="AM34" s="22"/>
      <c r="AN34" s="22"/>
      <c r="AO34" s="22"/>
      <c r="AP34" s="22"/>
      <c r="AQ34" s="22"/>
      <c r="AR34" s="22"/>
    </row>
    <row r="35" spans="1:44" hidden="1" x14ac:dyDescent="0.25">
      <c r="A35" s="16"/>
      <c r="B35" s="3" t="s">
        <v>17</v>
      </c>
      <c r="C35" s="3" t="s">
        <v>241</v>
      </c>
      <c r="D35" s="11" t="s">
        <v>19</v>
      </c>
      <c r="E35" s="107">
        <v>219.251515263508</v>
      </c>
      <c r="F35" s="108">
        <v>305.00180168526867</v>
      </c>
      <c r="G35" s="109">
        <v>371.37616416586587</v>
      </c>
      <c r="H35" s="114"/>
      <c r="I35" s="113">
        <v>14.967953012297338</v>
      </c>
      <c r="J35" s="114">
        <v>21.142346137033343</v>
      </c>
      <c r="K35" s="109">
        <v>23.140473358157823</v>
      </c>
      <c r="L35" s="114"/>
      <c r="M35" s="113">
        <v>43.826222495530061</v>
      </c>
      <c r="N35" s="114">
        <v>44.822273006792102</v>
      </c>
      <c r="O35" s="109">
        <v>49.23335384238117</v>
      </c>
      <c r="P35" s="119"/>
      <c r="Q35" s="120">
        <v>0.08</v>
      </c>
      <c r="R35" s="120">
        <v>0.05</v>
      </c>
      <c r="S35" s="120">
        <v>0.03</v>
      </c>
      <c r="T35" s="120">
        <v>1.4999999999999999E-2</v>
      </c>
      <c r="U35" s="120">
        <v>0.02</v>
      </c>
      <c r="V35" s="121">
        <f t="shared" si="0"/>
        <v>0</v>
      </c>
      <c r="W35" s="119"/>
      <c r="X35" s="113">
        <f t="shared" si="1"/>
        <v>278.04569077133539</v>
      </c>
      <c r="Y35" s="113">
        <f t="shared" si="2"/>
        <v>370.96642082909409</v>
      </c>
      <c r="Z35" s="113">
        <f t="shared" si="3"/>
        <v>443.74999136640486</v>
      </c>
      <c r="AA35" s="22"/>
      <c r="AB35" s="22"/>
      <c r="AC35" s="22"/>
      <c r="AD35" s="22"/>
      <c r="AE35" s="22"/>
      <c r="AF35" s="22"/>
      <c r="AG35" s="22"/>
      <c r="AH35" s="22"/>
      <c r="AI35" s="22"/>
      <c r="AJ35" s="22"/>
      <c r="AK35" s="22"/>
      <c r="AL35" s="22"/>
      <c r="AM35" s="22"/>
      <c r="AN35" s="22"/>
      <c r="AO35" s="22"/>
      <c r="AP35" s="22"/>
      <c r="AQ35" s="22"/>
      <c r="AR35" s="22"/>
    </row>
    <row r="36" spans="1:44" hidden="1" x14ac:dyDescent="0.25">
      <c r="A36" s="16"/>
      <c r="B36" s="3" t="s">
        <v>17</v>
      </c>
      <c r="C36" s="3" t="s">
        <v>50</v>
      </c>
      <c r="D36" s="11" t="s">
        <v>19</v>
      </c>
      <c r="E36" s="107">
        <v>179.17427378224554</v>
      </c>
      <c r="F36" s="108">
        <v>248.9127522359376</v>
      </c>
      <c r="G36" s="109">
        <v>302.89332175327075</v>
      </c>
      <c r="H36" s="114"/>
      <c r="I36" s="113">
        <v>12.2065895620234</v>
      </c>
      <c r="J36" s="114">
        <v>17.241899507632571</v>
      </c>
      <c r="K36" s="109">
        <v>18.871402143092102</v>
      </c>
      <c r="L36" s="114"/>
      <c r="M36" s="113">
        <v>35.740939968032627</v>
      </c>
      <c r="N36" s="114">
        <v>36.553234058215189</v>
      </c>
      <c r="O36" s="109">
        <v>40.150536457595095</v>
      </c>
      <c r="P36" s="119"/>
      <c r="Q36" s="120">
        <v>0.08</v>
      </c>
      <c r="R36" s="120">
        <v>0.05</v>
      </c>
      <c r="S36" s="120">
        <v>0.03</v>
      </c>
      <c r="T36" s="120">
        <v>1.4999999999999999E-2</v>
      </c>
      <c r="U36" s="120">
        <v>0.02</v>
      </c>
      <c r="V36" s="121">
        <f t="shared" si="0"/>
        <v>0</v>
      </c>
      <c r="W36" s="119"/>
      <c r="X36" s="113">
        <f t="shared" si="1"/>
        <v>227.12180331230155</v>
      </c>
      <c r="Y36" s="113">
        <f t="shared" si="2"/>
        <v>302.70788580178538</v>
      </c>
      <c r="Z36" s="113">
        <f t="shared" si="3"/>
        <v>361.91526035395793</v>
      </c>
      <c r="AA36" s="22"/>
      <c r="AB36" s="22"/>
      <c r="AC36" s="22"/>
      <c r="AD36" s="22"/>
      <c r="AE36" s="22"/>
      <c r="AF36" s="22"/>
      <c r="AG36" s="22"/>
      <c r="AH36" s="22"/>
      <c r="AI36" s="22"/>
      <c r="AJ36" s="22"/>
      <c r="AK36" s="22"/>
      <c r="AL36" s="22"/>
      <c r="AM36" s="22"/>
      <c r="AN36" s="22"/>
      <c r="AO36" s="22"/>
      <c r="AP36" s="22"/>
      <c r="AQ36" s="22"/>
      <c r="AR36" s="22"/>
    </row>
    <row r="37" spans="1:44" hidden="1" x14ac:dyDescent="0.25">
      <c r="A37" s="16"/>
      <c r="B37" s="3" t="s">
        <v>17</v>
      </c>
      <c r="C37" s="3" t="s">
        <v>51</v>
      </c>
      <c r="D37" s="11" t="s">
        <v>19</v>
      </c>
      <c r="E37" s="107">
        <v>210.67036551112423</v>
      </c>
      <c r="F37" s="108">
        <v>279.03383472540469</v>
      </c>
      <c r="G37" s="109">
        <v>345.50216202232241</v>
      </c>
      <c r="H37" s="114"/>
      <c r="I37" s="113">
        <v>14.842136364509336</v>
      </c>
      <c r="J37" s="114">
        <v>20.964629176327378</v>
      </c>
      <c r="K37" s="109">
        <v>22.945960669364705</v>
      </c>
      <c r="L37" s="114"/>
      <c r="M37" s="113">
        <v>43.457830879450796</v>
      </c>
      <c r="N37" s="114">
        <v>44.445508853983767</v>
      </c>
      <c r="O37" s="109">
        <v>48.819511312629785</v>
      </c>
      <c r="P37" s="119"/>
      <c r="Q37" s="120">
        <v>0.08</v>
      </c>
      <c r="R37" s="120">
        <v>0.05</v>
      </c>
      <c r="S37" s="120">
        <v>0.03</v>
      </c>
      <c r="T37" s="120">
        <v>1.4999999999999999E-2</v>
      </c>
      <c r="U37" s="120">
        <v>0.02</v>
      </c>
      <c r="V37" s="121">
        <f t="shared" si="0"/>
        <v>0</v>
      </c>
      <c r="W37" s="119"/>
      <c r="X37" s="113">
        <f t="shared" si="1"/>
        <v>268.97033275508437</v>
      </c>
      <c r="Y37" s="113">
        <f t="shared" si="2"/>
        <v>344.44397275571583</v>
      </c>
      <c r="Z37" s="113">
        <f t="shared" si="3"/>
        <v>417.2676340043169</v>
      </c>
      <c r="AA37" s="22"/>
      <c r="AB37" s="22"/>
      <c r="AC37" s="22"/>
      <c r="AD37" s="22"/>
      <c r="AE37" s="22"/>
      <c r="AF37" s="22"/>
      <c r="AG37" s="22"/>
      <c r="AH37" s="22"/>
      <c r="AI37" s="22"/>
      <c r="AJ37" s="22"/>
      <c r="AK37" s="22"/>
      <c r="AL37" s="22"/>
      <c r="AM37" s="22"/>
      <c r="AN37" s="22"/>
      <c r="AO37" s="22"/>
      <c r="AP37" s="22"/>
      <c r="AQ37" s="22"/>
      <c r="AR37" s="22"/>
    </row>
    <row r="38" spans="1:44" hidden="1" x14ac:dyDescent="0.25">
      <c r="A38" s="16"/>
      <c r="B38" s="3" t="s">
        <v>17</v>
      </c>
      <c r="C38" s="3" t="s">
        <v>52</v>
      </c>
      <c r="D38" s="11" t="s">
        <v>19</v>
      </c>
      <c r="E38" s="107">
        <v>242.61410673368317</v>
      </c>
      <c r="F38" s="108">
        <v>337.69827777367135</v>
      </c>
      <c r="G38" s="109">
        <v>411.29744437874194</v>
      </c>
      <c r="H38" s="114"/>
      <c r="I38" s="113">
        <v>16.577656761302826</v>
      </c>
      <c r="J38" s="114">
        <v>23.416064781900381</v>
      </c>
      <c r="K38" s="109">
        <v>25.629077290023794</v>
      </c>
      <c r="L38" s="114"/>
      <c r="M38" s="113">
        <v>48.53944110316754</v>
      </c>
      <c r="N38" s="114">
        <v>49.642610219148622</v>
      </c>
      <c r="O38" s="109">
        <v>54.528073447064841</v>
      </c>
      <c r="P38" s="119"/>
      <c r="Q38" s="120">
        <v>0.08</v>
      </c>
      <c r="R38" s="120">
        <v>0.05</v>
      </c>
      <c r="S38" s="120">
        <v>0.03</v>
      </c>
      <c r="T38" s="120">
        <v>1.4999999999999999E-2</v>
      </c>
      <c r="U38" s="120">
        <v>0.02</v>
      </c>
      <c r="V38" s="121">
        <f t="shared" si="0"/>
        <v>0</v>
      </c>
      <c r="W38" s="119"/>
      <c r="X38" s="113">
        <f t="shared" si="1"/>
        <v>307.73120459815351</v>
      </c>
      <c r="Y38" s="113">
        <f t="shared" si="2"/>
        <v>410.75695277472039</v>
      </c>
      <c r="Z38" s="113">
        <f t="shared" si="3"/>
        <v>491.45459511583061</v>
      </c>
      <c r="AA38" s="22"/>
      <c r="AB38" s="22"/>
      <c r="AC38" s="22"/>
      <c r="AD38" s="22"/>
      <c r="AE38" s="22"/>
      <c r="AF38" s="22"/>
      <c r="AG38" s="22"/>
      <c r="AH38" s="22"/>
      <c r="AI38" s="22"/>
      <c r="AJ38" s="22"/>
      <c r="AK38" s="22"/>
      <c r="AL38" s="22"/>
      <c r="AM38" s="22"/>
      <c r="AN38" s="22"/>
      <c r="AO38" s="22"/>
      <c r="AP38" s="22"/>
      <c r="AQ38" s="22"/>
      <c r="AR38" s="22"/>
    </row>
    <row r="39" spans="1:44" hidden="1" x14ac:dyDescent="0.25">
      <c r="A39" s="16"/>
      <c r="B39" s="3" t="s">
        <v>17</v>
      </c>
      <c r="C39" s="3" t="s">
        <v>53</v>
      </c>
      <c r="D39" s="11" t="s">
        <v>19</v>
      </c>
      <c r="E39" s="107">
        <v>233.90559169192105</v>
      </c>
      <c r="F39" s="108">
        <v>309.89249944563528</v>
      </c>
      <c r="G39" s="109">
        <v>383.77291374085297</v>
      </c>
      <c r="H39" s="114"/>
      <c r="I39" s="113">
        <v>16.477215744857869</v>
      </c>
      <c r="J39" s="114">
        <v>23.274191091203324</v>
      </c>
      <c r="K39" s="109">
        <v>25.473795357804921</v>
      </c>
      <c r="L39" s="114"/>
      <c r="M39" s="113">
        <v>48.245349430727273</v>
      </c>
      <c r="N39" s="114">
        <v>49.341834645061986</v>
      </c>
      <c r="O39" s="109">
        <v>54.19769773711571</v>
      </c>
      <c r="P39" s="119"/>
      <c r="Q39" s="120">
        <v>0.08</v>
      </c>
      <c r="R39" s="120">
        <v>0.05</v>
      </c>
      <c r="S39" s="120">
        <v>0.03</v>
      </c>
      <c r="T39" s="120">
        <v>1.4999999999999999E-2</v>
      </c>
      <c r="U39" s="120">
        <v>0.02</v>
      </c>
      <c r="V39" s="121">
        <f t="shared" si="0"/>
        <v>0</v>
      </c>
      <c r="W39" s="119"/>
      <c r="X39" s="113">
        <f t="shared" si="1"/>
        <v>298.62815686750616</v>
      </c>
      <c r="Y39" s="113">
        <f t="shared" si="2"/>
        <v>382.50852518190055</v>
      </c>
      <c r="Z39" s="113">
        <f t="shared" si="3"/>
        <v>463.44440683577363</v>
      </c>
      <c r="AA39" s="22"/>
      <c r="AB39" s="22"/>
      <c r="AC39" s="22"/>
      <c r="AD39" s="22"/>
      <c r="AE39" s="22"/>
      <c r="AF39" s="22"/>
      <c r="AG39" s="22"/>
      <c r="AH39" s="22"/>
      <c r="AI39" s="22"/>
      <c r="AJ39" s="22"/>
      <c r="AK39" s="22"/>
      <c r="AL39" s="22"/>
      <c r="AM39" s="22"/>
      <c r="AN39" s="22"/>
      <c r="AO39" s="22"/>
      <c r="AP39" s="22"/>
      <c r="AQ39" s="22"/>
      <c r="AR39" s="22"/>
    </row>
    <row r="40" spans="1:44" hidden="1" x14ac:dyDescent="0.25">
      <c r="A40" s="16"/>
      <c r="B40" s="3" t="s">
        <v>17</v>
      </c>
      <c r="C40" s="3" t="s">
        <v>54</v>
      </c>
      <c r="D40" s="11" t="s">
        <v>19</v>
      </c>
      <c r="E40" s="107">
        <v>204.24629499593465</v>
      </c>
      <c r="F40" s="108">
        <v>284.00163537585922</v>
      </c>
      <c r="G40" s="109">
        <v>345.73564195432033</v>
      </c>
      <c r="H40" s="114"/>
      <c r="I40" s="113">
        <v>13.934075539640521</v>
      </c>
      <c r="J40" s="114">
        <v>19.68198643572795</v>
      </c>
      <c r="K40" s="109">
        <v>21.542097542041962</v>
      </c>
      <c r="L40" s="114"/>
      <c r="M40" s="113">
        <v>40.799025382301046</v>
      </c>
      <c r="N40" s="114">
        <v>41.726275959171531</v>
      </c>
      <c r="O40" s="109">
        <v>45.8326713710265</v>
      </c>
      <c r="P40" s="119"/>
      <c r="Q40" s="120">
        <v>0.08</v>
      </c>
      <c r="R40" s="120">
        <v>0.05</v>
      </c>
      <c r="S40" s="120">
        <v>0.03</v>
      </c>
      <c r="T40" s="120">
        <v>1.4999999999999999E-2</v>
      </c>
      <c r="U40" s="120">
        <v>0.02</v>
      </c>
      <c r="V40" s="121">
        <f t="shared" si="0"/>
        <v>0</v>
      </c>
      <c r="W40" s="119"/>
      <c r="X40" s="113">
        <f t="shared" si="1"/>
        <v>258.97939591787622</v>
      </c>
      <c r="Y40" s="113">
        <f t="shared" si="2"/>
        <v>345.40989777075868</v>
      </c>
      <c r="Z40" s="113">
        <f t="shared" si="3"/>
        <v>413.11041086738879</v>
      </c>
      <c r="AA40" s="22"/>
      <c r="AB40" s="22"/>
      <c r="AC40" s="22"/>
      <c r="AD40" s="22"/>
      <c r="AE40" s="22"/>
      <c r="AF40" s="22"/>
      <c r="AG40" s="22"/>
      <c r="AH40" s="22"/>
      <c r="AI40" s="22"/>
      <c r="AJ40" s="22"/>
      <c r="AK40" s="22"/>
      <c r="AL40" s="22"/>
      <c r="AM40" s="22"/>
      <c r="AN40" s="22"/>
      <c r="AO40" s="22"/>
      <c r="AP40" s="22"/>
      <c r="AQ40" s="22"/>
      <c r="AR40" s="22"/>
    </row>
    <row r="41" spans="1:44" hidden="1" x14ac:dyDescent="0.25">
      <c r="A41" s="16"/>
      <c r="B41" s="3" t="s">
        <v>17</v>
      </c>
      <c r="C41" s="3" t="s">
        <v>55</v>
      </c>
      <c r="D41" s="11" t="s">
        <v>19</v>
      </c>
      <c r="E41" s="107">
        <v>188.29135560647498</v>
      </c>
      <c r="F41" s="108">
        <v>261.67233350580233</v>
      </c>
      <c r="G41" s="109">
        <v>318.47235568039025</v>
      </c>
      <c r="H41" s="114"/>
      <c r="I41" s="113">
        <v>12.834766261562823</v>
      </c>
      <c r="J41" s="114">
        <v>18.129203817445021</v>
      </c>
      <c r="K41" s="109">
        <v>19.842564076054131</v>
      </c>
      <c r="L41" s="114"/>
      <c r="M41" s="113">
        <v>37.580243697667797</v>
      </c>
      <c r="N41" s="114">
        <v>38.43434014534207</v>
      </c>
      <c r="O41" s="109">
        <v>42.216767270756684</v>
      </c>
      <c r="P41" s="119"/>
      <c r="Q41" s="120">
        <v>0.08</v>
      </c>
      <c r="R41" s="120">
        <v>0.05</v>
      </c>
      <c r="S41" s="120">
        <v>0.03</v>
      </c>
      <c r="T41" s="120">
        <v>1.4999999999999999E-2</v>
      </c>
      <c r="U41" s="120">
        <v>0.02</v>
      </c>
      <c r="V41" s="121">
        <f t="shared" si="0"/>
        <v>0</v>
      </c>
      <c r="W41" s="119"/>
      <c r="X41" s="113">
        <f t="shared" si="1"/>
        <v>238.7063655657056</v>
      </c>
      <c r="Y41" s="113">
        <f t="shared" si="2"/>
        <v>318.23587746858942</v>
      </c>
      <c r="Z41" s="113">
        <f t="shared" si="3"/>
        <v>380.53168702720109</v>
      </c>
      <c r="AA41" s="22"/>
      <c r="AB41" s="22"/>
      <c r="AC41" s="22"/>
      <c r="AD41" s="22"/>
      <c r="AE41" s="22"/>
      <c r="AF41" s="22"/>
      <c r="AG41" s="22"/>
      <c r="AH41" s="22"/>
      <c r="AI41" s="22"/>
      <c r="AJ41" s="22"/>
      <c r="AK41" s="22"/>
      <c r="AL41" s="22"/>
      <c r="AM41" s="22"/>
      <c r="AN41" s="22"/>
      <c r="AO41" s="22"/>
      <c r="AP41" s="22"/>
      <c r="AQ41" s="22"/>
      <c r="AR41" s="22"/>
    </row>
    <row r="42" spans="1:44" hidden="1" x14ac:dyDescent="0.25">
      <c r="A42" s="16"/>
      <c r="B42" s="3" t="s">
        <v>17</v>
      </c>
      <c r="C42" s="3" t="s">
        <v>242</v>
      </c>
      <c r="D42" s="11" t="s">
        <v>19</v>
      </c>
      <c r="E42" s="107">
        <v>212.03387168305122</v>
      </c>
      <c r="F42" s="108">
        <v>294.90044533964073</v>
      </c>
      <c r="G42" s="109">
        <v>359.04270456057355</v>
      </c>
      <c r="H42" s="114"/>
      <c r="I42" s="113">
        <v>14.470643444001526</v>
      </c>
      <c r="J42" s="114">
        <v>20.439892633770047</v>
      </c>
      <c r="K42" s="109">
        <v>22.371632167485224</v>
      </c>
      <c r="L42" s="114"/>
      <c r="M42" s="113">
        <v>42.370098216453165</v>
      </c>
      <c r="N42" s="114">
        <v>43.333054994099825</v>
      </c>
      <c r="O42" s="109">
        <v>47.597577866535048</v>
      </c>
      <c r="P42" s="119"/>
      <c r="Q42" s="120">
        <v>0.08</v>
      </c>
      <c r="R42" s="120">
        <v>0.05</v>
      </c>
      <c r="S42" s="120">
        <v>0.03</v>
      </c>
      <c r="T42" s="120">
        <v>1.4999999999999999E-2</v>
      </c>
      <c r="U42" s="120">
        <v>0.02</v>
      </c>
      <c r="V42" s="121">
        <f t="shared" si="0"/>
        <v>0</v>
      </c>
      <c r="W42" s="119"/>
      <c r="X42" s="113">
        <f t="shared" si="1"/>
        <v>268.87461334350593</v>
      </c>
      <c r="Y42" s="113">
        <f t="shared" si="2"/>
        <v>358.67339296751061</v>
      </c>
      <c r="Z42" s="113">
        <f t="shared" si="3"/>
        <v>429.01191459459386</v>
      </c>
      <c r="AA42" s="22"/>
      <c r="AB42" s="22"/>
      <c r="AC42" s="22"/>
      <c r="AD42" s="22"/>
      <c r="AE42" s="22"/>
      <c r="AF42" s="22"/>
      <c r="AG42" s="22"/>
      <c r="AH42" s="22"/>
      <c r="AI42" s="22"/>
      <c r="AJ42" s="22"/>
      <c r="AK42" s="22"/>
      <c r="AL42" s="22"/>
      <c r="AM42" s="22"/>
      <c r="AN42" s="22"/>
      <c r="AO42" s="22"/>
      <c r="AP42" s="22"/>
      <c r="AQ42" s="22"/>
      <c r="AR42" s="22"/>
    </row>
    <row r="43" spans="1:44" hidden="1" x14ac:dyDescent="0.25">
      <c r="A43" s="16"/>
      <c r="B43" s="3" t="s">
        <v>17</v>
      </c>
      <c r="C43" s="3" t="s">
        <v>57</v>
      </c>
      <c r="D43" s="11" t="s">
        <v>19</v>
      </c>
      <c r="E43" s="107">
        <v>172.90625692955871</v>
      </c>
      <c r="F43" s="108">
        <v>240.14053145095718</v>
      </c>
      <c r="G43" s="109">
        <v>292.18271860447925</v>
      </c>
      <c r="H43" s="114"/>
      <c r="I43" s="113">
        <v>11.774718947719579</v>
      </c>
      <c r="J43" s="114">
        <v>16.631879018757243</v>
      </c>
      <c r="K43" s="109">
        <v>18.203729653991005</v>
      </c>
      <c r="L43" s="114"/>
      <c r="M43" s="113">
        <v>34.47642119140297</v>
      </c>
      <c r="N43" s="114">
        <v>35.259976218480311</v>
      </c>
      <c r="O43" s="109">
        <v>38.730005624108529</v>
      </c>
      <c r="P43" s="119"/>
      <c r="Q43" s="120">
        <v>0.08</v>
      </c>
      <c r="R43" s="120">
        <v>0.05</v>
      </c>
      <c r="S43" s="120">
        <v>0.03</v>
      </c>
      <c r="T43" s="120">
        <v>1.4999999999999999E-2</v>
      </c>
      <c r="U43" s="120">
        <v>0.02</v>
      </c>
      <c r="V43" s="121">
        <f t="shared" si="0"/>
        <v>0</v>
      </c>
      <c r="W43" s="119"/>
      <c r="X43" s="113">
        <f t="shared" si="1"/>
        <v>219.15739706868126</v>
      </c>
      <c r="Y43" s="113">
        <f t="shared" si="2"/>
        <v>292.03238668819472</v>
      </c>
      <c r="Z43" s="113">
        <f t="shared" si="3"/>
        <v>349.11645388257875</v>
      </c>
      <c r="AA43" s="22"/>
      <c r="AB43" s="22"/>
      <c r="AC43" s="22"/>
      <c r="AD43" s="22"/>
      <c r="AE43" s="22"/>
      <c r="AF43" s="22"/>
      <c r="AG43" s="22"/>
      <c r="AH43" s="22"/>
      <c r="AI43" s="22"/>
      <c r="AJ43" s="22"/>
      <c r="AK43" s="22"/>
      <c r="AL43" s="22"/>
      <c r="AM43" s="22"/>
      <c r="AN43" s="22"/>
      <c r="AO43" s="22"/>
      <c r="AP43" s="22"/>
      <c r="AQ43" s="22"/>
      <c r="AR43" s="22"/>
    </row>
    <row r="44" spans="1:44" hidden="1" x14ac:dyDescent="0.25">
      <c r="A44" s="16"/>
      <c r="B44" s="3" t="s">
        <v>17</v>
      </c>
      <c r="C44" s="3" t="s">
        <v>58</v>
      </c>
      <c r="D44" s="11" t="s">
        <v>19</v>
      </c>
      <c r="E44" s="107">
        <v>190.76058836573284</v>
      </c>
      <c r="F44" s="108">
        <v>265.12805824525094</v>
      </c>
      <c r="G44" s="109">
        <v>322.69167159435284</v>
      </c>
      <c r="H44" s="114"/>
      <c r="I44" s="113">
        <v>13.004895357040892</v>
      </c>
      <c r="J44" s="114">
        <v>18.369512443589329</v>
      </c>
      <c r="K44" s="109">
        <v>20.105583862268272</v>
      </c>
      <c r="L44" s="114"/>
      <c r="M44" s="113">
        <v>38.0783823265945</v>
      </c>
      <c r="N44" s="114">
        <v>38.943800106744376</v>
      </c>
      <c r="O44" s="109">
        <v>42.776364561693825</v>
      </c>
      <c r="P44" s="119"/>
      <c r="Q44" s="120">
        <v>0.08</v>
      </c>
      <c r="R44" s="120">
        <v>0.05</v>
      </c>
      <c r="S44" s="120">
        <v>0.03</v>
      </c>
      <c r="T44" s="120">
        <v>1.4999999999999999E-2</v>
      </c>
      <c r="U44" s="120">
        <v>0.02</v>
      </c>
      <c r="V44" s="121">
        <f t="shared" si="0"/>
        <v>0</v>
      </c>
      <c r="W44" s="119"/>
      <c r="X44" s="113">
        <f t="shared" si="1"/>
        <v>241.84386604936822</v>
      </c>
      <c r="Y44" s="113">
        <f t="shared" si="2"/>
        <v>322.44137079558465</v>
      </c>
      <c r="Z44" s="113">
        <f t="shared" si="3"/>
        <v>385.5736200183149</v>
      </c>
      <c r="AA44" s="22"/>
      <c r="AB44" s="22"/>
      <c r="AC44" s="22"/>
      <c r="AD44" s="22"/>
      <c r="AE44" s="22"/>
      <c r="AF44" s="22"/>
      <c r="AG44" s="22"/>
      <c r="AH44" s="22"/>
      <c r="AI44" s="22"/>
      <c r="AJ44" s="22"/>
      <c r="AK44" s="22"/>
      <c r="AL44" s="22"/>
      <c r="AM44" s="22"/>
      <c r="AN44" s="22"/>
      <c r="AO44" s="22"/>
      <c r="AP44" s="22"/>
      <c r="AQ44" s="22"/>
      <c r="AR44" s="22"/>
    </row>
    <row r="45" spans="1:44" hidden="1" x14ac:dyDescent="0.25">
      <c r="A45" s="16"/>
      <c r="B45" s="3" t="s">
        <v>17</v>
      </c>
      <c r="C45" s="3" t="s">
        <v>59</v>
      </c>
      <c r="D45" s="11" t="s">
        <v>19</v>
      </c>
      <c r="E45" s="107">
        <v>166.82815618301424</v>
      </c>
      <c r="F45" s="108">
        <v>231.63412853869465</v>
      </c>
      <c r="G45" s="109">
        <v>281.79669598639958</v>
      </c>
      <c r="H45" s="114"/>
      <c r="I45" s="113">
        <v>11.35593327197021</v>
      </c>
      <c r="J45" s="114">
        <v>16.04034110394349</v>
      </c>
      <c r="K45" s="109">
        <v>17.556286495631639</v>
      </c>
      <c r="L45" s="114"/>
      <c r="M45" s="113">
        <v>33.250215163881791</v>
      </c>
      <c r="N45" s="114">
        <v>34.005901872151831</v>
      </c>
      <c r="O45" s="109">
        <v>37.352514437347729</v>
      </c>
      <c r="P45" s="119"/>
      <c r="Q45" s="120">
        <v>0.08</v>
      </c>
      <c r="R45" s="120">
        <v>0.05</v>
      </c>
      <c r="S45" s="120">
        <v>0.03</v>
      </c>
      <c r="T45" s="120">
        <v>1.4999999999999999E-2</v>
      </c>
      <c r="U45" s="120">
        <v>0.02</v>
      </c>
      <c r="V45" s="121">
        <f t="shared" si="0"/>
        <v>0</v>
      </c>
      <c r="W45" s="119"/>
      <c r="X45" s="113">
        <f t="shared" si="1"/>
        <v>211.43430461886624</v>
      </c>
      <c r="Y45" s="113">
        <f t="shared" si="2"/>
        <v>281.68037151478995</v>
      </c>
      <c r="Z45" s="113">
        <f t="shared" si="3"/>
        <v>336.70549691937896</v>
      </c>
      <c r="AA45" s="22"/>
      <c r="AB45" s="22"/>
      <c r="AC45" s="22"/>
      <c r="AD45" s="22"/>
      <c r="AE45" s="22"/>
      <c r="AF45" s="22"/>
      <c r="AG45" s="22"/>
      <c r="AH45" s="22"/>
      <c r="AI45" s="22"/>
      <c r="AJ45" s="22"/>
      <c r="AK45" s="22"/>
      <c r="AL45" s="22"/>
      <c r="AM45" s="22"/>
      <c r="AN45" s="22"/>
      <c r="AO45" s="22"/>
      <c r="AP45" s="22"/>
      <c r="AQ45" s="22"/>
      <c r="AR45" s="22"/>
    </row>
    <row r="46" spans="1:44" hidden="1" x14ac:dyDescent="0.25">
      <c r="A46" s="16"/>
      <c r="B46" s="3" t="s">
        <v>60</v>
      </c>
      <c r="C46" s="3" t="s">
        <v>61</v>
      </c>
      <c r="D46" s="11" t="s">
        <v>243</v>
      </c>
      <c r="E46" s="107">
        <v>157.87</v>
      </c>
      <c r="F46" s="108">
        <v>208.91</v>
      </c>
      <c r="G46" s="109">
        <v>258.52999999999997</v>
      </c>
      <c r="H46" s="114"/>
      <c r="I46" s="113">
        <v>4.1001421075633298</v>
      </c>
      <c r="J46" s="114">
        <v>5.7914815458005187</v>
      </c>
      <c r="K46" s="109">
        <v>6.338824629311679</v>
      </c>
      <c r="L46" s="114"/>
      <c r="M46" s="113">
        <v>12.284422880711018</v>
      </c>
      <c r="N46" s="114">
        <v>12.563614309818085</v>
      </c>
      <c r="O46" s="109">
        <v>13.800033495863675</v>
      </c>
      <c r="P46" s="119"/>
      <c r="Q46" s="120">
        <v>0.08</v>
      </c>
      <c r="R46" s="120">
        <v>0.05</v>
      </c>
      <c r="S46" s="120">
        <v>0.03</v>
      </c>
      <c r="T46" s="120">
        <v>1.4999999999999999E-2</v>
      </c>
      <c r="U46" s="120">
        <v>0.02</v>
      </c>
      <c r="V46" s="121">
        <f t="shared" si="0"/>
        <v>0</v>
      </c>
      <c r="W46" s="119"/>
      <c r="X46" s="113">
        <f t="shared" si="1"/>
        <v>174.25456498827435</v>
      </c>
      <c r="Y46" s="113">
        <f t="shared" si="2"/>
        <v>227.2650958556186</v>
      </c>
      <c r="Z46" s="113">
        <f t="shared" si="3"/>
        <v>278.66885812517529</v>
      </c>
      <c r="AA46" s="22"/>
      <c r="AB46" s="22"/>
      <c r="AC46" s="22"/>
      <c r="AD46" s="22"/>
      <c r="AE46" s="22"/>
      <c r="AF46" s="22"/>
      <c r="AG46" s="22"/>
      <c r="AH46" s="22"/>
      <c r="AI46" s="22"/>
      <c r="AJ46" s="22"/>
      <c r="AK46" s="22"/>
      <c r="AL46" s="22"/>
      <c r="AM46" s="22"/>
      <c r="AN46" s="22"/>
      <c r="AO46" s="22"/>
      <c r="AP46" s="22"/>
      <c r="AQ46" s="22"/>
      <c r="AR46" s="22"/>
    </row>
    <row r="47" spans="1:44" hidden="1" x14ac:dyDescent="0.25">
      <c r="A47" s="16"/>
      <c r="B47" s="3" t="s">
        <v>62</v>
      </c>
      <c r="C47" s="3" t="s">
        <v>63</v>
      </c>
      <c r="D47" s="11" t="s">
        <v>243</v>
      </c>
      <c r="E47" s="107">
        <v>172.65</v>
      </c>
      <c r="F47" s="108">
        <v>228.54</v>
      </c>
      <c r="G47" s="109">
        <v>282.87</v>
      </c>
      <c r="H47" s="114"/>
      <c r="I47" s="113">
        <v>12.120328214158445</v>
      </c>
      <c r="J47" s="114">
        <v>17.12005470538676</v>
      </c>
      <c r="K47" s="109">
        <v>18.738041995551029</v>
      </c>
      <c r="L47" s="114"/>
      <c r="M47" s="113">
        <v>36.313677265254533</v>
      </c>
      <c r="N47" s="114">
        <v>37.138988112192138</v>
      </c>
      <c r="O47" s="109">
        <v>40.793936148630095</v>
      </c>
      <c r="P47" s="119"/>
      <c r="Q47" s="120">
        <v>0.08</v>
      </c>
      <c r="R47" s="120">
        <v>0.05</v>
      </c>
      <c r="S47" s="120">
        <v>0.03</v>
      </c>
      <c r="T47" s="120">
        <v>1.4999999999999999E-2</v>
      </c>
      <c r="U47" s="120">
        <v>0.02</v>
      </c>
      <c r="V47" s="121">
        <f t="shared" si="0"/>
        <v>0</v>
      </c>
      <c r="W47" s="119"/>
      <c r="X47" s="113">
        <f t="shared" si="1"/>
        <v>221.08400547941298</v>
      </c>
      <c r="Y47" s="113">
        <f t="shared" si="2"/>
        <v>282.79904281757888</v>
      </c>
      <c r="Z47" s="113">
        <f t="shared" si="3"/>
        <v>342.40197814418116</v>
      </c>
      <c r="AA47" s="22"/>
      <c r="AB47" s="22"/>
      <c r="AC47" s="22"/>
      <c r="AD47" s="22"/>
      <c r="AE47" s="22"/>
      <c r="AF47" s="22"/>
      <c r="AG47" s="22"/>
      <c r="AH47" s="22"/>
      <c r="AI47" s="22"/>
      <c r="AJ47" s="22"/>
      <c r="AK47" s="22"/>
      <c r="AL47" s="22"/>
      <c r="AM47" s="22"/>
      <c r="AN47" s="22"/>
      <c r="AO47" s="22"/>
      <c r="AP47" s="22"/>
      <c r="AQ47" s="22"/>
      <c r="AR47" s="22"/>
    </row>
    <row r="48" spans="1:44" hidden="1" x14ac:dyDescent="0.25">
      <c r="A48" s="16"/>
      <c r="B48" s="3" t="s">
        <v>64</v>
      </c>
      <c r="C48" s="3" t="s">
        <v>65</v>
      </c>
      <c r="D48" s="11" t="s">
        <v>243</v>
      </c>
      <c r="E48" s="107">
        <v>167.12</v>
      </c>
      <c r="F48" s="108">
        <v>221.19</v>
      </c>
      <c r="G48" s="109">
        <v>273.77</v>
      </c>
      <c r="H48" s="114"/>
      <c r="I48" s="113">
        <v>5.8661548757048365</v>
      </c>
      <c r="J48" s="114">
        <v>8.2859878550996164</v>
      </c>
      <c r="K48" s="109">
        <v>9.0690824927463236</v>
      </c>
      <c r="L48" s="114"/>
      <c r="M48" s="113">
        <v>17.575568184325409</v>
      </c>
      <c r="N48" s="114">
        <v>17.975012915787349</v>
      </c>
      <c r="O48" s="109">
        <v>19.74398244083309</v>
      </c>
      <c r="P48" s="119"/>
      <c r="Q48" s="120">
        <v>0.08</v>
      </c>
      <c r="R48" s="120">
        <v>0.05</v>
      </c>
      <c r="S48" s="120">
        <v>0.03</v>
      </c>
      <c r="T48" s="120">
        <v>1.4999999999999999E-2</v>
      </c>
      <c r="U48" s="120">
        <v>0.02</v>
      </c>
      <c r="V48" s="121">
        <f t="shared" si="0"/>
        <v>0</v>
      </c>
      <c r="W48" s="119"/>
      <c r="X48" s="113">
        <f t="shared" si="1"/>
        <v>190.56172306003026</v>
      </c>
      <c r="Y48" s="113">
        <f t="shared" si="2"/>
        <v>247.45100077088696</v>
      </c>
      <c r="Z48" s="113">
        <f t="shared" si="3"/>
        <v>302.58306493357935</v>
      </c>
      <c r="AA48" s="22"/>
      <c r="AB48" s="22"/>
      <c r="AC48" s="22"/>
      <c r="AD48" s="22"/>
      <c r="AE48" s="22"/>
      <c r="AF48" s="22"/>
      <c r="AG48" s="22"/>
      <c r="AH48" s="22"/>
      <c r="AI48" s="22"/>
      <c r="AJ48" s="22"/>
      <c r="AK48" s="22"/>
      <c r="AL48" s="22"/>
      <c r="AM48" s="22"/>
      <c r="AN48" s="22"/>
      <c r="AO48" s="22"/>
      <c r="AP48" s="22"/>
      <c r="AQ48" s="22"/>
      <c r="AR48" s="22"/>
    </row>
    <row r="49" spans="1:44" hidden="1" x14ac:dyDescent="0.25">
      <c r="A49" s="16"/>
      <c r="B49" s="3" t="s">
        <v>66</v>
      </c>
      <c r="C49" s="3" t="s">
        <v>67</v>
      </c>
      <c r="D49" s="11" t="s">
        <v>243</v>
      </c>
      <c r="E49" s="107">
        <v>167.12</v>
      </c>
      <c r="F49" s="108">
        <v>221.19</v>
      </c>
      <c r="G49" s="109">
        <v>273.77</v>
      </c>
      <c r="H49" s="114"/>
      <c r="I49" s="113">
        <v>5.8661548757048365</v>
      </c>
      <c r="J49" s="114">
        <v>8.2859878550996164</v>
      </c>
      <c r="K49" s="109">
        <v>9.0690824927463236</v>
      </c>
      <c r="L49" s="114"/>
      <c r="M49" s="113">
        <v>17.575568184325409</v>
      </c>
      <c r="N49" s="114">
        <v>17.975012915787349</v>
      </c>
      <c r="O49" s="109">
        <v>19.74398244083309</v>
      </c>
      <c r="P49" s="119"/>
      <c r="Q49" s="120">
        <v>0.08</v>
      </c>
      <c r="R49" s="120">
        <v>0.05</v>
      </c>
      <c r="S49" s="120">
        <v>0.03</v>
      </c>
      <c r="T49" s="120">
        <v>1.4999999999999999E-2</v>
      </c>
      <c r="U49" s="120">
        <v>0.02</v>
      </c>
      <c r="V49" s="121">
        <f t="shared" si="0"/>
        <v>0</v>
      </c>
      <c r="W49" s="119"/>
      <c r="X49" s="113">
        <f t="shared" si="1"/>
        <v>190.56172306003026</v>
      </c>
      <c r="Y49" s="113">
        <f t="shared" si="2"/>
        <v>247.45100077088696</v>
      </c>
      <c r="Z49" s="113">
        <f t="shared" si="3"/>
        <v>302.58306493357935</v>
      </c>
      <c r="AA49" s="22"/>
      <c r="AB49" s="22"/>
      <c r="AC49" s="22"/>
      <c r="AD49" s="22"/>
      <c r="AE49" s="22"/>
      <c r="AF49" s="22"/>
      <c r="AG49" s="22"/>
      <c r="AH49" s="22"/>
      <c r="AI49" s="22"/>
      <c r="AJ49" s="22"/>
      <c r="AK49" s="22"/>
      <c r="AL49" s="22"/>
      <c r="AM49" s="22"/>
      <c r="AN49" s="22"/>
      <c r="AO49" s="22"/>
      <c r="AP49" s="22"/>
      <c r="AQ49" s="22"/>
      <c r="AR49" s="22"/>
    </row>
    <row r="50" spans="1:44" hidden="1" x14ac:dyDescent="0.25">
      <c r="A50" s="16"/>
      <c r="B50" s="3" t="s">
        <v>68</v>
      </c>
      <c r="C50" s="3" t="s">
        <v>69</v>
      </c>
      <c r="D50" s="11" t="s">
        <v>243</v>
      </c>
      <c r="E50" s="107">
        <v>206.92</v>
      </c>
      <c r="F50" s="108">
        <v>274.05</v>
      </c>
      <c r="G50" s="109">
        <v>339.32</v>
      </c>
      <c r="H50" s="114"/>
      <c r="I50" s="113">
        <v>14.519977464745018</v>
      </c>
      <c r="J50" s="114">
        <v>20.509577308891188</v>
      </c>
      <c r="K50" s="109">
        <v>22.447902622886016</v>
      </c>
      <c r="L50" s="114"/>
      <c r="M50" s="113">
        <v>43.503258842246602</v>
      </c>
      <c r="N50" s="114">
        <v>44.491969270479473</v>
      </c>
      <c r="O50" s="109">
        <v>48.870544024082221</v>
      </c>
      <c r="P50" s="119"/>
      <c r="Q50" s="120">
        <v>0.08</v>
      </c>
      <c r="R50" s="120">
        <v>0.05</v>
      </c>
      <c r="S50" s="120">
        <v>0.03</v>
      </c>
      <c r="T50" s="120">
        <v>1.4999999999999999E-2</v>
      </c>
      <c r="U50" s="120">
        <v>0.02</v>
      </c>
      <c r="V50" s="121">
        <f t="shared" si="0"/>
        <v>0</v>
      </c>
      <c r="W50" s="119"/>
      <c r="X50" s="113">
        <f t="shared" si="1"/>
        <v>264.94323630699159</v>
      </c>
      <c r="Y50" s="113">
        <f t="shared" si="2"/>
        <v>339.05154657937067</v>
      </c>
      <c r="Z50" s="113">
        <f t="shared" si="3"/>
        <v>410.63844664696825</v>
      </c>
      <c r="AA50" s="22"/>
      <c r="AB50" s="22"/>
      <c r="AC50" s="22"/>
      <c r="AD50" s="22"/>
      <c r="AE50" s="22"/>
      <c r="AF50" s="22"/>
      <c r="AG50" s="22"/>
      <c r="AH50" s="22"/>
      <c r="AI50" s="22"/>
      <c r="AJ50" s="22"/>
      <c r="AK50" s="22"/>
      <c r="AL50" s="22"/>
      <c r="AM50" s="22"/>
      <c r="AN50" s="22"/>
      <c r="AO50" s="22"/>
      <c r="AP50" s="22"/>
      <c r="AQ50" s="22"/>
      <c r="AR50" s="22"/>
    </row>
    <row r="51" spans="1:44" hidden="1" x14ac:dyDescent="0.25">
      <c r="A51" s="16"/>
      <c r="B51" s="3" t="s">
        <v>70</v>
      </c>
      <c r="C51" s="3" t="s">
        <v>71</v>
      </c>
      <c r="D51" s="11" t="s">
        <v>243</v>
      </c>
      <c r="E51" s="107">
        <v>207.2</v>
      </c>
      <c r="F51" s="108">
        <v>274.43</v>
      </c>
      <c r="G51" s="109">
        <v>339.79</v>
      </c>
      <c r="H51" s="114"/>
      <c r="I51" s="113">
        <v>12.066425529112861</v>
      </c>
      <c r="J51" s="114">
        <v>17.043916757598382</v>
      </c>
      <c r="K51" s="109">
        <v>18.65470837964472</v>
      </c>
      <c r="L51" s="114"/>
      <c r="M51" s="113">
        <v>36.152179600018918</v>
      </c>
      <c r="N51" s="114">
        <v>36.973820045473893</v>
      </c>
      <c r="O51" s="109">
        <v>40.612513446774493</v>
      </c>
      <c r="P51" s="119"/>
      <c r="Q51" s="120">
        <v>0.08</v>
      </c>
      <c r="R51" s="120">
        <v>0.05</v>
      </c>
      <c r="S51" s="120">
        <v>0.03</v>
      </c>
      <c r="T51" s="120">
        <v>1.4999999999999999E-2</v>
      </c>
      <c r="U51" s="120">
        <v>0.02</v>
      </c>
      <c r="V51" s="121">
        <f t="shared" si="0"/>
        <v>0</v>
      </c>
      <c r="W51" s="119"/>
      <c r="X51" s="113">
        <f t="shared" si="1"/>
        <v>255.41860512913175</v>
      </c>
      <c r="Y51" s="113">
        <f t="shared" si="2"/>
        <v>328.44773680307225</v>
      </c>
      <c r="Z51" s="113">
        <f t="shared" si="3"/>
        <v>399.05722182641921</v>
      </c>
      <c r="AA51" s="22"/>
      <c r="AB51" s="22"/>
      <c r="AC51" s="22"/>
      <c r="AD51" s="22"/>
      <c r="AE51" s="22"/>
      <c r="AF51" s="22"/>
      <c r="AG51" s="22"/>
      <c r="AH51" s="22"/>
      <c r="AI51" s="22"/>
      <c r="AJ51" s="22"/>
      <c r="AK51" s="22"/>
      <c r="AL51" s="22"/>
      <c r="AM51" s="22"/>
      <c r="AN51" s="22"/>
      <c r="AO51" s="22"/>
      <c r="AP51" s="22"/>
      <c r="AQ51" s="22"/>
      <c r="AR51" s="22"/>
    </row>
    <row r="52" spans="1:44" hidden="1" x14ac:dyDescent="0.25">
      <c r="A52" s="16"/>
      <c r="B52" s="3" t="s">
        <v>72</v>
      </c>
      <c r="C52" s="3" t="s">
        <v>73</v>
      </c>
      <c r="D52" s="11" t="s">
        <v>243</v>
      </c>
      <c r="E52" s="107">
        <v>109.97</v>
      </c>
      <c r="F52" s="108">
        <v>145.29</v>
      </c>
      <c r="G52" s="109">
        <v>179.63</v>
      </c>
      <c r="H52" s="114"/>
      <c r="I52" s="113">
        <v>2.8586774247946982</v>
      </c>
      <c r="J52" s="114">
        <v>4.0379033498753731</v>
      </c>
      <c r="K52" s="109">
        <v>4.4195187367090618</v>
      </c>
      <c r="L52" s="114"/>
      <c r="M52" s="113">
        <v>8.5648744468980897</v>
      </c>
      <c r="N52" s="114">
        <v>8.7595306843275917</v>
      </c>
      <c r="O52" s="109">
        <v>9.6215797358011006</v>
      </c>
      <c r="P52" s="119"/>
      <c r="Q52" s="120">
        <v>0.08</v>
      </c>
      <c r="R52" s="120">
        <v>0.05</v>
      </c>
      <c r="S52" s="120">
        <v>0.03</v>
      </c>
      <c r="T52" s="120">
        <v>1.4999999999999999E-2</v>
      </c>
      <c r="U52" s="120">
        <v>0.02</v>
      </c>
      <c r="V52" s="121">
        <f t="shared" si="0"/>
        <v>0</v>
      </c>
      <c r="W52" s="119"/>
      <c r="X52" s="113">
        <f t="shared" si="1"/>
        <v>121.39355187169278</v>
      </c>
      <c r="Y52" s="113">
        <f t="shared" si="2"/>
        <v>158.08743403420294</v>
      </c>
      <c r="Z52" s="113">
        <f t="shared" si="3"/>
        <v>193.67109847251015</v>
      </c>
      <c r="AA52" s="22"/>
      <c r="AB52" s="22"/>
      <c r="AC52" s="22"/>
      <c r="AD52" s="22"/>
      <c r="AE52" s="22"/>
      <c r="AF52" s="22"/>
      <c r="AG52" s="22"/>
      <c r="AH52" s="22"/>
      <c r="AI52" s="22"/>
      <c r="AJ52" s="22"/>
      <c r="AK52" s="22"/>
      <c r="AL52" s="22"/>
      <c r="AM52" s="22"/>
      <c r="AN52" s="22"/>
      <c r="AO52" s="22"/>
      <c r="AP52" s="22"/>
      <c r="AQ52" s="22"/>
      <c r="AR52" s="22"/>
    </row>
    <row r="53" spans="1:44" hidden="1" x14ac:dyDescent="0.25">
      <c r="A53" s="16"/>
      <c r="B53" s="3" t="s">
        <v>74</v>
      </c>
      <c r="C53" s="3" t="s">
        <v>75</v>
      </c>
      <c r="D53" s="11" t="s">
        <v>243</v>
      </c>
      <c r="E53" s="107">
        <v>207.96</v>
      </c>
      <c r="F53" s="108">
        <v>275.43</v>
      </c>
      <c r="G53" s="109">
        <v>341.04</v>
      </c>
      <c r="H53" s="114"/>
      <c r="I53" s="113">
        <v>7.2957579694194896</v>
      </c>
      <c r="J53" s="114">
        <v>10.305312970635226</v>
      </c>
      <c r="K53" s="109">
        <v>11.279250594935364</v>
      </c>
      <c r="L53" s="114"/>
      <c r="M53" s="113">
        <v>21.85879751980821</v>
      </c>
      <c r="N53" s="114">
        <v>22.355588372531123</v>
      </c>
      <c r="O53" s="109">
        <v>24.555662148875459</v>
      </c>
      <c r="P53" s="119"/>
      <c r="Q53" s="120">
        <v>0.08</v>
      </c>
      <c r="R53" s="120">
        <v>0.05</v>
      </c>
      <c r="S53" s="120">
        <v>0.03</v>
      </c>
      <c r="T53" s="120">
        <v>1.4999999999999999E-2</v>
      </c>
      <c r="U53" s="120">
        <v>0.02</v>
      </c>
      <c r="V53" s="121">
        <f t="shared" si="0"/>
        <v>0</v>
      </c>
      <c r="W53" s="119"/>
      <c r="X53" s="113">
        <f t="shared" si="1"/>
        <v>237.11455548922771</v>
      </c>
      <c r="Y53" s="113">
        <f t="shared" si="2"/>
        <v>308.09090134316637</v>
      </c>
      <c r="Z53" s="113">
        <f t="shared" si="3"/>
        <v>376.87491274381085</v>
      </c>
      <c r="AA53" s="22"/>
      <c r="AB53" s="22"/>
      <c r="AC53" s="22"/>
      <c r="AD53" s="22"/>
      <c r="AE53" s="22"/>
      <c r="AF53" s="22"/>
      <c r="AG53" s="22"/>
      <c r="AH53" s="22"/>
      <c r="AI53" s="22"/>
      <c r="AJ53" s="22"/>
      <c r="AK53" s="22"/>
      <c r="AL53" s="22"/>
      <c r="AM53" s="22"/>
      <c r="AN53" s="22"/>
      <c r="AO53" s="22"/>
      <c r="AP53" s="22"/>
      <c r="AQ53" s="22"/>
      <c r="AR53" s="22"/>
    </row>
    <row r="54" spans="1:44" hidden="1" x14ac:dyDescent="0.25">
      <c r="A54" s="16"/>
      <c r="B54" s="3" t="s">
        <v>76</v>
      </c>
      <c r="C54" s="3" t="s">
        <v>77</v>
      </c>
      <c r="D54" s="11" t="s">
        <v>243</v>
      </c>
      <c r="E54" s="107">
        <v>173.57</v>
      </c>
      <c r="F54" s="108">
        <v>229.77</v>
      </c>
      <c r="G54" s="109">
        <v>284.39999999999998</v>
      </c>
      <c r="H54" s="114"/>
      <c r="I54" s="113">
        <v>6.8204781201182829</v>
      </c>
      <c r="J54" s="114">
        <v>9.6339766110389924</v>
      </c>
      <c r="K54" s="109">
        <v>10.544467376322373</v>
      </c>
      <c r="L54" s="114"/>
      <c r="M54" s="113">
        <v>20.434813057238831</v>
      </c>
      <c r="N54" s="114">
        <v>20.899240626721536</v>
      </c>
      <c r="O54" s="109">
        <v>22.955991291573493</v>
      </c>
      <c r="P54" s="119"/>
      <c r="Q54" s="120">
        <v>0.08</v>
      </c>
      <c r="R54" s="120">
        <v>0.05</v>
      </c>
      <c r="S54" s="120">
        <v>0.03</v>
      </c>
      <c r="T54" s="120">
        <v>1.4999999999999999E-2</v>
      </c>
      <c r="U54" s="120">
        <v>0.02</v>
      </c>
      <c r="V54" s="121">
        <f t="shared" si="0"/>
        <v>0</v>
      </c>
      <c r="W54" s="119"/>
      <c r="X54" s="113">
        <f t="shared" si="1"/>
        <v>200.82529117735712</v>
      </c>
      <c r="Y54" s="113">
        <f t="shared" si="2"/>
        <v>260.30321723776058</v>
      </c>
      <c r="Z54" s="113">
        <f t="shared" si="3"/>
        <v>317.9004586678958</v>
      </c>
      <c r="AA54" s="22"/>
      <c r="AB54" s="22"/>
      <c r="AC54" s="22"/>
      <c r="AD54" s="22"/>
      <c r="AE54" s="22"/>
      <c r="AF54" s="22"/>
      <c r="AG54" s="22"/>
      <c r="AH54" s="22"/>
      <c r="AI54" s="22"/>
      <c r="AJ54" s="22"/>
      <c r="AK54" s="22"/>
      <c r="AL54" s="22"/>
      <c r="AM54" s="22"/>
      <c r="AN54" s="22"/>
      <c r="AO54" s="22"/>
      <c r="AP54" s="22"/>
      <c r="AQ54" s="22"/>
      <c r="AR54" s="22"/>
    </row>
    <row r="55" spans="1:44" hidden="1" x14ac:dyDescent="0.25">
      <c r="A55" s="16"/>
      <c r="B55" s="3" t="s">
        <v>78</v>
      </c>
      <c r="C55" s="3" t="s">
        <v>79</v>
      </c>
      <c r="D55" s="11" t="s">
        <v>243</v>
      </c>
      <c r="E55" s="107">
        <v>182.23</v>
      </c>
      <c r="F55" s="108">
        <v>241.26</v>
      </c>
      <c r="G55" s="109">
        <v>298.64999999999998</v>
      </c>
      <c r="H55" s="114"/>
      <c r="I55" s="113">
        <v>1.918358614277256</v>
      </c>
      <c r="J55" s="114">
        <v>2.7096959620789383</v>
      </c>
      <c r="K55" s="109">
        <v>2.965784724778608</v>
      </c>
      <c r="L55" s="114"/>
      <c r="M55" s="113">
        <v>5.7475882143610821</v>
      </c>
      <c r="N55" s="114">
        <v>5.8782152192329242</v>
      </c>
      <c r="O55" s="109">
        <v>6.4567062408082281</v>
      </c>
      <c r="P55" s="119"/>
      <c r="Q55" s="120">
        <v>0.08</v>
      </c>
      <c r="R55" s="120">
        <v>0.05</v>
      </c>
      <c r="S55" s="120">
        <v>0.03</v>
      </c>
      <c r="T55" s="120">
        <v>1.4999999999999999E-2</v>
      </c>
      <c r="U55" s="120">
        <v>0.02</v>
      </c>
      <c r="V55" s="121">
        <f t="shared" si="0"/>
        <v>0</v>
      </c>
      <c r="W55" s="119"/>
      <c r="X55" s="113">
        <f t="shared" si="1"/>
        <v>189.89594682863833</v>
      </c>
      <c r="Y55" s="113">
        <f t="shared" si="2"/>
        <v>249.84791118131184</v>
      </c>
      <c r="Z55" s="113">
        <f t="shared" si="3"/>
        <v>308.07249096558678</v>
      </c>
      <c r="AA55" s="22"/>
      <c r="AB55" s="22"/>
      <c r="AC55" s="22"/>
      <c r="AD55" s="22"/>
      <c r="AE55" s="22"/>
      <c r="AF55" s="22"/>
      <c r="AG55" s="22"/>
      <c r="AH55" s="22"/>
      <c r="AI55" s="22"/>
      <c r="AJ55" s="22"/>
      <c r="AK55" s="22"/>
      <c r="AL55" s="22"/>
      <c r="AM55" s="22"/>
      <c r="AN55" s="22"/>
      <c r="AO55" s="22"/>
      <c r="AP55" s="22"/>
      <c r="AQ55" s="22"/>
      <c r="AR55" s="22"/>
    </row>
    <row r="56" spans="1:44" hidden="1" x14ac:dyDescent="0.25">
      <c r="A56" s="16"/>
      <c r="B56" s="3" t="s">
        <v>80</v>
      </c>
      <c r="C56" s="3" t="s">
        <v>81</v>
      </c>
      <c r="D56" s="11" t="s">
        <v>243</v>
      </c>
      <c r="E56" s="107">
        <v>189.13</v>
      </c>
      <c r="F56" s="108">
        <v>250.43</v>
      </c>
      <c r="G56" s="109">
        <v>310.02</v>
      </c>
      <c r="H56" s="114"/>
      <c r="I56" s="113">
        <v>13.271942128649279</v>
      </c>
      <c r="J56" s="114">
        <v>18.74671801575295</v>
      </c>
      <c r="K56" s="109">
        <v>20.518438492337523</v>
      </c>
      <c r="L56" s="114"/>
      <c r="M56" s="113">
        <v>39.764024094653514</v>
      </c>
      <c r="N56" s="114">
        <v>40.667751914986546</v>
      </c>
      <c r="O56" s="109">
        <v>44.669975119318558</v>
      </c>
      <c r="P56" s="119"/>
      <c r="Q56" s="120">
        <v>0.08</v>
      </c>
      <c r="R56" s="120">
        <v>0.05</v>
      </c>
      <c r="S56" s="120">
        <v>0.03</v>
      </c>
      <c r="T56" s="120">
        <v>1.4999999999999999E-2</v>
      </c>
      <c r="U56" s="120">
        <v>0.02</v>
      </c>
      <c r="V56" s="121">
        <f t="shared" si="0"/>
        <v>0</v>
      </c>
      <c r="W56" s="119"/>
      <c r="X56" s="113">
        <f t="shared" si="1"/>
        <v>242.16596622330277</v>
      </c>
      <c r="Y56" s="113">
        <f t="shared" si="2"/>
        <v>309.84446993073948</v>
      </c>
      <c r="Z56" s="113">
        <f t="shared" si="3"/>
        <v>375.20841361165606</v>
      </c>
      <c r="AA56" s="22"/>
      <c r="AB56" s="22"/>
      <c r="AC56" s="22"/>
      <c r="AD56" s="22"/>
      <c r="AE56" s="22"/>
      <c r="AF56" s="22"/>
      <c r="AG56" s="22"/>
      <c r="AH56" s="22"/>
      <c r="AI56" s="22"/>
      <c r="AJ56" s="22"/>
      <c r="AK56" s="22"/>
      <c r="AL56" s="22"/>
      <c r="AM56" s="22"/>
      <c r="AN56" s="22"/>
      <c r="AO56" s="22"/>
      <c r="AP56" s="22"/>
      <c r="AQ56" s="22"/>
      <c r="AR56" s="22"/>
    </row>
    <row r="57" spans="1:44" hidden="1" x14ac:dyDescent="0.25">
      <c r="A57" s="16"/>
      <c r="B57" s="3" t="s">
        <v>82</v>
      </c>
      <c r="C57" s="3" t="s">
        <v>83</v>
      </c>
      <c r="D57" s="11" t="s">
        <v>243</v>
      </c>
      <c r="E57" s="107">
        <v>149.13999999999999</v>
      </c>
      <c r="F57" s="108">
        <v>197.32</v>
      </c>
      <c r="G57" s="109">
        <v>244.16</v>
      </c>
      <c r="H57" s="114"/>
      <c r="I57" s="113">
        <v>12.895951288503621</v>
      </c>
      <c r="J57" s="114">
        <v>18.21562812789838</v>
      </c>
      <c r="K57" s="109">
        <v>19.937156201288524</v>
      </c>
      <c r="L57" s="114"/>
      <c r="M57" s="113">
        <v>38.637519120325194</v>
      </c>
      <c r="N57" s="114">
        <v>39.515644554878037</v>
      </c>
      <c r="O57" s="109">
        <v>43.40448576504064</v>
      </c>
      <c r="P57" s="119"/>
      <c r="Q57" s="120">
        <v>0.08</v>
      </c>
      <c r="R57" s="120">
        <v>0.05</v>
      </c>
      <c r="S57" s="120">
        <v>0.03</v>
      </c>
      <c r="T57" s="120">
        <v>1.4999999999999999E-2</v>
      </c>
      <c r="U57" s="120">
        <v>0.02</v>
      </c>
      <c r="V57" s="121">
        <f t="shared" si="0"/>
        <v>0</v>
      </c>
      <c r="W57" s="119"/>
      <c r="X57" s="113">
        <f t="shared" si="1"/>
        <v>200.67347040882879</v>
      </c>
      <c r="Y57" s="113">
        <f t="shared" si="2"/>
        <v>255.05127268277641</v>
      </c>
      <c r="Z57" s="113">
        <f t="shared" si="3"/>
        <v>307.50164196632915</v>
      </c>
      <c r="AA57" s="22"/>
      <c r="AB57" s="22"/>
      <c r="AC57" s="22"/>
      <c r="AD57" s="22"/>
      <c r="AE57" s="22"/>
      <c r="AF57" s="22"/>
      <c r="AG57" s="22"/>
      <c r="AH57" s="22"/>
      <c r="AI57" s="22"/>
      <c r="AJ57" s="22"/>
      <c r="AK57" s="22"/>
      <c r="AL57" s="22"/>
      <c r="AM57" s="22"/>
      <c r="AN57" s="22"/>
      <c r="AO57" s="22"/>
      <c r="AP57" s="22"/>
      <c r="AQ57" s="22"/>
      <c r="AR57" s="22"/>
    </row>
    <row r="58" spans="1:44" hidden="1" x14ac:dyDescent="0.25">
      <c r="A58" s="16"/>
      <c r="B58" s="3" t="s">
        <v>82</v>
      </c>
      <c r="C58" s="3" t="s">
        <v>84</v>
      </c>
      <c r="D58" s="11" t="s">
        <v>243</v>
      </c>
      <c r="E58" s="107">
        <v>184.19154630981362</v>
      </c>
      <c r="F58" s="108">
        <v>232.39455358777204</v>
      </c>
      <c r="G58" s="109">
        <v>303.41366134554232</v>
      </c>
      <c r="H58" s="114"/>
      <c r="I58" s="113">
        <v>12.895951288503621</v>
      </c>
      <c r="J58" s="114">
        <v>18.21562812789838</v>
      </c>
      <c r="K58" s="109">
        <v>19.937156201288524</v>
      </c>
      <c r="L58" s="114"/>
      <c r="M58" s="113">
        <v>38.637519120325194</v>
      </c>
      <c r="N58" s="114">
        <v>39.515644554878037</v>
      </c>
      <c r="O58" s="109">
        <v>43.40448576504064</v>
      </c>
      <c r="P58" s="119"/>
      <c r="Q58" s="120">
        <v>0.08</v>
      </c>
      <c r="R58" s="120">
        <v>0.05</v>
      </c>
      <c r="S58" s="120">
        <v>0.03</v>
      </c>
      <c r="T58" s="120">
        <v>1.4999999999999999E-2</v>
      </c>
      <c r="U58" s="120">
        <v>0.02</v>
      </c>
      <c r="V58" s="121">
        <f>SUBTOTAL(9,Q58:U58)</f>
        <v>0</v>
      </c>
      <c r="W58" s="119"/>
      <c r="X58" s="113">
        <f t="shared" si="1"/>
        <v>235.72501671864245</v>
      </c>
      <c r="Y58" s="113">
        <f t="shared" si="2"/>
        <v>290.12582627054849</v>
      </c>
      <c r="Z58" s="113">
        <f t="shared" si="3"/>
        <v>366.7553033118715</v>
      </c>
      <c r="AA58" s="22"/>
      <c r="AB58" s="22"/>
      <c r="AC58" s="22"/>
      <c r="AD58" s="22"/>
      <c r="AE58" s="22"/>
      <c r="AF58" s="22"/>
      <c r="AG58" s="22"/>
      <c r="AH58" s="22"/>
      <c r="AI58" s="22"/>
      <c r="AJ58" s="22"/>
      <c r="AK58" s="22"/>
      <c r="AL58" s="22"/>
      <c r="AM58" s="22"/>
      <c r="AN58" s="22"/>
      <c r="AO58" s="22"/>
      <c r="AP58" s="22"/>
      <c r="AQ58" s="22"/>
      <c r="AR58" s="22"/>
    </row>
    <row r="59" spans="1:44" hidden="1" x14ac:dyDescent="0.25">
      <c r="A59" s="16"/>
      <c r="B59" s="3" t="s">
        <v>85</v>
      </c>
      <c r="C59" s="3" t="s">
        <v>86</v>
      </c>
      <c r="D59" s="11" t="s">
        <v>243</v>
      </c>
      <c r="E59" s="107">
        <v>110.30064121516742</v>
      </c>
      <c r="F59" s="108">
        <v>139.16636669376894</v>
      </c>
      <c r="G59" s="109">
        <v>181.69520844112645</v>
      </c>
      <c r="H59" s="114"/>
      <c r="I59" s="113">
        <v>7.7225677545969313</v>
      </c>
      <c r="J59" s="114">
        <v>10.90818500032964</v>
      </c>
      <c r="K59" s="109">
        <v>11.939099036120693</v>
      </c>
      <c r="L59" s="114"/>
      <c r="M59" s="113">
        <v>21.812409756097555</v>
      </c>
      <c r="N59" s="114">
        <v>22.308146341463413</v>
      </c>
      <c r="O59" s="109">
        <v>24.503551219512193</v>
      </c>
      <c r="P59" s="119"/>
      <c r="Q59" s="120">
        <v>0.08</v>
      </c>
      <c r="R59" s="120">
        <v>0.05</v>
      </c>
      <c r="S59" s="120">
        <v>0.03</v>
      </c>
      <c r="T59" s="120">
        <v>1.4999999999999999E-2</v>
      </c>
      <c r="U59" s="120">
        <v>0.02</v>
      </c>
      <c r="V59" s="121">
        <f t="shared" ref="V59:V73" si="4">SUBTOTAL(9,Q59:U59)</f>
        <v>0</v>
      </c>
      <c r="W59" s="119"/>
      <c r="X59" s="113">
        <f t="shared" si="1"/>
        <v>139.83561872586191</v>
      </c>
      <c r="Y59" s="113">
        <f t="shared" si="2"/>
        <v>172.38269803556199</v>
      </c>
      <c r="Z59" s="113">
        <f t="shared" si="3"/>
        <v>218.13785869675934</v>
      </c>
      <c r="AA59" s="22"/>
      <c r="AB59" s="22"/>
      <c r="AC59" s="22"/>
      <c r="AD59" s="22"/>
      <c r="AE59" s="22"/>
      <c r="AF59" s="22"/>
      <c r="AG59" s="22"/>
      <c r="AH59" s="22"/>
      <c r="AI59" s="22"/>
      <c r="AJ59" s="22"/>
      <c r="AK59" s="22"/>
      <c r="AL59" s="22"/>
      <c r="AM59" s="22"/>
      <c r="AN59" s="22"/>
      <c r="AO59" s="22"/>
      <c r="AP59" s="22"/>
      <c r="AQ59" s="22"/>
      <c r="AR59" s="22"/>
    </row>
    <row r="60" spans="1:44" hidden="1" x14ac:dyDescent="0.25">
      <c r="A60" s="16"/>
      <c r="B60" s="3" t="s">
        <v>85</v>
      </c>
      <c r="C60" s="3" t="s">
        <v>87</v>
      </c>
      <c r="D60" s="11" t="s">
        <v>243</v>
      </c>
      <c r="E60" s="107">
        <v>110.30064121516742</v>
      </c>
      <c r="F60" s="108">
        <v>139.16636669376894</v>
      </c>
      <c r="G60" s="109">
        <v>181.69520844112645</v>
      </c>
      <c r="H60" s="114"/>
      <c r="I60" s="113">
        <v>7.7225677545969313</v>
      </c>
      <c r="J60" s="114">
        <v>10.90818500032964</v>
      </c>
      <c r="K60" s="109">
        <v>11.939099036120693</v>
      </c>
      <c r="L60" s="114"/>
      <c r="M60" s="113">
        <v>21.812409756097555</v>
      </c>
      <c r="N60" s="114">
        <v>22.308146341463413</v>
      </c>
      <c r="O60" s="109">
        <v>24.503551219512193</v>
      </c>
      <c r="P60" s="119"/>
      <c r="Q60" s="120">
        <v>0.08</v>
      </c>
      <c r="R60" s="120">
        <v>0.05</v>
      </c>
      <c r="S60" s="120">
        <v>0.03</v>
      </c>
      <c r="T60" s="120">
        <v>1.4999999999999999E-2</v>
      </c>
      <c r="U60" s="120">
        <v>0.02</v>
      </c>
      <c r="V60" s="121">
        <f t="shared" si="4"/>
        <v>0</v>
      </c>
      <c r="W60" s="119"/>
      <c r="X60" s="113">
        <f t="shared" si="1"/>
        <v>139.83561872586191</v>
      </c>
      <c r="Y60" s="113">
        <f t="shared" si="2"/>
        <v>172.38269803556199</v>
      </c>
      <c r="Z60" s="113">
        <f t="shared" si="3"/>
        <v>218.13785869675934</v>
      </c>
      <c r="AA60" s="22"/>
      <c r="AB60" s="22"/>
      <c r="AC60" s="22"/>
      <c r="AD60" s="22"/>
      <c r="AE60" s="22"/>
      <c r="AF60" s="22"/>
      <c r="AG60" s="22"/>
      <c r="AH60" s="22"/>
      <c r="AI60" s="22"/>
      <c r="AJ60" s="22"/>
      <c r="AK60" s="22"/>
      <c r="AL60" s="22"/>
      <c r="AM60" s="22"/>
      <c r="AN60" s="22"/>
      <c r="AO60" s="22"/>
      <c r="AP60" s="22"/>
      <c r="AQ60" s="22"/>
      <c r="AR60" s="22"/>
    </row>
    <row r="61" spans="1:44" s="34" customFormat="1" hidden="1" x14ac:dyDescent="0.25">
      <c r="A61" s="35"/>
      <c r="B61" s="3" t="s">
        <v>85</v>
      </c>
      <c r="C61" s="3" t="s">
        <v>88</v>
      </c>
      <c r="D61" s="11" t="s">
        <v>243</v>
      </c>
      <c r="E61" s="107">
        <v>110.30064121516742</v>
      </c>
      <c r="F61" s="108">
        <v>139.16636669376894</v>
      </c>
      <c r="G61" s="109">
        <v>181.69520844112645</v>
      </c>
      <c r="H61" s="114"/>
      <c r="I61" s="113">
        <v>7.7225677545969313</v>
      </c>
      <c r="J61" s="114">
        <v>10.90818500032964</v>
      </c>
      <c r="K61" s="109">
        <v>11.939099036120693</v>
      </c>
      <c r="L61" s="114"/>
      <c r="M61" s="113">
        <v>21.812409756097555</v>
      </c>
      <c r="N61" s="114">
        <v>22.308146341463413</v>
      </c>
      <c r="O61" s="109">
        <v>24.503551219512193</v>
      </c>
      <c r="P61" s="119"/>
      <c r="Q61" s="120">
        <v>0.08</v>
      </c>
      <c r="R61" s="120">
        <v>0.05</v>
      </c>
      <c r="S61" s="120">
        <v>0.03</v>
      </c>
      <c r="T61" s="120">
        <v>1.4999999999999999E-2</v>
      </c>
      <c r="U61" s="120">
        <v>0.02</v>
      </c>
      <c r="V61" s="121">
        <f t="shared" si="4"/>
        <v>0</v>
      </c>
      <c r="W61" s="119"/>
      <c r="X61" s="113">
        <f t="shared" si="1"/>
        <v>139.83561872586191</v>
      </c>
      <c r="Y61" s="113">
        <f t="shared" si="2"/>
        <v>172.38269803556199</v>
      </c>
      <c r="Z61" s="113">
        <f t="shared" si="3"/>
        <v>218.13785869675934</v>
      </c>
      <c r="AA61" s="33"/>
      <c r="AB61" s="33"/>
      <c r="AC61" s="33"/>
      <c r="AD61" s="33"/>
      <c r="AE61" s="33"/>
      <c r="AF61" s="33"/>
      <c r="AG61" s="33"/>
      <c r="AH61" s="33"/>
      <c r="AI61" s="33"/>
      <c r="AJ61" s="33"/>
      <c r="AK61" s="33"/>
      <c r="AL61" s="33"/>
      <c r="AM61" s="33"/>
      <c r="AN61" s="33"/>
      <c r="AO61" s="33"/>
      <c r="AP61" s="33"/>
      <c r="AQ61" s="33"/>
      <c r="AR61" s="33"/>
    </row>
    <row r="62" spans="1:44" hidden="1" x14ac:dyDescent="0.25">
      <c r="A62" s="16"/>
      <c r="B62" s="3" t="s">
        <v>89</v>
      </c>
      <c r="C62" s="3" t="s">
        <v>90</v>
      </c>
      <c r="D62" s="11" t="s">
        <v>243</v>
      </c>
      <c r="E62" s="107">
        <v>110.72</v>
      </c>
      <c r="F62" s="108">
        <v>146.29</v>
      </c>
      <c r="G62" s="109">
        <v>180.88</v>
      </c>
      <c r="H62" s="114"/>
      <c r="I62" s="113">
        <v>9.1956263167249723</v>
      </c>
      <c r="J62" s="114">
        <v>12.98889129163377</v>
      </c>
      <c r="K62" s="109">
        <v>14.216449344738368</v>
      </c>
      <c r="L62" s="114"/>
      <c r="M62" s="113">
        <v>26.173437748243902</v>
      </c>
      <c r="N62" s="114">
        <v>26.768288606158535</v>
      </c>
      <c r="O62" s="109">
        <v>29.402628119780488</v>
      </c>
      <c r="P62" s="119"/>
      <c r="Q62" s="120">
        <v>0.08</v>
      </c>
      <c r="R62" s="120">
        <v>0.05</v>
      </c>
      <c r="S62" s="120">
        <v>0.03</v>
      </c>
      <c r="T62" s="120">
        <v>1.4999999999999999E-2</v>
      </c>
      <c r="U62" s="120">
        <v>0.02</v>
      </c>
      <c r="V62" s="121">
        <f t="shared" si="4"/>
        <v>0</v>
      </c>
      <c r="W62" s="119"/>
      <c r="X62" s="113">
        <f t="shared" si="1"/>
        <v>146.08906406496888</v>
      </c>
      <c r="Y62" s="113">
        <f t="shared" si="2"/>
        <v>186.04717989779229</v>
      </c>
      <c r="Z62" s="113">
        <f t="shared" si="3"/>
        <v>224.49907746451885</v>
      </c>
      <c r="AA62" s="22"/>
      <c r="AB62" s="22"/>
      <c r="AC62" s="22"/>
      <c r="AD62" s="22"/>
      <c r="AE62" s="22"/>
      <c r="AF62" s="22"/>
      <c r="AG62" s="22"/>
      <c r="AH62" s="22"/>
      <c r="AI62" s="22"/>
      <c r="AJ62" s="22"/>
      <c r="AK62" s="22"/>
      <c r="AL62" s="22"/>
      <c r="AM62" s="22"/>
      <c r="AN62" s="22"/>
      <c r="AO62" s="22"/>
      <c r="AP62" s="22"/>
      <c r="AQ62" s="22"/>
      <c r="AR62" s="22"/>
    </row>
    <row r="63" spans="1:44" hidden="1" x14ac:dyDescent="0.25">
      <c r="A63" s="16"/>
      <c r="B63" s="3" t="s">
        <v>91</v>
      </c>
      <c r="C63" s="3" t="s">
        <v>92</v>
      </c>
      <c r="D63" s="11" t="s">
        <v>243</v>
      </c>
      <c r="E63" s="107">
        <v>97.78</v>
      </c>
      <c r="F63" s="108">
        <v>129.1</v>
      </c>
      <c r="G63" s="109">
        <v>159.56</v>
      </c>
      <c r="H63" s="114"/>
      <c r="I63" s="113">
        <v>9.1956263167249723</v>
      </c>
      <c r="J63" s="114">
        <v>12.98889129163377</v>
      </c>
      <c r="K63" s="109">
        <v>14.216449344738368</v>
      </c>
      <c r="L63" s="114"/>
      <c r="M63" s="113">
        <v>24.139499999999998</v>
      </c>
      <c r="N63" s="114">
        <v>24.688124999999999</v>
      </c>
      <c r="O63" s="109">
        <v>27.117750000000001</v>
      </c>
      <c r="P63" s="119"/>
      <c r="Q63" s="120">
        <v>0.08</v>
      </c>
      <c r="R63" s="120">
        <v>0.05</v>
      </c>
      <c r="S63" s="120">
        <v>0.03</v>
      </c>
      <c r="T63" s="120">
        <v>1.4999999999999999E-2</v>
      </c>
      <c r="U63" s="120">
        <v>0.02</v>
      </c>
      <c r="V63" s="121">
        <f t="shared" si="4"/>
        <v>0</v>
      </c>
      <c r="W63" s="119"/>
      <c r="X63" s="113">
        <f t="shared" si="1"/>
        <v>131.11512631672497</v>
      </c>
      <c r="Y63" s="113">
        <f t="shared" si="2"/>
        <v>166.77701629163374</v>
      </c>
      <c r="Z63" s="113">
        <f t="shared" si="3"/>
        <v>200.89419934473838</v>
      </c>
      <c r="AA63" s="22"/>
      <c r="AB63" s="22"/>
      <c r="AC63" s="22"/>
      <c r="AD63" s="22"/>
      <c r="AE63" s="22"/>
      <c r="AF63" s="22"/>
      <c r="AG63" s="22"/>
      <c r="AH63" s="22"/>
      <c r="AI63" s="22"/>
      <c r="AJ63" s="22"/>
      <c r="AK63" s="22"/>
      <c r="AL63" s="22"/>
      <c r="AM63" s="22"/>
      <c r="AN63" s="22"/>
      <c r="AO63" s="22"/>
      <c r="AP63" s="22"/>
      <c r="AQ63" s="22"/>
      <c r="AR63" s="22"/>
    </row>
    <row r="64" spans="1:44" hidden="1" x14ac:dyDescent="0.25">
      <c r="A64" s="16"/>
      <c r="B64" s="3" t="s">
        <v>93</v>
      </c>
      <c r="C64" s="3" t="s">
        <v>53</v>
      </c>
      <c r="D64" s="11" t="s">
        <v>243</v>
      </c>
      <c r="E64" s="107">
        <v>92.17</v>
      </c>
      <c r="F64" s="108">
        <v>121.66</v>
      </c>
      <c r="G64" s="109">
        <v>150.32</v>
      </c>
      <c r="H64" s="114"/>
      <c r="I64" s="113">
        <v>11.11717557539048</v>
      </c>
      <c r="J64" s="114">
        <v>15.703094062893706</v>
      </c>
      <c r="K64" s="109">
        <v>17.187166809578425</v>
      </c>
      <c r="L64" s="114"/>
      <c r="M64" s="113">
        <v>27.8124</v>
      </c>
      <c r="N64" s="114">
        <v>28.444500000000001</v>
      </c>
      <c r="O64" s="109">
        <v>31.2438</v>
      </c>
      <c r="P64" s="119"/>
      <c r="Q64" s="120">
        <v>0.08</v>
      </c>
      <c r="R64" s="120">
        <v>0.05</v>
      </c>
      <c r="S64" s="120">
        <v>0.03</v>
      </c>
      <c r="T64" s="120">
        <v>1.4999999999999999E-2</v>
      </c>
      <c r="U64" s="120">
        <v>0.02</v>
      </c>
      <c r="V64" s="121">
        <f t="shared" si="4"/>
        <v>0</v>
      </c>
      <c r="W64" s="119"/>
      <c r="X64" s="113">
        <f t="shared" si="1"/>
        <v>131.09957557539047</v>
      </c>
      <c r="Y64" s="113">
        <f t="shared" si="2"/>
        <v>165.80759406289371</v>
      </c>
      <c r="Z64" s="113">
        <f t="shared" si="3"/>
        <v>198.75096680957841</v>
      </c>
      <c r="AA64" s="22"/>
      <c r="AB64" s="22"/>
      <c r="AC64" s="22"/>
      <c r="AD64" s="22"/>
      <c r="AE64" s="22"/>
      <c r="AF64" s="22"/>
      <c r="AG64" s="22"/>
      <c r="AH64" s="22"/>
      <c r="AI64" s="22"/>
      <c r="AJ64" s="22"/>
      <c r="AK64" s="22"/>
      <c r="AL64" s="22"/>
      <c r="AM64" s="22"/>
      <c r="AN64" s="22"/>
      <c r="AO64" s="22"/>
      <c r="AP64" s="22"/>
      <c r="AQ64" s="22"/>
      <c r="AR64" s="22"/>
    </row>
    <row r="65" spans="1:44" hidden="1" x14ac:dyDescent="0.25">
      <c r="A65" s="16"/>
      <c r="B65" s="3" t="s">
        <v>94</v>
      </c>
      <c r="C65" s="3" t="s">
        <v>95</v>
      </c>
      <c r="D65" s="11" t="s">
        <v>243</v>
      </c>
      <c r="E65" s="107">
        <v>115.05085650835703</v>
      </c>
      <c r="F65" s="108">
        <v>145.15971538225753</v>
      </c>
      <c r="G65" s="109">
        <v>189.52010726608117</v>
      </c>
      <c r="H65" s="114"/>
      <c r="I65" s="113">
        <v>8.0551484091283854</v>
      </c>
      <c r="J65" s="114">
        <v>11.37795767470991</v>
      </c>
      <c r="K65" s="109">
        <v>12.453269128003056</v>
      </c>
      <c r="L65" s="114"/>
      <c r="M65" s="113">
        <v>22.927304587804876</v>
      </c>
      <c r="N65" s="114">
        <v>23.448379692073171</v>
      </c>
      <c r="O65" s="109">
        <v>25.75599801097561</v>
      </c>
      <c r="P65" s="119"/>
      <c r="Q65" s="120">
        <v>0.08</v>
      </c>
      <c r="R65" s="120">
        <v>0.05</v>
      </c>
      <c r="S65" s="120">
        <v>0.03</v>
      </c>
      <c r="T65" s="120">
        <v>1.4999999999999999E-2</v>
      </c>
      <c r="U65" s="120">
        <v>0.02</v>
      </c>
      <c r="V65" s="121">
        <f t="shared" si="4"/>
        <v>0</v>
      </c>
      <c r="W65" s="119"/>
      <c r="X65" s="113">
        <f t="shared" si="1"/>
        <v>146.0333095052903</v>
      </c>
      <c r="Y65" s="113">
        <f t="shared" si="2"/>
        <v>179.9860527490406</v>
      </c>
      <c r="Z65" s="113">
        <f t="shared" si="3"/>
        <v>227.72937440505984</v>
      </c>
      <c r="AA65" s="22"/>
      <c r="AB65" s="22"/>
      <c r="AC65" s="22"/>
      <c r="AD65" s="22"/>
      <c r="AE65" s="22"/>
      <c r="AF65" s="22"/>
      <c r="AG65" s="22"/>
      <c r="AH65" s="22"/>
      <c r="AI65" s="22"/>
      <c r="AJ65" s="22"/>
      <c r="AK65" s="22"/>
      <c r="AL65" s="22"/>
      <c r="AM65" s="22"/>
      <c r="AN65" s="22"/>
      <c r="AO65" s="22"/>
      <c r="AP65" s="22"/>
      <c r="AQ65" s="22"/>
      <c r="AR65" s="22"/>
    </row>
    <row r="66" spans="1:44" hidden="1" x14ac:dyDescent="0.25">
      <c r="A66" s="16"/>
      <c r="B66" s="3" t="s">
        <v>94</v>
      </c>
      <c r="C66" s="3" t="s">
        <v>96</v>
      </c>
      <c r="D66" s="11" t="s">
        <v>243</v>
      </c>
      <c r="E66" s="107">
        <v>115.05085650835703</v>
      </c>
      <c r="F66" s="108">
        <v>145.15971538225753</v>
      </c>
      <c r="G66" s="109">
        <v>189.52010726608117</v>
      </c>
      <c r="H66" s="114"/>
      <c r="I66" s="113">
        <v>8.0551484091283854</v>
      </c>
      <c r="J66" s="114">
        <v>11.37795767470991</v>
      </c>
      <c r="K66" s="109">
        <v>12.453269128003056</v>
      </c>
      <c r="L66" s="114"/>
      <c r="M66" s="113">
        <v>22.927304587804876</v>
      </c>
      <c r="N66" s="114">
        <v>23.448379692073171</v>
      </c>
      <c r="O66" s="109">
        <v>25.75599801097561</v>
      </c>
      <c r="P66" s="119"/>
      <c r="Q66" s="120">
        <v>0.08</v>
      </c>
      <c r="R66" s="120">
        <v>0.05</v>
      </c>
      <c r="S66" s="120">
        <v>0.03</v>
      </c>
      <c r="T66" s="120">
        <v>1.4999999999999999E-2</v>
      </c>
      <c r="U66" s="120">
        <v>0.02</v>
      </c>
      <c r="V66" s="121">
        <f t="shared" si="4"/>
        <v>0</v>
      </c>
      <c r="W66" s="119"/>
      <c r="X66" s="113">
        <f t="shared" si="1"/>
        <v>146.0333095052903</v>
      </c>
      <c r="Y66" s="113">
        <f t="shared" si="2"/>
        <v>179.9860527490406</v>
      </c>
      <c r="Z66" s="113">
        <f t="shared" si="3"/>
        <v>227.72937440505984</v>
      </c>
      <c r="AA66" s="22"/>
      <c r="AB66" s="22"/>
      <c r="AC66" s="22"/>
      <c r="AD66" s="22"/>
      <c r="AE66" s="22"/>
      <c r="AF66" s="22"/>
      <c r="AG66" s="22"/>
      <c r="AH66" s="22"/>
      <c r="AI66" s="22"/>
      <c r="AJ66" s="22"/>
      <c r="AK66" s="22"/>
      <c r="AL66" s="22"/>
      <c r="AM66" s="22"/>
      <c r="AN66" s="22"/>
      <c r="AO66" s="22"/>
      <c r="AP66" s="22"/>
      <c r="AQ66" s="22"/>
      <c r="AR66" s="22"/>
    </row>
    <row r="67" spans="1:44" hidden="1" x14ac:dyDescent="0.25">
      <c r="A67" s="16"/>
      <c r="B67" s="3" t="s">
        <v>94</v>
      </c>
      <c r="C67" s="3" t="s">
        <v>97</v>
      </c>
      <c r="D67" s="11" t="s">
        <v>243</v>
      </c>
      <c r="E67" s="107">
        <v>115.05085650835703</v>
      </c>
      <c r="F67" s="108">
        <v>145.15971538225753</v>
      </c>
      <c r="G67" s="109">
        <v>189.52010726608117</v>
      </c>
      <c r="H67" s="114"/>
      <c r="I67" s="113">
        <v>8.0551484091283854</v>
      </c>
      <c r="J67" s="114">
        <v>11.37795767470991</v>
      </c>
      <c r="K67" s="109">
        <v>12.453269128003056</v>
      </c>
      <c r="L67" s="114"/>
      <c r="M67" s="113">
        <v>22.927304587804876</v>
      </c>
      <c r="N67" s="114">
        <v>23.448379692073171</v>
      </c>
      <c r="O67" s="109">
        <v>25.75599801097561</v>
      </c>
      <c r="P67" s="119"/>
      <c r="Q67" s="120">
        <v>0.08</v>
      </c>
      <c r="R67" s="120">
        <v>0.05</v>
      </c>
      <c r="S67" s="120">
        <v>0.03</v>
      </c>
      <c r="T67" s="120">
        <v>1.4999999999999999E-2</v>
      </c>
      <c r="U67" s="120">
        <v>0.02</v>
      </c>
      <c r="V67" s="121">
        <f t="shared" si="4"/>
        <v>0</v>
      </c>
      <c r="W67" s="119"/>
      <c r="X67" s="113">
        <f t="shared" si="1"/>
        <v>146.0333095052903</v>
      </c>
      <c r="Y67" s="113">
        <f t="shared" si="2"/>
        <v>179.9860527490406</v>
      </c>
      <c r="Z67" s="113">
        <f t="shared" si="3"/>
        <v>227.72937440505984</v>
      </c>
      <c r="AA67" s="22"/>
      <c r="AB67" s="22"/>
      <c r="AC67" s="22"/>
      <c r="AD67" s="22"/>
      <c r="AE67" s="22"/>
      <c r="AF67" s="22"/>
      <c r="AG67" s="22"/>
      <c r="AH67" s="22"/>
      <c r="AI67" s="22"/>
      <c r="AJ67" s="22"/>
      <c r="AK67" s="22"/>
      <c r="AL67" s="22"/>
      <c r="AM67" s="22"/>
      <c r="AN67" s="22"/>
      <c r="AO67" s="22"/>
      <c r="AP67" s="22"/>
      <c r="AQ67" s="22"/>
      <c r="AR67" s="22"/>
    </row>
    <row r="68" spans="1:44" hidden="1" x14ac:dyDescent="0.25">
      <c r="A68" s="16"/>
      <c r="B68" s="3" t="s">
        <v>94</v>
      </c>
      <c r="C68" s="3" t="s">
        <v>98</v>
      </c>
      <c r="D68" s="11" t="s">
        <v>243</v>
      </c>
      <c r="E68" s="110">
        <v>115.05085650835703</v>
      </c>
      <c r="F68" s="111">
        <v>145.15971538225753</v>
      </c>
      <c r="G68" s="112">
        <v>189.52010726608117</v>
      </c>
      <c r="H68" s="114"/>
      <c r="I68" s="113">
        <v>8.0551484091283854</v>
      </c>
      <c r="J68" s="114">
        <v>11.37795767470991</v>
      </c>
      <c r="K68" s="109">
        <v>12.453269128003056</v>
      </c>
      <c r="L68" s="114"/>
      <c r="M68" s="113">
        <v>22.927304587804876</v>
      </c>
      <c r="N68" s="114">
        <v>23.448379692073171</v>
      </c>
      <c r="O68" s="109">
        <v>25.75599801097561</v>
      </c>
      <c r="P68" s="119"/>
      <c r="Q68" s="120">
        <v>0.08</v>
      </c>
      <c r="R68" s="120">
        <v>0.05</v>
      </c>
      <c r="S68" s="120">
        <v>0.03</v>
      </c>
      <c r="T68" s="120">
        <v>1.4999999999999999E-2</v>
      </c>
      <c r="U68" s="120">
        <v>0.02</v>
      </c>
      <c r="V68" s="121">
        <f t="shared" si="4"/>
        <v>0</v>
      </c>
      <c r="W68" s="119"/>
      <c r="X68" s="113">
        <f t="shared" si="1"/>
        <v>146.0333095052903</v>
      </c>
      <c r="Y68" s="113">
        <f t="shared" si="2"/>
        <v>179.9860527490406</v>
      </c>
      <c r="Z68" s="113">
        <f t="shared" si="3"/>
        <v>227.72937440505984</v>
      </c>
      <c r="AA68" s="22"/>
      <c r="AB68" s="22"/>
      <c r="AC68" s="22"/>
      <c r="AD68" s="22"/>
      <c r="AE68" s="22"/>
      <c r="AF68" s="22"/>
      <c r="AG68" s="22"/>
      <c r="AH68" s="22"/>
      <c r="AI68" s="22"/>
      <c r="AJ68" s="22"/>
      <c r="AK68" s="22"/>
      <c r="AL68" s="22"/>
      <c r="AM68" s="22"/>
      <c r="AN68" s="22"/>
      <c r="AO68" s="22"/>
      <c r="AP68" s="22"/>
      <c r="AQ68" s="22"/>
      <c r="AR68" s="22"/>
    </row>
    <row r="69" spans="1:44" hidden="1" x14ac:dyDescent="0.25">
      <c r="A69" s="16"/>
      <c r="B69" s="3" t="s">
        <v>99</v>
      </c>
      <c r="C69" s="3" t="s">
        <v>100</v>
      </c>
      <c r="D69" s="11" t="s">
        <v>243</v>
      </c>
      <c r="E69" s="107">
        <v>132.4</v>
      </c>
      <c r="F69" s="108">
        <v>175.08</v>
      </c>
      <c r="G69" s="109">
        <v>216.58</v>
      </c>
      <c r="H69" s="114"/>
      <c r="I69" s="113">
        <v>23.386435902439022</v>
      </c>
      <c r="J69" s="114">
        <v>26.303687999999998</v>
      </c>
      <c r="K69" s="109">
        <v>31.557162731707315</v>
      </c>
      <c r="L69" s="114"/>
      <c r="M69" s="113">
        <v>36.247092682926827</v>
      </c>
      <c r="N69" s="114">
        <v>37.070890243902433</v>
      </c>
      <c r="O69" s="109">
        <v>40.719136585365852</v>
      </c>
      <c r="P69" s="119"/>
      <c r="Q69" s="120">
        <v>0.08</v>
      </c>
      <c r="R69" s="120">
        <v>0.05</v>
      </c>
      <c r="S69" s="120">
        <v>0.03</v>
      </c>
      <c r="T69" s="120">
        <v>1.4999999999999999E-2</v>
      </c>
      <c r="U69" s="120">
        <v>0.02</v>
      </c>
      <c r="V69" s="121">
        <f t="shared" si="4"/>
        <v>0</v>
      </c>
      <c r="W69" s="119"/>
      <c r="X69" s="113">
        <f t="shared" si="1"/>
        <v>192.03352858536584</v>
      </c>
      <c r="Y69" s="113">
        <f t="shared" si="2"/>
        <v>238.45457824390243</v>
      </c>
      <c r="Z69" s="113">
        <f t="shared" si="3"/>
        <v>288.85629931707319</v>
      </c>
      <c r="AA69" s="22"/>
      <c r="AB69" s="22"/>
      <c r="AC69" s="22"/>
      <c r="AD69" s="22"/>
      <c r="AE69" s="22"/>
      <c r="AF69" s="22"/>
      <c r="AG69" s="22"/>
      <c r="AH69" s="22"/>
      <c r="AI69" s="22"/>
      <c r="AJ69" s="22"/>
      <c r="AK69" s="22"/>
      <c r="AL69" s="22"/>
      <c r="AM69" s="22"/>
      <c r="AN69" s="22"/>
      <c r="AO69" s="22"/>
      <c r="AP69" s="22"/>
      <c r="AQ69" s="22"/>
      <c r="AR69" s="22"/>
    </row>
    <row r="70" spans="1:44" hidden="1" x14ac:dyDescent="0.25">
      <c r="A70" s="16"/>
      <c r="B70" s="3" t="s">
        <v>244</v>
      </c>
      <c r="C70" s="3" t="s">
        <v>245</v>
      </c>
      <c r="D70" s="11" t="s">
        <v>19</v>
      </c>
      <c r="E70" s="110">
        <v>151.69999999999999</v>
      </c>
      <c r="F70" s="111">
        <v>178.34</v>
      </c>
      <c r="G70" s="112">
        <v>264.92</v>
      </c>
      <c r="H70" s="114"/>
      <c r="I70" s="113">
        <v>9.9779999999999998</v>
      </c>
      <c r="J70" s="114">
        <v>14.093999999999999</v>
      </c>
      <c r="K70" s="109">
        <v>15.426</v>
      </c>
      <c r="L70" s="114"/>
      <c r="M70" s="113">
        <v>28.025535999999999</v>
      </c>
      <c r="N70" s="114">
        <v>28.662479999999999</v>
      </c>
      <c r="O70" s="109">
        <v>31.483232000000001</v>
      </c>
      <c r="P70" s="119"/>
      <c r="Q70" s="120">
        <v>0.08</v>
      </c>
      <c r="R70" s="120">
        <v>0.05</v>
      </c>
      <c r="S70" s="120">
        <v>0.03</v>
      </c>
      <c r="T70" s="120">
        <v>1.4999999999999999E-2</v>
      </c>
      <c r="U70" s="120">
        <v>0.02</v>
      </c>
      <c r="V70" s="121">
        <f t="shared" si="4"/>
        <v>0</v>
      </c>
      <c r="W70" s="119"/>
      <c r="X70" s="113">
        <f t="shared" ref="X70:X73" si="5">(E70+I70+M70)*(1+V70)</f>
        <v>189.70353599999999</v>
      </c>
      <c r="Y70" s="113">
        <f t="shared" ref="Y70:Y73" si="6">(F70+J70+N70)*(1+V70)</f>
        <v>221.09647999999999</v>
      </c>
      <c r="Z70" s="113">
        <f t="shared" ref="Z70:Z73" si="7">(G70+K70+O70)*(1+V70)</f>
        <v>311.82923199999999</v>
      </c>
      <c r="AA70" s="22"/>
      <c r="AB70" s="22"/>
      <c r="AC70" s="22"/>
      <c r="AD70" s="22"/>
      <c r="AE70" s="22"/>
      <c r="AF70" s="22"/>
      <c r="AG70" s="22"/>
      <c r="AH70" s="22"/>
      <c r="AI70" s="22"/>
      <c r="AJ70" s="22"/>
      <c r="AK70" s="22"/>
      <c r="AL70" s="22"/>
      <c r="AM70" s="22"/>
      <c r="AN70" s="22"/>
      <c r="AO70" s="22"/>
      <c r="AP70" s="22"/>
      <c r="AQ70" s="22"/>
      <c r="AR70" s="22"/>
    </row>
    <row r="71" spans="1:44" hidden="1" x14ac:dyDescent="0.25">
      <c r="A71" s="16"/>
      <c r="B71" s="3" t="s">
        <v>244</v>
      </c>
      <c r="C71" s="3" t="s">
        <v>246</v>
      </c>
      <c r="D71" s="11" t="s">
        <v>19</v>
      </c>
      <c r="E71" s="110">
        <f t="shared" ref="E71:G72" si="8">E$25*0.58</f>
        <v>98.413458126986455</v>
      </c>
      <c r="F71" s="111">
        <f t="shared" si="8"/>
        <v>130.26351356345626</v>
      </c>
      <c r="G71" s="112">
        <f t="shared" si="8"/>
        <v>161.23061663833244</v>
      </c>
      <c r="H71" s="114"/>
      <c r="I71" s="113">
        <v>9.6453999999999986</v>
      </c>
      <c r="J71" s="114">
        <v>13.624199999999998</v>
      </c>
      <c r="K71" s="109">
        <v>14.911799999999999</v>
      </c>
      <c r="L71" s="114"/>
      <c r="M71" s="113">
        <v>27.164639464797641</v>
      </c>
      <c r="N71" s="114">
        <v>27.782017634452135</v>
      </c>
      <c r="O71" s="109">
        <v>30.51612095720774</v>
      </c>
      <c r="P71" s="119"/>
      <c r="Q71" s="120">
        <v>0.08</v>
      </c>
      <c r="R71" s="120">
        <v>0.05</v>
      </c>
      <c r="S71" s="120">
        <v>0.03</v>
      </c>
      <c r="T71" s="120">
        <v>1.4999999999999999E-2</v>
      </c>
      <c r="U71" s="120">
        <v>0.02</v>
      </c>
      <c r="V71" s="121">
        <f t="shared" si="4"/>
        <v>0</v>
      </c>
      <c r="W71" s="119"/>
      <c r="X71" s="113">
        <f t="shared" si="5"/>
        <v>135.22349759178408</v>
      </c>
      <c r="Y71" s="113">
        <f t="shared" si="6"/>
        <v>171.66973119790839</v>
      </c>
      <c r="Z71" s="113">
        <f t="shared" si="7"/>
        <v>206.65853759554017</v>
      </c>
      <c r="AA71" s="22"/>
      <c r="AB71" s="22"/>
      <c r="AC71" s="22"/>
      <c r="AD71" s="22"/>
      <c r="AE71" s="22"/>
      <c r="AF71" s="22"/>
      <c r="AG71" s="22"/>
      <c r="AH71" s="22"/>
      <c r="AI71" s="22"/>
      <c r="AJ71" s="22"/>
      <c r="AK71" s="22"/>
      <c r="AL71" s="22"/>
      <c r="AM71" s="22"/>
      <c r="AN71" s="22"/>
      <c r="AO71" s="22"/>
      <c r="AP71" s="22"/>
      <c r="AQ71" s="22"/>
      <c r="AR71" s="22"/>
    </row>
    <row r="72" spans="1:44" hidden="1" x14ac:dyDescent="0.25">
      <c r="A72" s="16"/>
      <c r="B72" s="3" t="s">
        <v>244</v>
      </c>
      <c r="C72" s="3" t="s">
        <v>247</v>
      </c>
      <c r="D72" s="11" t="s">
        <v>19</v>
      </c>
      <c r="E72" s="110">
        <f t="shared" si="8"/>
        <v>98.413458126986455</v>
      </c>
      <c r="F72" s="111">
        <f t="shared" si="8"/>
        <v>130.26351356345626</v>
      </c>
      <c r="G72" s="112">
        <f t="shared" si="8"/>
        <v>161.23061663833244</v>
      </c>
      <c r="H72" s="114"/>
      <c r="I72" s="113">
        <v>9.6453999999999986</v>
      </c>
      <c r="J72" s="114">
        <v>13.624199999999998</v>
      </c>
      <c r="K72" s="109">
        <v>14.911799999999999</v>
      </c>
      <c r="L72" s="114"/>
      <c r="M72" s="113">
        <v>27.164639464797641</v>
      </c>
      <c r="N72" s="114">
        <v>27.782017634452135</v>
      </c>
      <c r="O72" s="109">
        <v>30.51612095720774</v>
      </c>
      <c r="P72" s="119"/>
      <c r="Q72" s="120">
        <v>0.08</v>
      </c>
      <c r="R72" s="120">
        <v>0.05</v>
      </c>
      <c r="S72" s="120">
        <v>0.03</v>
      </c>
      <c r="T72" s="120">
        <v>1.4999999999999999E-2</v>
      </c>
      <c r="U72" s="120">
        <v>0.02</v>
      </c>
      <c r="V72" s="121">
        <f t="shared" si="4"/>
        <v>0</v>
      </c>
      <c r="W72" s="119"/>
      <c r="X72" s="113">
        <f t="shared" si="5"/>
        <v>135.22349759178408</v>
      </c>
      <c r="Y72" s="113">
        <f t="shared" si="6"/>
        <v>171.66973119790839</v>
      </c>
      <c r="Z72" s="113">
        <f t="shared" si="7"/>
        <v>206.65853759554017</v>
      </c>
      <c r="AA72" s="22"/>
      <c r="AB72" s="22"/>
      <c r="AC72" s="22"/>
      <c r="AD72" s="22"/>
      <c r="AE72" s="22"/>
      <c r="AF72" s="22"/>
      <c r="AG72" s="22"/>
      <c r="AH72" s="22"/>
      <c r="AI72" s="22"/>
      <c r="AJ72" s="22"/>
      <c r="AK72" s="22"/>
      <c r="AL72" s="22"/>
      <c r="AM72" s="22"/>
      <c r="AN72" s="22"/>
      <c r="AO72" s="22"/>
      <c r="AP72" s="22"/>
      <c r="AQ72" s="22"/>
      <c r="AR72" s="22"/>
    </row>
    <row r="73" spans="1:44" hidden="1" x14ac:dyDescent="0.25">
      <c r="A73" s="16"/>
      <c r="B73" s="3" t="s">
        <v>244</v>
      </c>
      <c r="C73" s="3" t="s">
        <v>248</v>
      </c>
      <c r="D73" s="11" t="s">
        <v>19</v>
      </c>
      <c r="E73" s="110">
        <f t="shared" ref="E73:G73" si="9">E$25*0.59</f>
        <v>100.11024188779658</v>
      </c>
      <c r="F73" s="111">
        <f t="shared" si="9"/>
        <v>132.50943621110204</v>
      </c>
      <c r="G73" s="112">
        <f t="shared" si="9"/>
        <v>164.01045485623473</v>
      </c>
      <c r="H73" s="114"/>
      <c r="I73" s="113">
        <v>9.8116999999999983</v>
      </c>
      <c r="J73" s="114">
        <v>13.859099999999998</v>
      </c>
      <c r="K73" s="109">
        <v>15.168899999999999</v>
      </c>
      <c r="L73" s="114"/>
      <c r="M73" s="113">
        <v>27.632995317638979</v>
      </c>
      <c r="N73" s="114">
        <v>28.261017938494412</v>
      </c>
      <c r="O73" s="109">
        <v>31.042260973711322</v>
      </c>
      <c r="P73" s="119"/>
      <c r="Q73" s="120">
        <v>0.08</v>
      </c>
      <c r="R73" s="120">
        <v>0.05</v>
      </c>
      <c r="S73" s="120">
        <v>0.03</v>
      </c>
      <c r="T73" s="120">
        <v>1.4999999999999999E-2</v>
      </c>
      <c r="U73" s="120">
        <v>0.02</v>
      </c>
      <c r="V73" s="121">
        <f t="shared" si="4"/>
        <v>0</v>
      </c>
      <c r="W73" s="119"/>
      <c r="X73" s="113">
        <f t="shared" si="5"/>
        <v>137.55493720543555</v>
      </c>
      <c r="Y73" s="113">
        <f t="shared" si="6"/>
        <v>174.62955414959643</v>
      </c>
      <c r="Z73" s="113">
        <f t="shared" si="7"/>
        <v>210.22161582994607</v>
      </c>
      <c r="AA73" s="22"/>
      <c r="AB73" s="22"/>
      <c r="AC73" s="22"/>
      <c r="AD73" s="22"/>
      <c r="AE73" s="22"/>
      <c r="AF73" s="22"/>
      <c r="AG73" s="22"/>
      <c r="AH73" s="22"/>
      <c r="AI73" s="22"/>
      <c r="AJ73" s="22"/>
      <c r="AK73" s="22"/>
      <c r="AL73" s="22"/>
      <c r="AM73" s="22"/>
      <c r="AN73" s="22"/>
      <c r="AO73" s="22"/>
      <c r="AP73" s="22"/>
      <c r="AQ73" s="22"/>
      <c r="AR73" s="22"/>
    </row>
    <row r="74" spans="1:44" hidden="1" x14ac:dyDescent="0.25">
      <c r="A74" s="16"/>
      <c r="B74" s="3" t="s">
        <v>101</v>
      </c>
      <c r="C74" s="3" t="s">
        <v>102</v>
      </c>
      <c r="D74" s="11" t="s">
        <v>6</v>
      </c>
      <c r="E74" s="110">
        <v>87.47733433734939</v>
      </c>
      <c r="F74" s="111">
        <v>106.35023144726144</v>
      </c>
      <c r="G74" s="112">
        <v>151.07723390494493</v>
      </c>
      <c r="H74" s="114"/>
      <c r="I74" s="113">
        <v>11.6468213856364</v>
      </c>
      <c r="J74" s="114">
        <v>13.099659871111747</v>
      </c>
      <c r="K74" s="109">
        <v>15.715974820059055</v>
      </c>
      <c r="L74" s="114"/>
      <c r="M74" s="113">
        <v>18.395476074737026</v>
      </c>
      <c r="N74" s="114">
        <v>18.813555076435595</v>
      </c>
      <c r="O74" s="109">
        <v>20.665047798243538</v>
      </c>
      <c r="P74" s="119"/>
      <c r="Q74" s="120">
        <v>0.05</v>
      </c>
      <c r="R74" s="120">
        <v>0.08</v>
      </c>
      <c r="S74" s="120">
        <v>0.08</v>
      </c>
      <c r="T74" s="120">
        <v>1.2E-2</v>
      </c>
      <c r="U74" s="120">
        <v>0.02</v>
      </c>
      <c r="V74" s="121">
        <f>SUBTOTAL(9,Q74:U74)</f>
        <v>0</v>
      </c>
      <c r="W74" s="119"/>
      <c r="X74" s="113">
        <f t="shared" si="1"/>
        <v>117.51963179772281</v>
      </c>
      <c r="Y74" s="113">
        <f t="shared" si="2"/>
        <v>138.26344639480877</v>
      </c>
      <c r="Z74" s="113">
        <f t="shared" si="3"/>
        <v>187.45825652324751</v>
      </c>
      <c r="AA74" s="22"/>
      <c r="AB74" s="22"/>
      <c r="AC74" s="22"/>
      <c r="AD74" s="22"/>
      <c r="AE74" s="22"/>
      <c r="AF74" s="22"/>
      <c r="AG74" s="22"/>
      <c r="AH74" s="22"/>
      <c r="AI74" s="22"/>
      <c r="AJ74" s="22"/>
      <c r="AK74" s="22"/>
      <c r="AL74" s="22"/>
      <c r="AM74" s="22"/>
      <c r="AN74" s="22"/>
      <c r="AO74" s="22"/>
      <c r="AP74" s="22"/>
      <c r="AQ74" s="22"/>
      <c r="AR74" s="22"/>
    </row>
    <row r="75" spans="1:44" hidden="1" x14ac:dyDescent="0.25">
      <c r="A75" s="16"/>
      <c r="B75" s="3" t="s">
        <v>103</v>
      </c>
      <c r="C75" s="3" t="s">
        <v>104</v>
      </c>
      <c r="D75" s="11" t="s">
        <v>6</v>
      </c>
      <c r="E75" s="107">
        <v>105.98726564232391</v>
      </c>
      <c r="F75" s="108">
        <v>139.4449186007835</v>
      </c>
      <c r="G75" s="109">
        <v>179.12045374750537</v>
      </c>
      <c r="H75" s="114"/>
      <c r="I75" s="113">
        <v>12.173694561600151</v>
      </c>
      <c r="J75" s="114">
        <v>13.692255839729363</v>
      </c>
      <c r="K75" s="109">
        <v>16.426926357190265</v>
      </c>
      <c r="L75" s="114"/>
      <c r="M75" s="113">
        <v>19.317490363784458</v>
      </c>
      <c r="N75" s="114">
        <v>19.756524235688648</v>
      </c>
      <c r="O75" s="109">
        <v>21.700817096978643</v>
      </c>
      <c r="P75" s="119"/>
      <c r="Q75" s="120" t="s">
        <v>249</v>
      </c>
      <c r="R75" s="120">
        <v>0.05</v>
      </c>
      <c r="S75" s="120">
        <v>0.09</v>
      </c>
      <c r="T75" s="120">
        <v>7.0000000000000007E-2</v>
      </c>
      <c r="U75" s="120">
        <v>0.05</v>
      </c>
      <c r="V75" s="121">
        <f t="shared" ref="V75:V90" si="10">SUBTOTAL(9,Q75:U75)</f>
        <v>0</v>
      </c>
      <c r="W75" s="119"/>
      <c r="X75" s="113">
        <f t="shared" ref="X75:X138" si="11">(E75+I75+M75)*(1+V75)</f>
        <v>137.47845056770851</v>
      </c>
      <c r="Y75" s="113">
        <f t="shared" ref="Y75:Y138" si="12">(F75+J75+N75)*(1+V75)</f>
        <v>172.89369867620152</v>
      </c>
      <c r="Z75" s="113">
        <f t="shared" ref="Z75:Z138" si="13">(G75+K75+O75)*(1+V75)</f>
        <v>217.24819720167429</v>
      </c>
      <c r="AA75" s="22"/>
      <c r="AB75" s="22"/>
      <c r="AC75" s="22"/>
      <c r="AD75" s="22"/>
      <c r="AE75" s="22"/>
      <c r="AF75" s="22"/>
      <c r="AG75" s="22"/>
      <c r="AH75" s="22"/>
      <c r="AI75" s="22"/>
      <c r="AJ75" s="22"/>
      <c r="AK75" s="22"/>
      <c r="AL75" s="22"/>
      <c r="AM75" s="22"/>
      <c r="AN75" s="22"/>
      <c r="AO75" s="22"/>
      <c r="AP75" s="22"/>
      <c r="AQ75" s="22"/>
      <c r="AR75" s="22"/>
    </row>
    <row r="76" spans="1:44" hidden="1" x14ac:dyDescent="0.25">
      <c r="A76" s="16"/>
      <c r="B76" s="3" t="s">
        <v>105</v>
      </c>
      <c r="C76" s="3" t="s">
        <v>106</v>
      </c>
      <c r="D76" s="11" t="s">
        <v>6</v>
      </c>
      <c r="E76" s="107">
        <v>106.86233946522285</v>
      </c>
      <c r="F76" s="108">
        <v>133.1212418231207</v>
      </c>
      <c r="G76" s="109">
        <v>180.62011780249833</v>
      </c>
      <c r="H76" s="114"/>
      <c r="I76" s="113">
        <v>11.476112475904271</v>
      </c>
      <c r="J76" s="114">
        <v>12.907656526987569</v>
      </c>
      <c r="K76" s="109">
        <v>15.485623822299399</v>
      </c>
      <c r="L76" s="114"/>
      <c r="M76" s="113">
        <v>17.787050335036813</v>
      </c>
      <c r="N76" s="114">
        <v>18.191301479014921</v>
      </c>
      <c r="O76" s="109">
        <v>19.981556545203695</v>
      </c>
      <c r="P76" s="119"/>
      <c r="Q76" s="120">
        <v>0.05</v>
      </c>
      <c r="R76" s="120">
        <v>0.02</v>
      </c>
      <c r="S76" s="120">
        <v>0.04</v>
      </c>
      <c r="T76" s="120">
        <v>0.03</v>
      </c>
      <c r="U76" s="120">
        <v>0.02</v>
      </c>
      <c r="V76" s="121">
        <f t="shared" si="10"/>
        <v>0</v>
      </c>
      <c r="W76" s="119"/>
      <c r="X76" s="113">
        <f t="shared" si="11"/>
        <v>136.12550227616393</v>
      </c>
      <c r="Y76" s="113">
        <f t="shared" si="12"/>
        <v>164.2201998291232</v>
      </c>
      <c r="Z76" s="113">
        <f t="shared" si="13"/>
        <v>216.08729817000142</v>
      </c>
      <c r="AA76" s="22"/>
      <c r="AB76" s="22"/>
      <c r="AC76" s="22"/>
      <c r="AD76" s="22"/>
      <c r="AE76" s="22"/>
      <c r="AF76" s="22"/>
      <c r="AG76" s="22"/>
      <c r="AH76" s="22"/>
      <c r="AI76" s="22"/>
      <c r="AJ76" s="22"/>
      <c r="AK76" s="22"/>
      <c r="AL76" s="22"/>
      <c r="AM76" s="22"/>
      <c r="AN76" s="22"/>
      <c r="AO76" s="22"/>
      <c r="AP76" s="22"/>
      <c r="AQ76" s="22"/>
      <c r="AR76" s="22"/>
    </row>
    <row r="77" spans="1:44" hidden="1" x14ac:dyDescent="0.25">
      <c r="A77" s="16"/>
      <c r="B77" s="3" t="s">
        <v>107</v>
      </c>
      <c r="C77" s="3" t="s">
        <v>108</v>
      </c>
      <c r="D77" s="11" t="s">
        <v>6</v>
      </c>
      <c r="E77" s="107">
        <v>97.476500000000001</v>
      </c>
      <c r="F77" s="108">
        <v>150.73850000000002</v>
      </c>
      <c r="G77" s="109">
        <v>172.86500000000001</v>
      </c>
      <c r="H77" s="114"/>
      <c r="I77" s="113">
        <v>12.893871337948514</v>
      </c>
      <c r="J77" s="114">
        <v>14.502268331967972</v>
      </c>
      <c r="K77" s="109">
        <v>17.398717690492639</v>
      </c>
      <c r="L77" s="114"/>
      <c r="M77" s="113">
        <v>19.984462419928253</v>
      </c>
      <c r="N77" s="114">
        <v>20.438654747653896</v>
      </c>
      <c r="O77" s="109">
        <v>22.450077913296024</v>
      </c>
      <c r="P77" s="119"/>
      <c r="Q77" s="120">
        <v>4.4999999999999998E-2</v>
      </c>
      <c r="R77" s="120">
        <v>5.0000000000000001E-3</v>
      </c>
      <c r="S77" s="120">
        <v>7.0000000000000007E-2</v>
      </c>
      <c r="T77" s="120">
        <v>0.03</v>
      </c>
      <c r="U77" s="120">
        <v>0</v>
      </c>
      <c r="V77" s="121">
        <f t="shared" si="10"/>
        <v>0</v>
      </c>
      <c r="W77" s="119"/>
      <c r="X77" s="113">
        <f t="shared" si="11"/>
        <v>130.35483375787678</v>
      </c>
      <c r="Y77" s="113">
        <f t="shared" si="12"/>
        <v>185.67942307962187</v>
      </c>
      <c r="Z77" s="113">
        <f t="shared" si="13"/>
        <v>212.71379560378867</v>
      </c>
      <c r="AA77" s="22"/>
      <c r="AB77" s="22"/>
      <c r="AC77" s="22"/>
      <c r="AD77" s="22"/>
      <c r="AE77" s="22"/>
      <c r="AF77" s="22"/>
      <c r="AG77" s="22"/>
      <c r="AH77" s="22"/>
      <c r="AI77" s="22"/>
      <c r="AJ77" s="22"/>
      <c r="AK77" s="22"/>
      <c r="AL77" s="22"/>
      <c r="AM77" s="22"/>
      <c r="AN77" s="22"/>
      <c r="AO77" s="22"/>
      <c r="AP77" s="22"/>
      <c r="AQ77" s="22"/>
      <c r="AR77" s="22"/>
    </row>
    <row r="78" spans="1:44" hidden="1" x14ac:dyDescent="0.25">
      <c r="A78" s="16"/>
      <c r="B78" s="3" t="s">
        <v>109</v>
      </c>
      <c r="C78" s="3" t="s">
        <v>110</v>
      </c>
      <c r="D78" s="11" t="s">
        <v>6</v>
      </c>
      <c r="E78" s="107">
        <v>106.65760000000002</v>
      </c>
      <c r="F78" s="108">
        <v>164.9298</v>
      </c>
      <c r="G78" s="109">
        <v>191.7654</v>
      </c>
      <c r="H78" s="114"/>
      <c r="I78" s="113">
        <v>14.107407105711102</v>
      </c>
      <c r="J78" s="114">
        <v>15.867182008649186</v>
      </c>
      <c r="K78" s="109">
        <v>19.036237228048055</v>
      </c>
      <c r="L78" s="114"/>
      <c r="M78" s="113">
        <v>21.865345151766402</v>
      </c>
      <c r="N78" s="114">
        <v>22.362284814306548</v>
      </c>
      <c r="O78" s="109">
        <v>24.563017605555764</v>
      </c>
      <c r="P78" s="119"/>
      <c r="Q78" s="120">
        <v>4.4999999999999998E-2</v>
      </c>
      <c r="R78" s="120">
        <v>5.0000000000000001E-3</v>
      </c>
      <c r="S78" s="120">
        <v>7.0000000000000007E-2</v>
      </c>
      <c r="T78" s="120">
        <v>0.03</v>
      </c>
      <c r="U78" s="120" t="s">
        <v>250</v>
      </c>
      <c r="V78" s="121">
        <f t="shared" si="10"/>
        <v>0</v>
      </c>
      <c r="W78" s="119"/>
      <c r="X78" s="113">
        <f t="shared" si="11"/>
        <v>142.63035225747751</v>
      </c>
      <c r="Y78" s="113">
        <f t="shared" si="12"/>
        <v>203.15926682295574</v>
      </c>
      <c r="Z78" s="113">
        <f t="shared" si="13"/>
        <v>235.36465483360382</v>
      </c>
      <c r="AA78" s="22"/>
      <c r="AB78" s="22"/>
      <c r="AC78" s="22"/>
      <c r="AD78" s="22"/>
      <c r="AE78" s="22"/>
      <c r="AF78" s="22"/>
      <c r="AG78" s="22"/>
      <c r="AH78" s="22"/>
      <c r="AI78" s="22"/>
      <c r="AJ78" s="22"/>
      <c r="AK78" s="22"/>
      <c r="AL78" s="22"/>
      <c r="AM78" s="22"/>
      <c r="AN78" s="22"/>
      <c r="AO78" s="22"/>
      <c r="AP78" s="22"/>
      <c r="AQ78" s="22"/>
      <c r="AR78" s="22"/>
    </row>
    <row r="79" spans="1:44" hidden="1" x14ac:dyDescent="0.25">
      <c r="A79" s="16"/>
      <c r="B79" s="3" t="s">
        <v>111</v>
      </c>
      <c r="C79" s="3" t="s">
        <v>112</v>
      </c>
      <c r="D79" s="11" t="s">
        <v>6</v>
      </c>
      <c r="E79" s="107">
        <v>60.352100303052687</v>
      </c>
      <c r="F79" s="108">
        <v>86.184877115825245</v>
      </c>
      <c r="G79" s="109">
        <v>120.60856779880255</v>
      </c>
      <c r="H79" s="114"/>
      <c r="I79" s="113">
        <v>6.7283291591356456</v>
      </c>
      <c r="J79" s="114">
        <v>7.5676290180133314</v>
      </c>
      <c r="K79" s="109">
        <v>9.0790652783988754</v>
      </c>
      <c r="L79" s="114"/>
      <c r="M79" s="113">
        <v>10.676662950453435</v>
      </c>
      <c r="N79" s="114">
        <v>10.919314381145558</v>
      </c>
      <c r="O79" s="109">
        <v>11.993913574210678</v>
      </c>
      <c r="P79" s="119"/>
      <c r="Q79" s="120">
        <v>3.1E-2</v>
      </c>
      <c r="R79" s="120">
        <v>5.3999999999999999E-2</v>
      </c>
      <c r="S79" s="120">
        <v>8.5999999999999993E-2</v>
      </c>
      <c r="T79" s="120">
        <v>1.6E-2</v>
      </c>
      <c r="U79" s="120">
        <v>5.0000000000000001E-3</v>
      </c>
      <c r="V79" s="121">
        <f t="shared" si="10"/>
        <v>0</v>
      </c>
      <c r="W79" s="119"/>
      <c r="X79" s="113">
        <f t="shared" si="11"/>
        <v>77.757092412641768</v>
      </c>
      <c r="Y79" s="113">
        <f t="shared" si="12"/>
        <v>104.67182051498413</v>
      </c>
      <c r="Z79" s="113">
        <f t="shared" si="13"/>
        <v>141.68154665141211</v>
      </c>
      <c r="AA79" s="22"/>
      <c r="AB79" s="22"/>
      <c r="AC79" s="22"/>
      <c r="AD79" s="22"/>
      <c r="AE79" s="22"/>
      <c r="AF79" s="22"/>
      <c r="AG79" s="22"/>
      <c r="AH79" s="22"/>
      <c r="AI79" s="22"/>
      <c r="AJ79" s="22"/>
      <c r="AK79" s="22"/>
      <c r="AL79" s="22"/>
      <c r="AM79" s="22"/>
      <c r="AN79" s="22"/>
      <c r="AO79" s="22"/>
      <c r="AP79" s="22"/>
      <c r="AQ79" s="22"/>
      <c r="AR79" s="22"/>
    </row>
    <row r="80" spans="1:44" hidden="1" x14ac:dyDescent="0.25">
      <c r="A80" s="16"/>
      <c r="B80" s="3" t="s">
        <v>113</v>
      </c>
      <c r="C80" s="3" t="s">
        <v>114</v>
      </c>
      <c r="D80" s="11" t="s">
        <v>6</v>
      </c>
      <c r="E80" s="107">
        <v>138.95648518229359</v>
      </c>
      <c r="F80" s="108">
        <v>175.32145741231798</v>
      </c>
      <c r="G80" s="109">
        <v>228.89919098649193</v>
      </c>
      <c r="H80" s="114"/>
      <c r="I80" s="113">
        <v>17.951710478048781</v>
      </c>
      <c r="J80" s="114">
        <v>20.191028399999997</v>
      </c>
      <c r="K80" s="109">
        <v>24.223659014634148</v>
      </c>
      <c r="L80" s="114"/>
      <c r="M80" s="113">
        <v>27.823705853658534</v>
      </c>
      <c r="N80" s="114">
        <v>28.456062804878048</v>
      </c>
      <c r="O80" s="109">
        <v>31.256500731707316</v>
      </c>
      <c r="P80" s="119"/>
      <c r="Q80" s="120"/>
      <c r="R80" s="120"/>
      <c r="S80" s="120"/>
      <c r="T80" s="120"/>
      <c r="U80" s="120"/>
      <c r="V80" s="121">
        <v>0.24</v>
      </c>
      <c r="W80" s="119"/>
      <c r="X80" s="113">
        <f t="shared" si="11"/>
        <v>229.06755787736111</v>
      </c>
      <c r="Y80" s="113">
        <f t="shared" si="12"/>
        <v>277.7210002853231</v>
      </c>
      <c r="Z80" s="113">
        <f t="shared" si="13"/>
        <v>352.63039490871336</v>
      </c>
      <c r="AA80" s="22"/>
      <c r="AB80" s="22"/>
      <c r="AC80" s="22"/>
      <c r="AD80" s="22"/>
      <c r="AE80" s="22"/>
      <c r="AF80" s="22"/>
      <c r="AG80" s="22"/>
      <c r="AH80" s="22"/>
      <c r="AI80" s="22"/>
      <c r="AJ80" s="22"/>
      <c r="AK80" s="22"/>
      <c r="AL80" s="22"/>
      <c r="AM80" s="22"/>
      <c r="AN80" s="22"/>
      <c r="AO80" s="22"/>
      <c r="AP80" s="22"/>
      <c r="AQ80" s="22"/>
      <c r="AR80" s="22"/>
    </row>
    <row r="81" spans="1:44" hidden="1" x14ac:dyDescent="0.25">
      <c r="A81" s="16"/>
      <c r="B81" s="3" t="s">
        <v>115</v>
      </c>
      <c r="C81" s="3" t="s">
        <v>116</v>
      </c>
      <c r="D81" s="11" t="s">
        <v>6</v>
      </c>
      <c r="E81" s="107">
        <v>107.59105015152635</v>
      </c>
      <c r="F81" s="108">
        <v>128.6874702490945</v>
      </c>
      <c r="G81" s="109">
        <v>194.18992626949515</v>
      </c>
      <c r="H81" s="114"/>
      <c r="I81" s="113">
        <v>11.046043710037818</v>
      </c>
      <c r="J81" s="114">
        <v>12.423940466828251</v>
      </c>
      <c r="K81" s="109">
        <v>14.905298111836744</v>
      </c>
      <c r="L81" s="114"/>
      <c r="M81" s="113">
        <v>16.957426200058055</v>
      </c>
      <c r="N81" s="114">
        <v>17.342822250059374</v>
      </c>
      <c r="O81" s="109">
        <v>19.049576185779504</v>
      </c>
      <c r="P81" s="119"/>
      <c r="Q81" s="120">
        <v>0.05</v>
      </c>
      <c r="R81" s="120">
        <v>0.02</v>
      </c>
      <c r="S81" s="120">
        <v>0.04</v>
      </c>
      <c r="T81" s="120">
        <v>0.03</v>
      </c>
      <c r="U81" s="120">
        <v>0.02</v>
      </c>
      <c r="V81" s="121">
        <f t="shared" si="10"/>
        <v>0</v>
      </c>
      <c r="W81" s="119"/>
      <c r="X81" s="113">
        <f t="shared" si="11"/>
        <v>135.59452006162223</v>
      </c>
      <c r="Y81" s="113">
        <f t="shared" si="12"/>
        <v>158.45423296598213</v>
      </c>
      <c r="Z81" s="113">
        <f t="shared" si="13"/>
        <v>228.14480056711139</v>
      </c>
      <c r="AA81" s="22"/>
      <c r="AB81" s="22"/>
      <c r="AC81" s="22"/>
      <c r="AD81" s="22"/>
      <c r="AE81" s="22"/>
      <c r="AF81" s="22"/>
      <c r="AG81" s="22"/>
      <c r="AH81" s="22"/>
      <c r="AI81" s="22"/>
      <c r="AJ81" s="22"/>
      <c r="AK81" s="22"/>
      <c r="AL81" s="22"/>
      <c r="AM81" s="22"/>
      <c r="AN81" s="22"/>
      <c r="AO81" s="22"/>
      <c r="AP81" s="22"/>
      <c r="AQ81" s="22"/>
      <c r="AR81" s="22"/>
    </row>
    <row r="82" spans="1:44" hidden="1" x14ac:dyDescent="0.25">
      <c r="A82" s="16"/>
      <c r="B82" s="3" t="s">
        <v>117</v>
      </c>
      <c r="C82" s="3" t="s">
        <v>118</v>
      </c>
      <c r="D82" s="11" t="s">
        <v>6</v>
      </c>
      <c r="E82" s="107">
        <v>127.6460735976883</v>
      </c>
      <c r="F82" s="108">
        <v>161.05110622759443</v>
      </c>
      <c r="G82" s="109">
        <v>210.26786148759149</v>
      </c>
      <c r="H82" s="114"/>
      <c r="I82" s="113">
        <v>16.490524741463414</v>
      </c>
      <c r="J82" s="114">
        <v>18.547572599999999</v>
      </c>
      <c r="K82" s="109">
        <v>22.251965839024386</v>
      </c>
      <c r="L82" s="114"/>
      <c r="M82" s="113">
        <v>25.558985609756103</v>
      </c>
      <c r="N82" s="114">
        <v>26.139871646341465</v>
      </c>
      <c r="O82" s="109">
        <v>28.712366951219515</v>
      </c>
      <c r="P82" s="119"/>
      <c r="Q82" s="120">
        <v>0.04</v>
      </c>
      <c r="R82" s="120">
        <v>0.04</v>
      </c>
      <c r="S82" s="120">
        <v>0.08</v>
      </c>
      <c r="T82" s="120">
        <v>5.0000000000000001E-3</v>
      </c>
      <c r="U82" s="120">
        <v>0.02</v>
      </c>
      <c r="V82" s="121">
        <f t="shared" si="10"/>
        <v>0</v>
      </c>
      <c r="W82" s="119"/>
      <c r="X82" s="113">
        <f t="shared" si="11"/>
        <v>169.6955839489078</v>
      </c>
      <c r="Y82" s="113">
        <f t="shared" si="12"/>
        <v>205.7385504739359</v>
      </c>
      <c r="Z82" s="113">
        <f t="shared" si="13"/>
        <v>261.23219427783539</v>
      </c>
      <c r="AA82" s="22"/>
      <c r="AB82" s="22"/>
      <c r="AC82" s="22"/>
      <c r="AD82" s="22"/>
      <c r="AE82" s="22"/>
      <c r="AF82" s="22"/>
      <c r="AG82" s="22"/>
      <c r="AH82" s="22"/>
      <c r="AI82" s="22"/>
      <c r="AJ82" s="22"/>
      <c r="AK82" s="22"/>
      <c r="AL82" s="22"/>
      <c r="AM82" s="22"/>
      <c r="AN82" s="22"/>
      <c r="AO82" s="22"/>
      <c r="AP82" s="22"/>
      <c r="AQ82" s="22"/>
      <c r="AR82" s="22"/>
    </row>
    <row r="83" spans="1:44" hidden="1" x14ac:dyDescent="0.25">
      <c r="A83" s="21"/>
      <c r="B83" s="3" t="s">
        <v>119</v>
      </c>
      <c r="C83" s="3" t="s">
        <v>120</v>
      </c>
      <c r="D83" s="11" t="s">
        <v>6</v>
      </c>
      <c r="E83" s="107">
        <v>135.72493901526352</v>
      </c>
      <c r="F83" s="108">
        <v>171.24421421668268</v>
      </c>
      <c r="G83" s="109">
        <v>223.5759539868061</v>
      </c>
      <c r="H83" s="114"/>
      <c r="I83" s="113">
        <v>17.534228839024394</v>
      </c>
      <c r="J83" s="114">
        <v>19.721469600000006</v>
      </c>
      <c r="K83" s="109">
        <v>23.660318107317078</v>
      </c>
      <c r="L83" s="114"/>
      <c r="M83" s="113">
        <v>27.176642926829274</v>
      </c>
      <c r="N83" s="114">
        <v>27.79429390243903</v>
      </c>
      <c r="O83" s="109">
        <v>30.529605365853662</v>
      </c>
      <c r="P83" s="119"/>
      <c r="Q83" s="120">
        <v>0.1</v>
      </c>
      <c r="R83" s="120">
        <v>0.04</v>
      </c>
      <c r="S83" s="120">
        <v>0.03</v>
      </c>
      <c r="T83" s="120">
        <v>0.02</v>
      </c>
      <c r="U83" s="120" t="s">
        <v>250</v>
      </c>
      <c r="V83" s="121">
        <f t="shared" si="10"/>
        <v>0</v>
      </c>
      <c r="W83" s="119"/>
      <c r="X83" s="113">
        <f t="shared" si="11"/>
        <v>180.4358107811172</v>
      </c>
      <c r="Y83" s="113">
        <f t="shared" si="12"/>
        <v>218.75997771912171</v>
      </c>
      <c r="Z83" s="113">
        <f t="shared" si="13"/>
        <v>277.76587745997682</v>
      </c>
      <c r="AA83" s="22"/>
      <c r="AB83" s="22"/>
      <c r="AC83" s="22"/>
      <c r="AD83" s="22"/>
      <c r="AE83" s="22"/>
      <c r="AF83" s="22"/>
      <c r="AG83" s="22"/>
      <c r="AH83" s="22"/>
      <c r="AI83" s="22"/>
      <c r="AJ83" s="22"/>
      <c r="AK83" s="22"/>
      <c r="AL83" s="22"/>
      <c r="AM83" s="22"/>
      <c r="AN83" s="22"/>
      <c r="AO83" s="22"/>
      <c r="AP83" s="22"/>
      <c r="AQ83" s="22"/>
      <c r="AR83" s="22"/>
    </row>
    <row r="84" spans="1:44" hidden="1" x14ac:dyDescent="0.25">
      <c r="A84" s="21"/>
      <c r="B84" s="3" t="s">
        <v>122</v>
      </c>
      <c r="C84" s="3" t="s">
        <v>124</v>
      </c>
      <c r="D84" s="11" t="s">
        <v>6</v>
      </c>
      <c r="E84" s="107">
        <v>114.10124611944713</v>
      </c>
      <c r="F84" s="108">
        <v>133.60047167196393</v>
      </c>
      <c r="G84" s="109">
        <v>160.41323896814251</v>
      </c>
      <c r="H84" s="114"/>
      <c r="I84" s="113">
        <v>16.243533987562447</v>
      </c>
      <c r="J84" s="114">
        <v>18.269771922863974</v>
      </c>
      <c r="K84" s="109">
        <v>21.918681731664236</v>
      </c>
      <c r="L84" s="114"/>
      <c r="M84" s="113">
        <v>25.775602442690005</v>
      </c>
      <c r="N84" s="114">
        <v>26.361411589114777</v>
      </c>
      <c r="O84" s="109">
        <v>28.955709237567348</v>
      </c>
      <c r="P84" s="119"/>
      <c r="Q84" s="120">
        <v>0.12</v>
      </c>
      <c r="R84" s="120">
        <v>0.06</v>
      </c>
      <c r="S84" s="120">
        <v>0.05</v>
      </c>
      <c r="T84" s="120">
        <v>0.03</v>
      </c>
      <c r="U84" s="120" t="s">
        <v>250</v>
      </c>
      <c r="V84" s="121">
        <f t="shared" si="10"/>
        <v>0</v>
      </c>
      <c r="W84" s="119"/>
      <c r="X84" s="113">
        <f t="shared" si="11"/>
        <v>156.12038254969957</v>
      </c>
      <c r="Y84" s="113">
        <f t="shared" si="12"/>
        <v>178.23165518394268</v>
      </c>
      <c r="Z84" s="113">
        <f t="shared" si="13"/>
        <v>211.28762993737411</v>
      </c>
      <c r="AA84" s="22"/>
      <c r="AB84" s="22"/>
      <c r="AC84" s="22"/>
      <c r="AD84" s="22"/>
      <c r="AE84" s="22"/>
      <c r="AF84" s="22"/>
      <c r="AG84" s="22"/>
      <c r="AH84" s="22"/>
      <c r="AI84" s="22"/>
      <c r="AJ84" s="22"/>
      <c r="AK84" s="22"/>
      <c r="AL84" s="22"/>
      <c r="AM84" s="22"/>
      <c r="AN84" s="22"/>
      <c r="AO84" s="22"/>
      <c r="AP84" s="22"/>
      <c r="AQ84" s="22"/>
      <c r="AR84" s="22"/>
    </row>
    <row r="85" spans="1:44" hidden="1" x14ac:dyDescent="0.25">
      <c r="A85" s="21"/>
      <c r="B85" s="3" t="s">
        <v>129</v>
      </c>
      <c r="C85" s="3" t="s">
        <v>130</v>
      </c>
      <c r="D85" s="11" t="s">
        <v>6</v>
      </c>
      <c r="E85" s="107">
        <v>117.50489929041318</v>
      </c>
      <c r="F85" s="108">
        <v>146.79063641067339</v>
      </c>
      <c r="G85" s="109">
        <v>201.11185749131494</v>
      </c>
      <c r="H85" s="114"/>
      <c r="I85" s="113">
        <v>12.723176866223273</v>
      </c>
      <c r="J85" s="114">
        <v>14.310281226864996</v>
      </c>
      <c r="K85" s="109">
        <v>17.16838617507457</v>
      </c>
      <c r="L85" s="114"/>
      <c r="M85" s="113">
        <v>19.532091163391605</v>
      </c>
      <c r="N85" s="114">
        <v>19.97600232619596</v>
      </c>
      <c r="O85" s="109">
        <v>21.941894618615244</v>
      </c>
      <c r="P85" s="119"/>
      <c r="Q85" s="120">
        <v>0.05</v>
      </c>
      <c r="R85" s="120">
        <v>0.02</v>
      </c>
      <c r="S85" s="120">
        <v>0.04</v>
      </c>
      <c r="T85" s="120">
        <v>0.03</v>
      </c>
      <c r="U85" s="120">
        <v>0.02</v>
      </c>
      <c r="V85" s="121">
        <f t="shared" si="10"/>
        <v>0</v>
      </c>
      <c r="W85" s="119"/>
      <c r="X85" s="113">
        <f t="shared" si="11"/>
        <v>149.76016732002807</v>
      </c>
      <c r="Y85" s="113">
        <f t="shared" si="12"/>
        <v>181.07691996373433</v>
      </c>
      <c r="Z85" s="113">
        <f t="shared" si="13"/>
        <v>240.22213828500475</v>
      </c>
      <c r="AA85" s="22"/>
      <c r="AB85" s="22"/>
      <c r="AC85" s="22"/>
      <c r="AD85" s="22"/>
      <c r="AE85" s="22"/>
      <c r="AF85" s="22"/>
      <c r="AG85" s="22"/>
      <c r="AH85" s="22"/>
      <c r="AI85" s="22"/>
      <c r="AJ85" s="22"/>
      <c r="AK85" s="22"/>
      <c r="AL85" s="22"/>
      <c r="AM85" s="22"/>
      <c r="AN85" s="22"/>
      <c r="AO85" s="22"/>
      <c r="AP85" s="22"/>
      <c r="AQ85" s="22"/>
      <c r="AR85" s="22"/>
    </row>
    <row r="86" spans="1:44" hidden="1" x14ac:dyDescent="0.25">
      <c r="A86" s="21"/>
      <c r="B86" s="3" t="s">
        <v>131</v>
      </c>
      <c r="C86" s="3" t="s">
        <v>132</v>
      </c>
      <c r="D86" s="11" t="s">
        <v>6</v>
      </c>
      <c r="E86" s="107">
        <v>95.138921003030518</v>
      </c>
      <c r="F86" s="108">
        <v>114.38474392416289</v>
      </c>
      <c r="G86" s="109">
        <v>137.05022991906273</v>
      </c>
      <c r="H86" s="114"/>
      <c r="I86" s="113">
        <v>12.949923830022673</v>
      </c>
      <c r="J86" s="114">
        <v>14.565312879212872</v>
      </c>
      <c r="K86" s="109">
        <v>17.474353739580284</v>
      </c>
      <c r="L86" s="114"/>
      <c r="M86" s="113">
        <v>20.071339269560102</v>
      </c>
      <c r="N86" s="114">
        <v>20.527506071141012</v>
      </c>
      <c r="O86" s="109">
        <v>22.547673335285047</v>
      </c>
      <c r="P86" s="119"/>
      <c r="Q86" s="120">
        <v>0.06</v>
      </c>
      <c r="R86" s="120">
        <v>0.04</v>
      </c>
      <c r="S86" s="120">
        <v>7.0000000000000007E-2</v>
      </c>
      <c r="T86" s="120">
        <v>0.03</v>
      </c>
      <c r="U86" s="120">
        <v>0.03</v>
      </c>
      <c r="V86" s="121">
        <f t="shared" si="10"/>
        <v>0</v>
      </c>
      <c r="W86" s="119"/>
      <c r="X86" s="113">
        <f t="shared" si="11"/>
        <v>128.1601841026133</v>
      </c>
      <c r="Y86" s="113">
        <f t="shared" si="12"/>
        <v>149.47756287451676</v>
      </c>
      <c r="Z86" s="113">
        <f t="shared" si="13"/>
        <v>177.07225699392808</v>
      </c>
      <c r="AA86" s="22"/>
      <c r="AB86" s="22"/>
      <c r="AC86" s="22"/>
      <c r="AD86" s="22"/>
      <c r="AE86" s="22"/>
      <c r="AF86" s="22"/>
      <c r="AG86" s="22"/>
      <c r="AH86" s="22"/>
      <c r="AI86" s="22"/>
      <c r="AJ86" s="22"/>
      <c r="AK86" s="22"/>
      <c r="AL86" s="22"/>
      <c r="AM86" s="22"/>
      <c r="AN86" s="22"/>
      <c r="AO86" s="22"/>
      <c r="AP86" s="22"/>
      <c r="AQ86" s="22"/>
      <c r="AR86" s="22"/>
    </row>
    <row r="87" spans="1:44" hidden="1" x14ac:dyDescent="0.25">
      <c r="A87" s="21"/>
      <c r="B87" s="3" t="s">
        <v>133</v>
      </c>
      <c r="C87" s="3" t="s">
        <v>134</v>
      </c>
      <c r="D87" s="11" t="s">
        <v>6</v>
      </c>
      <c r="E87" s="107">
        <v>125.96485826742553</v>
      </c>
      <c r="F87" s="108">
        <v>155.92436890198832</v>
      </c>
      <c r="G87" s="109">
        <v>227.39563738081159</v>
      </c>
      <c r="H87" s="114"/>
      <c r="I87" s="113">
        <v>15.363898982125351</v>
      </c>
      <c r="J87" s="114">
        <v>17.280410190558168</v>
      </c>
      <c r="K87" s="109">
        <v>20.731720831470387</v>
      </c>
      <c r="L87" s="114"/>
      <c r="M87" s="113">
        <v>24.266383658026754</v>
      </c>
      <c r="N87" s="114">
        <v>24.817892377527361</v>
      </c>
      <c r="O87" s="109">
        <v>27.260288135315768</v>
      </c>
      <c r="P87" s="119"/>
      <c r="Q87" s="120">
        <v>3.3000000000000002E-2</v>
      </c>
      <c r="R87" s="120">
        <v>1.4999999999999999E-2</v>
      </c>
      <c r="S87" s="120">
        <v>2.5000000000000001E-2</v>
      </c>
      <c r="T87" s="120" t="s">
        <v>251</v>
      </c>
      <c r="U87" s="120">
        <v>1.7999999999999999E-2</v>
      </c>
      <c r="V87" s="121">
        <f>SUBTOTAL(9,Q87:U87)</f>
        <v>0</v>
      </c>
      <c r="W87" s="119"/>
      <c r="X87" s="113">
        <f t="shared" si="11"/>
        <v>165.59514090757762</v>
      </c>
      <c r="Y87" s="113">
        <f t="shared" si="12"/>
        <v>198.02267147007385</v>
      </c>
      <c r="Z87" s="113">
        <f t="shared" si="13"/>
        <v>275.38764634759775</v>
      </c>
      <c r="AA87" s="22"/>
      <c r="AB87" s="22"/>
      <c r="AC87" s="22"/>
      <c r="AD87" s="22"/>
      <c r="AE87" s="22"/>
      <c r="AF87" s="22"/>
      <c r="AG87" s="22"/>
      <c r="AH87" s="22"/>
      <c r="AI87" s="22"/>
      <c r="AJ87" s="22"/>
      <c r="AK87" s="22"/>
      <c r="AL87" s="22"/>
      <c r="AM87" s="22"/>
      <c r="AN87" s="22"/>
      <c r="AO87" s="22"/>
      <c r="AP87" s="22"/>
      <c r="AQ87" s="22"/>
      <c r="AR87" s="22"/>
    </row>
    <row r="88" spans="1:44" x14ac:dyDescent="0.25">
      <c r="A88" s="21"/>
      <c r="B88" s="3" t="s">
        <v>135</v>
      </c>
      <c r="C88" s="3" t="s">
        <v>136</v>
      </c>
      <c r="D88" s="11" t="s">
        <v>6</v>
      </c>
      <c r="E88" s="107">
        <v>107.3254</v>
      </c>
      <c r="F88" s="108">
        <v>131.8434</v>
      </c>
      <c r="G88" s="109">
        <v>145.06960000000001</v>
      </c>
      <c r="H88" s="114"/>
      <c r="I88" s="113">
        <v>15.608838013819362</v>
      </c>
      <c r="J88" s="114">
        <v>17.555903211195378</v>
      </c>
      <c r="K88" s="109">
        <v>21.062236388212771</v>
      </c>
      <c r="L88" s="114"/>
      <c r="M88" s="113">
        <v>25.021897331332003</v>
      </c>
      <c r="N88" s="114">
        <v>25.590576816135002</v>
      </c>
      <c r="O88" s="109">
        <v>28.10901453454829</v>
      </c>
      <c r="P88" s="119"/>
      <c r="Q88" s="120">
        <v>0.05</v>
      </c>
      <c r="R88" s="120">
        <v>0.02</v>
      </c>
      <c r="S88" s="120">
        <v>0.05</v>
      </c>
      <c r="T88" s="120">
        <v>0.02</v>
      </c>
      <c r="U88" s="120">
        <v>0.03</v>
      </c>
      <c r="V88" s="121">
        <f t="shared" si="10"/>
        <v>0.17</v>
      </c>
      <c r="W88" s="119"/>
      <c r="X88" s="113">
        <f t="shared" si="11"/>
        <v>173.10867835382712</v>
      </c>
      <c r="Y88" s="113">
        <f t="shared" si="12"/>
        <v>204.73815963197654</v>
      </c>
      <c r="Z88" s="113">
        <f t="shared" si="13"/>
        <v>227.26179557963044</v>
      </c>
      <c r="AA88" s="22"/>
      <c r="AB88" s="22"/>
      <c r="AC88" s="22"/>
      <c r="AD88" s="22"/>
      <c r="AE88" s="22"/>
      <c r="AF88" s="22"/>
      <c r="AG88" s="22"/>
      <c r="AH88" s="22"/>
      <c r="AI88" s="22"/>
      <c r="AJ88" s="22"/>
      <c r="AK88" s="22"/>
      <c r="AL88" s="22"/>
      <c r="AM88" s="22"/>
      <c r="AN88" s="22"/>
      <c r="AO88" s="22"/>
      <c r="AP88" s="22"/>
      <c r="AQ88" s="22"/>
      <c r="AR88" s="22"/>
    </row>
    <row r="89" spans="1:44" hidden="1" x14ac:dyDescent="0.25">
      <c r="A89" s="16"/>
      <c r="B89" s="3" t="s">
        <v>137</v>
      </c>
      <c r="C89" s="3" t="s">
        <v>138</v>
      </c>
      <c r="D89" s="11" t="s">
        <v>6</v>
      </c>
      <c r="E89" s="107">
        <v>76.484921187818756</v>
      </c>
      <c r="F89" s="108">
        <v>105.58739970618672</v>
      </c>
      <c r="G89" s="109">
        <v>132.36847193990687</v>
      </c>
      <c r="H89" s="114"/>
      <c r="I89" s="113">
        <v>10.208092427539698</v>
      </c>
      <c r="J89" s="114">
        <v>11.481462135115821</v>
      </c>
      <c r="K89" s="109">
        <v>13.774584347099376</v>
      </c>
      <c r="L89" s="114"/>
      <c r="M89" s="113">
        <v>16.198429006395184</v>
      </c>
      <c r="N89" s="114">
        <v>16.566575120176896</v>
      </c>
      <c r="O89" s="109">
        <v>18.196936481210177</v>
      </c>
      <c r="P89" s="119"/>
      <c r="Q89" s="120">
        <v>0.05</v>
      </c>
      <c r="R89" s="120">
        <v>0.04</v>
      </c>
      <c r="S89" s="120">
        <v>0.02</v>
      </c>
      <c r="T89" s="120">
        <v>0.01</v>
      </c>
      <c r="U89" s="120">
        <v>0.02</v>
      </c>
      <c r="V89" s="121">
        <f t="shared" si="10"/>
        <v>0</v>
      </c>
      <c r="W89" s="119"/>
      <c r="X89" s="113">
        <f t="shared" si="11"/>
        <v>102.89144262175364</v>
      </c>
      <c r="Y89" s="113">
        <f t="shared" si="12"/>
        <v>133.63543696147943</v>
      </c>
      <c r="Z89" s="113">
        <f t="shared" si="13"/>
        <v>164.3399927682164</v>
      </c>
      <c r="AA89" s="22"/>
      <c r="AB89" s="22"/>
      <c r="AC89" s="22"/>
      <c r="AD89" s="22"/>
      <c r="AE89" s="22"/>
      <c r="AF89" s="22"/>
      <c r="AG89" s="22"/>
      <c r="AH89" s="22"/>
      <c r="AI89" s="22"/>
      <c r="AJ89" s="22"/>
      <c r="AK89" s="22"/>
      <c r="AL89" s="22"/>
      <c r="AM89" s="22"/>
      <c r="AN89" s="22"/>
      <c r="AO89" s="22"/>
      <c r="AP89" s="22"/>
      <c r="AQ89" s="22"/>
      <c r="AR89" s="22"/>
    </row>
    <row r="90" spans="1:44" hidden="1" x14ac:dyDescent="0.25">
      <c r="A90" s="16"/>
      <c r="B90" s="3" t="s">
        <v>139</v>
      </c>
      <c r="C90" s="3" t="s">
        <v>140</v>
      </c>
      <c r="D90" s="11" t="s">
        <v>6</v>
      </c>
      <c r="E90" s="107">
        <v>94.075817761844917</v>
      </c>
      <c r="F90" s="108">
        <v>116.82222363995859</v>
      </c>
      <c r="G90" s="109">
        <v>158.02610071882623</v>
      </c>
      <c r="H90" s="114"/>
      <c r="I90" s="113">
        <v>9.9466805463131163</v>
      </c>
      <c r="J90" s="114">
        <v>11.187441421914288</v>
      </c>
      <c r="K90" s="109">
        <v>13.42184067507158</v>
      </c>
      <c r="L90" s="114"/>
      <c r="M90" s="113">
        <v>15.269729663153791</v>
      </c>
      <c r="N90" s="114">
        <v>15.616768973680015</v>
      </c>
      <c r="O90" s="109">
        <v>17.153657348867572</v>
      </c>
      <c r="P90" s="119"/>
      <c r="Q90" s="120">
        <v>0.05</v>
      </c>
      <c r="R90" s="120">
        <v>0.02</v>
      </c>
      <c r="S90" s="120">
        <v>0.04</v>
      </c>
      <c r="T90" s="120">
        <v>0.03</v>
      </c>
      <c r="U90" s="120">
        <v>0.02</v>
      </c>
      <c r="V90" s="121">
        <f t="shared" si="10"/>
        <v>0</v>
      </c>
      <c r="W90" s="119"/>
      <c r="X90" s="113">
        <f t="shared" si="11"/>
        <v>119.29222797131183</v>
      </c>
      <c r="Y90" s="113">
        <f t="shared" si="12"/>
        <v>143.6264340355529</v>
      </c>
      <c r="Z90" s="113">
        <f t="shared" si="13"/>
        <v>188.60159874276539</v>
      </c>
      <c r="AA90" s="22"/>
      <c r="AB90" s="22"/>
      <c r="AC90" s="22"/>
      <c r="AD90" s="22"/>
      <c r="AE90" s="22"/>
      <c r="AF90" s="22"/>
      <c r="AG90" s="22"/>
      <c r="AH90" s="22"/>
      <c r="AI90" s="22"/>
      <c r="AJ90" s="22"/>
      <c r="AK90" s="22"/>
      <c r="AL90" s="22"/>
      <c r="AM90" s="22"/>
      <c r="AN90" s="22"/>
      <c r="AO90" s="22"/>
      <c r="AP90" s="22"/>
      <c r="AQ90" s="22"/>
      <c r="AR90" s="22"/>
    </row>
    <row r="91" spans="1:44" hidden="1" x14ac:dyDescent="0.25">
      <c r="A91" s="16"/>
      <c r="B91" s="3" t="s">
        <v>141</v>
      </c>
      <c r="C91" s="3" t="s">
        <v>141</v>
      </c>
      <c r="D91" s="11" t="s">
        <v>6</v>
      </c>
      <c r="E91" s="107">
        <v>114.10149493680242</v>
      </c>
      <c r="F91" s="108">
        <v>154.20026424717273</v>
      </c>
      <c r="G91" s="109">
        <v>180.95893081528567</v>
      </c>
      <c r="H91" s="114"/>
      <c r="I91" s="113">
        <v>13.454801275870183</v>
      </c>
      <c r="J91" s="114">
        <v>15.133169343926452</v>
      </c>
      <c r="K91" s="109">
        <v>18.155624702998743</v>
      </c>
      <c r="L91" s="114"/>
      <c r="M91" s="113">
        <v>20.853858660265782</v>
      </c>
      <c r="N91" s="114">
        <v>21.327809993453641</v>
      </c>
      <c r="O91" s="109">
        <v>23.426737326142728</v>
      </c>
      <c r="P91" s="119"/>
      <c r="Q91" s="120"/>
      <c r="R91" s="120"/>
      <c r="S91" s="120"/>
      <c r="T91" s="120"/>
      <c r="U91" s="120"/>
      <c r="V91" s="121">
        <v>0.22</v>
      </c>
      <c r="W91" s="119"/>
      <c r="X91" s="113">
        <f t="shared" si="11"/>
        <v>181.06038894498482</v>
      </c>
      <c r="Y91" s="113">
        <f t="shared" si="12"/>
        <v>232.60671717315446</v>
      </c>
      <c r="Z91" s="113">
        <f t="shared" si="13"/>
        <v>271.50037727020111</v>
      </c>
      <c r="AA91" s="22"/>
      <c r="AB91" s="22"/>
      <c r="AC91" s="22"/>
      <c r="AD91" s="22"/>
      <c r="AE91" s="22"/>
      <c r="AF91" s="22"/>
      <c r="AG91" s="22"/>
      <c r="AH91" s="22"/>
      <c r="AI91" s="22"/>
      <c r="AJ91" s="22"/>
      <c r="AK91" s="22"/>
      <c r="AL91" s="22"/>
      <c r="AM91" s="22"/>
      <c r="AN91" s="22"/>
      <c r="AO91" s="22"/>
      <c r="AP91" s="22"/>
      <c r="AQ91" s="22"/>
      <c r="AR91" s="22"/>
    </row>
    <row r="92" spans="1:44" hidden="1" x14ac:dyDescent="0.25">
      <c r="A92" s="16"/>
      <c r="B92" s="3" t="s">
        <v>142</v>
      </c>
      <c r="C92" s="3" t="s">
        <v>143</v>
      </c>
      <c r="D92" s="11" t="s">
        <v>6</v>
      </c>
      <c r="E92" s="107">
        <v>127.38051167293408</v>
      </c>
      <c r="F92" s="108">
        <v>160.71604663235456</v>
      </c>
      <c r="G92" s="109">
        <v>209.83040864288751</v>
      </c>
      <c r="H92" s="114"/>
      <c r="I92" s="113">
        <v>16.456216945170734</v>
      </c>
      <c r="J92" s="114">
        <v>18.508985208000002</v>
      </c>
      <c r="K92" s="109">
        <v>22.205671623219516</v>
      </c>
      <c r="L92" s="114"/>
      <c r="M92" s="113">
        <v>25.262898799349596</v>
      </c>
      <c r="N92" s="114">
        <v>25.837055590243903</v>
      </c>
      <c r="O92" s="109">
        <v>28.3797499499187</v>
      </c>
      <c r="P92" s="119"/>
      <c r="Q92" s="120">
        <v>0.05</v>
      </c>
      <c r="R92" s="120">
        <v>0.02</v>
      </c>
      <c r="S92" s="120">
        <v>0.04</v>
      </c>
      <c r="T92" s="120">
        <v>0.03</v>
      </c>
      <c r="U92" s="120">
        <v>0.02</v>
      </c>
      <c r="V92" s="121">
        <f t="shared" ref="V92:V95" si="14">SUBTOTAL(9,Q92:U92)</f>
        <v>0</v>
      </c>
      <c r="W92" s="119"/>
      <c r="X92" s="113">
        <f t="shared" si="11"/>
        <v>169.0996274174544</v>
      </c>
      <c r="Y92" s="113">
        <f t="shared" si="12"/>
        <v>205.06208743059847</v>
      </c>
      <c r="Z92" s="113">
        <f t="shared" si="13"/>
        <v>260.41583021602571</v>
      </c>
      <c r="AA92" s="22"/>
      <c r="AB92" s="22"/>
      <c r="AC92" s="22"/>
      <c r="AD92" s="22"/>
      <c r="AE92" s="22"/>
      <c r="AF92" s="22"/>
      <c r="AG92" s="22"/>
      <c r="AH92" s="22"/>
      <c r="AI92" s="22"/>
      <c r="AJ92" s="22"/>
      <c r="AK92" s="22"/>
      <c r="AL92" s="22"/>
      <c r="AM92" s="22"/>
      <c r="AN92" s="22"/>
      <c r="AO92" s="22"/>
      <c r="AP92" s="22"/>
      <c r="AQ92" s="22"/>
      <c r="AR92" s="22"/>
    </row>
    <row r="93" spans="1:44" hidden="1" x14ac:dyDescent="0.25">
      <c r="A93" s="16"/>
      <c r="B93" s="3" t="s">
        <v>144</v>
      </c>
      <c r="C93" s="3" t="s">
        <v>145</v>
      </c>
      <c r="D93" s="11" t="s">
        <v>6</v>
      </c>
      <c r="E93" s="107">
        <v>69.009967939241633</v>
      </c>
      <c r="F93" s="108">
        <v>84.215293536107623</v>
      </c>
      <c r="G93" s="109">
        <v>110.09649687707886</v>
      </c>
      <c r="H93" s="114"/>
      <c r="I93" s="113">
        <v>10.024860253659696</v>
      </c>
      <c r="J93" s="114">
        <v>11.275373359835674</v>
      </c>
      <c r="K93" s="109">
        <v>13.527334721165026</v>
      </c>
      <c r="L93" s="114"/>
      <c r="M93" s="113">
        <v>15.611715411127317</v>
      </c>
      <c r="N93" s="114">
        <v>15.966527125016574</v>
      </c>
      <c r="O93" s="109">
        <v>17.537836143668997</v>
      </c>
      <c r="P93" s="119"/>
      <c r="Q93" s="120">
        <v>0.04</v>
      </c>
      <c r="R93" s="120">
        <v>0.03</v>
      </c>
      <c r="S93" s="120">
        <v>0.06</v>
      </c>
      <c r="T93" s="120">
        <v>2.5000000000000001E-2</v>
      </c>
      <c r="U93" s="120">
        <v>0.02</v>
      </c>
      <c r="V93" s="121">
        <f t="shared" si="14"/>
        <v>0</v>
      </c>
      <c r="W93" s="119"/>
      <c r="X93" s="113">
        <f t="shared" si="11"/>
        <v>94.646543604028651</v>
      </c>
      <c r="Y93" s="113">
        <f t="shared" si="12"/>
        <v>111.45719402095986</v>
      </c>
      <c r="Z93" s="113">
        <f t="shared" si="13"/>
        <v>141.16166774191288</v>
      </c>
      <c r="AA93" s="22"/>
      <c r="AB93" s="22"/>
      <c r="AC93" s="22"/>
      <c r="AD93" s="22"/>
      <c r="AE93" s="22"/>
      <c r="AF93" s="22"/>
      <c r="AG93" s="22"/>
      <c r="AH93" s="22"/>
      <c r="AI93" s="22"/>
      <c r="AJ93" s="22"/>
      <c r="AK93" s="22"/>
      <c r="AL93" s="22"/>
      <c r="AM93" s="22"/>
      <c r="AN93" s="22"/>
      <c r="AO93" s="22"/>
      <c r="AP93" s="22"/>
      <c r="AQ93" s="22"/>
      <c r="AR93" s="22"/>
    </row>
    <row r="94" spans="1:44" hidden="1" x14ac:dyDescent="0.25">
      <c r="A94" s="16"/>
      <c r="B94" s="3" t="s">
        <v>146</v>
      </c>
      <c r="C94" s="3" t="s">
        <v>147</v>
      </c>
      <c r="D94" s="11" t="s">
        <v>6</v>
      </c>
      <c r="E94" s="107">
        <v>112.61632012713429</v>
      </c>
      <c r="F94" s="108">
        <v>142.64942523468102</v>
      </c>
      <c r="G94" s="109">
        <v>201.6254848658437</v>
      </c>
      <c r="H94" s="114"/>
      <c r="I94" s="113">
        <v>12.841012279524605</v>
      </c>
      <c r="J94" s="114">
        <v>14.442815571121621</v>
      </c>
      <c r="K94" s="109">
        <v>17.327390793333667</v>
      </c>
      <c r="L94" s="114"/>
      <c r="M94" s="113">
        <v>19.712987181664182</v>
      </c>
      <c r="N94" s="114">
        <v>20.161009617611096</v>
      </c>
      <c r="O94" s="109">
        <v>22.145108976804568</v>
      </c>
      <c r="P94" s="119"/>
      <c r="Q94" s="120">
        <v>0.05</v>
      </c>
      <c r="R94" s="120">
        <v>0.02</v>
      </c>
      <c r="S94" s="120">
        <v>0.04</v>
      </c>
      <c r="T94" s="120">
        <v>0.03</v>
      </c>
      <c r="U94" s="120">
        <v>0.02</v>
      </c>
      <c r="V94" s="121">
        <f t="shared" si="14"/>
        <v>0</v>
      </c>
      <c r="W94" s="119"/>
      <c r="X94" s="113">
        <f t="shared" si="11"/>
        <v>145.17031958832308</v>
      </c>
      <c r="Y94" s="113">
        <f t="shared" si="12"/>
        <v>177.25325042341373</v>
      </c>
      <c r="Z94" s="113">
        <f t="shared" si="13"/>
        <v>241.09798463598196</v>
      </c>
      <c r="AA94" s="22"/>
      <c r="AB94" s="22"/>
      <c r="AC94" s="22"/>
      <c r="AD94" s="22"/>
      <c r="AE94" s="22"/>
      <c r="AF94" s="22"/>
      <c r="AG94" s="22"/>
      <c r="AH94" s="22"/>
      <c r="AI94" s="22"/>
      <c r="AJ94" s="22"/>
      <c r="AK94" s="22"/>
      <c r="AL94" s="22"/>
      <c r="AM94" s="22"/>
      <c r="AN94" s="22"/>
      <c r="AO94" s="22"/>
      <c r="AP94" s="22"/>
      <c r="AQ94" s="22"/>
      <c r="AR94" s="22"/>
    </row>
    <row r="95" spans="1:44" hidden="1" x14ac:dyDescent="0.25">
      <c r="A95" s="16"/>
      <c r="B95" s="3" t="s">
        <v>148</v>
      </c>
      <c r="C95" s="3" t="s">
        <v>149</v>
      </c>
      <c r="D95" s="11" t="s">
        <v>6</v>
      </c>
      <c r="E95" s="113">
        <v>128.86266340823417</v>
      </c>
      <c r="F95" s="114">
        <v>162.5860781173775</v>
      </c>
      <c r="G95" s="109">
        <v>212.27191637593316</v>
      </c>
      <c r="H95" s="114"/>
      <c r="I95" s="113">
        <v>16.647695297560979</v>
      </c>
      <c r="J95" s="114">
        <v>18.724348800000001</v>
      </c>
      <c r="K95" s="109">
        <v>22.464048468292685</v>
      </c>
      <c r="L95" s="114"/>
      <c r="M95" s="113">
        <v>25.802587317073176</v>
      </c>
      <c r="N95" s="114">
        <v>26.389009756097561</v>
      </c>
      <c r="O95" s="109">
        <v>28.98602341463415</v>
      </c>
      <c r="P95" s="119"/>
      <c r="Q95" s="120">
        <v>0.04</v>
      </c>
      <c r="R95" s="120">
        <v>0.04</v>
      </c>
      <c r="S95" s="120">
        <v>0.08</v>
      </c>
      <c r="T95" s="120">
        <v>5.0000000000000001E-3</v>
      </c>
      <c r="U95" s="120">
        <v>0.02</v>
      </c>
      <c r="V95" s="121">
        <f t="shared" si="14"/>
        <v>0</v>
      </c>
      <c r="W95" s="119"/>
      <c r="X95" s="113">
        <f t="shared" si="11"/>
        <v>171.31294602286832</v>
      </c>
      <c r="Y95" s="113">
        <f t="shared" si="12"/>
        <v>207.69943667347505</v>
      </c>
      <c r="Z95" s="113">
        <f t="shared" si="13"/>
        <v>263.72198825885999</v>
      </c>
      <c r="AA95" s="22"/>
      <c r="AB95" s="22"/>
      <c r="AC95" s="22"/>
      <c r="AD95" s="22"/>
      <c r="AE95" s="22"/>
      <c r="AF95" s="22"/>
      <c r="AG95" s="22"/>
      <c r="AH95" s="22"/>
      <c r="AI95" s="22"/>
      <c r="AJ95" s="22"/>
      <c r="AK95" s="22"/>
      <c r="AL95" s="22"/>
      <c r="AM95" s="22"/>
      <c r="AN95" s="22"/>
      <c r="AO95" s="22"/>
      <c r="AP95" s="22"/>
      <c r="AQ95" s="22"/>
      <c r="AR95" s="22"/>
    </row>
    <row r="96" spans="1:44" hidden="1" x14ac:dyDescent="0.25">
      <c r="A96" s="16"/>
      <c r="B96" s="3" t="s">
        <v>150</v>
      </c>
      <c r="C96" s="3" t="s">
        <v>151</v>
      </c>
      <c r="D96" s="11" t="s">
        <v>6</v>
      </c>
      <c r="E96" s="107">
        <v>86.882687560056169</v>
      </c>
      <c r="F96" s="108">
        <v>108.42987101781358</v>
      </c>
      <c r="G96" s="109">
        <v>133.36937504619704</v>
      </c>
      <c r="H96" s="114"/>
      <c r="I96" s="113">
        <v>13.36411293460654</v>
      </c>
      <c r="J96" s="114">
        <v>15.031168430072469</v>
      </c>
      <c r="K96" s="109">
        <v>18.033251770455099</v>
      </c>
      <c r="L96" s="114"/>
      <c r="M96" s="113">
        <v>21.206472819608468</v>
      </c>
      <c r="N96" s="114">
        <v>21.688438110963208</v>
      </c>
      <c r="O96" s="109">
        <v>23.8228558298199</v>
      </c>
      <c r="P96" s="119"/>
      <c r="Q96" s="120"/>
      <c r="R96" s="120"/>
      <c r="S96" s="120"/>
      <c r="T96" s="120"/>
      <c r="U96" s="120"/>
      <c r="V96" s="121">
        <v>0.14000000000000001</v>
      </c>
      <c r="W96" s="119"/>
      <c r="X96" s="113">
        <f t="shared" si="11"/>
        <v>138.45673157826914</v>
      </c>
      <c r="Y96" s="113">
        <f t="shared" si="12"/>
        <v>165.47040441708819</v>
      </c>
      <c r="Z96" s="113">
        <f t="shared" si="13"/>
        <v>199.75705021697814</v>
      </c>
      <c r="AA96" s="22"/>
      <c r="AB96" s="22"/>
      <c r="AC96" s="22"/>
      <c r="AD96" s="22"/>
      <c r="AE96" s="22"/>
      <c r="AF96" s="22"/>
      <c r="AG96" s="22"/>
      <c r="AH96" s="22"/>
      <c r="AI96" s="22"/>
      <c r="AJ96" s="22"/>
      <c r="AK96" s="22"/>
      <c r="AL96" s="22"/>
      <c r="AM96" s="22"/>
      <c r="AN96" s="22"/>
      <c r="AO96" s="22"/>
      <c r="AP96" s="22"/>
      <c r="AQ96" s="22"/>
      <c r="AR96" s="22"/>
    </row>
    <row r="97" spans="1:44" hidden="1" x14ac:dyDescent="0.25">
      <c r="A97" s="16"/>
      <c r="B97" s="3" t="s">
        <v>152</v>
      </c>
      <c r="C97" s="3" t="s">
        <v>153</v>
      </c>
      <c r="D97" s="11" t="s">
        <v>6</v>
      </c>
      <c r="E97" s="107">
        <v>78.115377152782912</v>
      </c>
      <c r="F97" s="108">
        <v>124.57979710252052</v>
      </c>
      <c r="G97" s="109">
        <v>145.98522876783204</v>
      </c>
      <c r="H97" s="114"/>
      <c r="I97" s="113">
        <v>10.546656198650167</v>
      </c>
      <c r="J97" s="114">
        <v>11.862258757591517</v>
      </c>
      <c r="K97" s="109">
        <v>14.231435150041918</v>
      </c>
      <c r="L97" s="114"/>
      <c r="M97" s="113">
        <v>16.424308264269346</v>
      </c>
      <c r="N97" s="114">
        <v>16.797587997548195</v>
      </c>
      <c r="O97" s="109">
        <v>18.45068395921167</v>
      </c>
      <c r="P97" s="119"/>
      <c r="Q97" s="120">
        <v>0.04</v>
      </c>
      <c r="R97" s="120">
        <v>0.03</v>
      </c>
      <c r="S97" s="120">
        <v>0.06</v>
      </c>
      <c r="T97" s="120">
        <v>0.04</v>
      </c>
      <c r="U97" s="120">
        <v>0.02</v>
      </c>
      <c r="V97" s="121">
        <f t="shared" ref="V97:V104" si="15">SUBTOTAL(9,Q97:U97)</f>
        <v>0</v>
      </c>
      <c r="W97" s="119"/>
      <c r="X97" s="113">
        <f t="shared" si="11"/>
        <v>105.08634161570242</v>
      </c>
      <c r="Y97" s="113">
        <f t="shared" si="12"/>
        <v>153.23964385766021</v>
      </c>
      <c r="Z97" s="113">
        <f t="shared" si="13"/>
        <v>178.66734787708563</v>
      </c>
      <c r="AA97" s="22"/>
      <c r="AB97" s="22"/>
      <c r="AC97" s="22"/>
      <c r="AD97" s="22"/>
      <c r="AE97" s="22"/>
      <c r="AF97" s="22"/>
      <c r="AG97" s="22"/>
      <c r="AH97" s="22"/>
      <c r="AI97" s="22"/>
      <c r="AJ97" s="22"/>
      <c r="AK97" s="22"/>
      <c r="AL97" s="22"/>
      <c r="AM97" s="22"/>
      <c r="AN97" s="22"/>
      <c r="AO97" s="22"/>
      <c r="AP97" s="22"/>
      <c r="AQ97" s="22"/>
      <c r="AR97" s="22"/>
    </row>
    <row r="98" spans="1:44" hidden="1" x14ac:dyDescent="0.25">
      <c r="A98" s="16"/>
      <c r="B98" s="3" t="s">
        <v>154</v>
      </c>
      <c r="C98" s="3" t="s">
        <v>155</v>
      </c>
      <c r="D98" s="11" t="s">
        <v>6</v>
      </c>
      <c r="E98" s="107">
        <v>100.22900731853795</v>
      </c>
      <c r="F98" s="108">
        <v>129.61630571041835</v>
      </c>
      <c r="G98" s="109">
        <v>176.80018593299576</v>
      </c>
      <c r="H98" s="114"/>
      <c r="I98" s="113">
        <v>11.0051601653419</v>
      </c>
      <c r="J98" s="114">
        <v>12.377957059672852</v>
      </c>
      <c r="K98" s="109">
        <v>14.850130720003277</v>
      </c>
      <c r="L98" s="114"/>
      <c r="M98" s="113">
        <v>16.894663485173286</v>
      </c>
      <c r="N98" s="114">
        <v>17.278633109836314</v>
      </c>
      <c r="O98" s="109">
        <v>18.979070019058302</v>
      </c>
      <c r="P98" s="119"/>
      <c r="Q98" s="120">
        <v>0.05</v>
      </c>
      <c r="R98" s="120">
        <v>0.02</v>
      </c>
      <c r="S98" s="120">
        <v>0.04</v>
      </c>
      <c r="T98" s="120">
        <v>0.03</v>
      </c>
      <c r="U98" s="120">
        <v>0.02</v>
      </c>
      <c r="V98" s="121">
        <f t="shared" si="15"/>
        <v>0</v>
      </c>
      <c r="W98" s="119"/>
      <c r="X98" s="113">
        <f t="shared" si="11"/>
        <v>128.12883096905315</v>
      </c>
      <c r="Y98" s="113">
        <f t="shared" si="12"/>
        <v>159.27289587992752</v>
      </c>
      <c r="Z98" s="113">
        <f t="shared" si="13"/>
        <v>210.62938667205734</v>
      </c>
      <c r="AA98" s="22"/>
      <c r="AB98" s="22"/>
      <c r="AC98" s="22"/>
      <c r="AD98" s="22"/>
      <c r="AE98" s="22"/>
      <c r="AF98" s="22"/>
      <c r="AG98" s="22"/>
      <c r="AH98" s="22"/>
      <c r="AI98" s="22"/>
      <c r="AJ98" s="22"/>
      <c r="AK98" s="22"/>
      <c r="AL98" s="22"/>
      <c r="AM98" s="22"/>
      <c r="AN98" s="22"/>
      <c r="AO98" s="22"/>
      <c r="AP98" s="22"/>
      <c r="AQ98" s="22"/>
      <c r="AR98" s="22"/>
    </row>
    <row r="99" spans="1:44" hidden="1" x14ac:dyDescent="0.25">
      <c r="A99" s="16"/>
      <c r="B99" s="3" t="s">
        <v>156</v>
      </c>
      <c r="C99" s="3" t="s">
        <v>157</v>
      </c>
      <c r="D99" s="11" t="s">
        <v>6</v>
      </c>
      <c r="E99" s="107">
        <v>113.56551267647276</v>
      </c>
      <c r="F99" s="108">
        <v>138.45700820459751</v>
      </c>
      <c r="G99" s="109">
        <v>214.40188617044865</v>
      </c>
      <c r="H99" s="114"/>
      <c r="I99" s="113">
        <v>12.807007288115267</v>
      </c>
      <c r="J99" s="114">
        <v>14.404568756249731</v>
      </c>
      <c r="K99" s="109">
        <v>17.281505176043737</v>
      </c>
      <c r="L99" s="114"/>
      <c r="M99" s="113">
        <v>19.660784135270887</v>
      </c>
      <c r="N99" s="114">
        <v>20.107620138345226</v>
      </c>
      <c r="O99" s="109">
        <v>22.086465294817298</v>
      </c>
      <c r="P99" s="119"/>
      <c r="Q99" s="120">
        <v>0.05</v>
      </c>
      <c r="R99" s="120">
        <v>0.02</v>
      </c>
      <c r="S99" s="120">
        <v>0.04</v>
      </c>
      <c r="T99" s="120">
        <v>0.03</v>
      </c>
      <c r="U99" s="120">
        <v>0.02</v>
      </c>
      <c r="V99" s="121">
        <f t="shared" si="15"/>
        <v>0</v>
      </c>
      <c r="W99" s="119"/>
      <c r="X99" s="113">
        <f t="shared" si="11"/>
        <v>146.03330409985892</v>
      </c>
      <c r="Y99" s="113">
        <f t="shared" si="12"/>
        <v>172.96919709919246</v>
      </c>
      <c r="Z99" s="113">
        <f t="shared" si="13"/>
        <v>253.76985664130967</v>
      </c>
      <c r="AA99" s="22"/>
      <c r="AB99" s="22"/>
      <c r="AC99" s="22"/>
      <c r="AD99" s="22"/>
      <c r="AE99" s="22"/>
      <c r="AF99" s="22"/>
      <c r="AG99" s="22"/>
      <c r="AH99" s="22"/>
      <c r="AI99" s="22"/>
      <c r="AJ99" s="22"/>
      <c r="AK99" s="22"/>
      <c r="AL99" s="22"/>
      <c r="AM99" s="22"/>
      <c r="AN99" s="22"/>
      <c r="AO99" s="22"/>
      <c r="AP99" s="22"/>
      <c r="AQ99" s="22"/>
      <c r="AR99" s="22"/>
    </row>
    <row r="100" spans="1:44" hidden="1" x14ac:dyDescent="0.25">
      <c r="A100" s="16"/>
      <c r="B100" s="3" t="s">
        <v>158</v>
      </c>
      <c r="C100" s="3" t="s">
        <v>159</v>
      </c>
      <c r="D100" s="11" t="s">
        <v>6</v>
      </c>
      <c r="E100" s="107">
        <v>93.311582000000016</v>
      </c>
      <c r="F100" s="108">
        <v>149.59726599999999</v>
      </c>
      <c r="G100" s="109">
        <v>167.76177600000003</v>
      </c>
      <c r="H100" s="114"/>
      <c r="I100" s="113">
        <v>12.340916386126489</v>
      </c>
      <c r="J100" s="114">
        <v>13.880337115451791</v>
      </c>
      <c r="K100" s="109">
        <v>16.652571955813539</v>
      </c>
      <c r="L100" s="114"/>
      <c r="M100" s="113">
        <v>19.127426765936789</v>
      </c>
      <c r="N100" s="114">
        <v>19.562141010617172</v>
      </c>
      <c r="O100" s="109">
        <v>21.487304094201718</v>
      </c>
      <c r="P100" s="119"/>
      <c r="Q100" s="120">
        <v>4.4999999999999998E-2</v>
      </c>
      <c r="R100" s="120">
        <v>5.0000000000000001E-3</v>
      </c>
      <c r="S100" s="120">
        <v>7.0000000000000007E-2</v>
      </c>
      <c r="T100" s="120">
        <v>0.03</v>
      </c>
      <c r="U100" s="120" t="s">
        <v>250</v>
      </c>
      <c r="V100" s="121">
        <f t="shared" si="15"/>
        <v>0</v>
      </c>
      <c r="W100" s="119"/>
      <c r="X100" s="113">
        <f t="shared" si="11"/>
        <v>124.7799251520633</v>
      </c>
      <c r="Y100" s="113">
        <f t="shared" si="12"/>
        <v>183.03974412606897</v>
      </c>
      <c r="Z100" s="113">
        <f t="shared" si="13"/>
        <v>205.90165205001529</v>
      </c>
      <c r="AA100" s="22"/>
      <c r="AB100" s="22"/>
      <c r="AC100" s="22"/>
      <c r="AD100" s="22"/>
      <c r="AE100" s="22"/>
      <c r="AF100" s="22"/>
      <c r="AG100" s="22"/>
      <c r="AH100" s="22"/>
      <c r="AI100" s="22"/>
      <c r="AJ100" s="22"/>
      <c r="AK100" s="22"/>
      <c r="AL100" s="22"/>
      <c r="AM100" s="22"/>
      <c r="AN100" s="22"/>
      <c r="AO100" s="22"/>
      <c r="AP100" s="22"/>
      <c r="AQ100" s="22"/>
      <c r="AR100" s="22"/>
    </row>
    <row r="101" spans="1:44" hidden="1" x14ac:dyDescent="0.25">
      <c r="A101" s="16"/>
      <c r="B101" s="3" t="s">
        <v>160</v>
      </c>
      <c r="C101" s="3" t="s">
        <v>161</v>
      </c>
      <c r="D101" s="11" t="s">
        <v>6</v>
      </c>
      <c r="E101" s="107">
        <v>134.41173081898145</v>
      </c>
      <c r="F101" s="108">
        <v>161.91599619336242</v>
      </c>
      <c r="G101" s="109">
        <v>180.21564370980857</v>
      </c>
      <c r="H101" s="114"/>
      <c r="I101" s="113">
        <v>19.228363759005269</v>
      </c>
      <c r="J101" s="114">
        <v>21.626932944264212</v>
      </c>
      <c r="K101" s="109">
        <v>25.946347991576985</v>
      </c>
      <c r="L101" s="114"/>
      <c r="M101" s="113">
        <v>32.924573478919378</v>
      </c>
      <c r="N101" s="114">
        <v>33.672859239803913</v>
      </c>
      <c r="O101" s="109">
        <v>36.98669618086398</v>
      </c>
      <c r="P101" s="119"/>
      <c r="Q101" s="122"/>
      <c r="R101" s="122"/>
      <c r="S101" s="122"/>
      <c r="T101" s="122"/>
      <c r="U101" s="122"/>
      <c r="V101" s="121">
        <v>0.192</v>
      </c>
      <c r="W101" s="119"/>
      <c r="X101" s="113">
        <f t="shared" si="11"/>
        <v>222.38508432383207</v>
      </c>
      <c r="Y101" s="113">
        <f t="shared" si="12"/>
        <v>258.92121974589719</v>
      </c>
      <c r="Z101" s="113">
        <f t="shared" si="13"/>
        <v>289.83323595564144</v>
      </c>
      <c r="AA101" s="22"/>
      <c r="AB101" s="22"/>
      <c r="AC101" s="22"/>
      <c r="AD101" s="22"/>
      <c r="AE101" s="22"/>
      <c r="AF101" s="22"/>
      <c r="AG101" s="22"/>
      <c r="AH101" s="22"/>
      <c r="AI101" s="22"/>
      <c r="AJ101" s="22"/>
      <c r="AK101" s="22"/>
      <c r="AL101" s="22"/>
      <c r="AM101" s="22"/>
      <c r="AN101" s="22"/>
      <c r="AO101" s="22"/>
      <c r="AP101" s="22"/>
      <c r="AQ101" s="22"/>
      <c r="AR101" s="22"/>
    </row>
    <row r="102" spans="1:44" hidden="1" x14ac:dyDescent="0.25">
      <c r="A102" s="16"/>
      <c r="B102" s="3" t="s">
        <v>162</v>
      </c>
      <c r="C102" s="3" t="s">
        <v>163</v>
      </c>
      <c r="D102" s="11" t="s">
        <v>6</v>
      </c>
      <c r="E102" s="107">
        <v>114.65050000000001</v>
      </c>
      <c r="F102" s="108">
        <v>177.29900000000001</v>
      </c>
      <c r="G102" s="109">
        <v>205.69680000000002</v>
      </c>
      <c r="H102" s="114"/>
      <c r="I102" s="113">
        <v>15.166729219427573</v>
      </c>
      <c r="J102" s="114">
        <v>17.05864523489447</v>
      </c>
      <c r="K102" s="109">
        <v>20.465664117519506</v>
      </c>
      <c r="L102" s="114"/>
      <c r="M102" s="113">
        <v>23.507209136391367</v>
      </c>
      <c r="N102" s="114">
        <v>24.041463889491173</v>
      </c>
      <c r="O102" s="109">
        <v>26.407449224647447</v>
      </c>
      <c r="P102" s="119"/>
      <c r="Q102" s="120">
        <v>4.4999999999999998E-2</v>
      </c>
      <c r="R102" s="120">
        <v>5.0000000000000001E-3</v>
      </c>
      <c r="S102" s="120">
        <v>7.0000000000000007E-2</v>
      </c>
      <c r="T102" s="120">
        <v>0.03</v>
      </c>
      <c r="U102" s="120" t="s">
        <v>250</v>
      </c>
      <c r="V102" s="121">
        <f t="shared" si="15"/>
        <v>0</v>
      </c>
      <c r="W102" s="119"/>
      <c r="X102" s="113">
        <f t="shared" si="11"/>
        <v>153.32443835581896</v>
      </c>
      <c r="Y102" s="113">
        <f t="shared" si="12"/>
        <v>218.39910912438566</v>
      </c>
      <c r="Z102" s="113">
        <f t="shared" si="13"/>
        <v>252.56991334216698</v>
      </c>
      <c r="AA102" s="22"/>
      <c r="AB102" s="22"/>
      <c r="AC102" s="22"/>
      <c r="AD102" s="22"/>
      <c r="AE102" s="22"/>
      <c r="AF102" s="22"/>
      <c r="AG102" s="22"/>
      <c r="AH102" s="22"/>
      <c r="AI102" s="22"/>
      <c r="AJ102" s="22"/>
      <c r="AK102" s="22"/>
      <c r="AL102" s="22"/>
      <c r="AM102" s="22"/>
      <c r="AN102" s="22"/>
      <c r="AO102" s="22"/>
      <c r="AP102" s="22"/>
      <c r="AQ102" s="22"/>
      <c r="AR102" s="22"/>
    </row>
    <row r="103" spans="1:44" hidden="1" x14ac:dyDescent="0.25">
      <c r="A103" s="16"/>
      <c r="B103" s="3" t="s">
        <v>164</v>
      </c>
      <c r="C103" s="3" t="s">
        <v>165</v>
      </c>
      <c r="D103" s="11" t="s">
        <v>6</v>
      </c>
      <c r="E103" s="107">
        <v>80.908636401433938</v>
      </c>
      <c r="F103" s="108">
        <v>104.82572621775444</v>
      </c>
      <c r="G103" s="109">
        <v>134.52976014487396</v>
      </c>
      <c r="H103" s="114"/>
      <c r="I103" s="113">
        <v>10.233101876499109</v>
      </c>
      <c r="J103" s="114">
        <v>11.509591292770478</v>
      </c>
      <c r="K103" s="109">
        <v>13.808331569375353</v>
      </c>
      <c r="L103" s="114"/>
      <c r="M103" s="113">
        <v>15.709431758876786</v>
      </c>
      <c r="N103" s="114">
        <v>16.066464298851258</v>
      </c>
      <c r="O103" s="109">
        <v>17.647608404452495</v>
      </c>
      <c r="P103" s="119"/>
      <c r="Q103" s="120">
        <v>0.05</v>
      </c>
      <c r="R103" s="120">
        <v>0.02</v>
      </c>
      <c r="S103" s="120">
        <v>0.04</v>
      </c>
      <c r="T103" s="120">
        <v>0.03</v>
      </c>
      <c r="U103" s="120">
        <v>0.02</v>
      </c>
      <c r="V103" s="121">
        <f t="shared" si="15"/>
        <v>0</v>
      </c>
      <c r="W103" s="119"/>
      <c r="X103" s="113">
        <f t="shared" si="11"/>
        <v>106.85117003680983</v>
      </c>
      <c r="Y103" s="113">
        <f t="shared" si="12"/>
        <v>132.40178180937619</v>
      </c>
      <c r="Z103" s="113">
        <f t="shared" si="13"/>
        <v>165.9857001187018</v>
      </c>
      <c r="AA103" s="22"/>
      <c r="AB103" s="22"/>
      <c r="AC103" s="22"/>
      <c r="AD103" s="22"/>
      <c r="AE103" s="22"/>
      <c r="AF103" s="22"/>
      <c r="AG103" s="22"/>
      <c r="AH103" s="22"/>
      <c r="AI103" s="22"/>
      <c r="AJ103" s="22"/>
      <c r="AK103" s="22"/>
      <c r="AL103" s="22"/>
      <c r="AM103" s="22"/>
      <c r="AN103" s="22"/>
      <c r="AO103" s="22"/>
      <c r="AP103" s="22"/>
      <c r="AQ103" s="22"/>
      <c r="AR103" s="22"/>
    </row>
    <row r="104" spans="1:44" hidden="1" x14ac:dyDescent="0.25">
      <c r="A104" s="16"/>
      <c r="B104" s="3" t="s">
        <v>166</v>
      </c>
      <c r="C104" s="3" t="s">
        <v>167</v>
      </c>
      <c r="D104" s="11" t="s">
        <v>6</v>
      </c>
      <c r="E104" s="107">
        <v>79.719483378298463</v>
      </c>
      <c r="F104" s="108">
        <v>96.537816773227888</v>
      </c>
      <c r="G104" s="109">
        <v>134.06936779325892</v>
      </c>
      <c r="H104" s="114"/>
      <c r="I104" s="113">
        <v>9.1449911989972072</v>
      </c>
      <c r="J104" s="114">
        <v>10.285748382723051</v>
      </c>
      <c r="K104" s="109">
        <v>12.340057999889089</v>
      </c>
      <c r="L104" s="114"/>
      <c r="M104" s="113">
        <v>15.658895289748303</v>
      </c>
      <c r="N104" s="114">
        <v>16.014779273606219</v>
      </c>
      <c r="O104" s="109">
        <v>17.590836916405564</v>
      </c>
      <c r="P104" s="119"/>
      <c r="Q104" s="120">
        <v>0.05</v>
      </c>
      <c r="R104" s="120">
        <v>0.03</v>
      </c>
      <c r="S104" s="120">
        <v>0.03</v>
      </c>
      <c r="T104" s="120">
        <v>0.02</v>
      </c>
      <c r="U104" s="120">
        <v>0.05</v>
      </c>
      <c r="V104" s="121">
        <f t="shared" si="15"/>
        <v>0</v>
      </c>
      <c r="W104" s="119"/>
      <c r="X104" s="113">
        <f t="shared" si="11"/>
        <v>104.52336986704397</v>
      </c>
      <c r="Y104" s="113">
        <f t="shared" si="12"/>
        <v>122.83834442955717</v>
      </c>
      <c r="Z104" s="113">
        <f t="shared" si="13"/>
        <v>164.00026270955357</v>
      </c>
      <c r="AA104" s="22"/>
      <c r="AB104" s="22"/>
      <c r="AC104" s="22"/>
      <c r="AD104" s="22"/>
      <c r="AE104" s="22"/>
      <c r="AF104" s="22"/>
      <c r="AG104" s="22"/>
      <c r="AH104" s="22"/>
      <c r="AI104" s="22"/>
      <c r="AJ104" s="22"/>
      <c r="AK104" s="22"/>
      <c r="AL104" s="22"/>
      <c r="AM104" s="22"/>
      <c r="AN104" s="22"/>
      <c r="AO104" s="22"/>
      <c r="AP104" s="22"/>
      <c r="AQ104" s="22"/>
      <c r="AR104" s="22"/>
    </row>
    <row r="105" spans="1:44" hidden="1" x14ac:dyDescent="0.25">
      <c r="A105" s="16"/>
      <c r="B105" s="3" t="s">
        <v>168</v>
      </c>
      <c r="C105" s="3" t="s">
        <v>169</v>
      </c>
      <c r="D105" s="11" t="s">
        <v>6</v>
      </c>
      <c r="E105" s="107">
        <v>128.73030263877595</v>
      </c>
      <c r="F105" s="108">
        <v>162.41907847734495</v>
      </c>
      <c r="G105" s="109">
        <v>212.05388212580385</v>
      </c>
      <c r="H105" s="114"/>
      <c r="I105" s="113">
        <v>16.630595683902438</v>
      </c>
      <c r="J105" s="114">
        <v>18.705116160000003</v>
      </c>
      <c r="K105" s="109">
        <v>22.440974610731708</v>
      </c>
      <c r="L105" s="114"/>
      <c r="M105" s="113">
        <v>26.389800585365855</v>
      </c>
      <c r="N105" s="114">
        <v>26.989568780487804</v>
      </c>
      <c r="O105" s="109">
        <v>29.645685073170732</v>
      </c>
      <c r="P105" s="119"/>
      <c r="Q105" s="120"/>
      <c r="R105" s="120"/>
      <c r="S105" s="120"/>
      <c r="T105" s="120"/>
      <c r="U105" s="120"/>
      <c r="V105" s="121">
        <v>0.16</v>
      </c>
      <c r="W105" s="119"/>
      <c r="X105" s="113">
        <f t="shared" si="11"/>
        <v>199.23081073333131</v>
      </c>
      <c r="Y105" s="113">
        <f t="shared" si="12"/>
        <v>241.41196556468597</v>
      </c>
      <c r="Z105" s="113">
        <f t="shared" si="13"/>
        <v>306.40302849925928</v>
      </c>
      <c r="AA105" s="22"/>
      <c r="AB105" s="22"/>
      <c r="AC105" s="22"/>
      <c r="AD105" s="22"/>
      <c r="AE105" s="22"/>
      <c r="AF105" s="22"/>
      <c r="AG105" s="22"/>
      <c r="AH105" s="22"/>
      <c r="AI105" s="22"/>
      <c r="AJ105" s="22"/>
      <c r="AK105" s="22"/>
      <c r="AL105" s="22"/>
      <c r="AM105" s="22"/>
      <c r="AN105" s="22"/>
      <c r="AO105" s="22"/>
      <c r="AP105" s="22"/>
      <c r="AQ105" s="22"/>
      <c r="AR105" s="22"/>
    </row>
    <row r="106" spans="1:44" hidden="1" x14ac:dyDescent="0.25">
      <c r="A106" s="16"/>
      <c r="B106" s="3" t="s">
        <v>170</v>
      </c>
      <c r="C106" s="3" t="s">
        <v>171</v>
      </c>
      <c r="D106" s="11" t="s">
        <v>6</v>
      </c>
      <c r="E106" s="107">
        <v>137.08297961785794</v>
      </c>
      <c r="F106" s="108">
        <v>178.70495417251828</v>
      </c>
      <c r="G106" s="109">
        <v>234.37822501663095</v>
      </c>
      <c r="H106" s="114"/>
      <c r="I106" s="113">
        <v>17.308694663692869</v>
      </c>
      <c r="J106" s="114">
        <v>19.467802020809838</v>
      </c>
      <c r="K106" s="109">
        <v>23.355987053958234</v>
      </c>
      <c r="L106" s="114"/>
      <c r="M106" s="113">
        <v>26.31609105470212</v>
      </c>
      <c r="N106" s="114">
        <v>26.914184033218074</v>
      </c>
      <c r="O106" s="109">
        <v>29.562881509503029</v>
      </c>
      <c r="P106" s="119"/>
      <c r="Q106" s="120">
        <v>0.14000000000000001</v>
      </c>
      <c r="R106" s="120">
        <v>0.08</v>
      </c>
      <c r="S106" s="120">
        <v>0.04</v>
      </c>
      <c r="T106" s="120">
        <v>0.02</v>
      </c>
      <c r="U106" s="120">
        <v>0.01</v>
      </c>
      <c r="V106" s="121">
        <f t="shared" ref="V106:V111" si="16">SUBTOTAL(9,Q106:U106)</f>
        <v>0</v>
      </c>
      <c r="W106" s="119"/>
      <c r="X106" s="113">
        <f t="shared" si="11"/>
        <v>180.70776533625295</v>
      </c>
      <c r="Y106" s="113">
        <f t="shared" si="12"/>
        <v>225.0869402265462</v>
      </c>
      <c r="Z106" s="113">
        <f t="shared" si="13"/>
        <v>287.29709358009222</v>
      </c>
      <c r="AA106" s="22"/>
      <c r="AB106" s="22"/>
      <c r="AC106" s="22"/>
      <c r="AD106" s="22"/>
      <c r="AE106" s="22"/>
      <c r="AF106" s="22"/>
      <c r="AG106" s="22"/>
      <c r="AH106" s="22"/>
      <c r="AI106" s="22"/>
      <c r="AJ106" s="22"/>
      <c r="AK106" s="22"/>
      <c r="AL106" s="22"/>
      <c r="AM106" s="22"/>
      <c r="AN106" s="22"/>
      <c r="AO106" s="22"/>
      <c r="AP106" s="22"/>
      <c r="AQ106" s="22"/>
      <c r="AR106" s="22"/>
    </row>
    <row r="107" spans="1:44" hidden="1" x14ac:dyDescent="0.25">
      <c r="A107" s="16"/>
      <c r="B107" s="3" t="s">
        <v>170</v>
      </c>
      <c r="C107" s="3" t="s">
        <v>172</v>
      </c>
      <c r="D107" s="11" t="s">
        <v>6</v>
      </c>
      <c r="E107" s="107">
        <v>206.82552020428341</v>
      </c>
      <c r="F107" s="108">
        <v>260.95184823296262</v>
      </c>
      <c r="G107" s="109">
        <v>340.69798317087367</v>
      </c>
      <c r="H107" s="114"/>
      <c r="I107" s="113">
        <v>26.719673092682932</v>
      </c>
      <c r="J107" s="114">
        <v>30.052717200000004</v>
      </c>
      <c r="K107" s="109">
        <v>36.05496260487805</v>
      </c>
      <c r="L107" s="114"/>
      <c r="M107" s="113">
        <v>40.624516390243905</v>
      </c>
      <c r="N107" s="114">
        <v>41.547800853658543</v>
      </c>
      <c r="O107" s="109">
        <v>45.636632048780498</v>
      </c>
      <c r="P107" s="119"/>
      <c r="Q107" s="120">
        <v>0.14000000000000001</v>
      </c>
      <c r="R107" s="120">
        <v>0.08</v>
      </c>
      <c r="S107" s="120">
        <v>0.04</v>
      </c>
      <c r="T107" s="120">
        <v>0.02</v>
      </c>
      <c r="U107" s="120">
        <v>0.01</v>
      </c>
      <c r="V107" s="121">
        <f t="shared" si="16"/>
        <v>0</v>
      </c>
      <c r="W107" s="119"/>
      <c r="X107" s="113">
        <f t="shared" si="11"/>
        <v>274.16970968721023</v>
      </c>
      <c r="Y107" s="113">
        <f t="shared" si="12"/>
        <v>332.55236628662118</v>
      </c>
      <c r="Z107" s="113">
        <f t="shared" si="13"/>
        <v>422.38957782453218</v>
      </c>
      <c r="AA107" s="22"/>
      <c r="AB107" s="22"/>
      <c r="AC107" s="22"/>
      <c r="AD107" s="22"/>
      <c r="AE107" s="22"/>
      <c r="AF107" s="22"/>
      <c r="AG107" s="22"/>
      <c r="AH107" s="22"/>
      <c r="AI107" s="22"/>
      <c r="AJ107" s="22"/>
      <c r="AK107" s="22"/>
      <c r="AL107" s="22"/>
      <c r="AM107" s="22"/>
      <c r="AN107" s="22"/>
      <c r="AO107" s="22"/>
      <c r="AP107" s="22"/>
      <c r="AQ107" s="22"/>
      <c r="AR107" s="22"/>
    </row>
    <row r="108" spans="1:44" hidden="1" x14ac:dyDescent="0.25">
      <c r="A108" s="16"/>
      <c r="B108" s="3" t="s">
        <v>173</v>
      </c>
      <c r="C108" s="3" t="s">
        <v>174</v>
      </c>
      <c r="D108" s="11" t="s">
        <v>6</v>
      </c>
      <c r="E108" s="107">
        <v>112.63074226083782</v>
      </c>
      <c r="F108" s="108">
        <v>142.1062561901748</v>
      </c>
      <c r="G108" s="109">
        <v>185.53351971944525</v>
      </c>
      <c r="H108" s="114"/>
      <c r="I108" s="113">
        <v>14.550702497560978</v>
      </c>
      <c r="J108" s="114">
        <v>16.365774600000002</v>
      </c>
      <c r="K108" s="109">
        <v>19.634410668292688</v>
      </c>
      <c r="L108" s="114"/>
      <c r="M108" s="113">
        <v>32.217739024390248</v>
      </c>
      <c r="N108" s="114">
        <v>32.949960365853656</v>
      </c>
      <c r="O108" s="109">
        <v>36.192654878048785</v>
      </c>
      <c r="P108" s="119"/>
      <c r="Q108" s="120">
        <v>0.05</v>
      </c>
      <c r="R108" s="120">
        <v>0.01</v>
      </c>
      <c r="S108" s="120">
        <v>0.03</v>
      </c>
      <c r="T108" s="120">
        <v>0.01</v>
      </c>
      <c r="U108" s="120">
        <v>0.01</v>
      </c>
      <c r="V108" s="121">
        <f t="shared" si="16"/>
        <v>0</v>
      </c>
      <c r="W108" s="119"/>
      <c r="X108" s="113">
        <f t="shared" si="11"/>
        <v>159.39918378278904</v>
      </c>
      <c r="Y108" s="113">
        <f t="shared" si="12"/>
        <v>191.42199115602847</v>
      </c>
      <c r="Z108" s="113">
        <f t="shared" si="13"/>
        <v>241.36058526578674</v>
      </c>
      <c r="AA108" s="22"/>
      <c r="AB108" s="22"/>
      <c r="AC108" s="22"/>
      <c r="AD108" s="22"/>
      <c r="AE108" s="22"/>
      <c r="AF108" s="22"/>
      <c r="AG108" s="22"/>
      <c r="AH108" s="22"/>
      <c r="AI108" s="22"/>
      <c r="AJ108" s="22"/>
      <c r="AK108" s="22"/>
      <c r="AL108" s="22"/>
      <c r="AM108" s="22"/>
      <c r="AN108" s="22"/>
      <c r="AO108" s="22"/>
      <c r="AP108" s="22"/>
      <c r="AQ108" s="22"/>
      <c r="AR108" s="22"/>
    </row>
    <row r="109" spans="1:44" hidden="1" x14ac:dyDescent="0.25">
      <c r="A109" s="16"/>
      <c r="B109" s="3" t="s">
        <v>175</v>
      </c>
      <c r="C109" s="3" t="s">
        <v>176</v>
      </c>
      <c r="D109" s="11" t="s">
        <v>6</v>
      </c>
      <c r="E109" s="107">
        <v>154.75573893349471</v>
      </c>
      <c r="F109" s="108">
        <v>195.25538269873974</v>
      </c>
      <c r="G109" s="109">
        <v>254.92486655748763</v>
      </c>
      <c r="H109" s="114"/>
      <c r="I109" s="113">
        <v>8.0074672392971351</v>
      </c>
      <c r="J109" s="114">
        <v>11.05447629071711</v>
      </c>
      <c r="K109" s="109">
        <v>11.371873066906689</v>
      </c>
      <c r="L109" s="114"/>
      <c r="M109" s="113">
        <v>29.954333414634139</v>
      </c>
      <c r="N109" s="114">
        <v>30.635113719512187</v>
      </c>
      <c r="O109" s="109">
        <v>33.649997926829258</v>
      </c>
      <c r="P109" s="119"/>
      <c r="Q109" s="120" t="s">
        <v>252</v>
      </c>
      <c r="R109" s="120" t="s">
        <v>252</v>
      </c>
      <c r="S109" s="120" t="s">
        <v>252</v>
      </c>
      <c r="T109" s="120" t="s">
        <v>252</v>
      </c>
      <c r="U109" s="120">
        <v>0.12</v>
      </c>
      <c r="V109" s="121">
        <f t="shared" si="16"/>
        <v>0</v>
      </c>
      <c r="W109" s="119"/>
      <c r="X109" s="113">
        <f t="shared" si="11"/>
        <v>192.71753958742599</v>
      </c>
      <c r="Y109" s="113">
        <f t="shared" si="12"/>
        <v>236.94497270896903</v>
      </c>
      <c r="Z109" s="113">
        <f t="shared" si="13"/>
        <v>299.94673755122358</v>
      </c>
      <c r="AA109" s="22"/>
      <c r="AB109" s="22"/>
      <c r="AC109" s="22"/>
      <c r="AD109" s="22"/>
      <c r="AE109" s="22"/>
      <c r="AF109" s="22"/>
      <c r="AG109" s="22"/>
      <c r="AH109" s="22"/>
      <c r="AI109" s="22"/>
      <c r="AJ109" s="22"/>
      <c r="AK109" s="22"/>
      <c r="AL109" s="22"/>
      <c r="AM109" s="22"/>
      <c r="AN109" s="22"/>
      <c r="AO109" s="22"/>
      <c r="AP109" s="22"/>
      <c r="AQ109" s="22"/>
      <c r="AR109" s="22"/>
    </row>
    <row r="110" spans="1:44" hidden="1" x14ac:dyDescent="0.25">
      <c r="A110" s="16"/>
      <c r="B110" s="3" t="s">
        <v>175</v>
      </c>
      <c r="C110" s="3" t="s">
        <v>177</v>
      </c>
      <c r="D110" s="11" t="s">
        <v>6</v>
      </c>
      <c r="E110" s="107">
        <v>154.75573893349471</v>
      </c>
      <c r="F110" s="108">
        <v>195.25538269873974</v>
      </c>
      <c r="G110" s="109">
        <v>254.92486655748763</v>
      </c>
      <c r="H110" s="114"/>
      <c r="I110" s="113">
        <v>8.0074672392971351</v>
      </c>
      <c r="J110" s="114">
        <v>11.05447629071711</v>
      </c>
      <c r="K110" s="109">
        <v>11.371873066906689</v>
      </c>
      <c r="L110" s="114"/>
      <c r="M110" s="113">
        <v>29.954333414634139</v>
      </c>
      <c r="N110" s="114">
        <v>30.635113719512187</v>
      </c>
      <c r="O110" s="109">
        <v>33.649997926829258</v>
      </c>
      <c r="P110" s="119"/>
      <c r="Q110" s="120" t="s">
        <v>252</v>
      </c>
      <c r="R110" s="120" t="s">
        <v>252</v>
      </c>
      <c r="S110" s="120" t="s">
        <v>252</v>
      </c>
      <c r="T110" s="120" t="s">
        <v>252</v>
      </c>
      <c r="U110" s="120">
        <v>0.12</v>
      </c>
      <c r="V110" s="121">
        <f t="shared" si="16"/>
        <v>0</v>
      </c>
      <c r="W110" s="119"/>
      <c r="X110" s="113">
        <f t="shared" si="11"/>
        <v>192.71753958742599</v>
      </c>
      <c r="Y110" s="113">
        <f t="shared" si="12"/>
        <v>236.94497270896903</v>
      </c>
      <c r="Z110" s="113">
        <f t="shared" si="13"/>
        <v>299.94673755122358</v>
      </c>
      <c r="AA110" s="22"/>
      <c r="AB110" s="22"/>
      <c r="AC110" s="22"/>
      <c r="AD110" s="22"/>
      <c r="AE110" s="22"/>
      <c r="AF110" s="22"/>
      <c r="AG110" s="22"/>
      <c r="AH110" s="22"/>
      <c r="AI110" s="22"/>
      <c r="AJ110" s="22"/>
      <c r="AK110" s="22"/>
      <c r="AL110" s="22"/>
      <c r="AM110" s="22"/>
      <c r="AN110" s="22"/>
      <c r="AO110" s="22"/>
      <c r="AP110" s="22"/>
      <c r="AQ110" s="22"/>
      <c r="AR110" s="22"/>
    </row>
    <row r="111" spans="1:44" hidden="1" x14ac:dyDescent="0.25">
      <c r="A111" s="16"/>
      <c r="B111" s="3" t="s">
        <v>178</v>
      </c>
      <c r="C111" s="3" t="s">
        <v>179</v>
      </c>
      <c r="D111" s="11" t="s">
        <v>6</v>
      </c>
      <c r="E111" s="107">
        <v>111.0340576821088</v>
      </c>
      <c r="F111" s="108">
        <v>135.11149328340971</v>
      </c>
      <c r="G111" s="109">
        <v>209.86973252272895</v>
      </c>
      <c r="H111" s="114"/>
      <c r="I111" s="113">
        <v>12.606897788798719</v>
      </c>
      <c r="J111" s="114">
        <v>14.179497357691313</v>
      </c>
      <c r="K111" s="109">
        <v>17.011481643580879</v>
      </c>
      <c r="L111" s="114"/>
      <c r="M111" s="113">
        <v>19.353584367130615</v>
      </c>
      <c r="N111" s="114">
        <v>19.793438557292671</v>
      </c>
      <c r="O111" s="109">
        <v>21.741364256581797</v>
      </c>
      <c r="P111" s="119"/>
      <c r="Q111" s="120">
        <v>0.05</v>
      </c>
      <c r="R111" s="120">
        <v>0.02</v>
      </c>
      <c r="S111" s="120">
        <v>0.04</v>
      </c>
      <c r="T111" s="120">
        <v>0.03</v>
      </c>
      <c r="U111" s="120">
        <v>0.02</v>
      </c>
      <c r="V111" s="121">
        <f t="shared" si="16"/>
        <v>0</v>
      </c>
      <c r="W111" s="119"/>
      <c r="X111" s="113">
        <f t="shared" si="11"/>
        <v>142.99453983803812</v>
      </c>
      <c r="Y111" s="113">
        <f t="shared" si="12"/>
        <v>169.08442919839368</v>
      </c>
      <c r="Z111" s="113">
        <f t="shared" si="13"/>
        <v>248.62257842289162</v>
      </c>
      <c r="AA111" s="22"/>
      <c r="AB111" s="22"/>
      <c r="AC111" s="22"/>
      <c r="AD111" s="22"/>
      <c r="AE111" s="22"/>
      <c r="AF111" s="22"/>
      <c r="AG111" s="22"/>
      <c r="AH111" s="22"/>
      <c r="AI111" s="22"/>
      <c r="AJ111" s="22"/>
      <c r="AK111" s="22"/>
      <c r="AL111" s="22"/>
      <c r="AM111" s="22"/>
      <c r="AN111" s="22"/>
      <c r="AO111" s="22"/>
      <c r="AP111" s="22"/>
      <c r="AQ111" s="22"/>
      <c r="AR111" s="22"/>
    </row>
    <row r="112" spans="1:44" hidden="1" x14ac:dyDescent="0.25">
      <c r="A112" s="16"/>
      <c r="B112" s="3" t="s">
        <v>180</v>
      </c>
      <c r="C112" s="3" t="s">
        <v>181</v>
      </c>
      <c r="D112" s="11" t="s">
        <v>8</v>
      </c>
      <c r="E112" s="107">
        <v>91.779880502737043</v>
      </c>
      <c r="F112" s="108">
        <v>123.88577853070019</v>
      </c>
      <c r="G112" s="109">
        <v>175.56255289004983</v>
      </c>
      <c r="H112" s="114"/>
      <c r="I112" s="113">
        <v>5.7395000000000005</v>
      </c>
      <c r="J112" s="114">
        <v>7.9234999999999998</v>
      </c>
      <c r="K112" s="109">
        <v>8.1509999999999998</v>
      </c>
      <c r="L112" s="114"/>
      <c r="M112" s="113">
        <v>19.034400000000002</v>
      </c>
      <c r="N112" s="114">
        <v>19.466999999999999</v>
      </c>
      <c r="O112" s="109">
        <v>21.382800000000003</v>
      </c>
      <c r="P112" s="119"/>
      <c r="Q112" s="120">
        <v>0.04</v>
      </c>
      <c r="R112" s="120">
        <v>0.02</v>
      </c>
      <c r="S112" s="120">
        <v>0.04</v>
      </c>
      <c r="T112" s="120">
        <v>0.02</v>
      </c>
      <c r="U112" s="120">
        <v>0.02</v>
      </c>
      <c r="V112" s="121">
        <f>SUBTOTAL(9,Q112:U112)</f>
        <v>0</v>
      </c>
      <c r="W112" s="119"/>
      <c r="X112" s="113">
        <f t="shared" si="11"/>
        <v>116.55378050273706</v>
      </c>
      <c r="Y112" s="113">
        <f t="shared" si="12"/>
        <v>151.27627853070021</v>
      </c>
      <c r="Z112" s="113">
        <f t="shared" si="13"/>
        <v>205.09635289004984</v>
      </c>
      <c r="AA112" s="22"/>
      <c r="AB112" s="22"/>
      <c r="AC112" s="22"/>
      <c r="AD112" s="22"/>
      <c r="AE112" s="22"/>
      <c r="AF112" s="22"/>
      <c r="AG112" s="22"/>
      <c r="AH112" s="22"/>
      <c r="AI112" s="22"/>
      <c r="AJ112" s="22"/>
      <c r="AK112" s="22"/>
      <c r="AL112" s="22"/>
      <c r="AM112" s="22"/>
      <c r="AN112" s="22"/>
      <c r="AO112" s="22"/>
      <c r="AP112" s="22"/>
      <c r="AQ112" s="22"/>
      <c r="AR112" s="22"/>
    </row>
    <row r="113" spans="1:44" hidden="1" x14ac:dyDescent="0.25">
      <c r="A113" s="16"/>
      <c r="B113" s="3" t="s">
        <v>182</v>
      </c>
      <c r="C113" s="3" t="s">
        <v>183</v>
      </c>
      <c r="D113" s="11" t="s">
        <v>8</v>
      </c>
      <c r="E113" s="107">
        <v>95.669168840693061</v>
      </c>
      <c r="F113" s="108">
        <v>126.88701536656114</v>
      </c>
      <c r="G113" s="109">
        <v>179.43851759792938</v>
      </c>
      <c r="H113" s="114"/>
      <c r="I113" s="113">
        <v>6.6229396472163762</v>
      </c>
      <c r="J113" s="114">
        <v>9.1431069421933877</v>
      </c>
      <c r="K113" s="109">
        <v>9.4056243687534931</v>
      </c>
      <c r="L113" s="114"/>
      <c r="M113" s="113">
        <v>25.694592000000004</v>
      </c>
      <c r="N113" s="114">
        <v>26.278560000000002</v>
      </c>
      <c r="O113" s="109">
        <v>28.864704000000003</v>
      </c>
      <c r="P113" s="119"/>
      <c r="Q113" s="120">
        <v>0.05</v>
      </c>
      <c r="R113" s="120">
        <v>0.05</v>
      </c>
      <c r="S113" s="120">
        <v>0.03</v>
      </c>
      <c r="T113" s="120">
        <v>0.05</v>
      </c>
      <c r="U113" s="120">
        <v>5.0000000000000001E-3</v>
      </c>
      <c r="V113" s="121">
        <f t="shared" ref="V113:V135" si="17">SUBTOTAL(9,Q113:U113)</f>
        <v>0</v>
      </c>
      <c r="W113" s="119"/>
      <c r="X113" s="113">
        <f t="shared" si="11"/>
        <v>127.98670048790943</v>
      </c>
      <c r="Y113" s="113">
        <f t="shared" si="12"/>
        <v>162.30868230875453</v>
      </c>
      <c r="Z113" s="113">
        <f t="shared" si="13"/>
        <v>217.70884596668287</v>
      </c>
      <c r="AA113" s="22"/>
      <c r="AB113" s="22"/>
      <c r="AC113" s="22"/>
      <c r="AD113" s="22"/>
      <c r="AE113" s="22"/>
      <c r="AF113" s="22"/>
      <c r="AG113" s="22"/>
      <c r="AH113" s="22"/>
      <c r="AI113" s="22"/>
      <c r="AJ113" s="22"/>
      <c r="AK113" s="22"/>
      <c r="AL113" s="22"/>
      <c r="AM113" s="22"/>
      <c r="AN113" s="22"/>
      <c r="AO113" s="22"/>
      <c r="AP113" s="22"/>
      <c r="AQ113" s="22"/>
      <c r="AR113" s="22"/>
    </row>
    <row r="114" spans="1:44" hidden="1" x14ac:dyDescent="0.25">
      <c r="A114" s="21"/>
      <c r="B114" s="3" t="s">
        <v>182</v>
      </c>
      <c r="C114" s="3" t="s">
        <v>184</v>
      </c>
      <c r="D114" s="11" t="s">
        <v>8</v>
      </c>
      <c r="E114" s="107">
        <v>97.58255221750693</v>
      </c>
      <c r="F114" s="108">
        <v>129.42475567389235</v>
      </c>
      <c r="G114" s="109">
        <v>183.02728794988798</v>
      </c>
      <c r="H114" s="114"/>
      <c r="I114" s="113">
        <v>6.7991000000000001</v>
      </c>
      <c r="J114" s="114">
        <v>9.3863000000000003</v>
      </c>
      <c r="K114" s="109">
        <v>9.6557999999999993</v>
      </c>
      <c r="L114" s="114"/>
      <c r="M114" s="113">
        <v>26.208483840000003</v>
      </c>
      <c r="N114" s="114">
        <v>26.804131200000004</v>
      </c>
      <c r="O114" s="109">
        <v>29.441998080000005</v>
      </c>
      <c r="P114" s="119"/>
      <c r="Q114" s="120">
        <v>0.05</v>
      </c>
      <c r="R114" s="120">
        <v>0.05</v>
      </c>
      <c r="S114" s="120">
        <v>0.03</v>
      </c>
      <c r="T114" s="120">
        <v>0.05</v>
      </c>
      <c r="U114" s="120">
        <v>5.0000000000000001E-3</v>
      </c>
      <c r="V114" s="121">
        <f t="shared" si="17"/>
        <v>0</v>
      </c>
      <c r="W114" s="119"/>
      <c r="X114" s="113">
        <f t="shared" si="11"/>
        <v>130.59013605750692</v>
      </c>
      <c r="Y114" s="113">
        <f t="shared" si="12"/>
        <v>165.61518687389236</v>
      </c>
      <c r="Z114" s="113">
        <f t="shared" si="13"/>
        <v>222.125086029888</v>
      </c>
      <c r="AA114" s="22"/>
      <c r="AB114" s="22"/>
      <c r="AC114" s="22"/>
      <c r="AD114" s="22"/>
      <c r="AE114" s="22"/>
      <c r="AF114" s="22"/>
      <c r="AG114" s="22"/>
      <c r="AH114" s="22"/>
      <c r="AI114" s="22"/>
      <c r="AJ114" s="22"/>
      <c r="AK114" s="22"/>
      <c r="AL114" s="22"/>
      <c r="AM114" s="22"/>
      <c r="AN114" s="22"/>
      <c r="AO114" s="22"/>
      <c r="AP114" s="22"/>
      <c r="AQ114" s="22"/>
      <c r="AR114" s="22"/>
    </row>
    <row r="115" spans="1:44" hidden="1" x14ac:dyDescent="0.25">
      <c r="A115" s="21"/>
      <c r="B115" s="3" t="s">
        <v>182</v>
      </c>
      <c r="C115" s="3" t="s">
        <v>185</v>
      </c>
      <c r="D115" s="11" t="s">
        <v>8</v>
      </c>
      <c r="E115" s="107">
        <v>99.495935594320784</v>
      </c>
      <c r="F115" s="108">
        <v>131.96249598122361</v>
      </c>
      <c r="G115" s="109">
        <v>186.61605830184658</v>
      </c>
      <c r="H115" s="114"/>
      <c r="I115" s="113">
        <v>6.8874000000000004</v>
      </c>
      <c r="J115" s="114">
        <v>9.5082000000000004</v>
      </c>
      <c r="K115" s="109">
        <v>9.7812000000000001</v>
      </c>
      <c r="L115" s="114"/>
      <c r="M115" s="113">
        <v>26.722375680000006</v>
      </c>
      <c r="N115" s="114">
        <v>27.329702400000002</v>
      </c>
      <c r="O115" s="109">
        <v>30.019292160000003</v>
      </c>
      <c r="P115" s="119"/>
      <c r="Q115" s="120">
        <v>0.05</v>
      </c>
      <c r="R115" s="120">
        <v>0.05</v>
      </c>
      <c r="S115" s="120">
        <v>0.03</v>
      </c>
      <c r="T115" s="120">
        <v>0.05</v>
      </c>
      <c r="U115" s="120">
        <v>5.0000000000000001E-3</v>
      </c>
      <c r="V115" s="121">
        <f t="shared" si="17"/>
        <v>0</v>
      </c>
      <c r="W115" s="119"/>
      <c r="X115" s="113">
        <f t="shared" si="11"/>
        <v>133.10571127432078</v>
      </c>
      <c r="Y115" s="113">
        <f t="shared" si="12"/>
        <v>168.8003983812236</v>
      </c>
      <c r="Z115" s="113">
        <f t="shared" si="13"/>
        <v>226.41655046184658</v>
      </c>
      <c r="AA115" s="22"/>
      <c r="AB115" s="22"/>
      <c r="AC115" s="22"/>
      <c r="AD115" s="22"/>
      <c r="AE115" s="22"/>
      <c r="AF115" s="22"/>
      <c r="AG115" s="22"/>
      <c r="AH115" s="22"/>
      <c r="AI115" s="22"/>
      <c r="AJ115" s="22"/>
      <c r="AK115" s="22"/>
      <c r="AL115" s="22"/>
      <c r="AM115" s="22"/>
      <c r="AN115" s="22"/>
      <c r="AO115" s="22"/>
      <c r="AP115" s="22"/>
      <c r="AQ115" s="22"/>
      <c r="AR115" s="22"/>
    </row>
    <row r="116" spans="1:44" hidden="1" x14ac:dyDescent="0.25">
      <c r="A116" s="21"/>
      <c r="B116" s="3" t="s">
        <v>182</v>
      </c>
      <c r="C116" s="3" t="s">
        <v>186</v>
      </c>
      <c r="D116" s="11" t="s">
        <v>8</v>
      </c>
      <c r="E116" s="107">
        <v>98.539243905913864</v>
      </c>
      <c r="F116" s="108">
        <v>130.69362582755798</v>
      </c>
      <c r="G116" s="109">
        <v>184.82167312586728</v>
      </c>
      <c r="H116" s="114"/>
      <c r="I116" s="113">
        <v>6.7991000000000001</v>
      </c>
      <c r="J116" s="114">
        <v>9.3863000000000003</v>
      </c>
      <c r="K116" s="109">
        <v>9.6557999999999993</v>
      </c>
      <c r="L116" s="114"/>
      <c r="M116" s="113">
        <v>26.465429760000003</v>
      </c>
      <c r="N116" s="114">
        <v>27.066916800000005</v>
      </c>
      <c r="O116" s="109">
        <v>29.730645120000005</v>
      </c>
      <c r="P116" s="119"/>
      <c r="Q116" s="120">
        <v>0.05</v>
      </c>
      <c r="R116" s="120">
        <v>0.05</v>
      </c>
      <c r="S116" s="120">
        <v>0.03</v>
      </c>
      <c r="T116" s="120">
        <v>0.05</v>
      </c>
      <c r="U116" s="120">
        <v>5.0000000000000001E-3</v>
      </c>
      <c r="V116" s="121">
        <f t="shared" si="17"/>
        <v>0</v>
      </c>
      <c r="W116" s="119"/>
      <c r="X116" s="113">
        <f t="shared" si="11"/>
        <v>131.80377366591387</v>
      </c>
      <c r="Y116" s="113">
        <f t="shared" si="12"/>
        <v>167.14684262755799</v>
      </c>
      <c r="Z116" s="113">
        <f t="shared" si="13"/>
        <v>224.2081182458673</v>
      </c>
      <c r="AA116" s="22"/>
      <c r="AB116" s="22"/>
      <c r="AC116" s="22"/>
      <c r="AD116" s="22"/>
      <c r="AE116" s="22"/>
      <c r="AF116" s="22"/>
      <c r="AG116" s="22"/>
      <c r="AH116" s="22"/>
      <c r="AI116" s="22"/>
      <c r="AJ116" s="22"/>
      <c r="AK116" s="22"/>
      <c r="AL116" s="22"/>
      <c r="AM116" s="22"/>
      <c r="AN116" s="22"/>
      <c r="AO116" s="22"/>
      <c r="AP116" s="22"/>
      <c r="AQ116" s="22"/>
      <c r="AR116" s="22"/>
    </row>
    <row r="117" spans="1:44" hidden="1" x14ac:dyDescent="0.25">
      <c r="A117" s="16"/>
      <c r="B117" s="3" t="s">
        <v>180</v>
      </c>
      <c r="C117" s="3" t="s">
        <v>187</v>
      </c>
      <c r="D117" s="11" t="s">
        <v>8</v>
      </c>
      <c r="E117" s="107">
        <v>83.537359551406595</v>
      </c>
      <c r="F117" s="108">
        <v>118.60415717067866</v>
      </c>
      <c r="G117" s="109">
        <v>180.29273521870203</v>
      </c>
      <c r="H117" s="114"/>
      <c r="I117" s="113">
        <v>5.4745999999999997</v>
      </c>
      <c r="J117" s="114">
        <v>7.5577999999999994</v>
      </c>
      <c r="K117" s="109">
        <v>7.774799999999999</v>
      </c>
      <c r="L117" s="114"/>
      <c r="M117" s="113">
        <v>18.22128</v>
      </c>
      <c r="N117" s="114">
        <v>18.635400000000001</v>
      </c>
      <c r="O117" s="109">
        <v>20.469359999999998</v>
      </c>
      <c r="P117" s="119"/>
      <c r="Q117" s="120">
        <v>0.05</v>
      </c>
      <c r="R117" s="120">
        <v>0.02</v>
      </c>
      <c r="S117" s="120">
        <v>0.04</v>
      </c>
      <c r="T117" s="120">
        <v>0.02</v>
      </c>
      <c r="U117" s="120">
        <v>0.02</v>
      </c>
      <c r="V117" s="121">
        <f t="shared" si="17"/>
        <v>0</v>
      </c>
      <c r="W117" s="119"/>
      <c r="X117" s="113">
        <f t="shared" si="11"/>
        <v>107.2332395514066</v>
      </c>
      <c r="Y117" s="113">
        <f t="shared" si="12"/>
        <v>144.79735717067865</v>
      </c>
      <c r="Z117" s="113">
        <f t="shared" si="13"/>
        <v>208.53689521870203</v>
      </c>
      <c r="AA117" s="22"/>
      <c r="AB117" s="22"/>
      <c r="AC117" s="22"/>
      <c r="AD117" s="22"/>
      <c r="AE117" s="22"/>
      <c r="AF117" s="22"/>
      <c r="AG117" s="22"/>
      <c r="AH117" s="22"/>
      <c r="AI117" s="22"/>
      <c r="AJ117" s="22"/>
      <c r="AK117" s="22"/>
      <c r="AL117" s="22"/>
      <c r="AM117" s="22"/>
      <c r="AN117" s="22"/>
      <c r="AO117" s="22"/>
      <c r="AP117" s="22"/>
      <c r="AQ117" s="22"/>
      <c r="AR117" s="22"/>
    </row>
    <row r="118" spans="1:44" hidden="1" x14ac:dyDescent="0.25">
      <c r="A118" s="16"/>
      <c r="B118" s="3" t="s">
        <v>180</v>
      </c>
      <c r="C118" s="3" t="s">
        <v>188</v>
      </c>
      <c r="D118" s="11" t="s">
        <v>8</v>
      </c>
      <c r="E118" s="107">
        <v>80.119701571770818</v>
      </c>
      <c r="F118" s="108">
        <v>113.63100742948316</v>
      </c>
      <c r="G118" s="109">
        <v>172.49478521380766</v>
      </c>
      <c r="H118" s="114"/>
      <c r="I118" s="113">
        <v>5.298</v>
      </c>
      <c r="J118" s="114">
        <v>7.3139999999999992</v>
      </c>
      <c r="K118" s="109">
        <v>7.5239999999999991</v>
      </c>
      <c r="L118" s="114"/>
      <c r="M118" s="113">
        <v>17.907119999999999</v>
      </c>
      <c r="N118" s="114">
        <v>18.3141</v>
      </c>
      <c r="O118" s="109">
        <v>20.116439999999997</v>
      </c>
      <c r="P118" s="119"/>
      <c r="Q118" s="120">
        <v>0.05</v>
      </c>
      <c r="R118" s="120">
        <v>0.02</v>
      </c>
      <c r="S118" s="120">
        <v>0.04</v>
      </c>
      <c r="T118" s="120">
        <v>0.02</v>
      </c>
      <c r="U118" s="120">
        <v>0.02</v>
      </c>
      <c r="V118" s="121">
        <f t="shared" si="17"/>
        <v>0</v>
      </c>
      <c r="W118" s="119"/>
      <c r="X118" s="113">
        <f t="shared" si="11"/>
        <v>103.32482157177083</v>
      </c>
      <c r="Y118" s="113">
        <f t="shared" si="12"/>
        <v>139.25910742948315</v>
      </c>
      <c r="Z118" s="113">
        <f t="shared" si="13"/>
        <v>200.13522521380764</v>
      </c>
      <c r="AA118" s="22"/>
      <c r="AB118" s="22"/>
      <c r="AC118" s="22"/>
      <c r="AD118" s="22"/>
      <c r="AE118" s="22"/>
      <c r="AF118" s="22"/>
      <c r="AG118" s="22"/>
      <c r="AH118" s="22"/>
      <c r="AI118" s="22"/>
      <c r="AJ118" s="22"/>
      <c r="AK118" s="22"/>
      <c r="AL118" s="22"/>
      <c r="AM118" s="22"/>
      <c r="AN118" s="22"/>
      <c r="AO118" s="22"/>
      <c r="AP118" s="22"/>
      <c r="AQ118" s="22"/>
      <c r="AR118" s="22"/>
    </row>
    <row r="119" spans="1:44" hidden="1" x14ac:dyDescent="0.25">
      <c r="A119" s="16"/>
      <c r="B119" s="3" t="s">
        <v>180</v>
      </c>
      <c r="C119" s="3" t="s">
        <v>189</v>
      </c>
      <c r="D119" s="11" t="s">
        <v>8</v>
      </c>
      <c r="E119" s="107">
        <v>72.160235470212669</v>
      </c>
      <c r="F119" s="108">
        <v>101.19859550517288</v>
      </c>
      <c r="G119" s="109">
        <v>160.75103956916161</v>
      </c>
      <c r="H119" s="114"/>
      <c r="I119" s="113">
        <v>5.4745999999999997</v>
      </c>
      <c r="J119" s="114">
        <v>7.5577999999999994</v>
      </c>
      <c r="K119" s="109">
        <v>7.774799999999999</v>
      </c>
      <c r="L119" s="114"/>
      <c r="M119" s="113">
        <v>17.592960000000001</v>
      </c>
      <c r="N119" s="114">
        <v>17.992800000000003</v>
      </c>
      <c r="O119" s="109">
        <v>19.763520000000003</v>
      </c>
      <c r="P119" s="119"/>
      <c r="Q119" s="120">
        <v>0.05</v>
      </c>
      <c r="R119" s="120">
        <v>0.02</v>
      </c>
      <c r="S119" s="120">
        <v>0.04</v>
      </c>
      <c r="T119" s="120">
        <v>0.02</v>
      </c>
      <c r="U119" s="120">
        <v>0.02</v>
      </c>
      <c r="V119" s="121">
        <f t="shared" si="17"/>
        <v>0</v>
      </c>
      <c r="W119" s="119"/>
      <c r="X119" s="113">
        <f t="shared" si="11"/>
        <v>95.227795470212669</v>
      </c>
      <c r="Y119" s="113">
        <f t="shared" si="12"/>
        <v>126.74919550517288</v>
      </c>
      <c r="Z119" s="113">
        <f t="shared" si="13"/>
        <v>188.2893595691616</v>
      </c>
      <c r="AA119" s="22"/>
      <c r="AB119" s="22"/>
      <c r="AC119" s="22"/>
      <c r="AD119" s="22"/>
      <c r="AE119" s="22"/>
      <c r="AF119" s="22"/>
      <c r="AG119" s="22"/>
      <c r="AH119" s="22"/>
      <c r="AI119" s="22"/>
      <c r="AJ119" s="22"/>
      <c r="AK119" s="22"/>
      <c r="AL119" s="22"/>
      <c r="AM119" s="22"/>
      <c r="AN119" s="22"/>
      <c r="AO119" s="22"/>
      <c r="AP119" s="22"/>
      <c r="AQ119" s="22"/>
      <c r="AR119" s="22"/>
    </row>
    <row r="120" spans="1:44" hidden="1" x14ac:dyDescent="0.25">
      <c r="A120" s="16"/>
      <c r="B120" s="3" t="s">
        <v>190</v>
      </c>
      <c r="C120" s="3" t="s">
        <v>191</v>
      </c>
      <c r="D120" s="11" t="s">
        <v>8</v>
      </c>
      <c r="E120" s="107">
        <v>48.161794695179545</v>
      </c>
      <c r="F120" s="108">
        <v>59.337637087380344</v>
      </c>
      <c r="G120" s="109">
        <v>91.647312610194561</v>
      </c>
      <c r="H120" s="114"/>
      <c r="I120" s="113">
        <v>2.3841000000000001</v>
      </c>
      <c r="J120" s="114">
        <v>3.2913000000000001</v>
      </c>
      <c r="K120" s="109">
        <v>3.3858000000000001</v>
      </c>
      <c r="L120" s="114"/>
      <c r="M120" s="113">
        <v>9.237008360095988</v>
      </c>
      <c r="N120" s="114">
        <v>9.4469403682799875</v>
      </c>
      <c r="O120" s="109">
        <v>10.376639261666272</v>
      </c>
      <c r="P120" s="119"/>
      <c r="Q120" s="120">
        <v>0.03</v>
      </c>
      <c r="R120" s="120">
        <v>1.4999999999999999E-2</v>
      </c>
      <c r="S120" s="120">
        <v>0.05</v>
      </c>
      <c r="T120" s="120">
        <v>2.5000000000000001E-2</v>
      </c>
      <c r="U120" s="120">
        <v>0.03</v>
      </c>
      <c r="V120" s="121">
        <f t="shared" si="17"/>
        <v>0</v>
      </c>
      <c r="W120" s="119"/>
      <c r="X120" s="113">
        <f t="shared" si="11"/>
        <v>59.782903055275526</v>
      </c>
      <c r="Y120" s="113">
        <f t="shared" si="12"/>
        <v>72.075877455660333</v>
      </c>
      <c r="Z120" s="113">
        <f t="shared" si="13"/>
        <v>105.40975187186083</v>
      </c>
      <c r="AA120" s="22"/>
      <c r="AB120" s="22"/>
      <c r="AC120" s="22"/>
      <c r="AD120" s="22"/>
      <c r="AE120" s="22"/>
      <c r="AF120" s="22"/>
      <c r="AG120" s="22"/>
      <c r="AH120" s="22"/>
      <c r="AI120" s="22"/>
      <c r="AJ120" s="22"/>
      <c r="AK120" s="22"/>
      <c r="AL120" s="22"/>
      <c r="AM120" s="22"/>
      <c r="AN120" s="22"/>
      <c r="AO120" s="22"/>
      <c r="AP120" s="22"/>
      <c r="AQ120" s="22"/>
      <c r="AR120" s="22"/>
    </row>
    <row r="121" spans="1:44" hidden="1" x14ac:dyDescent="0.25">
      <c r="A121" s="21"/>
      <c r="B121" s="3" t="s">
        <v>190</v>
      </c>
      <c r="C121" s="3" t="s">
        <v>192</v>
      </c>
      <c r="D121" s="11" t="s">
        <v>8</v>
      </c>
      <c r="E121" s="107">
        <v>47.684945242752022</v>
      </c>
      <c r="F121" s="108">
        <v>58.750135730079549</v>
      </c>
      <c r="G121" s="109">
        <v>90.739913475440162</v>
      </c>
      <c r="H121" s="114"/>
      <c r="I121" s="113">
        <v>2.3841000000000001</v>
      </c>
      <c r="J121" s="114">
        <v>3.2913000000000001</v>
      </c>
      <c r="K121" s="109">
        <v>3.3858000000000001</v>
      </c>
      <c r="L121" s="114"/>
      <c r="M121" s="113">
        <v>9.1455528317782058</v>
      </c>
      <c r="N121" s="114">
        <v>9.3534063052277094</v>
      </c>
      <c r="O121" s="109">
        <v>10.273900259075516</v>
      </c>
      <c r="P121" s="119"/>
      <c r="Q121" s="120">
        <v>0.03</v>
      </c>
      <c r="R121" s="120">
        <v>1.4999999999999999E-2</v>
      </c>
      <c r="S121" s="120">
        <v>0.05</v>
      </c>
      <c r="T121" s="120">
        <v>2.5000000000000001E-2</v>
      </c>
      <c r="U121" s="120">
        <v>0.03</v>
      </c>
      <c r="V121" s="121">
        <f t="shared" si="17"/>
        <v>0</v>
      </c>
      <c r="W121" s="119"/>
      <c r="X121" s="113">
        <f t="shared" si="11"/>
        <v>59.21459807453023</v>
      </c>
      <c r="Y121" s="113">
        <f t="shared" si="12"/>
        <v>71.394842035307263</v>
      </c>
      <c r="Z121" s="113">
        <f t="shared" si="13"/>
        <v>104.39961373451568</v>
      </c>
      <c r="AA121" s="22"/>
      <c r="AB121" s="22"/>
      <c r="AC121" s="22"/>
      <c r="AD121" s="22"/>
      <c r="AE121" s="22"/>
      <c r="AF121" s="22"/>
      <c r="AG121" s="22"/>
      <c r="AH121" s="22"/>
      <c r="AI121" s="22"/>
      <c r="AJ121" s="22"/>
      <c r="AK121" s="22"/>
      <c r="AL121" s="22"/>
      <c r="AM121" s="22"/>
      <c r="AN121" s="22"/>
      <c r="AO121" s="22"/>
      <c r="AP121" s="22"/>
      <c r="AQ121" s="22"/>
      <c r="AR121" s="22"/>
    </row>
    <row r="122" spans="1:44" hidden="1" x14ac:dyDescent="0.25">
      <c r="A122" s="21"/>
      <c r="B122" s="3" t="s">
        <v>190</v>
      </c>
      <c r="C122" s="3" t="s">
        <v>193</v>
      </c>
      <c r="D122" s="11" t="s">
        <v>8</v>
      </c>
      <c r="E122" s="107">
        <v>47.684945242752022</v>
      </c>
      <c r="F122" s="108">
        <v>58.750135730079549</v>
      </c>
      <c r="G122" s="109">
        <v>90.739913475440162</v>
      </c>
      <c r="H122" s="114"/>
      <c r="I122" s="113">
        <v>2.3841000000000001</v>
      </c>
      <c r="J122" s="114">
        <v>3.2913000000000001</v>
      </c>
      <c r="K122" s="109">
        <v>3.3858000000000001</v>
      </c>
      <c r="L122" s="114"/>
      <c r="M122" s="113">
        <v>9.1455528317782058</v>
      </c>
      <c r="N122" s="114">
        <v>9.3534063052277094</v>
      </c>
      <c r="O122" s="109">
        <v>10.273900259075516</v>
      </c>
      <c r="P122" s="119"/>
      <c r="Q122" s="120">
        <v>0.03</v>
      </c>
      <c r="R122" s="120">
        <v>1.4999999999999999E-2</v>
      </c>
      <c r="S122" s="120">
        <v>0.05</v>
      </c>
      <c r="T122" s="120">
        <v>2.5000000000000001E-2</v>
      </c>
      <c r="U122" s="120">
        <v>0.03</v>
      </c>
      <c r="V122" s="121">
        <f t="shared" si="17"/>
        <v>0</v>
      </c>
      <c r="W122" s="119"/>
      <c r="X122" s="113">
        <f t="shared" si="11"/>
        <v>59.21459807453023</v>
      </c>
      <c r="Y122" s="113">
        <f t="shared" si="12"/>
        <v>71.394842035307263</v>
      </c>
      <c r="Z122" s="113">
        <f t="shared" si="13"/>
        <v>104.39961373451568</v>
      </c>
      <c r="AA122" s="22"/>
      <c r="AB122" s="22"/>
      <c r="AC122" s="22"/>
      <c r="AD122" s="22"/>
      <c r="AE122" s="22"/>
      <c r="AF122" s="22"/>
      <c r="AG122" s="22"/>
      <c r="AH122" s="22"/>
      <c r="AI122" s="22"/>
      <c r="AJ122" s="22"/>
      <c r="AK122" s="22"/>
      <c r="AL122" s="22"/>
      <c r="AM122" s="22"/>
      <c r="AN122" s="22"/>
      <c r="AO122" s="22"/>
      <c r="AP122" s="22"/>
      <c r="AQ122" s="22"/>
      <c r="AR122" s="22"/>
    </row>
    <row r="123" spans="1:44" hidden="1" x14ac:dyDescent="0.25">
      <c r="A123" s="21"/>
      <c r="B123" s="3" t="s">
        <v>190</v>
      </c>
      <c r="C123" s="3" t="s">
        <v>194</v>
      </c>
      <c r="D123" s="11" t="s">
        <v>8</v>
      </c>
      <c r="E123" s="107">
        <v>47.217445779587784</v>
      </c>
      <c r="F123" s="108">
        <v>58.174154007235629</v>
      </c>
      <c r="G123" s="109">
        <v>89.850306480582901</v>
      </c>
      <c r="H123" s="114"/>
      <c r="I123" s="113">
        <v>2.3841000000000001</v>
      </c>
      <c r="J123" s="114">
        <v>3.2913000000000001</v>
      </c>
      <c r="K123" s="109">
        <v>3.3858000000000001</v>
      </c>
      <c r="L123" s="114"/>
      <c r="M123" s="113">
        <v>9.0558905491137143</v>
      </c>
      <c r="N123" s="114">
        <v>9.2617062434117514</v>
      </c>
      <c r="O123" s="109">
        <v>10.173175746731639</v>
      </c>
      <c r="P123" s="119"/>
      <c r="Q123" s="120">
        <v>0.03</v>
      </c>
      <c r="R123" s="120">
        <v>1.4999999999999999E-2</v>
      </c>
      <c r="S123" s="120">
        <v>0.05</v>
      </c>
      <c r="T123" s="120">
        <v>2.5000000000000001E-2</v>
      </c>
      <c r="U123" s="120">
        <v>0.03</v>
      </c>
      <c r="V123" s="121">
        <f t="shared" si="17"/>
        <v>0</v>
      </c>
      <c r="W123" s="119"/>
      <c r="X123" s="113">
        <f t="shared" si="11"/>
        <v>58.657436328701493</v>
      </c>
      <c r="Y123" s="113">
        <f t="shared" si="12"/>
        <v>70.727160250647387</v>
      </c>
      <c r="Z123" s="113">
        <f t="shared" si="13"/>
        <v>103.40928222731455</v>
      </c>
      <c r="AA123" s="22"/>
      <c r="AB123" s="22"/>
      <c r="AC123" s="22"/>
      <c r="AD123" s="22"/>
      <c r="AE123" s="22"/>
      <c r="AF123" s="22"/>
      <c r="AG123" s="22"/>
      <c r="AH123" s="22"/>
      <c r="AI123" s="22"/>
      <c r="AJ123" s="22"/>
      <c r="AK123" s="22"/>
      <c r="AL123" s="22"/>
      <c r="AM123" s="22"/>
      <c r="AN123" s="22"/>
      <c r="AO123" s="22"/>
      <c r="AP123" s="22"/>
      <c r="AQ123" s="22"/>
      <c r="AR123" s="22"/>
    </row>
    <row r="124" spans="1:44" hidden="1" x14ac:dyDescent="0.25">
      <c r="A124" s="21"/>
      <c r="B124" s="3" t="s">
        <v>190</v>
      </c>
      <c r="C124" s="3" t="s">
        <v>195</v>
      </c>
      <c r="D124" s="11" t="s">
        <v>8</v>
      </c>
      <c r="E124" s="107">
        <v>52.014738270793913</v>
      </c>
      <c r="F124" s="108">
        <v>64.084648054370774</v>
      </c>
      <c r="G124" s="109">
        <v>98.979097619010133</v>
      </c>
      <c r="H124" s="114"/>
      <c r="I124" s="113">
        <v>2.649</v>
      </c>
      <c r="J124" s="114">
        <v>3.6569999999999996</v>
      </c>
      <c r="K124" s="109">
        <v>3.7619999999999996</v>
      </c>
      <c r="L124" s="114"/>
      <c r="M124" s="113">
        <v>9.975969028903668</v>
      </c>
      <c r="N124" s="114">
        <v>10.202695597742387</v>
      </c>
      <c r="O124" s="109">
        <v>11.206770402599574</v>
      </c>
      <c r="P124" s="119"/>
      <c r="Q124" s="120">
        <v>0.03</v>
      </c>
      <c r="R124" s="120">
        <v>1.4999999999999999E-2</v>
      </c>
      <c r="S124" s="120">
        <v>0.05</v>
      </c>
      <c r="T124" s="120">
        <v>2.5000000000000001E-2</v>
      </c>
      <c r="U124" s="120">
        <v>0.03</v>
      </c>
      <c r="V124" s="121">
        <f t="shared" si="17"/>
        <v>0</v>
      </c>
      <c r="W124" s="119"/>
      <c r="X124" s="113">
        <f t="shared" si="11"/>
        <v>64.639707299697577</v>
      </c>
      <c r="Y124" s="113">
        <f t="shared" si="12"/>
        <v>77.944343652113162</v>
      </c>
      <c r="Z124" s="113">
        <f t="shared" si="13"/>
        <v>113.94786802160971</v>
      </c>
      <c r="AA124" s="22"/>
      <c r="AB124" s="22"/>
      <c r="AC124" s="22"/>
      <c r="AD124" s="22"/>
      <c r="AE124" s="22"/>
      <c r="AF124" s="22"/>
      <c r="AG124" s="22"/>
      <c r="AH124" s="22"/>
      <c r="AI124" s="22"/>
      <c r="AJ124" s="22"/>
      <c r="AK124" s="22"/>
      <c r="AL124" s="22"/>
      <c r="AM124" s="22"/>
      <c r="AN124" s="22"/>
      <c r="AO124" s="22"/>
      <c r="AP124" s="22"/>
      <c r="AQ124" s="22"/>
      <c r="AR124" s="22"/>
    </row>
    <row r="125" spans="1:44" hidden="1" x14ac:dyDescent="0.25">
      <c r="A125" s="21"/>
      <c r="B125" s="3" t="s">
        <v>190</v>
      </c>
      <c r="C125" s="3" t="s">
        <v>196</v>
      </c>
      <c r="D125" s="11" t="s">
        <v>8</v>
      </c>
      <c r="E125" s="107">
        <v>50.569884429938519</v>
      </c>
      <c r="F125" s="108">
        <v>62.304518941749365</v>
      </c>
      <c r="G125" s="109">
        <v>96.229678240704288</v>
      </c>
      <c r="H125" s="114"/>
      <c r="I125" s="113">
        <v>2.5606999999999998</v>
      </c>
      <c r="J125" s="114">
        <v>3.5350999999999995</v>
      </c>
      <c r="K125" s="109">
        <v>3.6365999999999996</v>
      </c>
      <c r="L125" s="114"/>
      <c r="M125" s="113">
        <v>9.6988587781007887</v>
      </c>
      <c r="N125" s="114">
        <v>9.9192873866939877</v>
      </c>
      <c r="O125" s="109">
        <v>10.895471224749587</v>
      </c>
      <c r="P125" s="119"/>
      <c r="Q125" s="120">
        <v>0.03</v>
      </c>
      <c r="R125" s="120">
        <v>1.4999999999999999E-2</v>
      </c>
      <c r="S125" s="120">
        <v>0.05</v>
      </c>
      <c r="T125" s="120">
        <v>2.5000000000000001E-2</v>
      </c>
      <c r="U125" s="120">
        <v>0.03</v>
      </c>
      <c r="V125" s="121">
        <f t="shared" si="17"/>
        <v>0</v>
      </c>
      <c r="W125" s="119"/>
      <c r="X125" s="113">
        <f t="shared" si="11"/>
        <v>62.829443208039308</v>
      </c>
      <c r="Y125" s="113">
        <f t="shared" si="12"/>
        <v>75.758906328443345</v>
      </c>
      <c r="Z125" s="113">
        <f t="shared" si="13"/>
        <v>110.76174946545387</v>
      </c>
      <c r="AA125" s="22"/>
      <c r="AB125" s="22"/>
      <c r="AC125" s="22"/>
      <c r="AD125" s="22"/>
      <c r="AE125" s="22"/>
      <c r="AF125" s="22"/>
      <c r="AG125" s="22"/>
      <c r="AH125" s="22"/>
      <c r="AI125" s="22"/>
      <c r="AJ125" s="22"/>
      <c r="AK125" s="22"/>
      <c r="AL125" s="22"/>
      <c r="AM125" s="22"/>
      <c r="AN125" s="22"/>
      <c r="AO125" s="22"/>
      <c r="AP125" s="22"/>
      <c r="AQ125" s="22"/>
      <c r="AR125" s="22"/>
    </row>
    <row r="126" spans="1:44" hidden="1" x14ac:dyDescent="0.25">
      <c r="A126" s="21"/>
      <c r="B126" s="3" t="s">
        <v>190</v>
      </c>
      <c r="C126" s="3" t="s">
        <v>197</v>
      </c>
      <c r="D126" s="11" t="s">
        <v>8</v>
      </c>
      <c r="E126" s="107">
        <v>47.684945242752022</v>
      </c>
      <c r="F126" s="108">
        <v>58.750135730079549</v>
      </c>
      <c r="G126" s="109">
        <v>90.739913475440162</v>
      </c>
      <c r="H126" s="114"/>
      <c r="I126" s="113">
        <v>2.3841000000000001</v>
      </c>
      <c r="J126" s="114">
        <v>3.2913000000000001</v>
      </c>
      <c r="K126" s="109">
        <v>3.3858000000000001</v>
      </c>
      <c r="L126" s="114"/>
      <c r="M126" s="113">
        <v>9.1455528317782058</v>
      </c>
      <c r="N126" s="114">
        <v>9.3534063052277094</v>
      </c>
      <c r="O126" s="109">
        <v>10.273900259075516</v>
      </c>
      <c r="P126" s="119"/>
      <c r="Q126" s="120">
        <v>0.03</v>
      </c>
      <c r="R126" s="120">
        <v>1.4999999999999999E-2</v>
      </c>
      <c r="S126" s="120">
        <v>0.05</v>
      </c>
      <c r="T126" s="120">
        <v>2.5000000000000001E-2</v>
      </c>
      <c r="U126" s="120">
        <v>0.03</v>
      </c>
      <c r="V126" s="121">
        <f t="shared" si="17"/>
        <v>0</v>
      </c>
      <c r="W126" s="119"/>
      <c r="X126" s="113">
        <f t="shared" si="11"/>
        <v>59.21459807453023</v>
      </c>
      <c r="Y126" s="113">
        <f t="shared" si="12"/>
        <v>71.394842035307263</v>
      </c>
      <c r="Z126" s="113">
        <f t="shared" si="13"/>
        <v>104.39961373451568</v>
      </c>
      <c r="AA126" s="22"/>
      <c r="AB126" s="22"/>
      <c r="AC126" s="22"/>
      <c r="AD126" s="22"/>
      <c r="AE126" s="22"/>
      <c r="AF126" s="22"/>
      <c r="AG126" s="22"/>
      <c r="AH126" s="22"/>
      <c r="AI126" s="22"/>
      <c r="AJ126" s="22"/>
      <c r="AK126" s="22"/>
      <c r="AL126" s="22"/>
      <c r="AM126" s="22"/>
      <c r="AN126" s="22"/>
      <c r="AO126" s="22"/>
      <c r="AP126" s="22"/>
      <c r="AQ126" s="22"/>
      <c r="AR126" s="22"/>
    </row>
    <row r="127" spans="1:44" hidden="1" x14ac:dyDescent="0.25">
      <c r="A127" s="16"/>
      <c r="B127" s="3" t="s">
        <v>198</v>
      </c>
      <c r="C127" s="3" t="s">
        <v>199</v>
      </c>
      <c r="D127" s="11" t="s">
        <v>8</v>
      </c>
      <c r="E127" s="107">
        <v>92.387707847702004</v>
      </c>
      <c r="F127" s="108">
        <v>99.987395481978027</v>
      </c>
      <c r="G127" s="109">
        <v>133.63377222434147</v>
      </c>
      <c r="H127" s="114"/>
      <c r="I127" s="113">
        <v>4.1501000000000001</v>
      </c>
      <c r="J127" s="114">
        <v>5.7292999999999994</v>
      </c>
      <c r="K127" s="109">
        <v>5.8937999999999997</v>
      </c>
      <c r="L127" s="114"/>
      <c r="M127" s="113">
        <v>15.523199999999999</v>
      </c>
      <c r="N127" s="114">
        <v>15.875999999999999</v>
      </c>
      <c r="O127" s="109">
        <v>17.438400000000001</v>
      </c>
      <c r="P127" s="119"/>
      <c r="Q127" s="120">
        <v>2.1000000000000001E-2</v>
      </c>
      <c r="R127" s="120">
        <v>1.4E-2</v>
      </c>
      <c r="S127" s="120">
        <v>2.1000000000000001E-2</v>
      </c>
      <c r="T127" s="120">
        <v>1.4E-2</v>
      </c>
      <c r="U127" s="120">
        <v>3.5000000000000003E-2</v>
      </c>
      <c r="V127" s="121">
        <f>SUBTOTAL(9,Q127:U127)</f>
        <v>0</v>
      </c>
      <c r="W127" s="119"/>
      <c r="X127" s="113">
        <f t="shared" si="11"/>
        <v>112.061007847702</v>
      </c>
      <c r="Y127" s="113">
        <f t="shared" si="12"/>
        <v>121.59269548197803</v>
      </c>
      <c r="Z127" s="113">
        <f t="shared" si="13"/>
        <v>156.96597222434147</v>
      </c>
      <c r="AA127" s="22"/>
      <c r="AB127" s="22"/>
      <c r="AC127" s="22"/>
      <c r="AD127" s="22"/>
      <c r="AE127" s="22"/>
      <c r="AF127" s="22"/>
      <c r="AG127" s="22"/>
      <c r="AH127" s="22"/>
      <c r="AI127" s="22"/>
      <c r="AJ127" s="22"/>
      <c r="AK127" s="22"/>
      <c r="AL127" s="22"/>
      <c r="AM127" s="22"/>
      <c r="AN127" s="22"/>
      <c r="AO127" s="22"/>
      <c r="AP127" s="22"/>
      <c r="AQ127" s="22"/>
      <c r="AR127" s="22"/>
    </row>
    <row r="128" spans="1:44" hidden="1" x14ac:dyDescent="0.25">
      <c r="A128" s="16"/>
      <c r="B128" s="3" t="s">
        <v>200</v>
      </c>
      <c r="C128" s="3" t="s">
        <v>201</v>
      </c>
      <c r="D128" s="11" t="s">
        <v>8</v>
      </c>
      <c r="E128" s="107">
        <v>133.91857542830294</v>
      </c>
      <c r="F128" s="108">
        <v>163.82349821732475</v>
      </c>
      <c r="G128" s="109">
        <v>230.63275686101971</v>
      </c>
      <c r="H128" s="114"/>
      <c r="I128" s="113">
        <v>9.4860463973836513</v>
      </c>
      <c r="J128" s="114">
        <v>13.095685796614577</v>
      </c>
      <c r="K128" s="109">
        <v>13.471689900701129</v>
      </c>
      <c r="L128" s="114"/>
      <c r="M128" s="113">
        <v>35.135792447799844</v>
      </c>
      <c r="N128" s="114">
        <v>35.934333185249841</v>
      </c>
      <c r="O128" s="109">
        <v>39.470727879671259</v>
      </c>
      <c r="P128" s="119"/>
      <c r="Q128" s="120">
        <v>0.1</v>
      </c>
      <c r="R128" s="120">
        <v>0.02</v>
      </c>
      <c r="S128" s="120">
        <v>0.1</v>
      </c>
      <c r="T128" s="120">
        <v>0.02</v>
      </c>
      <c r="U128" s="120">
        <v>2.5000000000000001E-2</v>
      </c>
      <c r="V128" s="121">
        <f t="shared" si="17"/>
        <v>0</v>
      </c>
      <c r="W128" s="119"/>
      <c r="X128" s="113">
        <f t="shared" si="11"/>
        <v>178.54041427348645</v>
      </c>
      <c r="Y128" s="113">
        <f t="shared" si="12"/>
        <v>212.85351719918918</v>
      </c>
      <c r="Z128" s="113">
        <f t="shared" si="13"/>
        <v>283.5751746413921</v>
      </c>
      <c r="AA128" s="22"/>
      <c r="AB128" s="22"/>
      <c r="AC128" s="22"/>
      <c r="AD128" s="22"/>
      <c r="AE128" s="22"/>
      <c r="AF128" s="22"/>
      <c r="AG128" s="22"/>
      <c r="AH128" s="22"/>
      <c r="AI128" s="22"/>
      <c r="AJ128" s="22"/>
      <c r="AK128" s="22"/>
      <c r="AL128" s="22"/>
      <c r="AM128" s="22"/>
      <c r="AN128" s="22"/>
      <c r="AO128" s="22"/>
      <c r="AP128" s="22"/>
      <c r="AQ128" s="22"/>
      <c r="AR128" s="22"/>
    </row>
    <row r="129" spans="1:44" hidden="1" x14ac:dyDescent="0.25">
      <c r="A129" s="16"/>
      <c r="B129" s="3" t="s">
        <v>202</v>
      </c>
      <c r="C129" s="3" t="s">
        <v>203</v>
      </c>
      <c r="D129" s="11" t="s">
        <v>8</v>
      </c>
      <c r="E129" s="107">
        <v>87.216812053443334</v>
      </c>
      <c r="F129" s="108">
        <v>102.67662925768843</v>
      </c>
      <c r="G129" s="109">
        <v>142.93422981820061</v>
      </c>
      <c r="H129" s="114"/>
      <c r="I129" s="113">
        <v>4.1377414029897164</v>
      </c>
      <c r="J129" s="114">
        <v>5.7122386978986004</v>
      </c>
      <c r="K129" s="109">
        <v>5.8762488327849418</v>
      </c>
      <c r="L129" s="114"/>
      <c r="M129" s="113">
        <v>15.554711608987052</v>
      </c>
      <c r="N129" s="114">
        <v>15.908227781918574</v>
      </c>
      <c r="O129" s="109">
        <v>17.473799404901037</v>
      </c>
      <c r="P129" s="119"/>
      <c r="Q129" s="120">
        <v>0.03</v>
      </c>
      <c r="R129" s="120">
        <v>1.4999999999999999E-2</v>
      </c>
      <c r="S129" s="120">
        <v>0.02</v>
      </c>
      <c r="T129" s="120">
        <v>0.01</v>
      </c>
      <c r="U129" s="120">
        <v>5.0000000000000001E-3</v>
      </c>
      <c r="V129" s="121">
        <f>SUBTOTAL(9,Q129:U129)</f>
        <v>0</v>
      </c>
      <c r="W129" s="119"/>
      <c r="X129" s="113">
        <f t="shared" si="11"/>
        <v>106.9092650654201</v>
      </c>
      <c r="Y129" s="113">
        <f t="shared" si="12"/>
        <v>124.2970957375056</v>
      </c>
      <c r="Z129" s="113">
        <f t="shared" si="13"/>
        <v>166.28427805588657</v>
      </c>
      <c r="AA129" s="22"/>
      <c r="AB129" s="22"/>
      <c r="AC129" s="22"/>
      <c r="AD129" s="22"/>
      <c r="AE129" s="22"/>
      <c r="AF129" s="22"/>
      <c r="AG129" s="22"/>
      <c r="AH129" s="22"/>
      <c r="AI129" s="22"/>
      <c r="AJ129" s="22"/>
      <c r="AK129" s="22"/>
      <c r="AL129" s="22"/>
      <c r="AM129" s="22"/>
      <c r="AN129" s="22"/>
      <c r="AO129" s="22"/>
      <c r="AP129" s="22"/>
      <c r="AQ129" s="22"/>
      <c r="AR129" s="22"/>
    </row>
    <row r="130" spans="1:44" hidden="1" x14ac:dyDescent="0.25">
      <c r="A130" s="16"/>
      <c r="B130" s="3" t="s">
        <v>204</v>
      </c>
      <c r="C130" s="3" t="s">
        <v>205</v>
      </c>
      <c r="D130" s="11" t="s">
        <v>8</v>
      </c>
      <c r="E130" s="107">
        <v>75.636386093378064</v>
      </c>
      <c r="F130" s="108">
        <v>101.57398321347159</v>
      </c>
      <c r="G130" s="109">
        <v>144.33686196298197</v>
      </c>
      <c r="H130" s="114"/>
      <c r="I130" s="113">
        <v>5.5982074303983422</v>
      </c>
      <c r="J130" s="114">
        <v>7.7284426474015611</v>
      </c>
      <c r="K130" s="109">
        <v>7.9503421491727293</v>
      </c>
      <c r="L130" s="114"/>
      <c r="M130" s="113">
        <v>21.767065931055768</v>
      </c>
      <c r="N130" s="114">
        <v>22.261771974943393</v>
      </c>
      <c r="O130" s="109">
        <v>24.452613026445764</v>
      </c>
      <c r="P130" s="119"/>
      <c r="Q130" s="120">
        <v>0.04</v>
      </c>
      <c r="R130" s="120">
        <v>0.03</v>
      </c>
      <c r="S130" s="120">
        <v>0.04</v>
      </c>
      <c r="T130" s="120">
        <v>0.02</v>
      </c>
      <c r="U130" s="120">
        <v>0.02</v>
      </c>
      <c r="V130" s="121">
        <f t="shared" si="17"/>
        <v>0</v>
      </c>
      <c r="W130" s="119"/>
      <c r="X130" s="113">
        <f t="shared" si="11"/>
        <v>103.00165945483218</v>
      </c>
      <c r="Y130" s="113">
        <f t="shared" si="12"/>
        <v>131.56419783581654</v>
      </c>
      <c r="Z130" s="113">
        <f t="shared" si="13"/>
        <v>176.73981713860047</v>
      </c>
      <c r="AA130" s="22"/>
      <c r="AB130" s="22"/>
      <c r="AC130" s="22"/>
      <c r="AD130" s="22"/>
      <c r="AE130" s="22"/>
      <c r="AF130" s="22"/>
      <c r="AG130" s="22"/>
      <c r="AH130" s="22"/>
      <c r="AI130" s="22"/>
      <c r="AJ130" s="22"/>
      <c r="AK130" s="22"/>
      <c r="AL130" s="22"/>
      <c r="AM130" s="22"/>
      <c r="AN130" s="22"/>
      <c r="AO130" s="22"/>
      <c r="AP130" s="22"/>
      <c r="AQ130" s="22"/>
      <c r="AR130" s="22"/>
    </row>
    <row r="131" spans="1:44" hidden="1" x14ac:dyDescent="0.25">
      <c r="A131" s="16"/>
      <c r="B131" s="3" t="s">
        <v>206</v>
      </c>
      <c r="C131" s="3" t="s">
        <v>207</v>
      </c>
      <c r="D131" s="11" t="s">
        <v>8</v>
      </c>
      <c r="E131" s="107">
        <v>70.729211114897211</v>
      </c>
      <c r="F131" s="108">
        <v>90.960725957160832</v>
      </c>
      <c r="G131" s="109">
        <v>101.2228796603399</v>
      </c>
      <c r="H131" s="114"/>
      <c r="I131" s="113">
        <v>3.0905</v>
      </c>
      <c r="J131" s="114">
        <v>4.2664999999999997</v>
      </c>
      <c r="K131" s="109">
        <v>4.3889999999999993</v>
      </c>
      <c r="L131" s="114"/>
      <c r="M131" s="113">
        <v>11.858000000000001</v>
      </c>
      <c r="N131" s="114">
        <v>12.1275</v>
      </c>
      <c r="O131" s="109">
        <v>13.321</v>
      </c>
      <c r="P131" s="119"/>
      <c r="Q131" s="120">
        <v>0.02</v>
      </c>
      <c r="R131" s="120">
        <v>1.4999999999999999E-2</v>
      </c>
      <c r="S131" s="120">
        <v>1.4999999999999999E-2</v>
      </c>
      <c r="T131" s="122" t="s">
        <v>251</v>
      </c>
      <c r="U131" s="122" t="s">
        <v>250</v>
      </c>
      <c r="V131" s="121">
        <f>SUBTOTAL(9,Q131:U131)</f>
        <v>0</v>
      </c>
      <c r="W131" s="119"/>
      <c r="X131" s="113">
        <f t="shared" si="11"/>
        <v>85.677711114897221</v>
      </c>
      <c r="Y131" s="113">
        <f t="shared" si="12"/>
        <v>107.35472595716082</v>
      </c>
      <c r="Z131" s="113">
        <f t="shared" si="13"/>
        <v>118.93287966033989</v>
      </c>
      <c r="AA131" s="22"/>
      <c r="AB131" s="22"/>
      <c r="AC131" s="22"/>
      <c r="AD131" s="22"/>
      <c r="AE131" s="22"/>
      <c r="AF131" s="22"/>
      <c r="AG131" s="22"/>
      <c r="AH131" s="22"/>
      <c r="AI131" s="22"/>
      <c r="AJ131" s="22"/>
      <c r="AK131" s="22"/>
      <c r="AL131" s="22"/>
      <c r="AM131" s="22"/>
      <c r="AN131" s="22"/>
      <c r="AO131" s="22"/>
      <c r="AP131" s="22"/>
      <c r="AQ131" s="22"/>
      <c r="AR131" s="22"/>
    </row>
    <row r="132" spans="1:44" hidden="1" x14ac:dyDescent="0.25">
      <c r="A132" s="16"/>
      <c r="B132" s="3" t="s">
        <v>208</v>
      </c>
      <c r="C132" s="3" t="s">
        <v>209</v>
      </c>
      <c r="D132" s="11" t="s">
        <v>8</v>
      </c>
      <c r="E132" s="107">
        <v>66.941001107404375</v>
      </c>
      <c r="F132" s="108">
        <v>71.653793751512865</v>
      </c>
      <c r="G132" s="109">
        <v>93.069227642692013</v>
      </c>
      <c r="H132" s="114"/>
      <c r="I132" s="113">
        <v>4.415</v>
      </c>
      <c r="J132" s="114">
        <v>6.0949999999999998</v>
      </c>
      <c r="K132" s="109">
        <v>6.27</v>
      </c>
      <c r="L132" s="114"/>
      <c r="M132" s="113">
        <v>16.813720000000004</v>
      </c>
      <c r="N132" s="114">
        <v>17.19585</v>
      </c>
      <c r="O132" s="109">
        <v>18.88814</v>
      </c>
      <c r="P132" s="119"/>
      <c r="Q132" s="120">
        <v>0.03</v>
      </c>
      <c r="R132" s="120">
        <v>0.03</v>
      </c>
      <c r="S132" s="120">
        <v>0.03</v>
      </c>
      <c r="T132" s="120">
        <v>0.01</v>
      </c>
      <c r="U132" s="120">
        <v>0.01</v>
      </c>
      <c r="V132" s="121">
        <f t="shared" si="17"/>
        <v>0</v>
      </c>
      <c r="W132" s="119"/>
      <c r="X132" s="113">
        <f t="shared" si="11"/>
        <v>88.169721107404385</v>
      </c>
      <c r="Y132" s="113">
        <f t="shared" si="12"/>
        <v>94.944643751512871</v>
      </c>
      <c r="Z132" s="113">
        <f t="shared" si="13"/>
        <v>118.227367642692</v>
      </c>
      <c r="AA132" s="22"/>
      <c r="AB132" s="22"/>
      <c r="AC132" s="22"/>
      <c r="AD132" s="22"/>
      <c r="AE132" s="22"/>
      <c r="AF132" s="22"/>
      <c r="AG132" s="22"/>
      <c r="AH132" s="22"/>
      <c r="AI132" s="22"/>
      <c r="AJ132" s="22"/>
      <c r="AK132" s="22"/>
      <c r="AL132" s="22"/>
      <c r="AM132" s="22"/>
      <c r="AN132" s="22"/>
      <c r="AO132" s="22"/>
      <c r="AP132" s="22"/>
      <c r="AQ132" s="22"/>
      <c r="AR132" s="22"/>
    </row>
    <row r="133" spans="1:44" hidden="1" x14ac:dyDescent="0.25">
      <c r="A133" s="16"/>
      <c r="B133" s="3" t="s">
        <v>210</v>
      </c>
      <c r="C133" s="3" t="s">
        <v>210</v>
      </c>
      <c r="D133" s="11" t="s">
        <v>8</v>
      </c>
      <c r="E133" s="107">
        <v>121.72372591961614</v>
      </c>
      <c r="F133" s="108">
        <v>161.12259619445774</v>
      </c>
      <c r="G133" s="109">
        <v>189.96612828571426</v>
      </c>
      <c r="H133" s="114"/>
      <c r="I133" s="113">
        <v>7.9470000000000001</v>
      </c>
      <c r="J133" s="114">
        <v>10.971</v>
      </c>
      <c r="K133" s="109">
        <v>11.286</v>
      </c>
      <c r="L133" s="114"/>
      <c r="M133" s="113">
        <v>29.660400000000003</v>
      </c>
      <c r="N133" s="114">
        <v>30.334500000000002</v>
      </c>
      <c r="O133" s="109">
        <v>33.319800000000001</v>
      </c>
      <c r="P133" s="119"/>
      <c r="Q133" s="120">
        <v>7.0000000000000007E-2</v>
      </c>
      <c r="R133" s="120">
        <v>7.0000000000000007E-2</v>
      </c>
      <c r="S133" s="120">
        <v>0.1</v>
      </c>
      <c r="T133" s="120" t="s">
        <v>251</v>
      </c>
      <c r="U133" s="120" t="s">
        <v>250</v>
      </c>
      <c r="V133" s="121">
        <f t="shared" si="17"/>
        <v>0</v>
      </c>
      <c r="W133" s="119"/>
      <c r="X133" s="113">
        <f t="shared" si="11"/>
        <v>159.33112591961614</v>
      </c>
      <c r="Y133" s="113">
        <f t="shared" si="12"/>
        <v>202.42809619445774</v>
      </c>
      <c r="Z133" s="113">
        <f t="shared" si="13"/>
        <v>234.57192828571425</v>
      </c>
      <c r="AA133" s="22"/>
      <c r="AB133" s="22"/>
      <c r="AC133" s="22"/>
      <c r="AD133" s="22"/>
      <c r="AE133" s="22"/>
      <c r="AF133" s="22"/>
      <c r="AG133" s="22"/>
      <c r="AH133" s="22"/>
      <c r="AI133" s="22"/>
      <c r="AJ133" s="22"/>
      <c r="AK133" s="22"/>
      <c r="AL133" s="22"/>
      <c r="AM133" s="22"/>
      <c r="AN133" s="22"/>
      <c r="AO133" s="22"/>
      <c r="AP133" s="22"/>
      <c r="AQ133" s="22"/>
      <c r="AR133" s="22"/>
    </row>
    <row r="134" spans="1:44" hidden="1" x14ac:dyDescent="0.25">
      <c r="A134" s="16"/>
      <c r="B134" s="3" t="s">
        <v>211</v>
      </c>
      <c r="C134" s="3" t="s">
        <v>212</v>
      </c>
      <c r="D134" s="11" t="s">
        <v>8</v>
      </c>
      <c r="E134" s="107">
        <v>95.467642135517451</v>
      </c>
      <c r="F134" s="108">
        <v>137.33274489448681</v>
      </c>
      <c r="G134" s="109">
        <v>147.0146821015893</v>
      </c>
      <c r="H134" s="114"/>
      <c r="I134" s="113">
        <v>5.298</v>
      </c>
      <c r="J134" s="114">
        <v>7.3139999999999992</v>
      </c>
      <c r="K134" s="109">
        <v>7.5239999999999991</v>
      </c>
      <c r="L134" s="114"/>
      <c r="M134" s="113">
        <v>17.820880000000002</v>
      </c>
      <c r="N134" s="114">
        <v>18.225900000000003</v>
      </c>
      <c r="O134" s="109">
        <v>20.019560000000002</v>
      </c>
      <c r="P134" s="119"/>
      <c r="Q134" s="120">
        <v>0.03</v>
      </c>
      <c r="R134" s="120">
        <v>0.02</v>
      </c>
      <c r="S134" s="120">
        <v>0.04</v>
      </c>
      <c r="T134" s="120">
        <v>1.4999999999999999E-2</v>
      </c>
      <c r="U134" s="120">
        <v>1.4999999999999999E-2</v>
      </c>
      <c r="V134" s="121">
        <f t="shared" si="17"/>
        <v>0</v>
      </c>
      <c r="W134" s="119"/>
      <c r="X134" s="113">
        <f t="shared" si="11"/>
        <v>118.58652213551746</v>
      </c>
      <c r="Y134" s="113">
        <f t="shared" si="12"/>
        <v>162.8726448944868</v>
      </c>
      <c r="Z134" s="113">
        <f t="shared" si="13"/>
        <v>174.55824210158931</v>
      </c>
      <c r="AA134" s="22"/>
      <c r="AB134" s="22"/>
      <c r="AC134" s="22"/>
      <c r="AD134" s="22"/>
      <c r="AE134" s="22"/>
      <c r="AF134" s="22"/>
      <c r="AG134" s="22"/>
      <c r="AH134" s="22"/>
      <c r="AI134" s="22"/>
      <c r="AJ134" s="22"/>
      <c r="AK134" s="22"/>
      <c r="AL134" s="22"/>
      <c r="AM134" s="22"/>
      <c r="AN134" s="22"/>
      <c r="AO134" s="22"/>
      <c r="AP134" s="22"/>
      <c r="AQ134" s="22"/>
      <c r="AR134" s="22"/>
    </row>
    <row r="135" spans="1:44" hidden="1" x14ac:dyDescent="0.25">
      <c r="A135" s="16"/>
      <c r="B135" s="3" t="s">
        <v>213</v>
      </c>
      <c r="C135" s="3" t="s">
        <v>214</v>
      </c>
      <c r="D135" s="11" t="s">
        <v>8</v>
      </c>
      <c r="E135" s="107">
        <v>66.825423447361288</v>
      </c>
      <c r="F135" s="108">
        <v>84.184882471927679</v>
      </c>
      <c r="G135" s="109">
        <v>125.57002208733799</v>
      </c>
      <c r="H135" s="114"/>
      <c r="I135" s="113">
        <v>4.5916000000000006</v>
      </c>
      <c r="J135" s="114">
        <v>6.3388</v>
      </c>
      <c r="K135" s="109">
        <v>6.5207999999999995</v>
      </c>
      <c r="L135" s="114"/>
      <c r="M135" s="113">
        <v>17.078481349251756</v>
      </c>
      <c r="N135" s="114">
        <v>17.466628652643845</v>
      </c>
      <c r="O135" s="109">
        <v>19.18556671052308</v>
      </c>
      <c r="P135" s="119"/>
      <c r="Q135" s="120">
        <v>0.04</v>
      </c>
      <c r="R135" s="120">
        <v>0.02</v>
      </c>
      <c r="S135" s="120">
        <v>0.04</v>
      </c>
      <c r="T135" s="120">
        <v>0.02</v>
      </c>
      <c r="U135" s="120">
        <v>0.02</v>
      </c>
      <c r="V135" s="121">
        <f t="shared" si="17"/>
        <v>0</v>
      </c>
      <c r="W135" s="119"/>
      <c r="X135" s="113">
        <f t="shared" si="11"/>
        <v>88.495504796613048</v>
      </c>
      <c r="Y135" s="113">
        <f t="shared" si="12"/>
        <v>107.99031112457153</v>
      </c>
      <c r="Z135" s="113">
        <f t="shared" si="13"/>
        <v>151.27638879786107</v>
      </c>
      <c r="AA135" s="22"/>
      <c r="AB135" s="22"/>
      <c r="AC135" s="22"/>
      <c r="AD135" s="22"/>
      <c r="AE135" s="22"/>
      <c r="AF135" s="22"/>
      <c r="AG135" s="22"/>
      <c r="AH135" s="22"/>
      <c r="AI135" s="22"/>
      <c r="AJ135" s="22"/>
      <c r="AK135" s="22"/>
      <c r="AL135" s="22"/>
      <c r="AM135" s="22"/>
      <c r="AN135" s="22"/>
      <c r="AO135" s="22"/>
      <c r="AP135" s="22"/>
      <c r="AQ135" s="22"/>
      <c r="AR135" s="22"/>
    </row>
    <row r="136" spans="1:44" hidden="1" x14ac:dyDescent="0.25">
      <c r="A136" s="16"/>
      <c r="B136" s="3" t="s">
        <v>215</v>
      </c>
      <c r="C136" s="3" t="s">
        <v>216</v>
      </c>
      <c r="D136" s="11" t="s">
        <v>8</v>
      </c>
      <c r="E136" s="107">
        <v>56.229797051380309</v>
      </c>
      <c r="F136" s="108">
        <v>77.725945551402006</v>
      </c>
      <c r="G136" s="109">
        <v>107.38532918399282</v>
      </c>
      <c r="H136" s="114"/>
      <c r="I136" s="113">
        <v>2.7782264417263529</v>
      </c>
      <c r="J136" s="114">
        <v>3.835399810265486</v>
      </c>
      <c r="K136" s="109">
        <v>3.945522036154979</v>
      </c>
      <c r="L136" s="114"/>
      <c r="M136" s="113">
        <v>10.290397446971154</v>
      </c>
      <c r="N136" s="114">
        <v>10.524270116220498</v>
      </c>
      <c r="O136" s="109">
        <v>11.559991937181881</v>
      </c>
      <c r="P136" s="119"/>
      <c r="Q136" s="120">
        <v>0.03</v>
      </c>
      <c r="R136" s="120">
        <v>1.4999999999999999E-2</v>
      </c>
      <c r="S136" s="120">
        <v>0.03</v>
      </c>
      <c r="T136" s="120" t="s">
        <v>250</v>
      </c>
      <c r="U136" s="120">
        <v>1.4999999999999999E-2</v>
      </c>
      <c r="V136" s="121">
        <f>SUBTOTAL(9,Q136:U136)</f>
        <v>0</v>
      </c>
      <c r="W136" s="119"/>
      <c r="X136" s="113">
        <f t="shared" si="11"/>
        <v>69.298420940077818</v>
      </c>
      <c r="Y136" s="113">
        <f t="shared" si="12"/>
        <v>92.085615477887984</v>
      </c>
      <c r="Z136" s="113">
        <f t="shared" si="13"/>
        <v>122.89084315732968</v>
      </c>
      <c r="AA136" s="22"/>
      <c r="AB136" s="22"/>
      <c r="AC136" s="22"/>
      <c r="AD136" s="22"/>
      <c r="AE136" s="22"/>
      <c r="AF136" s="22"/>
      <c r="AG136" s="22"/>
      <c r="AH136" s="22"/>
      <c r="AI136" s="22"/>
      <c r="AJ136" s="22"/>
      <c r="AK136" s="22"/>
      <c r="AL136" s="22"/>
      <c r="AM136" s="22"/>
      <c r="AN136" s="22"/>
      <c r="AO136" s="22"/>
      <c r="AP136" s="22"/>
      <c r="AQ136" s="22"/>
      <c r="AR136" s="22"/>
    </row>
    <row r="137" spans="1:44" hidden="1" x14ac:dyDescent="0.25">
      <c r="A137" s="16"/>
      <c r="B137" s="3" t="s">
        <v>217</v>
      </c>
      <c r="C137" s="3" t="s">
        <v>218</v>
      </c>
      <c r="D137" s="11" t="s">
        <v>8</v>
      </c>
      <c r="E137" s="107">
        <v>44.063573018249777</v>
      </c>
      <c r="F137" s="108">
        <v>53.134092174198372</v>
      </c>
      <c r="G137" s="109">
        <v>79.08235747111101</v>
      </c>
      <c r="H137" s="114"/>
      <c r="I137" s="113">
        <v>3.2680947453723155</v>
      </c>
      <c r="J137" s="114">
        <v>4.5116732668276924</v>
      </c>
      <c r="K137" s="109">
        <v>4.6412126961459608</v>
      </c>
      <c r="L137" s="114"/>
      <c r="M137" s="113">
        <v>12.466181199895983</v>
      </c>
      <c r="N137" s="114">
        <v>12.749503499893619</v>
      </c>
      <c r="O137" s="109">
        <v>14.004216542740293</v>
      </c>
      <c r="P137" s="119"/>
      <c r="Q137" s="120">
        <v>0.03</v>
      </c>
      <c r="R137" s="120">
        <v>0.03</v>
      </c>
      <c r="S137" s="120">
        <v>0.04</v>
      </c>
      <c r="T137" s="120">
        <v>0.03</v>
      </c>
      <c r="U137" s="120">
        <v>1.4999999999999999E-2</v>
      </c>
      <c r="V137" s="121">
        <f>SUBTOTAL(9,Q137:U137)</f>
        <v>0</v>
      </c>
      <c r="W137" s="119"/>
      <c r="X137" s="113">
        <f t="shared" si="11"/>
        <v>59.797848963518078</v>
      </c>
      <c r="Y137" s="113">
        <f t="shared" si="12"/>
        <v>70.395268940919678</v>
      </c>
      <c r="Z137" s="113">
        <f t="shared" si="13"/>
        <v>97.727786709997261</v>
      </c>
      <c r="AA137" s="22"/>
      <c r="AB137" s="22"/>
      <c r="AC137" s="22"/>
      <c r="AD137" s="22"/>
      <c r="AE137" s="22"/>
      <c r="AF137" s="22"/>
      <c r="AG137" s="22"/>
      <c r="AH137" s="22"/>
      <c r="AI137" s="22"/>
      <c r="AJ137" s="22"/>
      <c r="AK137" s="22"/>
      <c r="AL137" s="22"/>
      <c r="AM137" s="22"/>
      <c r="AN137" s="22"/>
      <c r="AO137" s="22"/>
      <c r="AP137" s="22"/>
      <c r="AQ137" s="22"/>
      <c r="AR137" s="22"/>
    </row>
    <row r="138" spans="1:44" x14ac:dyDescent="0.25">
      <c r="A138" s="16"/>
      <c r="B138" s="3" t="s">
        <v>219</v>
      </c>
      <c r="C138" s="3" t="s">
        <v>220</v>
      </c>
      <c r="D138" s="11" t="s">
        <v>6</v>
      </c>
      <c r="E138" s="107">
        <v>161.5116532079237</v>
      </c>
      <c r="F138" s="108">
        <v>203.77932265873309</v>
      </c>
      <c r="G138" s="109">
        <v>266.0536980745066</v>
      </c>
      <c r="H138" s="114"/>
      <c r="I138" s="113">
        <v>20.865600000000001</v>
      </c>
      <c r="J138" s="114">
        <v>23.468400000000003</v>
      </c>
      <c r="K138" s="109">
        <v>28.155600000000003</v>
      </c>
      <c r="L138" s="114"/>
      <c r="M138" s="113">
        <v>32.863599999999998</v>
      </c>
      <c r="N138" s="114">
        <v>33.610500000000002</v>
      </c>
      <c r="O138" s="109">
        <v>36.918199999999999</v>
      </c>
      <c r="P138" s="119"/>
      <c r="Q138" s="120">
        <v>0.05</v>
      </c>
      <c r="R138" s="120">
        <v>0.01</v>
      </c>
      <c r="S138" s="120">
        <v>0.05</v>
      </c>
      <c r="T138" s="120">
        <v>0.02</v>
      </c>
      <c r="U138" s="120">
        <v>0.02</v>
      </c>
      <c r="V138" s="121">
        <f t="shared" ref="V138:V139" si="18">SUBTOTAL(9,Q138:U138)</f>
        <v>0.15</v>
      </c>
      <c r="W138" s="119"/>
      <c r="X138" s="113">
        <f t="shared" si="11"/>
        <v>247.52698118911223</v>
      </c>
      <c r="Y138" s="113">
        <f t="shared" si="12"/>
        <v>299.98695605754301</v>
      </c>
      <c r="Z138" s="113">
        <f t="shared" si="13"/>
        <v>380.79662278568259</v>
      </c>
      <c r="AA138" s="22"/>
      <c r="AB138" s="22"/>
      <c r="AC138" s="22"/>
      <c r="AD138" s="22"/>
      <c r="AE138" s="22"/>
      <c r="AF138" s="22"/>
      <c r="AG138" s="22"/>
      <c r="AH138" s="22"/>
      <c r="AI138" s="22"/>
      <c r="AJ138" s="22"/>
      <c r="AK138" s="22"/>
      <c r="AL138" s="22"/>
      <c r="AM138" s="22"/>
      <c r="AN138" s="22"/>
      <c r="AO138" s="22"/>
      <c r="AP138" s="22"/>
      <c r="AQ138" s="22"/>
      <c r="AR138" s="22"/>
    </row>
    <row r="139" spans="1:44" hidden="1" x14ac:dyDescent="0.25">
      <c r="A139" s="16"/>
      <c r="B139" s="3" t="s">
        <v>221</v>
      </c>
      <c r="C139" s="3" t="s">
        <v>222</v>
      </c>
      <c r="D139" s="11" t="s">
        <v>6</v>
      </c>
      <c r="E139" s="107">
        <v>112.4436325439796</v>
      </c>
      <c r="F139" s="108">
        <v>136.94619840250573</v>
      </c>
      <c r="G139" s="109">
        <v>211.7044375046197</v>
      </c>
      <c r="H139" s="114"/>
      <c r="I139" s="113">
        <v>12.606897788798719</v>
      </c>
      <c r="J139" s="114">
        <v>14.179497357691313</v>
      </c>
      <c r="K139" s="109">
        <v>17.011481643580879</v>
      </c>
      <c r="L139" s="114"/>
      <c r="M139" s="113">
        <v>19.219200000000001</v>
      </c>
      <c r="N139" s="114">
        <v>19.655999999999999</v>
      </c>
      <c r="O139" s="109">
        <v>21.590400000000002</v>
      </c>
      <c r="P139" s="119"/>
      <c r="Q139" s="120">
        <v>0.05</v>
      </c>
      <c r="R139" s="120">
        <v>0.02</v>
      </c>
      <c r="S139" s="120">
        <v>0.04</v>
      </c>
      <c r="T139" s="120">
        <v>0.03</v>
      </c>
      <c r="U139" s="120">
        <v>0.02</v>
      </c>
      <c r="V139" s="121">
        <f t="shared" si="18"/>
        <v>0</v>
      </c>
      <c r="W139" s="119"/>
      <c r="X139" s="113">
        <f t="shared" ref="X139" si="19">(E139+I139+M139)*(1+V139)</f>
        <v>144.26973033277832</v>
      </c>
      <c r="Y139" s="113">
        <f t="shared" ref="Y139" si="20">(F139+J139+N139)*(1+V139)</f>
        <v>170.78169576019704</v>
      </c>
      <c r="Z139" s="113">
        <f t="shared" ref="Z139" si="21">(G139+K139+O139)*(1+V139)</f>
        <v>250.3063191482006</v>
      </c>
      <c r="AA139" s="22"/>
      <c r="AB139" s="22"/>
      <c r="AC139" s="22"/>
      <c r="AD139" s="22"/>
      <c r="AE139" s="22"/>
      <c r="AF139" s="22"/>
      <c r="AG139" s="22"/>
      <c r="AH139" s="22"/>
      <c r="AI139" s="22"/>
      <c r="AJ139" s="22"/>
      <c r="AK139" s="22"/>
      <c r="AL139" s="22"/>
      <c r="AM139" s="22"/>
      <c r="AN139" s="22"/>
      <c r="AO139" s="22"/>
      <c r="AP139" s="22"/>
      <c r="AQ139" s="22"/>
      <c r="AR139" s="22"/>
    </row>
    <row r="140" spans="1:44" x14ac:dyDescent="0.25">
      <c r="A140" s="16"/>
      <c r="B140" s="17"/>
      <c r="C140" s="3"/>
      <c r="D140" s="1"/>
      <c r="F140" s="4"/>
      <c r="G140" s="4"/>
      <c r="H140" s="4"/>
      <c r="I140" s="4"/>
      <c r="J140" s="4"/>
      <c r="K140" s="4"/>
      <c r="L140" s="4"/>
      <c r="M140" s="4"/>
      <c r="N140" s="4"/>
      <c r="O140" s="4"/>
      <c r="P140" s="4"/>
      <c r="Q140" s="4"/>
      <c r="R140" s="4"/>
      <c r="S140" s="4"/>
      <c r="T140" s="4"/>
      <c r="U140" s="4"/>
      <c r="V140" s="4"/>
      <c r="W140" s="4"/>
      <c r="X140" s="4"/>
      <c r="Y140" s="4"/>
      <c r="Z140" s="4"/>
    </row>
    <row r="141" spans="1:44" x14ac:dyDescent="0.25">
      <c r="A141" s="16"/>
      <c r="B141" s="17"/>
      <c r="C141" s="3"/>
      <c r="D141" s="1"/>
      <c r="F141" s="4"/>
      <c r="G141" s="4"/>
      <c r="H141" s="4"/>
      <c r="I141" s="4"/>
      <c r="J141" s="4"/>
      <c r="K141" s="4"/>
      <c r="L141" s="4"/>
      <c r="M141" s="4"/>
      <c r="N141" s="4"/>
      <c r="O141" s="4"/>
      <c r="P141" s="4"/>
      <c r="Q141" s="4"/>
      <c r="R141" s="4"/>
      <c r="S141" s="4"/>
      <c r="T141" s="4"/>
      <c r="U141" s="4"/>
      <c r="V141" s="4"/>
      <c r="W141" s="4"/>
      <c r="X141" s="4"/>
      <c r="Y141" s="4"/>
      <c r="Z141" s="4"/>
    </row>
    <row r="142" spans="1:44" x14ac:dyDescent="0.25">
      <c r="A142" s="16"/>
      <c r="B142" s="17"/>
      <c r="C142" s="3"/>
      <c r="D142" s="1"/>
      <c r="F142" s="4"/>
      <c r="G142" s="4"/>
      <c r="H142" s="4"/>
      <c r="I142" s="4"/>
      <c r="J142" s="4"/>
      <c r="K142" s="4"/>
      <c r="L142" s="4"/>
      <c r="M142" s="4"/>
      <c r="N142" s="4"/>
      <c r="O142" s="4"/>
      <c r="P142" s="4"/>
      <c r="Q142" s="4"/>
      <c r="R142" s="4"/>
      <c r="S142" s="4"/>
      <c r="T142" s="4"/>
      <c r="U142" s="4"/>
      <c r="V142" s="4"/>
      <c r="W142" s="4"/>
      <c r="X142" s="4"/>
      <c r="Y142" s="4"/>
      <c r="Z142" s="4"/>
    </row>
    <row r="143" spans="1:44" x14ac:dyDescent="0.25">
      <c r="A143" s="16"/>
      <c r="B143" s="17"/>
      <c r="C143" s="3"/>
      <c r="D143" s="1"/>
      <c r="F143" s="4"/>
      <c r="G143" s="4"/>
      <c r="H143" s="4"/>
      <c r="I143" s="4"/>
      <c r="J143" s="4"/>
      <c r="K143" s="4"/>
      <c r="L143" s="4"/>
      <c r="M143" s="4"/>
      <c r="N143" s="4"/>
      <c r="O143" s="4"/>
      <c r="P143" s="4"/>
      <c r="Q143" s="4"/>
      <c r="R143" s="4"/>
      <c r="S143" s="4"/>
      <c r="T143" s="4"/>
      <c r="U143" s="4"/>
      <c r="V143" s="4"/>
      <c r="W143" s="4"/>
      <c r="X143" s="4"/>
      <c r="Y143" s="4"/>
      <c r="Z143" s="4"/>
    </row>
    <row r="144" spans="1:44" x14ac:dyDescent="0.25">
      <c r="A144" s="16"/>
      <c r="B144" s="17"/>
      <c r="C144" s="3"/>
      <c r="D144" s="1"/>
      <c r="F144" s="4"/>
      <c r="G144" s="4"/>
      <c r="H144" s="4"/>
      <c r="I144" s="4"/>
      <c r="J144" s="4"/>
      <c r="K144" s="4"/>
      <c r="L144" s="4"/>
      <c r="M144" s="4"/>
      <c r="N144" s="4"/>
      <c r="O144" s="4"/>
      <c r="P144" s="4"/>
      <c r="Q144" s="4"/>
      <c r="R144" s="4"/>
      <c r="S144" s="4"/>
      <c r="T144" s="4"/>
      <c r="U144" s="4"/>
      <c r="V144" s="4"/>
      <c r="W144" s="4"/>
      <c r="X144" s="4"/>
      <c r="Y144" s="4"/>
      <c r="Z144" s="4"/>
    </row>
    <row r="145" spans="1:26" x14ac:dyDescent="0.25">
      <c r="A145" s="16"/>
      <c r="B145" s="17"/>
      <c r="C145" s="3"/>
      <c r="D145" s="1"/>
      <c r="F145" s="4"/>
      <c r="G145" s="4"/>
      <c r="H145" s="4"/>
      <c r="I145" s="4"/>
      <c r="J145" s="4"/>
      <c r="K145" s="4"/>
      <c r="L145" s="4"/>
      <c r="M145" s="4"/>
      <c r="N145" s="4"/>
      <c r="O145" s="4"/>
      <c r="P145" s="4"/>
      <c r="Q145" s="4"/>
      <c r="R145" s="4"/>
      <c r="S145" s="4"/>
      <c r="T145" s="4"/>
      <c r="U145" s="4"/>
      <c r="V145" s="4"/>
      <c r="W145" s="4"/>
      <c r="X145" s="4"/>
      <c r="Y145" s="4"/>
      <c r="Z145" s="4"/>
    </row>
    <row r="146" spans="1:26" x14ac:dyDescent="0.25">
      <c r="A146" s="16"/>
      <c r="B146" s="17"/>
      <c r="C146" s="3"/>
      <c r="D146" s="1"/>
      <c r="F146" s="4"/>
      <c r="G146" s="4"/>
      <c r="H146" s="4"/>
      <c r="I146" s="4"/>
      <c r="J146" s="4"/>
      <c r="K146" s="4"/>
      <c r="L146" s="4"/>
      <c r="M146" s="4"/>
      <c r="N146" s="4"/>
      <c r="O146" s="4"/>
      <c r="P146" s="4"/>
      <c r="Q146" s="4"/>
      <c r="R146" s="4"/>
      <c r="S146" s="4"/>
      <c r="T146" s="4"/>
      <c r="U146" s="4"/>
      <c r="V146" s="4"/>
      <c r="W146" s="4"/>
      <c r="X146" s="4"/>
      <c r="Y146" s="4"/>
      <c r="Z146" s="4"/>
    </row>
    <row r="147" spans="1:26" x14ac:dyDescent="0.25">
      <c r="A147" s="16"/>
      <c r="B147" s="17"/>
      <c r="C147" s="3"/>
      <c r="D147" s="1"/>
      <c r="F147" s="4"/>
      <c r="G147" s="4"/>
      <c r="H147" s="4"/>
      <c r="I147" s="4"/>
      <c r="J147" s="4"/>
      <c r="K147" s="4"/>
      <c r="L147" s="4"/>
      <c r="M147" s="4"/>
      <c r="N147" s="4"/>
      <c r="O147" s="4"/>
      <c r="P147" s="4"/>
      <c r="Q147" s="4"/>
      <c r="R147" s="4"/>
      <c r="S147" s="4"/>
      <c r="T147" s="4"/>
      <c r="U147" s="4"/>
      <c r="V147" s="4"/>
      <c r="W147" s="4"/>
      <c r="X147" s="4"/>
      <c r="Y147" s="4"/>
      <c r="Z147" s="4"/>
    </row>
    <row r="148" spans="1:26" x14ac:dyDescent="0.25">
      <c r="A148" s="16"/>
      <c r="B148" s="17"/>
      <c r="C148" s="3"/>
      <c r="D148" s="1"/>
      <c r="F148" s="4"/>
      <c r="G148" s="4"/>
      <c r="H148" s="4"/>
      <c r="I148" s="4"/>
      <c r="J148" s="4"/>
      <c r="K148" s="4"/>
      <c r="L148" s="4"/>
      <c r="M148" s="4"/>
      <c r="N148" s="4"/>
      <c r="O148" s="4"/>
      <c r="P148" s="4"/>
      <c r="Q148" s="4"/>
      <c r="R148" s="4"/>
      <c r="S148" s="4"/>
      <c r="T148" s="4"/>
      <c r="U148" s="4"/>
      <c r="V148" s="4"/>
      <c r="W148" s="4"/>
      <c r="X148" s="4"/>
      <c r="Y148" s="4"/>
      <c r="Z148" s="4"/>
    </row>
    <row r="149" spans="1:26" x14ac:dyDescent="0.25">
      <c r="A149" s="16"/>
      <c r="B149" s="17"/>
      <c r="C149" s="3"/>
      <c r="D149" s="1"/>
      <c r="F149" s="4"/>
      <c r="G149" s="4"/>
      <c r="H149" s="4"/>
      <c r="I149" s="4"/>
      <c r="J149" s="4"/>
      <c r="K149" s="4"/>
      <c r="L149" s="4"/>
      <c r="M149" s="4"/>
      <c r="N149" s="4"/>
      <c r="O149" s="4"/>
      <c r="P149" s="4"/>
      <c r="Q149" s="4"/>
      <c r="R149" s="4"/>
      <c r="S149" s="4"/>
      <c r="T149" s="4"/>
      <c r="U149" s="4"/>
      <c r="V149" s="4"/>
      <c r="W149" s="4"/>
      <c r="X149" s="4"/>
      <c r="Y149" s="4"/>
      <c r="Z149" s="4"/>
    </row>
    <row r="150" spans="1:26" x14ac:dyDescent="0.25">
      <c r="A150" s="16"/>
      <c r="B150" s="17"/>
      <c r="C150" s="3"/>
      <c r="D150" s="1"/>
      <c r="F150" s="4"/>
      <c r="G150" s="4"/>
      <c r="H150" s="4"/>
      <c r="I150" s="4"/>
      <c r="J150" s="4"/>
      <c r="K150" s="4"/>
      <c r="L150" s="4"/>
      <c r="M150" s="4"/>
      <c r="N150" s="4"/>
      <c r="O150" s="4"/>
      <c r="P150" s="4"/>
      <c r="Q150" s="4"/>
      <c r="R150" s="4"/>
      <c r="S150" s="4"/>
      <c r="T150" s="4"/>
      <c r="U150" s="4"/>
      <c r="V150" s="4"/>
      <c r="W150" s="4"/>
      <c r="X150" s="4"/>
      <c r="Y150" s="4"/>
      <c r="Z150" s="4"/>
    </row>
    <row r="151" spans="1:26" x14ac:dyDescent="0.25">
      <c r="A151" s="16"/>
      <c r="B151" s="17"/>
      <c r="C151" s="3"/>
      <c r="D151" s="1"/>
      <c r="F151" s="4"/>
      <c r="G151" s="4"/>
      <c r="H151" s="4"/>
      <c r="I151" s="4"/>
      <c r="J151" s="4"/>
      <c r="K151" s="4"/>
      <c r="L151" s="4"/>
      <c r="M151" s="4"/>
      <c r="N151" s="4"/>
      <c r="O151" s="4"/>
      <c r="P151" s="4"/>
      <c r="Q151" s="4"/>
      <c r="R151" s="4"/>
      <c r="S151" s="4"/>
      <c r="T151" s="4"/>
      <c r="U151" s="4"/>
      <c r="V151" s="4"/>
      <c r="W151" s="4"/>
      <c r="X151" s="4"/>
      <c r="Y151" s="4"/>
      <c r="Z151" s="4"/>
    </row>
    <row r="152" spans="1:26" x14ac:dyDescent="0.25">
      <c r="A152" s="16"/>
      <c r="B152" s="17"/>
      <c r="C152" s="3"/>
      <c r="D152" s="1"/>
      <c r="F152" s="4"/>
      <c r="G152" s="4"/>
      <c r="H152" s="4"/>
      <c r="I152" s="4"/>
      <c r="J152" s="4"/>
      <c r="K152" s="4"/>
      <c r="L152" s="4"/>
      <c r="M152" s="4"/>
      <c r="N152" s="4"/>
      <c r="O152" s="4"/>
      <c r="P152" s="4"/>
      <c r="Q152" s="4"/>
      <c r="R152" s="4"/>
      <c r="S152" s="4"/>
      <c r="T152" s="4"/>
      <c r="U152" s="4"/>
      <c r="V152" s="4"/>
      <c r="W152" s="4"/>
      <c r="X152" s="4"/>
      <c r="Y152" s="4"/>
      <c r="Z152" s="4"/>
    </row>
    <row r="153" spans="1:26" x14ac:dyDescent="0.25">
      <c r="A153" s="16"/>
      <c r="B153" s="17"/>
      <c r="C153" s="3"/>
      <c r="D153" s="1"/>
      <c r="F153" s="4"/>
      <c r="G153" s="4"/>
      <c r="H153" s="4"/>
      <c r="I153" s="4"/>
      <c r="J153" s="4"/>
      <c r="K153" s="4"/>
      <c r="L153" s="4"/>
      <c r="M153" s="4"/>
      <c r="N153" s="4"/>
      <c r="O153" s="4"/>
      <c r="P153" s="4"/>
      <c r="Q153" s="4"/>
      <c r="R153" s="4"/>
      <c r="S153" s="4"/>
      <c r="T153" s="4"/>
      <c r="U153" s="4"/>
      <c r="V153" s="4"/>
      <c r="W153" s="4"/>
      <c r="X153" s="4"/>
      <c r="Y153" s="4"/>
      <c r="Z153" s="4"/>
    </row>
    <row r="154" spans="1:26" x14ac:dyDescent="0.25">
      <c r="A154" s="16"/>
      <c r="B154" s="17"/>
      <c r="C154" s="3"/>
      <c r="D154" s="1"/>
      <c r="F154" s="4"/>
      <c r="G154" s="4"/>
      <c r="H154" s="4"/>
      <c r="I154" s="4"/>
      <c r="J154" s="4"/>
      <c r="K154" s="4"/>
      <c r="L154" s="4"/>
      <c r="M154" s="4"/>
      <c r="N154" s="4"/>
      <c r="O154" s="4"/>
      <c r="P154" s="4"/>
      <c r="Q154" s="4"/>
      <c r="R154" s="4"/>
      <c r="S154" s="4"/>
      <c r="T154" s="4"/>
      <c r="U154" s="4"/>
      <c r="V154" s="4"/>
      <c r="W154" s="4"/>
      <c r="X154" s="4"/>
      <c r="Y154" s="4"/>
      <c r="Z154" s="4"/>
    </row>
    <row r="155" spans="1:26" x14ac:dyDescent="0.25">
      <c r="A155" s="16"/>
      <c r="B155" s="17"/>
      <c r="C155" s="3"/>
      <c r="D155" s="1"/>
      <c r="F155" s="4"/>
      <c r="G155" s="4"/>
      <c r="H155" s="4"/>
      <c r="I155" s="4"/>
      <c r="J155" s="4"/>
      <c r="K155" s="4"/>
      <c r="L155" s="4"/>
      <c r="M155" s="4"/>
      <c r="N155" s="4"/>
      <c r="O155" s="4"/>
      <c r="P155" s="4"/>
      <c r="Q155" s="4"/>
      <c r="R155" s="4"/>
      <c r="S155" s="4"/>
      <c r="T155" s="4"/>
      <c r="U155" s="4"/>
      <c r="V155" s="4"/>
      <c r="W155" s="4"/>
      <c r="X155" s="4"/>
      <c r="Y155" s="4"/>
      <c r="Z155" s="4"/>
    </row>
    <row r="156" spans="1:26" x14ac:dyDescent="0.25">
      <c r="A156" s="16"/>
      <c r="B156" s="17"/>
      <c r="C156" s="3"/>
      <c r="D156" s="1"/>
      <c r="F156" s="4"/>
      <c r="G156" s="4"/>
      <c r="H156" s="4"/>
      <c r="I156" s="4"/>
      <c r="J156" s="4"/>
      <c r="K156" s="4"/>
      <c r="L156" s="4"/>
      <c r="M156" s="4"/>
      <c r="N156" s="4"/>
      <c r="O156" s="4"/>
      <c r="P156" s="4"/>
      <c r="Q156" s="4"/>
      <c r="R156" s="4"/>
      <c r="S156" s="4"/>
      <c r="T156" s="4"/>
      <c r="U156" s="4"/>
      <c r="V156" s="4"/>
      <c r="W156" s="4"/>
      <c r="X156" s="4"/>
      <c r="Y156" s="4"/>
      <c r="Z156" s="4"/>
    </row>
    <row r="157" spans="1:26" x14ac:dyDescent="0.25">
      <c r="A157" s="16"/>
      <c r="B157" s="17"/>
      <c r="C157" s="3"/>
      <c r="D157" s="1"/>
      <c r="F157" s="4"/>
      <c r="G157" s="4"/>
      <c r="H157" s="4"/>
      <c r="I157" s="4"/>
      <c r="J157" s="4"/>
      <c r="K157" s="4"/>
      <c r="L157" s="4"/>
      <c r="M157" s="4"/>
      <c r="N157" s="4"/>
      <c r="O157" s="4"/>
      <c r="P157" s="4"/>
      <c r="Q157" s="4"/>
      <c r="R157" s="4"/>
      <c r="S157" s="4"/>
      <c r="T157" s="4"/>
      <c r="U157" s="4"/>
      <c r="V157" s="4"/>
      <c r="W157" s="4"/>
      <c r="X157" s="4"/>
      <c r="Y157" s="4"/>
      <c r="Z157" s="4"/>
    </row>
    <row r="158" spans="1:26" x14ac:dyDescent="0.25">
      <c r="A158" s="16"/>
      <c r="B158" s="17"/>
      <c r="C158" s="3"/>
      <c r="D158" s="1"/>
      <c r="F158" s="4"/>
      <c r="G158" s="4"/>
      <c r="H158" s="4"/>
      <c r="I158" s="4"/>
      <c r="J158" s="4"/>
      <c r="K158" s="4"/>
      <c r="L158" s="4"/>
      <c r="M158" s="4"/>
      <c r="N158" s="4"/>
      <c r="O158" s="4"/>
      <c r="P158" s="4"/>
      <c r="Q158" s="4"/>
      <c r="R158" s="4"/>
      <c r="S158" s="4"/>
      <c r="T158" s="4"/>
      <c r="U158" s="4"/>
      <c r="V158" s="4"/>
      <c r="W158" s="4"/>
      <c r="X158" s="4"/>
      <c r="Y158" s="4"/>
      <c r="Z158" s="4"/>
    </row>
    <row r="159" spans="1:26" x14ac:dyDescent="0.25">
      <c r="A159" s="16"/>
      <c r="B159" s="17"/>
      <c r="C159" s="3"/>
      <c r="D159" s="1"/>
      <c r="F159" s="4"/>
      <c r="G159" s="4"/>
      <c r="H159" s="4"/>
      <c r="I159" s="4"/>
      <c r="J159" s="4"/>
      <c r="K159" s="4"/>
      <c r="L159" s="4"/>
      <c r="M159" s="4"/>
      <c r="N159" s="4"/>
      <c r="O159" s="4"/>
      <c r="P159" s="4"/>
      <c r="Q159" s="4"/>
      <c r="R159" s="4"/>
      <c r="S159" s="4"/>
      <c r="T159" s="4"/>
      <c r="U159" s="4"/>
      <c r="V159" s="4"/>
      <c r="W159" s="4"/>
      <c r="X159" s="4"/>
      <c r="Y159" s="4"/>
      <c r="Z159" s="4"/>
    </row>
  </sheetData>
  <autoFilter ref="B5:D139" xr:uid="{B593B8AD-AE04-4543-B232-6D3D3239B900}">
    <filterColumn colId="0">
      <filters>
        <filter val="Israel"/>
        <filter val="United Kingdom"/>
      </filters>
    </filterColumn>
    <sortState xmlns:xlrd2="http://schemas.microsoft.com/office/spreadsheetml/2017/richdata2" ref="B69:D139">
      <sortCondition ref="B5:B139"/>
    </sortState>
  </autoFilter>
  <mergeCells count="10">
    <mergeCell ref="E3:G3"/>
    <mergeCell ref="I3:K3"/>
    <mergeCell ref="M3:O3"/>
    <mergeCell ref="X3:Z3"/>
    <mergeCell ref="E1:Z1"/>
    <mergeCell ref="E2:G2"/>
    <mergeCell ref="I2:K2"/>
    <mergeCell ref="M2:O2"/>
    <mergeCell ref="X2:Z2"/>
    <mergeCell ref="Q2:V4"/>
  </mergeCells>
  <pageMargins left="0.70866141732283472" right="0.70866141732283472" top="0.74803149606299213" bottom="0.74803149606299213" header="0.31496062992125984" footer="0.31496062992125984"/>
  <pageSetup paperSize="8" scale="70" orientation="landscape" horizontalDpi="1200" verticalDpi="1200" r:id="rId1"/>
  <colBreaks count="2" manualBreakCount="2">
    <brk id="26" max="1048575" man="1"/>
    <brk id="27"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21EB-744D-4606-9D8D-36F4D167666D}">
  <sheetPr>
    <tabColor rgb="FF7030A0"/>
  </sheetPr>
  <dimension ref="B1:K139"/>
  <sheetViews>
    <sheetView view="pageBreakPreview" topLeftCell="A57" zoomScale="85" zoomScaleNormal="100" zoomScaleSheetLayoutView="85" workbookViewId="0">
      <selection activeCell="C71" sqref="C71"/>
    </sheetView>
  </sheetViews>
  <sheetFormatPr defaultColWidth="10.5" defaultRowHeight="12.5" x14ac:dyDescent="0.25"/>
  <cols>
    <col min="1" max="1" width="3.83203125" style="57" customWidth="1"/>
    <col min="2" max="2" width="20" style="56" customWidth="1"/>
    <col min="3" max="3" width="16" style="56" customWidth="1"/>
    <col min="4" max="4" width="18.58203125" style="56" customWidth="1"/>
    <col min="5" max="5" width="18.83203125" style="57" customWidth="1"/>
    <col min="6" max="6" width="18.5" style="57" customWidth="1"/>
    <col min="7" max="7" width="31.83203125" style="57" customWidth="1"/>
    <col min="8" max="8" width="37.83203125" style="57" customWidth="1"/>
    <col min="9" max="9" width="39.5" style="57" customWidth="1"/>
    <col min="10" max="10" width="40.58203125" style="57" customWidth="1"/>
    <col min="11" max="11" width="39.58203125" style="57" customWidth="1"/>
    <col min="12" max="16384" width="10.5" style="57"/>
  </cols>
  <sheetData>
    <row r="1" spans="2:11" ht="13" x14ac:dyDescent="0.25">
      <c r="B1" s="55" t="s">
        <v>259</v>
      </c>
      <c r="C1" s="55"/>
      <c r="E1" s="57">
        <v>9.2903040000000006E-2</v>
      </c>
    </row>
    <row r="3" spans="2:11" ht="27.5" x14ac:dyDescent="0.25">
      <c r="B3" s="58" t="s">
        <v>260</v>
      </c>
      <c r="C3" s="58"/>
      <c r="D3" s="59"/>
      <c r="E3" s="59"/>
      <c r="F3" s="60"/>
    </row>
    <row r="4" spans="2:11" s="62" customFormat="1" ht="13" x14ac:dyDescent="0.25">
      <c r="B4" s="61"/>
      <c r="C4" s="61"/>
      <c r="D4" s="61"/>
    </row>
    <row r="5" spans="2:11" s="62" customFormat="1" ht="43.5" thickBot="1" x14ac:dyDescent="0.45">
      <c r="B5" s="63" t="s">
        <v>261</v>
      </c>
      <c r="C5" s="63" t="s">
        <v>262</v>
      </c>
      <c r="D5" s="64" t="s">
        <v>263</v>
      </c>
      <c r="E5" s="63" t="s">
        <v>264</v>
      </c>
      <c r="F5" s="63" t="s">
        <v>265</v>
      </c>
      <c r="G5" s="64" t="s">
        <v>266</v>
      </c>
      <c r="H5" s="64" t="s">
        <v>267</v>
      </c>
      <c r="I5" s="64" t="s">
        <v>268</v>
      </c>
      <c r="J5" s="64" t="s">
        <v>269</v>
      </c>
      <c r="K5" s="64" t="s">
        <v>270</v>
      </c>
    </row>
    <row r="6" spans="2:11" s="68" customFormat="1" ht="13" x14ac:dyDescent="0.25">
      <c r="B6" s="65" t="s">
        <v>17</v>
      </c>
      <c r="C6" s="65" t="s">
        <v>18</v>
      </c>
      <c r="D6" s="66" t="s">
        <v>19</v>
      </c>
      <c r="E6" s="69">
        <v>171</v>
      </c>
      <c r="F6" s="69">
        <v>257</v>
      </c>
      <c r="G6" s="67"/>
      <c r="H6" s="67"/>
      <c r="I6" s="67"/>
      <c r="J6" s="67"/>
      <c r="K6" s="67"/>
    </row>
    <row r="7" spans="2:11" s="71" customFormat="1" ht="65" x14ac:dyDescent="0.25">
      <c r="B7" s="65" t="s">
        <v>17</v>
      </c>
      <c r="C7" s="65" t="s">
        <v>20</v>
      </c>
      <c r="D7" s="66" t="s">
        <v>19</v>
      </c>
      <c r="E7" s="69">
        <v>153</v>
      </c>
      <c r="F7" s="69">
        <v>230</v>
      </c>
      <c r="G7" s="70" t="s">
        <v>271</v>
      </c>
      <c r="H7" s="70" t="s">
        <v>272</v>
      </c>
      <c r="I7" s="70" t="s">
        <v>273</v>
      </c>
      <c r="J7" s="70" t="s">
        <v>274</v>
      </c>
      <c r="K7" s="70" t="s">
        <v>275</v>
      </c>
    </row>
    <row r="8" spans="2:11" s="72" customFormat="1" ht="65" x14ac:dyDescent="0.25">
      <c r="B8" s="65" t="s">
        <v>17</v>
      </c>
      <c r="C8" s="65" t="s">
        <v>240</v>
      </c>
      <c r="D8" s="66" t="s">
        <v>19</v>
      </c>
      <c r="E8" s="69">
        <v>152</v>
      </c>
      <c r="F8" s="69">
        <v>227</v>
      </c>
      <c r="G8" s="70" t="s">
        <v>271</v>
      </c>
      <c r="H8" s="70" t="s">
        <v>272</v>
      </c>
      <c r="I8" s="70" t="s">
        <v>273</v>
      </c>
      <c r="J8" s="70" t="s">
        <v>274</v>
      </c>
      <c r="K8" s="70" t="s">
        <v>275</v>
      </c>
    </row>
    <row r="9" spans="2:11" s="72" customFormat="1" ht="65" x14ac:dyDescent="0.25">
      <c r="B9" s="65" t="s">
        <v>17</v>
      </c>
      <c r="C9" s="65" t="s">
        <v>22</v>
      </c>
      <c r="D9" s="66" t="s">
        <v>19</v>
      </c>
      <c r="E9" s="69">
        <v>201</v>
      </c>
      <c r="F9" s="69">
        <v>301</v>
      </c>
      <c r="G9" s="70" t="s">
        <v>271</v>
      </c>
      <c r="H9" s="70" t="s">
        <v>272</v>
      </c>
      <c r="I9" s="70" t="s">
        <v>273</v>
      </c>
      <c r="J9" s="70" t="s">
        <v>274</v>
      </c>
      <c r="K9" s="70" t="s">
        <v>275</v>
      </c>
    </row>
    <row r="10" spans="2:11" s="72" customFormat="1" ht="65" x14ac:dyDescent="0.25">
      <c r="B10" s="65" t="s">
        <v>17</v>
      </c>
      <c r="C10" s="65" t="s">
        <v>23</v>
      </c>
      <c r="D10" s="66" t="s">
        <v>19</v>
      </c>
      <c r="E10" s="69">
        <v>163</v>
      </c>
      <c r="F10" s="69">
        <v>246</v>
      </c>
      <c r="G10" s="70" t="s">
        <v>271</v>
      </c>
      <c r="H10" s="70" t="s">
        <v>272</v>
      </c>
      <c r="I10" s="70" t="s">
        <v>273</v>
      </c>
      <c r="J10" s="70" t="s">
        <v>274</v>
      </c>
      <c r="K10" s="70" t="s">
        <v>275</v>
      </c>
    </row>
    <row r="11" spans="2:11" s="72" customFormat="1" ht="65" x14ac:dyDescent="0.25">
      <c r="B11" s="65" t="s">
        <v>17</v>
      </c>
      <c r="C11" s="65" t="s">
        <v>24</v>
      </c>
      <c r="D11" s="66" t="s">
        <v>19</v>
      </c>
      <c r="E11" s="69">
        <v>195</v>
      </c>
      <c r="F11" s="69">
        <v>292</v>
      </c>
      <c r="G11" s="70" t="s">
        <v>271</v>
      </c>
      <c r="H11" s="70" t="s">
        <v>272</v>
      </c>
      <c r="I11" s="70" t="s">
        <v>273</v>
      </c>
      <c r="J11" s="70" t="s">
        <v>274</v>
      </c>
      <c r="K11" s="70" t="s">
        <v>275</v>
      </c>
    </row>
    <row r="12" spans="2:11" s="73" customFormat="1" ht="65" x14ac:dyDescent="0.25">
      <c r="B12" s="65" t="s">
        <v>17</v>
      </c>
      <c r="C12" s="65" t="s">
        <v>25</v>
      </c>
      <c r="D12" s="66" t="s">
        <v>19</v>
      </c>
      <c r="E12" s="69">
        <v>162</v>
      </c>
      <c r="F12" s="69">
        <v>244</v>
      </c>
      <c r="G12" s="70" t="s">
        <v>271</v>
      </c>
      <c r="H12" s="70" t="s">
        <v>272</v>
      </c>
      <c r="I12" s="70" t="s">
        <v>273</v>
      </c>
      <c r="J12" s="70" t="s">
        <v>274</v>
      </c>
      <c r="K12" s="70" t="s">
        <v>275</v>
      </c>
    </row>
    <row r="13" spans="2:11" s="72" customFormat="1" ht="65" x14ac:dyDescent="0.25">
      <c r="B13" s="65" t="s">
        <v>17</v>
      </c>
      <c r="C13" s="65" t="s">
        <v>26</v>
      </c>
      <c r="D13" s="66" t="s">
        <v>19</v>
      </c>
      <c r="E13" s="69">
        <v>158</v>
      </c>
      <c r="F13" s="69">
        <v>238</v>
      </c>
      <c r="G13" s="70" t="s">
        <v>271</v>
      </c>
      <c r="H13" s="70" t="s">
        <v>272</v>
      </c>
      <c r="I13" s="70" t="s">
        <v>273</v>
      </c>
      <c r="J13" s="70" t="s">
        <v>274</v>
      </c>
      <c r="K13" s="70" t="s">
        <v>275</v>
      </c>
    </row>
    <row r="14" spans="2:11" s="68" customFormat="1" ht="65" x14ac:dyDescent="0.25">
      <c r="B14" s="65" t="s">
        <v>17</v>
      </c>
      <c r="C14" s="65" t="s">
        <v>27</v>
      </c>
      <c r="D14" s="66" t="s">
        <v>19</v>
      </c>
      <c r="E14" s="69">
        <v>145</v>
      </c>
      <c r="F14" s="69">
        <v>218</v>
      </c>
      <c r="G14" s="70" t="s">
        <v>271</v>
      </c>
      <c r="H14" s="70" t="s">
        <v>272</v>
      </c>
      <c r="I14" s="70" t="s">
        <v>273</v>
      </c>
      <c r="J14" s="70" t="s">
        <v>274</v>
      </c>
      <c r="K14" s="70" t="s">
        <v>275</v>
      </c>
    </row>
    <row r="15" spans="2:11" s="68" customFormat="1" ht="65" x14ac:dyDescent="0.25">
      <c r="B15" s="65" t="s">
        <v>17</v>
      </c>
      <c r="C15" s="65" t="s">
        <v>28</v>
      </c>
      <c r="D15" s="66" t="s">
        <v>19</v>
      </c>
      <c r="E15" s="69">
        <v>157</v>
      </c>
      <c r="F15" s="69">
        <v>235</v>
      </c>
      <c r="G15" s="70" t="s">
        <v>271</v>
      </c>
      <c r="H15" s="70" t="s">
        <v>272</v>
      </c>
      <c r="I15" s="70" t="s">
        <v>273</v>
      </c>
      <c r="J15" s="70" t="s">
        <v>274</v>
      </c>
      <c r="K15" s="70" t="s">
        <v>275</v>
      </c>
    </row>
    <row r="16" spans="2:11" s="68" customFormat="1" ht="65" x14ac:dyDescent="0.25">
      <c r="B16" s="65" t="s">
        <v>17</v>
      </c>
      <c r="C16" s="65" t="s">
        <v>29</v>
      </c>
      <c r="D16" s="66" t="s">
        <v>19</v>
      </c>
      <c r="E16" s="69">
        <v>151</v>
      </c>
      <c r="F16" s="69">
        <v>226</v>
      </c>
      <c r="G16" s="70" t="s">
        <v>271</v>
      </c>
      <c r="H16" s="70" t="s">
        <v>272</v>
      </c>
      <c r="I16" s="70" t="s">
        <v>273</v>
      </c>
      <c r="J16" s="70" t="s">
        <v>274</v>
      </c>
      <c r="K16" s="70" t="s">
        <v>275</v>
      </c>
    </row>
    <row r="17" spans="2:11" s="68" customFormat="1" ht="65" x14ac:dyDescent="0.25">
      <c r="B17" s="65" t="s">
        <v>17</v>
      </c>
      <c r="C17" s="65" t="s">
        <v>30</v>
      </c>
      <c r="D17" s="66" t="s">
        <v>19</v>
      </c>
      <c r="E17" s="69">
        <v>159</v>
      </c>
      <c r="F17" s="69">
        <v>239</v>
      </c>
      <c r="G17" s="70" t="s">
        <v>271</v>
      </c>
      <c r="H17" s="70" t="s">
        <v>272</v>
      </c>
      <c r="I17" s="70" t="s">
        <v>273</v>
      </c>
      <c r="J17" s="70" t="s">
        <v>274</v>
      </c>
      <c r="K17" s="70" t="s">
        <v>275</v>
      </c>
    </row>
    <row r="18" spans="2:11" s="71" customFormat="1" ht="65" x14ac:dyDescent="0.25">
      <c r="B18" s="65" t="s">
        <v>17</v>
      </c>
      <c r="C18" s="65" t="s">
        <v>32</v>
      </c>
      <c r="D18" s="66" t="s">
        <v>19</v>
      </c>
      <c r="E18" s="69">
        <v>172</v>
      </c>
      <c r="F18" s="69">
        <v>258</v>
      </c>
      <c r="G18" s="70" t="s">
        <v>271</v>
      </c>
      <c r="H18" s="70" t="s">
        <v>272</v>
      </c>
      <c r="I18" s="70" t="s">
        <v>273</v>
      </c>
      <c r="J18" s="70" t="s">
        <v>274</v>
      </c>
      <c r="K18" s="70" t="s">
        <v>275</v>
      </c>
    </row>
    <row r="19" spans="2:11" s="68" customFormat="1" ht="65" x14ac:dyDescent="0.25">
      <c r="B19" s="65" t="s">
        <v>17</v>
      </c>
      <c r="C19" s="65" t="s">
        <v>33</v>
      </c>
      <c r="D19" s="66" t="s">
        <v>19</v>
      </c>
      <c r="E19" s="69">
        <v>148</v>
      </c>
      <c r="F19" s="69">
        <v>223</v>
      </c>
      <c r="G19" s="70" t="s">
        <v>271</v>
      </c>
      <c r="H19" s="70" t="s">
        <v>272</v>
      </c>
      <c r="I19" s="70" t="s">
        <v>273</v>
      </c>
      <c r="J19" s="70" t="s">
        <v>274</v>
      </c>
      <c r="K19" s="70" t="s">
        <v>275</v>
      </c>
    </row>
    <row r="20" spans="2:11" s="68" customFormat="1" ht="65" x14ac:dyDescent="0.25">
      <c r="B20" s="65" t="s">
        <v>17</v>
      </c>
      <c r="C20" s="65" t="s">
        <v>34</v>
      </c>
      <c r="D20" s="66" t="s">
        <v>19</v>
      </c>
      <c r="E20" s="69">
        <v>161</v>
      </c>
      <c r="F20" s="69">
        <v>242</v>
      </c>
      <c r="G20" s="70" t="s">
        <v>271</v>
      </c>
      <c r="H20" s="70" t="s">
        <v>272</v>
      </c>
      <c r="I20" s="70" t="s">
        <v>273</v>
      </c>
      <c r="J20" s="70" t="s">
        <v>274</v>
      </c>
      <c r="K20" s="70" t="s">
        <v>275</v>
      </c>
    </row>
    <row r="21" spans="2:11" s="68" customFormat="1" ht="65" x14ac:dyDescent="0.25">
      <c r="B21" s="65" t="s">
        <v>17</v>
      </c>
      <c r="C21" s="65" t="s">
        <v>35</v>
      </c>
      <c r="D21" s="66" t="s">
        <v>19</v>
      </c>
      <c r="E21" s="69">
        <v>171</v>
      </c>
      <c r="F21" s="69">
        <v>257</v>
      </c>
      <c r="G21" s="70" t="s">
        <v>271</v>
      </c>
      <c r="H21" s="70" t="s">
        <v>272</v>
      </c>
      <c r="I21" s="70" t="s">
        <v>273</v>
      </c>
      <c r="J21" s="70" t="s">
        <v>274</v>
      </c>
      <c r="K21" s="70" t="s">
        <v>275</v>
      </c>
    </row>
    <row r="22" spans="2:11" s="72" customFormat="1" ht="65" x14ac:dyDescent="0.25">
      <c r="B22" s="65" t="s">
        <v>17</v>
      </c>
      <c r="C22" s="65" t="s">
        <v>36</v>
      </c>
      <c r="D22" s="66" t="s">
        <v>19</v>
      </c>
      <c r="E22" s="69">
        <v>196</v>
      </c>
      <c r="F22" s="69">
        <v>293</v>
      </c>
      <c r="G22" s="70" t="s">
        <v>271</v>
      </c>
      <c r="H22" s="70" t="s">
        <v>272</v>
      </c>
      <c r="I22" s="70" t="s">
        <v>273</v>
      </c>
      <c r="J22" s="70" t="s">
        <v>274</v>
      </c>
      <c r="K22" s="70" t="s">
        <v>275</v>
      </c>
    </row>
    <row r="23" spans="2:11" s="74" customFormat="1" ht="65" x14ac:dyDescent="0.25">
      <c r="B23" s="65" t="s">
        <v>17</v>
      </c>
      <c r="C23" s="65" t="s">
        <v>37</v>
      </c>
      <c r="D23" s="66" t="s">
        <v>19</v>
      </c>
      <c r="E23" s="69">
        <v>153</v>
      </c>
      <c r="F23" s="69">
        <v>230</v>
      </c>
      <c r="G23" s="70" t="s">
        <v>271</v>
      </c>
      <c r="H23" s="70" t="s">
        <v>272</v>
      </c>
      <c r="I23" s="70" t="s">
        <v>273</v>
      </c>
      <c r="J23" s="70" t="s">
        <v>274</v>
      </c>
      <c r="K23" s="70" t="s">
        <v>275</v>
      </c>
    </row>
    <row r="24" spans="2:11" s="75" customFormat="1" ht="65" x14ac:dyDescent="0.25">
      <c r="B24" s="65" t="s">
        <v>17</v>
      </c>
      <c r="C24" s="65" t="s">
        <v>38</v>
      </c>
      <c r="D24" s="66" t="s">
        <v>19</v>
      </c>
      <c r="E24" s="69">
        <v>184</v>
      </c>
      <c r="F24" s="69">
        <v>276</v>
      </c>
      <c r="G24" s="70" t="s">
        <v>271</v>
      </c>
      <c r="H24" s="70" t="s">
        <v>272</v>
      </c>
      <c r="I24" s="70" t="s">
        <v>273</v>
      </c>
      <c r="J24" s="70" t="s">
        <v>274</v>
      </c>
      <c r="K24" s="70" t="s">
        <v>275</v>
      </c>
    </row>
    <row r="25" spans="2:11" s="75" customFormat="1" ht="65" x14ac:dyDescent="0.25">
      <c r="B25" s="65" t="s">
        <v>17</v>
      </c>
      <c r="C25" s="65" t="s">
        <v>39</v>
      </c>
      <c r="D25" s="66" t="s">
        <v>19</v>
      </c>
      <c r="E25" s="69">
        <v>156</v>
      </c>
      <c r="F25" s="69">
        <v>233</v>
      </c>
      <c r="G25" s="70" t="s">
        <v>271</v>
      </c>
      <c r="H25" s="70" t="s">
        <v>272</v>
      </c>
      <c r="I25" s="70" t="s">
        <v>273</v>
      </c>
      <c r="J25" s="70" t="s">
        <v>274</v>
      </c>
      <c r="K25" s="70" t="s">
        <v>275</v>
      </c>
    </row>
    <row r="26" spans="2:11" s="75" customFormat="1" ht="65" x14ac:dyDescent="0.25">
      <c r="B26" s="65" t="s">
        <v>17</v>
      </c>
      <c r="C26" s="65" t="s">
        <v>40</v>
      </c>
      <c r="D26" s="66" t="s">
        <v>19</v>
      </c>
      <c r="E26" s="69">
        <v>216</v>
      </c>
      <c r="F26" s="69">
        <v>325</v>
      </c>
      <c r="G26" s="70" t="s">
        <v>271</v>
      </c>
      <c r="H26" s="70" t="s">
        <v>272</v>
      </c>
      <c r="I26" s="70" t="s">
        <v>273</v>
      </c>
      <c r="J26" s="70" t="s">
        <v>274</v>
      </c>
      <c r="K26" s="70" t="s">
        <v>275</v>
      </c>
    </row>
    <row r="27" spans="2:11" s="75" customFormat="1" ht="65" x14ac:dyDescent="0.25">
      <c r="B27" s="65" t="s">
        <v>17</v>
      </c>
      <c r="C27" s="65" t="s">
        <v>41</v>
      </c>
      <c r="D27" s="66" t="s">
        <v>19</v>
      </c>
      <c r="E27" s="69">
        <v>196</v>
      </c>
      <c r="F27" s="69">
        <v>293</v>
      </c>
      <c r="G27" s="70" t="s">
        <v>271</v>
      </c>
      <c r="H27" s="70" t="s">
        <v>272</v>
      </c>
      <c r="I27" s="70" t="s">
        <v>273</v>
      </c>
      <c r="J27" s="70" t="s">
        <v>274</v>
      </c>
      <c r="K27" s="70" t="s">
        <v>275</v>
      </c>
    </row>
    <row r="28" spans="2:11" s="75" customFormat="1" ht="65" x14ac:dyDescent="0.25">
      <c r="B28" s="65" t="s">
        <v>17</v>
      </c>
      <c r="C28" s="65" t="s">
        <v>42</v>
      </c>
      <c r="D28" s="66" t="s">
        <v>19</v>
      </c>
      <c r="E28" s="69">
        <v>207</v>
      </c>
      <c r="F28" s="69">
        <v>311</v>
      </c>
      <c r="G28" s="70" t="s">
        <v>271</v>
      </c>
      <c r="H28" s="70" t="s">
        <v>272</v>
      </c>
      <c r="I28" s="70" t="s">
        <v>273</v>
      </c>
      <c r="J28" s="70" t="s">
        <v>274</v>
      </c>
      <c r="K28" s="70" t="s">
        <v>275</v>
      </c>
    </row>
    <row r="29" spans="2:11" s="75" customFormat="1" ht="65" x14ac:dyDescent="0.25">
      <c r="B29" s="65" t="s">
        <v>17</v>
      </c>
      <c r="C29" s="65" t="s">
        <v>43</v>
      </c>
      <c r="D29" s="66" t="s">
        <v>19</v>
      </c>
      <c r="E29" s="69">
        <v>153</v>
      </c>
      <c r="F29" s="69">
        <v>230</v>
      </c>
      <c r="G29" s="70" t="s">
        <v>271</v>
      </c>
      <c r="H29" s="70" t="s">
        <v>272</v>
      </c>
      <c r="I29" s="70" t="s">
        <v>273</v>
      </c>
      <c r="J29" s="70" t="s">
        <v>274</v>
      </c>
      <c r="K29" s="70" t="s">
        <v>275</v>
      </c>
    </row>
    <row r="30" spans="2:11" s="75" customFormat="1" ht="13" x14ac:dyDescent="0.25">
      <c r="B30" s="65" t="s">
        <v>17</v>
      </c>
      <c r="C30" s="65" t="s">
        <v>44</v>
      </c>
      <c r="D30" s="66" t="s">
        <v>19</v>
      </c>
      <c r="E30" s="69">
        <v>156</v>
      </c>
      <c r="F30" s="69">
        <v>234</v>
      </c>
      <c r="G30" s="70"/>
      <c r="H30" s="70"/>
      <c r="I30" s="70"/>
      <c r="J30" s="70"/>
      <c r="K30" s="70"/>
    </row>
    <row r="31" spans="2:11" s="75" customFormat="1" ht="65" x14ac:dyDescent="0.25">
      <c r="B31" s="65" t="s">
        <v>17</v>
      </c>
      <c r="C31" s="65" t="s">
        <v>45</v>
      </c>
      <c r="D31" s="66" t="s">
        <v>19</v>
      </c>
      <c r="E31" s="69">
        <v>197</v>
      </c>
      <c r="F31" s="69">
        <v>295</v>
      </c>
      <c r="G31" s="70" t="s">
        <v>271</v>
      </c>
      <c r="H31" s="70" t="s">
        <v>272</v>
      </c>
      <c r="I31" s="70" t="s">
        <v>273</v>
      </c>
      <c r="J31" s="70" t="s">
        <v>274</v>
      </c>
      <c r="K31" s="76" t="s">
        <v>275</v>
      </c>
    </row>
    <row r="32" spans="2:11" s="75" customFormat="1" ht="65" x14ac:dyDescent="0.25">
      <c r="B32" s="65" t="s">
        <v>17</v>
      </c>
      <c r="C32" s="65" t="s">
        <v>46</v>
      </c>
      <c r="D32" s="66" t="s">
        <v>19</v>
      </c>
      <c r="E32" s="69">
        <v>156</v>
      </c>
      <c r="F32" s="69">
        <v>234</v>
      </c>
      <c r="G32" s="70" t="s">
        <v>271</v>
      </c>
      <c r="H32" s="70" t="s">
        <v>272</v>
      </c>
      <c r="I32" s="70" t="s">
        <v>273</v>
      </c>
      <c r="J32" s="70" t="s">
        <v>274</v>
      </c>
      <c r="K32" s="76" t="s">
        <v>275</v>
      </c>
    </row>
    <row r="33" spans="2:11" s="75" customFormat="1" ht="65" x14ac:dyDescent="0.25">
      <c r="B33" s="65" t="s">
        <v>17</v>
      </c>
      <c r="C33" s="65" t="s">
        <v>47</v>
      </c>
      <c r="D33" s="66" t="s">
        <v>19</v>
      </c>
      <c r="E33" s="69">
        <v>178</v>
      </c>
      <c r="F33" s="69">
        <v>268</v>
      </c>
      <c r="G33" s="70" t="s">
        <v>271</v>
      </c>
      <c r="H33" s="70" t="s">
        <v>272</v>
      </c>
      <c r="I33" s="70" t="s">
        <v>273</v>
      </c>
      <c r="J33" s="70" t="s">
        <v>274</v>
      </c>
      <c r="K33" s="76" t="s">
        <v>275</v>
      </c>
    </row>
    <row r="34" spans="2:11" s="75" customFormat="1" ht="65" x14ac:dyDescent="0.25">
      <c r="B34" s="65" t="s">
        <v>17</v>
      </c>
      <c r="C34" s="65" t="s">
        <v>48</v>
      </c>
      <c r="D34" s="66" t="s">
        <v>19</v>
      </c>
      <c r="E34" s="69">
        <v>191</v>
      </c>
      <c r="F34" s="69">
        <v>287</v>
      </c>
      <c r="G34" s="70" t="s">
        <v>271</v>
      </c>
      <c r="H34" s="70" t="s">
        <v>272</v>
      </c>
      <c r="I34" s="70" t="s">
        <v>273</v>
      </c>
      <c r="J34" s="70" t="s">
        <v>274</v>
      </c>
      <c r="K34" s="76" t="s">
        <v>275</v>
      </c>
    </row>
    <row r="35" spans="2:11" s="75" customFormat="1" ht="13" x14ac:dyDescent="0.25">
      <c r="B35" s="65" t="s">
        <v>17</v>
      </c>
      <c r="C35" s="65" t="s">
        <v>241</v>
      </c>
      <c r="D35" s="66" t="s">
        <v>19</v>
      </c>
      <c r="E35" s="69">
        <v>194</v>
      </c>
      <c r="F35" s="69">
        <v>293</v>
      </c>
      <c r="G35" s="70"/>
      <c r="H35" s="70"/>
      <c r="I35" s="70"/>
      <c r="J35" s="70"/>
      <c r="K35" s="70"/>
    </row>
    <row r="36" spans="2:11" s="75" customFormat="1" ht="65" x14ac:dyDescent="0.25">
      <c r="B36" s="65" t="s">
        <v>17</v>
      </c>
      <c r="C36" s="65" t="s">
        <v>50</v>
      </c>
      <c r="D36" s="66" t="s">
        <v>19</v>
      </c>
      <c r="E36" s="69">
        <v>157</v>
      </c>
      <c r="F36" s="69">
        <v>235</v>
      </c>
      <c r="G36" s="70" t="s">
        <v>271</v>
      </c>
      <c r="H36" s="70" t="s">
        <v>272</v>
      </c>
      <c r="I36" s="70" t="s">
        <v>273</v>
      </c>
      <c r="J36" s="70" t="s">
        <v>274</v>
      </c>
      <c r="K36" s="70" t="s">
        <v>275</v>
      </c>
    </row>
    <row r="37" spans="2:11" s="75" customFormat="1" ht="65" x14ac:dyDescent="0.25">
      <c r="B37" s="65" t="s">
        <v>17</v>
      </c>
      <c r="C37" s="65" t="s">
        <v>51</v>
      </c>
      <c r="D37" s="66" t="s">
        <v>19</v>
      </c>
      <c r="E37" s="69">
        <v>192</v>
      </c>
      <c r="F37" s="69">
        <v>288</v>
      </c>
      <c r="G37" s="70" t="s">
        <v>271</v>
      </c>
      <c r="H37" s="70" t="s">
        <v>272</v>
      </c>
      <c r="I37" s="70" t="s">
        <v>273</v>
      </c>
      <c r="J37" s="70" t="s">
        <v>274</v>
      </c>
      <c r="K37" s="70" t="s">
        <v>275</v>
      </c>
    </row>
    <row r="38" spans="2:11" s="75" customFormat="1" ht="65" x14ac:dyDescent="0.25">
      <c r="B38" s="65" t="s">
        <v>17</v>
      </c>
      <c r="C38" s="65" t="s">
        <v>52</v>
      </c>
      <c r="D38" s="66" t="s">
        <v>19</v>
      </c>
      <c r="E38" s="69">
        <v>218</v>
      </c>
      <c r="F38" s="69">
        <v>328</v>
      </c>
      <c r="G38" s="70" t="s">
        <v>271</v>
      </c>
      <c r="H38" s="70" t="s">
        <v>272</v>
      </c>
      <c r="I38" s="70" t="s">
        <v>273</v>
      </c>
      <c r="J38" s="70" t="s">
        <v>274</v>
      </c>
      <c r="K38" s="70" t="s">
        <v>275</v>
      </c>
    </row>
    <row r="39" spans="2:11" s="75" customFormat="1" ht="65" x14ac:dyDescent="0.25">
      <c r="B39" s="65" t="s">
        <v>17</v>
      </c>
      <c r="C39" s="65" t="s">
        <v>53</v>
      </c>
      <c r="D39" s="66" t="s">
        <v>19</v>
      </c>
      <c r="E39" s="69">
        <v>211</v>
      </c>
      <c r="F39" s="69">
        <v>316</v>
      </c>
      <c r="G39" s="70" t="s">
        <v>271</v>
      </c>
      <c r="H39" s="70" t="s">
        <v>272</v>
      </c>
      <c r="I39" s="70" t="s">
        <v>273</v>
      </c>
      <c r="J39" s="70" t="s">
        <v>274</v>
      </c>
      <c r="K39" s="70" t="s">
        <v>275</v>
      </c>
    </row>
    <row r="40" spans="2:11" s="75" customFormat="1" ht="13" x14ac:dyDescent="0.25">
      <c r="B40" s="65" t="s">
        <v>17</v>
      </c>
      <c r="C40" s="65" t="s">
        <v>54</v>
      </c>
      <c r="D40" s="66" t="s">
        <v>19</v>
      </c>
      <c r="E40" s="69">
        <v>181</v>
      </c>
      <c r="F40" s="69">
        <v>273</v>
      </c>
      <c r="G40" s="70"/>
      <c r="H40" s="70"/>
      <c r="I40" s="70"/>
      <c r="J40" s="70"/>
      <c r="K40" s="70"/>
    </row>
    <row r="41" spans="2:11" s="75" customFormat="1" ht="65" x14ac:dyDescent="0.25">
      <c r="B41" s="65" t="s">
        <v>17</v>
      </c>
      <c r="C41" s="65" t="s">
        <v>55</v>
      </c>
      <c r="D41" s="66" t="s">
        <v>19</v>
      </c>
      <c r="E41" s="69">
        <v>172</v>
      </c>
      <c r="F41" s="69">
        <v>258</v>
      </c>
      <c r="G41" s="70" t="s">
        <v>271</v>
      </c>
      <c r="H41" s="70" t="s">
        <v>272</v>
      </c>
      <c r="I41" s="70" t="s">
        <v>273</v>
      </c>
      <c r="J41" s="70" t="s">
        <v>274</v>
      </c>
      <c r="K41" s="70" t="s">
        <v>275</v>
      </c>
    </row>
    <row r="42" spans="2:11" s="75" customFormat="1" ht="13" x14ac:dyDescent="0.25">
      <c r="B42" s="65" t="s">
        <v>17</v>
      </c>
      <c r="C42" s="65" t="s">
        <v>242</v>
      </c>
      <c r="D42" s="66" t="s">
        <v>19</v>
      </c>
      <c r="E42" s="69">
        <v>188</v>
      </c>
      <c r="F42" s="69">
        <v>283</v>
      </c>
      <c r="G42" s="70"/>
      <c r="H42" s="70"/>
      <c r="I42" s="70"/>
      <c r="J42" s="70"/>
      <c r="K42" s="70"/>
    </row>
    <row r="43" spans="2:11" s="75" customFormat="1" ht="65" x14ac:dyDescent="0.25">
      <c r="B43" s="65" t="s">
        <v>17</v>
      </c>
      <c r="C43" s="65" t="s">
        <v>57</v>
      </c>
      <c r="D43" s="66" t="s">
        <v>19</v>
      </c>
      <c r="E43" s="69">
        <v>153</v>
      </c>
      <c r="F43" s="69">
        <v>229</v>
      </c>
      <c r="G43" s="70" t="s">
        <v>271</v>
      </c>
      <c r="H43" s="70" t="s">
        <v>272</v>
      </c>
      <c r="I43" s="70" t="s">
        <v>273</v>
      </c>
      <c r="J43" s="70" t="s">
        <v>274</v>
      </c>
      <c r="K43" s="70" t="s">
        <v>275</v>
      </c>
    </row>
    <row r="44" spans="2:11" s="75" customFormat="1" ht="13" x14ac:dyDescent="0.25">
      <c r="B44" s="65" t="s">
        <v>17</v>
      </c>
      <c r="C44" s="65" t="s">
        <v>58</v>
      </c>
      <c r="D44" s="66" t="s">
        <v>19</v>
      </c>
      <c r="E44" s="69">
        <v>168</v>
      </c>
      <c r="F44" s="69">
        <v>254</v>
      </c>
      <c r="G44" s="70"/>
      <c r="H44" s="70"/>
      <c r="I44" s="70"/>
      <c r="J44" s="70"/>
      <c r="K44" s="70"/>
    </row>
    <row r="45" spans="2:11" s="75" customFormat="1" ht="65" x14ac:dyDescent="0.25">
      <c r="B45" s="65" t="s">
        <v>17</v>
      </c>
      <c r="C45" s="65" t="s">
        <v>59</v>
      </c>
      <c r="D45" s="66" t="s">
        <v>19</v>
      </c>
      <c r="E45" s="69">
        <v>145</v>
      </c>
      <c r="F45" s="69">
        <v>218</v>
      </c>
      <c r="G45" s="70" t="s">
        <v>271</v>
      </c>
      <c r="H45" s="70" t="s">
        <v>272</v>
      </c>
      <c r="I45" s="70" t="s">
        <v>273</v>
      </c>
      <c r="J45" s="70" t="s">
        <v>274</v>
      </c>
      <c r="K45" s="70" t="s">
        <v>275</v>
      </c>
    </row>
    <row r="46" spans="2:11" s="75" customFormat="1" ht="13" x14ac:dyDescent="0.25">
      <c r="B46" s="65" t="s">
        <v>60</v>
      </c>
      <c r="C46" s="65" t="s">
        <v>61</v>
      </c>
      <c r="D46" s="66" t="s">
        <v>243</v>
      </c>
      <c r="E46" s="69">
        <v>54</v>
      </c>
      <c r="F46" s="69">
        <v>81</v>
      </c>
      <c r="G46" s="70"/>
      <c r="H46" s="70"/>
      <c r="I46" s="70"/>
      <c r="J46" s="70"/>
      <c r="K46" s="70"/>
    </row>
    <row r="47" spans="2:11" s="75" customFormat="1" ht="13" x14ac:dyDescent="0.25">
      <c r="B47" s="65" t="s">
        <v>62</v>
      </c>
      <c r="C47" s="65" t="s">
        <v>63</v>
      </c>
      <c r="D47" s="66" t="s">
        <v>243</v>
      </c>
      <c r="E47" s="69">
        <v>158</v>
      </c>
      <c r="F47" s="69">
        <v>237</v>
      </c>
      <c r="G47" s="70"/>
      <c r="H47" s="70"/>
      <c r="I47" s="70"/>
      <c r="J47" s="70"/>
      <c r="K47" s="70"/>
    </row>
    <row r="48" spans="2:11" s="75" customFormat="1" ht="13" x14ac:dyDescent="0.25">
      <c r="B48" s="65" t="s">
        <v>64</v>
      </c>
      <c r="C48" s="65" t="s">
        <v>65</v>
      </c>
      <c r="D48" s="66" t="s">
        <v>243</v>
      </c>
      <c r="E48" s="69">
        <v>76</v>
      </c>
      <c r="F48" s="69">
        <v>114</v>
      </c>
      <c r="G48" s="70"/>
      <c r="H48" s="70"/>
      <c r="I48" s="70"/>
      <c r="J48" s="70"/>
      <c r="K48" s="70"/>
    </row>
    <row r="49" spans="2:11" s="75" customFormat="1" ht="13" x14ac:dyDescent="0.25">
      <c r="B49" s="65" t="s">
        <v>66</v>
      </c>
      <c r="C49" s="65" t="s">
        <v>67</v>
      </c>
      <c r="D49" s="66" t="s">
        <v>243</v>
      </c>
      <c r="E49" s="69">
        <v>76</v>
      </c>
      <c r="F49" s="69">
        <v>114</v>
      </c>
      <c r="G49" s="70"/>
      <c r="H49" s="70"/>
      <c r="I49" s="70"/>
      <c r="J49" s="70"/>
      <c r="K49" s="70"/>
    </row>
    <row r="50" spans="2:11" s="75" customFormat="1" ht="13" x14ac:dyDescent="0.25">
      <c r="B50" s="65" t="s">
        <v>68</v>
      </c>
      <c r="C50" s="65" t="s">
        <v>69</v>
      </c>
      <c r="D50" s="66" t="s">
        <v>243</v>
      </c>
      <c r="E50" s="69">
        <v>188</v>
      </c>
      <c r="F50" s="69">
        <v>283</v>
      </c>
      <c r="G50" s="70"/>
      <c r="H50" s="70"/>
      <c r="I50" s="70"/>
      <c r="J50" s="70"/>
      <c r="K50" s="70"/>
    </row>
    <row r="51" spans="2:11" s="75" customFormat="1" ht="13" x14ac:dyDescent="0.25">
      <c r="B51" s="65" t="s">
        <v>70</v>
      </c>
      <c r="C51" s="65" t="s">
        <v>71</v>
      </c>
      <c r="D51" s="66" t="s">
        <v>243</v>
      </c>
      <c r="E51" s="69">
        <v>158</v>
      </c>
      <c r="F51" s="69">
        <v>237</v>
      </c>
      <c r="G51" s="70"/>
      <c r="H51" s="70"/>
      <c r="I51" s="70"/>
      <c r="J51" s="70"/>
      <c r="K51" s="70"/>
    </row>
    <row r="52" spans="2:11" s="75" customFormat="1" ht="13" x14ac:dyDescent="0.25">
      <c r="B52" s="65" t="s">
        <v>72</v>
      </c>
      <c r="C52" s="65" t="s">
        <v>73</v>
      </c>
      <c r="D52" s="66" t="s">
        <v>243</v>
      </c>
      <c r="E52" s="69">
        <v>37</v>
      </c>
      <c r="F52" s="69">
        <v>55</v>
      </c>
      <c r="G52" s="70"/>
      <c r="H52" s="70"/>
      <c r="I52" s="70"/>
      <c r="J52" s="70"/>
      <c r="K52" s="70"/>
    </row>
    <row r="53" spans="2:11" s="75" customFormat="1" ht="13" x14ac:dyDescent="0.25">
      <c r="B53" s="65" t="s">
        <v>74</v>
      </c>
      <c r="C53" s="65" t="s">
        <v>75</v>
      </c>
      <c r="D53" s="66" t="s">
        <v>243</v>
      </c>
      <c r="E53" s="69">
        <v>95</v>
      </c>
      <c r="F53" s="69">
        <v>143</v>
      </c>
      <c r="G53" s="70"/>
      <c r="H53" s="70"/>
      <c r="I53" s="70"/>
      <c r="J53" s="70"/>
      <c r="K53" s="70"/>
    </row>
    <row r="54" spans="2:11" s="75" customFormat="1" ht="13" x14ac:dyDescent="0.25">
      <c r="B54" s="65" t="s">
        <v>76</v>
      </c>
      <c r="C54" s="65" t="s">
        <v>77</v>
      </c>
      <c r="D54" s="66" t="s">
        <v>243</v>
      </c>
      <c r="E54" s="69">
        <v>89</v>
      </c>
      <c r="F54" s="69">
        <v>133</v>
      </c>
      <c r="G54" s="70"/>
      <c r="H54" s="70"/>
      <c r="I54" s="70"/>
      <c r="J54" s="70"/>
      <c r="K54" s="70"/>
    </row>
    <row r="55" spans="2:11" s="75" customFormat="1" ht="13" x14ac:dyDescent="0.25">
      <c r="B55" s="65" t="s">
        <v>78</v>
      </c>
      <c r="C55" s="65" t="s">
        <v>79</v>
      </c>
      <c r="D55" s="66" t="s">
        <v>243</v>
      </c>
      <c r="E55" s="69">
        <v>26</v>
      </c>
      <c r="F55" s="69">
        <v>39</v>
      </c>
      <c r="G55" s="70"/>
      <c r="H55" s="70"/>
      <c r="I55" s="70"/>
      <c r="J55" s="70"/>
      <c r="K55" s="70"/>
    </row>
    <row r="56" spans="2:11" s="75" customFormat="1" ht="13" x14ac:dyDescent="0.25">
      <c r="B56" s="65" t="s">
        <v>80</v>
      </c>
      <c r="C56" s="65" t="s">
        <v>81</v>
      </c>
      <c r="D56" s="66" t="s">
        <v>243</v>
      </c>
      <c r="E56" s="69">
        <v>173</v>
      </c>
      <c r="F56" s="69">
        <v>260</v>
      </c>
      <c r="G56" s="70"/>
      <c r="H56" s="70"/>
      <c r="I56" s="70"/>
      <c r="J56" s="70"/>
      <c r="K56" s="70"/>
    </row>
    <row r="57" spans="2:11" s="75" customFormat="1" ht="13" x14ac:dyDescent="0.25">
      <c r="B57" s="65" t="s">
        <v>82</v>
      </c>
      <c r="C57" s="65" t="s">
        <v>83</v>
      </c>
      <c r="D57" s="66" t="s">
        <v>243</v>
      </c>
      <c r="E57" s="69">
        <v>77</v>
      </c>
      <c r="F57" s="69">
        <v>308</v>
      </c>
      <c r="G57" s="70" t="s">
        <v>276</v>
      </c>
      <c r="H57" s="70" t="s">
        <v>276</v>
      </c>
      <c r="I57" s="70" t="s">
        <v>277</v>
      </c>
      <c r="J57" s="70" t="s">
        <v>276</v>
      </c>
      <c r="K57" s="70" t="s">
        <v>278</v>
      </c>
    </row>
    <row r="58" spans="2:11" s="75" customFormat="1" ht="13" x14ac:dyDescent="0.25">
      <c r="B58" s="65" t="s">
        <v>82</v>
      </c>
      <c r="C58" s="65" t="s">
        <v>84</v>
      </c>
      <c r="D58" s="66" t="s">
        <v>243</v>
      </c>
      <c r="E58" s="69">
        <v>77</v>
      </c>
      <c r="F58" s="69">
        <v>308</v>
      </c>
      <c r="G58" s="70" t="s">
        <v>276</v>
      </c>
      <c r="H58" s="70" t="s">
        <v>276</v>
      </c>
      <c r="I58" s="70" t="s">
        <v>277</v>
      </c>
      <c r="J58" s="70" t="s">
        <v>276</v>
      </c>
      <c r="K58" s="70" t="s">
        <v>278</v>
      </c>
    </row>
    <row r="59" spans="2:11" ht="13" x14ac:dyDescent="0.25">
      <c r="B59" s="65" t="s">
        <v>85</v>
      </c>
      <c r="C59" s="65" t="s">
        <v>86</v>
      </c>
      <c r="D59" s="66" t="s">
        <v>243</v>
      </c>
      <c r="E59" s="69">
        <v>166</v>
      </c>
      <c r="F59" s="69">
        <v>249</v>
      </c>
      <c r="G59" s="70" t="s">
        <v>276</v>
      </c>
      <c r="H59" s="70" t="s">
        <v>276</v>
      </c>
      <c r="I59" s="70" t="s">
        <v>277</v>
      </c>
      <c r="J59" s="70" t="s">
        <v>276</v>
      </c>
      <c r="K59" s="70"/>
    </row>
    <row r="60" spans="2:11" s="68" customFormat="1" ht="13" x14ac:dyDescent="0.25">
      <c r="B60" s="65" t="s">
        <v>85</v>
      </c>
      <c r="C60" s="65" t="s">
        <v>87</v>
      </c>
      <c r="D60" s="66" t="s">
        <v>243</v>
      </c>
      <c r="E60" s="69">
        <v>166</v>
      </c>
      <c r="F60" s="69">
        <v>249</v>
      </c>
      <c r="G60" s="70" t="s">
        <v>276</v>
      </c>
      <c r="H60" s="70" t="s">
        <v>276</v>
      </c>
      <c r="I60" s="70" t="s">
        <v>277</v>
      </c>
      <c r="J60" s="70" t="s">
        <v>276</v>
      </c>
      <c r="K60" s="70"/>
    </row>
    <row r="61" spans="2:11" s="72" customFormat="1" ht="13" x14ac:dyDescent="0.25">
      <c r="B61" s="65" t="s">
        <v>85</v>
      </c>
      <c r="C61" s="65" t="s">
        <v>88</v>
      </c>
      <c r="D61" s="66" t="s">
        <v>243</v>
      </c>
      <c r="E61" s="69">
        <v>99</v>
      </c>
      <c r="F61" s="69">
        <v>150</v>
      </c>
      <c r="G61" s="70"/>
      <c r="H61" s="70"/>
      <c r="I61" s="70"/>
      <c r="J61" s="70"/>
      <c r="K61" s="70"/>
    </row>
    <row r="62" spans="2:11" s="76" customFormat="1" ht="13" x14ac:dyDescent="0.25">
      <c r="B62" s="65" t="s">
        <v>89</v>
      </c>
      <c r="C62" s="65" t="s">
        <v>90</v>
      </c>
      <c r="D62" s="66" t="s">
        <v>243</v>
      </c>
      <c r="E62" s="69">
        <v>68</v>
      </c>
      <c r="F62" s="69">
        <v>165</v>
      </c>
      <c r="G62" s="70" t="s">
        <v>279</v>
      </c>
      <c r="H62" s="70" t="s">
        <v>276</v>
      </c>
      <c r="I62" s="70" t="s">
        <v>280</v>
      </c>
      <c r="J62" s="70" t="s">
        <v>281</v>
      </c>
      <c r="K62" s="70" t="s">
        <v>282</v>
      </c>
    </row>
    <row r="63" spans="2:11" s="77" customFormat="1" ht="65" x14ac:dyDescent="0.25">
      <c r="B63" s="65" t="s">
        <v>91</v>
      </c>
      <c r="C63" s="65" t="s">
        <v>92</v>
      </c>
      <c r="D63" s="66" t="s">
        <v>243</v>
      </c>
      <c r="E63" s="69">
        <v>68</v>
      </c>
      <c r="F63" s="69">
        <v>164</v>
      </c>
      <c r="G63" s="70" t="s">
        <v>283</v>
      </c>
      <c r="H63" s="70" t="s">
        <v>284</v>
      </c>
      <c r="I63" s="70" t="s">
        <v>280</v>
      </c>
      <c r="J63" s="70" t="s">
        <v>281</v>
      </c>
      <c r="K63" s="70" t="s">
        <v>285</v>
      </c>
    </row>
    <row r="64" spans="2:11" s="72" customFormat="1" ht="13" x14ac:dyDescent="0.25">
      <c r="B64" s="65" t="s">
        <v>93</v>
      </c>
      <c r="C64" s="65" t="s">
        <v>53</v>
      </c>
      <c r="D64" s="66" t="s">
        <v>243</v>
      </c>
      <c r="E64" s="69">
        <v>79</v>
      </c>
      <c r="F64" s="69">
        <v>210</v>
      </c>
      <c r="G64" s="70" t="s">
        <v>279</v>
      </c>
      <c r="H64" s="70" t="s">
        <v>276</v>
      </c>
      <c r="I64" s="70" t="s">
        <v>280</v>
      </c>
      <c r="J64" s="70" t="s">
        <v>281</v>
      </c>
      <c r="K64" s="70" t="s">
        <v>282</v>
      </c>
    </row>
    <row r="65" spans="2:11" s="68" customFormat="1" ht="13" x14ac:dyDescent="0.25">
      <c r="B65" s="65" t="s">
        <v>94</v>
      </c>
      <c r="C65" s="65" t="s">
        <v>95</v>
      </c>
      <c r="D65" s="66" t="s">
        <v>243</v>
      </c>
      <c r="E65" s="69">
        <v>67</v>
      </c>
      <c r="F65" s="69">
        <v>141</v>
      </c>
      <c r="G65" s="70" t="s">
        <v>286</v>
      </c>
      <c r="H65" s="70" t="s">
        <v>287</v>
      </c>
      <c r="I65" s="70" t="s">
        <v>286</v>
      </c>
      <c r="J65" s="70" t="s">
        <v>276</v>
      </c>
      <c r="K65" s="70"/>
    </row>
    <row r="66" spans="2:11" s="76" customFormat="1" ht="13" x14ac:dyDescent="0.25">
      <c r="B66" s="65" t="s">
        <v>94</v>
      </c>
      <c r="C66" s="65" t="s">
        <v>96</v>
      </c>
      <c r="D66" s="66" t="s">
        <v>243</v>
      </c>
      <c r="E66" s="69">
        <v>67</v>
      </c>
      <c r="F66" s="69">
        <v>144</v>
      </c>
      <c r="G66" s="70" t="s">
        <v>286</v>
      </c>
      <c r="H66" s="70" t="s">
        <v>288</v>
      </c>
      <c r="I66" s="70" t="s">
        <v>286</v>
      </c>
      <c r="J66" s="70" t="s">
        <v>276</v>
      </c>
      <c r="K66" s="70"/>
    </row>
    <row r="67" spans="2:11" s="77" customFormat="1" ht="13" x14ac:dyDescent="0.25">
      <c r="B67" s="65" t="s">
        <v>94</v>
      </c>
      <c r="C67" s="65" t="s">
        <v>97</v>
      </c>
      <c r="D67" s="66" t="s">
        <v>243</v>
      </c>
      <c r="E67" s="69">
        <v>69</v>
      </c>
      <c r="F67" s="69">
        <v>145</v>
      </c>
      <c r="G67" s="70" t="s">
        <v>286</v>
      </c>
      <c r="H67" s="70" t="s">
        <v>287</v>
      </c>
      <c r="I67" s="70" t="s">
        <v>286</v>
      </c>
      <c r="J67" s="70" t="s">
        <v>276</v>
      </c>
      <c r="K67" s="70"/>
    </row>
    <row r="68" spans="2:11" s="76" customFormat="1" ht="13" x14ac:dyDescent="0.25">
      <c r="B68" s="65" t="s">
        <v>94</v>
      </c>
      <c r="C68" s="65" t="s">
        <v>98</v>
      </c>
      <c r="D68" s="66" t="s">
        <v>243</v>
      </c>
      <c r="E68" s="69">
        <v>67</v>
      </c>
      <c r="F68" s="69">
        <v>144</v>
      </c>
      <c r="G68" s="70" t="s">
        <v>286</v>
      </c>
      <c r="H68" s="70" t="s">
        <v>287</v>
      </c>
      <c r="I68" s="70" t="s">
        <v>286</v>
      </c>
      <c r="J68" s="70" t="s">
        <v>276</v>
      </c>
      <c r="K68" s="70"/>
    </row>
    <row r="69" spans="2:11" s="76" customFormat="1" ht="13" x14ac:dyDescent="0.25">
      <c r="B69" s="65" t="s">
        <v>99</v>
      </c>
      <c r="C69" s="65" t="s">
        <v>100</v>
      </c>
      <c r="D69" s="66" t="s">
        <v>243</v>
      </c>
      <c r="E69" s="69">
        <v>166</v>
      </c>
      <c r="F69" s="69">
        <v>333</v>
      </c>
      <c r="G69" s="70"/>
      <c r="H69" s="70"/>
      <c r="I69" s="70"/>
      <c r="J69" s="70"/>
      <c r="K69" s="70"/>
    </row>
    <row r="70" spans="2:11" s="76" customFormat="1" ht="13" x14ac:dyDescent="0.25">
      <c r="B70" s="65" t="s">
        <v>244</v>
      </c>
      <c r="C70" s="65" t="s">
        <v>245</v>
      </c>
      <c r="D70" s="66" t="s">
        <v>19</v>
      </c>
      <c r="E70" s="69">
        <v>129.6</v>
      </c>
      <c r="F70" s="69">
        <v>195</v>
      </c>
      <c r="G70" s="70"/>
      <c r="H70" s="70"/>
      <c r="I70" s="70"/>
      <c r="J70" s="70"/>
      <c r="K70" s="70"/>
    </row>
    <row r="71" spans="2:11" s="76" customFormat="1" ht="13" x14ac:dyDescent="0.25">
      <c r="B71" s="65" t="s">
        <v>244</v>
      </c>
      <c r="C71" s="65" t="s">
        <v>246</v>
      </c>
      <c r="D71" s="66" t="s">
        <v>19</v>
      </c>
      <c r="E71" s="69">
        <v>125.27999999999999</v>
      </c>
      <c r="F71" s="69">
        <v>188.5</v>
      </c>
      <c r="G71" s="70"/>
      <c r="H71" s="70"/>
      <c r="I71" s="70"/>
      <c r="J71" s="70"/>
      <c r="K71" s="70"/>
    </row>
    <row r="72" spans="2:11" s="76" customFormat="1" ht="13" x14ac:dyDescent="0.25">
      <c r="B72" s="65" t="s">
        <v>244</v>
      </c>
      <c r="C72" s="65" t="s">
        <v>247</v>
      </c>
      <c r="D72" s="66" t="s">
        <v>19</v>
      </c>
      <c r="E72" s="69">
        <v>125.27999999999999</v>
      </c>
      <c r="F72" s="69">
        <v>188.5</v>
      </c>
      <c r="G72" s="70"/>
      <c r="H72" s="70"/>
      <c r="I72" s="70"/>
      <c r="J72" s="70"/>
      <c r="K72" s="70"/>
    </row>
    <row r="73" spans="2:11" s="76" customFormat="1" ht="13" x14ac:dyDescent="0.25">
      <c r="B73" s="65" t="s">
        <v>244</v>
      </c>
      <c r="C73" s="65" t="s">
        <v>248</v>
      </c>
      <c r="D73" s="66" t="s">
        <v>19</v>
      </c>
      <c r="E73" s="69">
        <v>127.44</v>
      </c>
      <c r="F73" s="69">
        <v>191.75</v>
      </c>
      <c r="G73" s="70"/>
      <c r="H73" s="70"/>
      <c r="I73" s="70"/>
      <c r="J73" s="70"/>
      <c r="K73" s="70"/>
    </row>
    <row r="74" spans="2:11" s="76" customFormat="1" ht="13" x14ac:dyDescent="0.25">
      <c r="B74" s="65" t="s">
        <v>101</v>
      </c>
      <c r="C74" s="65" t="s">
        <v>102</v>
      </c>
      <c r="D74" s="66" t="s">
        <v>6</v>
      </c>
      <c r="E74" s="69">
        <v>125</v>
      </c>
      <c r="F74" s="69">
        <v>300</v>
      </c>
      <c r="G74" s="70" t="s">
        <v>289</v>
      </c>
      <c r="H74" s="70" t="s">
        <v>289</v>
      </c>
      <c r="I74" s="70" t="s">
        <v>290</v>
      </c>
      <c r="J74" s="70" t="s">
        <v>291</v>
      </c>
      <c r="K74" s="70"/>
    </row>
    <row r="75" spans="2:11" s="72" customFormat="1" ht="13" x14ac:dyDescent="0.25">
      <c r="B75" s="65" t="s">
        <v>103</v>
      </c>
      <c r="C75" s="65" t="s">
        <v>104</v>
      </c>
      <c r="D75" s="66" t="s">
        <v>6</v>
      </c>
      <c r="E75" s="69">
        <v>180</v>
      </c>
      <c r="F75" s="69">
        <v>250</v>
      </c>
      <c r="G75" s="70" t="s">
        <v>276</v>
      </c>
      <c r="H75" s="70" t="s">
        <v>276</v>
      </c>
      <c r="I75" s="70" t="s">
        <v>290</v>
      </c>
      <c r="J75" s="70" t="s">
        <v>292</v>
      </c>
      <c r="K75" s="70"/>
    </row>
    <row r="76" spans="2:11" s="77" customFormat="1" ht="26" x14ac:dyDescent="0.25">
      <c r="B76" s="65" t="s">
        <v>105</v>
      </c>
      <c r="C76" s="65" t="s">
        <v>106</v>
      </c>
      <c r="D76" s="66" t="s">
        <v>6</v>
      </c>
      <c r="E76" s="69">
        <v>74</v>
      </c>
      <c r="F76" s="69">
        <v>179</v>
      </c>
      <c r="G76" s="70" t="s">
        <v>276</v>
      </c>
      <c r="H76" s="70" t="s">
        <v>293</v>
      </c>
      <c r="I76" s="70" t="s">
        <v>294</v>
      </c>
      <c r="J76" s="70" t="s">
        <v>276</v>
      </c>
      <c r="K76" s="70" t="s">
        <v>295</v>
      </c>
    </row>
    <row r="77" spans="2:11" s="77" customFormat="1" ht="26" x14ac:dyDescent="0.25">
      <c r="B77" s="65" t="s">
        <v>107</v>
      </c>
      <c r="C77" s="65" t="s">
        <v>108</v>
      </c>
      <c r="D77" s="66" t="s">
        <v>6</v>
      </c>
      <c r="E77" s="69">
        <v>32</v>
      </c>
      <c r="F77" s="69">
        <v>53</v>
      </c>
      <c r="G77" s="70" t="s">
        <v>276</v>
      </c>
      <c r="H77" s="70" t="s">
        <v>296</v>
      </c>
      <c r="I77" s="70" t="s">
        <v>290</v>
      </c>
      <c r="J77" s="70" t="s">
        <v>297</v>
      </c>
      <c r="K77" s="70" t="s">
        <v>298</v>
      </c>
    </row>
    <row r="78" spans="2:11" s="76" customFormat="1" ht="13" x14ac:dyDescent="0.25">
      <c r="B78" s="65" t="s">
        <v>109</v>
      </c>
      <c r="C78" s="65" t="s">
        <v>110</v>
      </c>
      <c r="D78" s="66" t="s">
        <v>6</v>
      </c>
      <c r="E78" s="69">
        <v>42</v>
      </c>
      <c r="F78" s="69">
        <v>63</v>
      </c>
      <c r="G78" s="70" t="s">
        <v>276</v>
      </c>
      <c r="H78" s="70" t="s">
        <v>296</v>
      </c>
      <c r="I78" s="70" t="s">
        <v>290</v>
      </c>
      <c r="J78" s="70" t="s">
        <v>297</v>
      </c>
      <c r="K78" s="70"/>
    </row>
    <row r="79" spans="2:11" s="76" customFormat="1" ht="26" x14ac:dyDescent="0.25">
      <c r="B79" s="65" t="s">
        <v>111</v>
      </c>
      <c r="C79" s="65" t="s">
        <v>112</v>
      </c>
      <c r="D79" s="66" t="s">
        <v>6</v>
      </c>
      <c r="E79" s="69">
        <v>15</v>
      </c>
      <c r="F79" s="69">
        <v>85</v>
      </c>
      <c r="G79" s="70" t="s">
        <v>299</v>
      </c>
      <c r="H79" s="70" t="s">
        <v>300</v>
      </c>
      <c r="I79" s="70" t="s">
        <v>301</v>
      </c>
      <c r="J79" s="70" t="s">
        <v>291</v>
      </c>
      <c r="K79" s="70"/>
    </row>
    <row r="80" spans="2:11" s="76" customFormat="1" ht="39" x14ac:dyDescent="0.25">
      <c r="B80" s="65" t="s">
        <v>113</v>
      </c>
      <c r="C80" s="65" t="s">
        <v>114</v>
      </c>
      <c r="D80" s="66" t="s">
        <v>6</v>
      </c>
      <c r="E80" s="69">
        <f>218+11</f>
        <v>229</v>
      </c>
      <c r="F80" s="69">
        <f>13+266</f>
        <v>279</v>
      </c>
      <c r="G80" s="70" t="s">
        <v>276</v>
      </c>
      <c r="H80" s="70" t="s">
        <v>276</v>
      </c>
      <c r="I80" s="70" t="s">
        <v>290</v>
      </c>
      <c r="J80" s="70" t="s">
        <v>302</v>
      </c>
      <c r="K80" s="70"/>
    </row>
    <row r="81" spans="2:11" s="76" customFormat="1" ht="13" x14ac:dyDescent="0.25">
      <c r="B81" s="65" t="s">
        <v>115</v>
      </c>
      <c r="C81" s="65" t="s">
        <v>116</v>
      </c>
      <c r="D81" s="66" t="s">
        <v>6</v>
      </c>
      <c r="E81" s="69">
        <v>73</v>
      </c>
      <c r="F81" s="69">
        <v>171</v>
      </c>
      <c r="G81" s="70" t="s">
        <v>303</v>
      </c>
      <c r="H81" s="70" t="s">
        <v>304</v>
      </c>
      <c r="I81" s="70" t="s">
        <v>305</v>
      </c>
      <c r="J81" s="70" t="s">
        <v>276</v>
      </c>
      <c r="K81" s="70" t="s">
        <v>295</v>
      </c>
    </row>
    <row r="82" spans="2:11" s="76" customFormat="1" ht="13" x14ac:dyDescent="0.25">
      <c r="B82" s="65" t="s">
        <v>117</v>
      </c>
      <c r="C82" s="65" t="s">
        <v>118</v>
      </c>
      <c r="D82" s="66" t="s">
        <v>6</v>
      </c>
      <c r="E82" s="69">
        <v>26</v>
      </c>
      <c r="F82" s="69">
        <v>74</v>
      </c>
      <c r="G82" s="70" t="s">
        <v>306</v>
      </c>
      <c r="H82" s="70" t="s">
        <v>307</v>
      </c>
      <c r="I82" s="70" t="s">
        <v>290</v>
      </c>
      <c r="J82" s="70" t="s">
        <v>297</v>
      </c>
      <c r="K82" s="70"/>
    </row>
    <row r="83" spans="2:11" s="72" customFormat="1" ht="39" x14ac:dyDescent="0.25">
      <c r="B83" s="65" t="s">
        <v>119</v>
      </c>
      <c r="C83" s="65" t="s">
        <v>120</v>
      </c>
      <c r="D83" s="66" t="s">
        <v>6</v>
      </c>
      <c r="E83" s="69">
        <v>182</v>
      </c>
      <c r="F83" s="69">
        <v>250</v>
      </c>
      <c r="G83" s="70" t="s">
        <v>276</v>
      </c>
      <c r="H83" s="70" t="s">
        <v>276</v>
      </c>
      <c r="I83" s="70" t="s">
        <v>290</v>
      </c>
      <c r="J83" s="70" t="s">
        <v>308</v>
      </c>
      <c r="K83" s="70" t="s">
        <v>309</v>
      </c>
    </row>
    <row r="84" spans="2:11" s="76" customFormat="1" ht="13" x14ac:dyDescent="0.25">
      <c r="B84" s="65" t="s">
        <v>122</v>
      </c>
      <c r="C84" s="65" t="s">
        <v>124</v>
      </c>
      <c r="D84" s="66" t="s">
        <v>6</v>
      </c>
      <c r="E84" s="69">
        <v>164</v>
      </c>
      <c r="F84" s="69">
        <v>247</v>
      </c>
      <c r="G84" s="70"/>
      <c r="H84" s="70"/>
      <c r="I84" s="70"/>
      <c r="J84" s="70"/>
      <c r="K84" s="70"/>
    </row>
    <row r="85" spans="2:11" s="68" customFormat="1" ht="26" x14ac:dyDescent="0.25">
      <c r="B85" s="65" t="s">
        <v>129</v>
      </c>
      <c r="C85" s="65" t="s">
        <v>130</v>
      </c>
      <c r="D85" s="66" t="s">
        <v>6</v>
      </c>
      <c r="E85" s="69">
        <v>85</v>
      </c>
      <c r="F85" s="69">
        <v>199</v>
      </c>
      <c r="G85" s="70" t="s">
        <v>276</v>
      </c>
      <c r="H85" s="70" t="s">
        <v>293</v>
      </c>
      <c r="I85" s="70" t="s">
        <v>294</v>
      </c>
      <c r="J85" s="70" t="s">
        <v>276</v>
      </c>
      <c r="K85" s="70" t="s">
        <v>295</v>
      </c>
    </row>
    <row r="86" spans="2:11" s="77" customFormat="1" ht="13" x14ac:dyDescent="0.25">
      <c r="B86" s="65" t="s">
        <v>131</v>
      </c>
      <c r="C86" s="65" t="s">
        <v>132</v>
      </c>
      <c r="D86" s="66" t="s">
        <v>6</v>
      </c>
      <c r="E86" s="69">
        <v>16</v>
      </c>
      <c r="F86" s="69">
        <v>37</v>
      </c>
      <c r="G86" s="70" t="s">
        <v>306</v>
      </c>
      <c r="H86" s="70" t="s">
        <v>307</v>
      </c>
      <c r="I86" s="70" t="s">
        <v>290</v>
      </c>
      <c r="J86" s="70" t="s">
        <v>297</v>
      </c>
      <c r="K86" s="70"/>
    </row>
    <row r="87" spans="2:11" s="78" customFormat="1" ht="26" x14ac:dyDescent="0.25">
      <c r="B87" s="65" t="s">
        <v>133</v>
      </c>
      <c r="C87" s="65" t="s">
        <v>134</v>
      </c>
      <c r="D87" s="66" t="s">
        <v>6</v>
      </c>
      <c r="E87" s="69">
        <v>145</v>
      </c>
      <c r="F87" s="69">
        <v>363</v>
      </c>
      <c r="G87" s="70" t="s">
        <v>276</v>
      </c>
      <c r="H87" s="70" t="s">
        <v>276</v>
      </c>
      <c r="I87" s="70" t="s">
        <v>310</v>
      </c>
      <c r="J87" s="70" t="s">
        <v>311</v>
      </c>
      <c r="K87" s="70" t="s">
        <v>312</v>
      </c>
    </row>
    <row r="88" spans="2:11" s="74" customFormat="1" ht="52" x14ac:dyDescent="0.25">
      <c r="B88" s="65" t="s">
        <v>135</v>
      </c>
      <c r="C88" s="65" t="s">
        <v>136</v>
      </c>
      <c r="D88" s="66" t="s">
        <v>6</v>
      </c>
      <c r="E88" s="69">
        <v>71</v>
      </c>
      <c r="F88" s="69">
        <v>239</v>
      </c>
      <c r="G88" s="70" t="s">
        <v>313</v>
      </c>
      <c r="H88" s="70" t="s">
        <v>307</v>
      </c>
      <c r="I88" s="70" t="s">
        <v>290</v>
      </c>
      <c r="J88" s="70" t="s">
        <v>311</v>
      </c>
      <c r="K88" s="70" t="s">
        <v>314</v>
      </c>
    </row>
    <row r="89" spans="2:11" s="76" customFormat="1" ht="26" x14ac:dyDescent="0.25">
      <c r="B89" s="65" t="s">
        <v>137</v>
      </c>
      <c r="C89" s="65" t="s">
        <v>138</v>
      </c>
      <c r="D89" s="66" t="s">
        <v>6</v>
      </c>
      <c r="E89" s="69">
        <v>190</v>
      </c>
      <c r="F89" s="69">
        <v>250</v>
      </c>
      <c r="G89" s="70" t="s">
        <v>276</v>
      </c>
      <c r="H89" s="70" t="s">
        <v>276</v>
      </c>
      <c r="I89" s="70" t="s">
        <v>280</v>
      </c>
      <c r="J89" s="70" t="s">
        <v>276</v>
      </c>
      <c r="K89" s="70" t="s">
        <v>315</v>
      </c>
    </row>
    <row r="90" spans="2:11" s="68" customFormat="1" ht="26" x14ac:dyDescent="0.25">
      <c r="B90" s="65" t="s">
        <v>139</v>
      </c>
      <c r="C90" s="65" t="s">
        <v>140</v>
      </c>
      <c r="D90" s="66" t="s">
        <v>6</v>
      </c>
      <c r="E90" s="69">
        <v>83</v>
      </c>
      <c r="F90" s="69">
        <v>187</v>
      </c>
      <c r="G90" s="70" t="s">
        <v>276</v>
      </c>
      <c r="H90" s="70" t="s">
        <v>316</v>
      </c>
      <c r="I90" s="70" t="s">
        <v>294</v>
      </c>
      <c r="J90" s="70" t="s">
        <v>276</v>
      </c>
      <c r="K90" s="70" t="s">
        <v>295</v>
      </c>
    </row>
    <row r="91" spans="2:11" s="76" customFormat="1" ht="13" x14ac:dyDescent="0.25">
      <c r="B91" s="65" t="s">
        <v>141</v>
      </c>
      <c r="C91" s="65" t="s">
        <v>141</v>
      </c>
      <c r="D91" s="66" t="s">
        <v>6</v>
      </c>
      <c r="E91" s="69">
        <v>179</v>
      </c>
      <c r="F91" s="69">
        <v>250</v>
      </c>
      <c r="G91" s="70" t="s">
        <v>276</v>
      </c>
      <c r="H91" s="70" t="s">
        <v>276</v>
      </c>
      <c r="I91" s="70" t="s">
        <v>290</v>
      </c>
      <c r="J91" s="70" t="s">
        <v>276</v>
      </c>
      <c r="K91" s="70"/>
    </row>
    <row r="92" spans="2:11" s="76" customFormat="1" ht="13" x14ac:dyDescent="0.25">
      <c r="B92" s="65" t="s">
        <v>142</v>
      </c>
      <c r="C92" s="65" t="s">
        <v>143</v>
      </c>
      <c r="D92" s="66" t="s">
        <v>6</v>
      </c>
      <c r="E92" s="69">
        <v>68</v>
      </c>
      <c r="F92" s="69">
        <v>164</v>
      </c>
      <c r="G92" s="70" t="s">
        <v>303</v>
      </c>
      <c r="H92" s="70" t="s">
        <v>304</v>
      </c>
      <c r="I92" s="70" t="s">
        <v>317</v>
      </c>
      <c r="J92" s="70" t="s">
        <v>276</v>
      </c>
      <c r="K92" s="70" t="s">
        <v>295</v>
      </c>
    </row>
    <row r="93" spans="2:11" s="72" customFormat="1" ht="13" x14ac:dyDescent="0.25">
      <c r="B93" s="65" t="s">
        <v>144</v>
      </c>
      <c r="C93" s="65" t="s">
        <v>145</v>
      </c>
      <c r="D93" s="66" t="s">
        <v>6</v>
      </c>
      <c r="E93" s="69">
        <v>116</v>
      </c>
      <c r="F93" s="69">
        <v>158</v>
      </c>
      <c r="G93" s="70" t="s">
        <v>276</v>
      </c>
      <c r="H93" s="70" t="s">
        <v>276</v>
      </c>
      <c r="I93" s="70" t="s">
        <v>318</v>
      </c>
      <c r="J93" s="70" t="s">
        <v>276</v>
      </c>
      <c r="K93" s="70"/>
    </row>
    <row r="94" spans="2:11" s="77" customFormat="1" ht="91" x14ac:dyDescent="0.25">
      <c r="B94" s="65" t="s">
        <v>146</v>
      </c>
      <c r="C94" s="65" t="s">
        <v>147</v>
      </c>
      <c r="D94" s="66" t="s">
        <v>6</v>
      </c>
      <c r="E94" s="69">
        <v>76</v>
      </c>
      <c r="F94" s="69">
        <v>173</v>
      </c>
      <c r="G94" s="70" t="s">
        <v>276</v>
      </c>
      <c r="H94" s="70" t="s">
        <v>276</v>
      </c>
      <c r="I94" s="70" t="s">
        <v>319</v>
      </c>
      <c r="J94" s="70" t="s">
        <v>320</v>
      </c>
      <c r="K94" s="70" t="s">
        <v>321</v>
      </c>
    </row>
    <row r="95" spans="2:11" s="68" customFormat="1" ht="13" x14ac:dyDescent="0.25">
      <c r="B95" s="65" t="s">
        <v>148</v>
      </c>
      <c r="C95" s="65" t="s">
        <v>149</v>
      </c>
      <c r="D95" s="66" t="s">
        <v>6</v>
      </c>
      <c r="E95" s="69">
        <v>26</v>
      </c>
      <c r="F95" s="69">
        <v>74</v>
      </c>
      <c r="G95" s="70" t="s">
        <v>306</v>
      </c>
      <c r="H95" s="70" t="s">
        <v>307</v>
      </c>
      <c r="I95" s="70" t="s">
        <v>290</v>
      </c>
      <c r="J95" s="70" t="s">
        <v>297</v>
      </c>
      <c r="K95" s="70"/>
    </row>
    <row r="96" spans="2:11" s="68" customFormat="1" ht="13" x14ac:dyDescent="0.25">
      <c r="B96" s="65" t="s">
        <v>150</v>
      </c>
      <c r="C96" s="65" t="s">
        <v>151</v>
      </c>
      <c r="D96" s="66" t="s">
        <v>6</v>
      </c>
      <c r="E96" s="69">
        <v>27</v>
      </c>
      <c r="F96" s="69">
        <v>80</v>
      </c>
      <c r="G96" s="70" t="s">
        <v>306</v>
      </c>
      <c r="H96" s="70" t="s">
        <v>307</v>
      </c>
      <c r="I96" s="70" t="s">
        <v>290</v>
      </c>
      <c r="J96" s="70" t="s">
        <v>297</v>
      </c>
      <c r="K96" s="70"/>
    </row>
    <row r="97" spans="2:11" s="76" customFormat="1" ht="13" x14ac:dyDescent="0.25">
      <c r="B97" s="65" t="s">
        <v>152</v>
      </c>
      <c r="C97" s="65" t="s">
        <v>153</v>
      </c>
      <c r="D97" s="66" t="s">
        <v>6</v>
      </c>
      <c r="E97" s="69">
        <v>90</v>
      </c>
      <c r="F97" s="69">
        <v>145</v>
      </c>
      <c r="G97" s="70" t="s">
        <v>276</v>
      </c>
      <c r="H97" s="70" t="s">
        <v>276</v>
      </c>
      <c r="I97" s="70" t="s">
        <v>290</v>
      </c>
      <c r="J97" s="70" t="s">
        <v>297</v>
      </c>
      <c r="K97" s="70"/>
    </row>
    <row r="98" spans="2:11" s="76" customFormat="1" ht="13" x14ac:dyDescent="0.25">
      <c r="B98" s="65" t="s">
        <v>154</v>
      </c>
      <c r="C98" s="65" t="s">
        <v>155</v>
      </c>
      <c r="D98" s="66" t="s">
        <v>6</v>
      </c>
      <c r="E98" s="69">
        <v>113</v>
      </c>
      <c r="F98" s="69">
        <v>226</v>
      </c>
      <c r="G98" s="70"/>
      <c r="H98" s="70"/>
      <c r="I98" s="70"/>
      <c r="J98" s="70"/>
      <c r="K98" s="70"/>
    </row>
    <row r="99" spans="2:11" s="76" customFormat="1" ht="13" x14ac:dyDescent="0.25">
      <c r="B99" s="65" t="s">
        <v>156</v>
      </c>
      <c r="C99" s="65" t="s">
        <v>157</v>
      </c>
      <c r="D99" s="66" t="s">
        <v>6</v>
      </c>
      <c r="E99" s="69">
        <v>130</v>
      </c>
      <c r="F99" s="69">
        <v>260</v>
      </c>
      <c r="G99" s="70"/>
      <c r="H99" s="70"/>
      <c r="I99" s="70"/>
      <c r="J99" s="70"/>
      <c r="K99" s="70"/>
    </row>
    <row r="100" spans="2:11" s="68" customFormat="1" ht="26" x14ac:dyDescent="0.25">
      <c r="B100" s="65" t="s">
        <v>158</v>
      </c>
      <c r="C100" s="65" t="s">
        <v>159</v>
      </c>
      <c r="D100" s="66" t="s">
        <v>6</v>
      </c>
      <c r="E100" s="69">
        <v>47</v>
      </c>
      <c r="F100" s="69">
        <v>68</v>
      </c>
      <c r="G100" s="70" t="s">
        <v>276</v>
      </c>
      <c r="H100" s="70" t="s">
        <v>276</v>
      </c>
      <c r="I100" s="70" t="s">
        <v>318</v>
      </c>
      <c r="J100" s="70" t="s">
        <v>297</v>
      </c>
      <c r="K100" s="70" t="s">
        <v>298</v>
      </c>
    </row>
    <row r="101" spans="2:11" s="72" customFormat="1" ht="65" x14ac:dyDescent="0.25">
      <c r="B101" s="65" t="s">
        <v>160</v>
      </c>
      <c r="C101" s="65" t="s">
        <v>161</v>
      </c>
      <c r="D101" s="66" t="s">
        <v>6</v>
      </c>
      <c r="E101" s="69">
        <v>30</v>
      </c>
      <c r="F101" s="69">
        <v>100</v>
      </c>
      <c r="G101" s="70" t="s">
        <v>322</v>
      </c>
      <c r="H101" s="70" t="s">
        <v>323</v>
      </c>
      <c r="I101" s="70" t="s">
        <v>324</v>
      </c>
      <c r="J101" s="70" t="s">
        <v>297</v>
      </c>
      <c r="K101" s="70" t="s">
        <v>325</v>
      </c>
    </row>
    <row r="102" spans="2:11" s="68" customFormat="1" ht="13" x14ac:dyDescent="0.25">
      <c r="B102" s="65" t="s">
        <v>162</v>
      </c>
      <c r="C102" s="65" t="s">
        <v>163</v>
      </c>
      <c r="D102" s="66" t="s">
        <v>6</v>
      </c>
      <c r="E102" s="69">
        <v>155</v>
      </c>
      <c r="F102" s="69">
        <v>312</v>
      </c>
      <c r="G102" s="70"/>
      <c r="H102" s="70"/>
      <c r="I102" s="70"/>
      <c r="J102" s="70"/>
      <c r="K102" s="70"/>
    </row>
    <row r="103" spans="2:11" s="77" customFormat="1" ht="39" x14ac:dyDescent="0.25">
      <c r="B103" s="65" t="s">
        <v>164</v>
      </c>
      <c r="C103" s="65" t="s">
        <v>165</v>
      </c>
      <c r="D103" s="66" t="s">
        <v>6</v>
      </c>
      <c r="E103" s="69">
        <v>68</v>
      </c>
      <c r="F103" s="69">
        <v>172</v>
      </c>
      <c r="G103" s="70" t="s">
        <v>276</v>
      </c>
      <c r="H103" s="70" t="s">
        <v>326</v>
      </c>
      <c r="I103" s="70" t="s">
        <v>294</v>
      </c>
      <c r="J103" s="70" t="s">
        <v>276</v>
      </c>
      <c r="K103" s="70" t="s">
        <v>295</v>
      </c>
    </row>
    <row r="104" spans="2:11" s="68" customFormat="1" ht="26" x14ac:dyDescent="0.25">
      <c r="B104" s="65" t="s">
        <v>166</v>
      </c>
      <c r="C104" s="65" t="s">
        <v>167</v>
      </c>
      <c r="D104" s="66" t="s">
        <v>6</v>
      </c>
      <c r="E104" s="69">
        <v>96</v>
      </c>
      <c r="F104" s="69">
        <v>149</v>
      </c>
      <c r="G104" s="70" t="s">
        <v>276</v>
      </c>
      <c r="H104" s="70" t="s">
        <v>276</v>
      </c>
      <c r="I104" s="70" t="s">
        <v>280</v>
      </c>
      <c r="J104" s="70" t="s">
        <v>276</v>
      </c>
      <c r="K104" s="70" t="s">
        <v>327</v>
      </c>
    </row>
    <row r="105" spans="2:11" s="68" customFormat="1" ht="13" x14ac:dyDescent="0.25">
      <c r="B105" s="65" t="s">
        <v>168</v>
      </c>
      <c r="C105" s="65" t="s">
        <v>169</v>
      </c>
      <c r="D105" s="66" t="s">
        <v>6</v>
      </c>
      <c r="E105" s="69">
        <v>180</v>
      </c>
      <c r="F105" s="69">
        <v>300</v>
      </c>
      <c r="G105" s="70" t="s">
        <v>276</v>
      </c>
      <c r="H105" s="70" t="s">
        <v>307</v>
      </c>
      <c r="I105" s="70" t="s">
        <v>280</v>
      </c>
      <c r="J105" s="70" t="s">
        <v>289</v>
      </c>
      <c r="K105" s="70" t="s">
        <v>328</v>
      </c>
    </row>
    <row r="106" spans="2:11" s="75" customFormat="1" ht="26" x14ac:dyDescent="0.25">
      <c r="B106" s="65" t="s">
        <v>170</v>
      </c>
      <c r="C106" s="65" t="s">
        <v>171</v>
      </c>
      <c r="D106" s="66" t="s">
        <v>6</v>
      </c>
      <c r="E106" s="69">
        <f>242*105%</f>
        <v>254.10000000000002</v>
      </c>
      <c r="F106" s="69">
        <v>318</v>
      </c>
      <c r="G106" s="70" t="s">
        <v>329</v>
      </c>
      <c r="H106" s="70" t="s">
        <v>276</v>
      </c>
      <c r="I106" s="70" t="s">
        <v>290</v>
      </c>
      <c r="J106" s="70" t="s">
        <v>306</v>
      </c>
      <c r="K106" s="70" t="s">
        <v>330</v>
      </c>
    </row>
    <row r="107" spans="2:11" s="75" customFormat="1" ht="26" x14ac:dyDescent="0.25">
      <c r="B107" s="65" t="s">
        <v>170</v>
      </c>
      <c r="C107" s="65" t="s">
        <v>172</v>
      </c>
      <c r="D107" s="66" t="s">
        <v>6</v>
      </c>
      <c r="E107" s="69">
        <f>242*105%</f>
        <v>254.10000000000002</v>
      </c>
      <c r="F107" s="69">
        <v>303</v>
      </c>
      <c r="G107" s="70" t="s">
        <v>329</v>
      </c>
      <c r="H107" s="70" t="s">
        <v>276</v>
      </c>
      <c r="I107" s="70" t="s">
        <v>290</v>
      </c>
      <c r="J107" s="70" t="s">
        <v>306</v>
      </c>
      <c r="K107" s="70" t="s">
        <v>330</v>
      </c>
    </row>
    <row r="108" spans="2:11" s="75" customFormat="1" ht="26" x14ac:dyDescent="0.25">
      <c r="B108" s="65" t="s">
        <v>173</v>
      </c>
      <c r="C108" s="65" t="s">
        <v>174</v>
      </c>
      <c r="D108" s="66" t="s">
        <v>6</v>
      </c>
      <c r="E108" s="69">
        <v>25</v>
      </c>
      <c r="F108" s="69">
        <v>35</v>
      </c>
      <c r="G108" s="70" t="s">
        <v>306</v>
      </c>
      <c r="H108" s="70" t="s">
        <v>276</v>
      </c>
      <c r="I108" s="70" t="s">
        <v>331</v>
      </c>
      <c r="J108" s="70" t="s">
        <v>306</v>
      </c>
      <c r="K108" s="70" t="s">
        <v>332</v>
      </c>
    </row>
    <row r="109" spans="2:11" ht="26" x14ac:dyDescent="0.25">
      <c r="B109" s="65" t="s">
        <v>175</v>
      </c>
      <c r="C109" s="65" t="s">
        <v>176</v>
      </c>
      <c r="D109" s="66" t="s">
        <v>6</v>
      </c>
      <c r="E109" s="69">
        <v>220</v>
      </c>
      <c r="F109" s="69">
        <v>386</v>
      </c>
      <c r="G109" s="70" t="s">
        <v>276</v>
      </c>
      <c r="H109" s="70" t="s">
        <v>276</v>
      </c>
      <c r="I109" s="70" t="s">
        <v>333</v>
      </c>
      <c r="J109" s="70" t="s">
        <v>276</v>
      </c>
      <c r="K109" s="70" t="s">
        <v>334</v>
      </c>
    </row>
    <row r="110" spans="2:11" ht="26" x14ac:dyDescent="0.25">
      <c r="B110" s="65" t="s">
        <v>175</v>
      </c>
      <c r="C110" s="65" t="s">
        <v>177</v>
      </c>
      <c r="D110" s="66" t="s">
        <v>6</v>
      </c>
      <c r="E110" s="69">
        <v>220</v>
      </c>
      <c r="F110" s="69">
        <v>386</v>
      </c>
      <c r="G110" s="70" t="s">
        <v>276</v>
      </c>
      <c r="H110" s="70" t="s">
        <v>276</v>
      </c>
      <c r="I110" s="70" t="s">
        <v>333</v>
      </c>
      <c r="J110" s="70" t="s">
        <v>276</v>
      </c>
      <c r="K110" s="70" t="s">
        <v>334</v>
      </c>
    </row>
    <row r="111" spans="2:11" ht="26" x14ac:dyDescent="0.25">
      <c r="B111" s="65" t="s">
        <v>178</v>
      </c>
      <c r="C111" s="65" t="s">
        <v>179</v>
      </c>
      <c r="D111" s="66" t="s">
        <v>6</v>
      </c>
      <c r="E111" s="69">
        <v>66</v>
      </c>
      <c r="F111" s="69">
        <v>160</v>
      </c>
      <c r="G111" s="70" t="s">
        <v>276</v>
      </c>
      <c r="H111" s="70" t="s">
        <v>293</v>
      </c>
      <c r="I111" s="70" t="s">
        <v>294</v>
      </c>
      <c r="J111" s="70" t="s">
        <v>276</v>
      </c>
      <c r="K111" s="70" t="s">
        <v>295</v>
      </c>
    </row>
    <row r="112" spans="2:11" s="68" customFormat="1" ht="13" x14ac:dyDescent="0.25">
      <c r="B112" s="65" t="s">
        <v>180</v>
      </c>
      <c r="C112" s="65" t="s">
        <v>181</v>
      </c>
      <c r="D112" s="66" t="s">
        <v>8</v>
      </c>
      <c r="E112" s="69">
        <v>392.31499999999994</v>
      </c>
      <c r="F112" s="69">
        <v>560.44999999999993</v>
      </c>
      <c r="G112" s="70" t="s">
        <v>276</v>
      </c>
      <c r="H112" s="70" t="s">
        <v>276</v>
      </c>
      <c r="I112" s="70" t="s">
        <v>280</v>
      </c>
      <c r="J112" s="70" t="s">
        <v>311</v>
      </c>
      <c r="K112" s="70"/>
    </row>
    <row r="113" spans="2:11" s="68" customFormat="1" ht="13" x14ac:dyDescent="0.25">
      <c r="B113" s="65" t="s">
        <v>182</v>
      </c>
      <c r="C113" s="65" t="s">
        <v>183</v>
      </c>
      <c r="D113" s="66" t="s">
        <v>8</v>
      </c>
      <c r="E113" s="69">
        <v>150</v>
      </c>
      <c r="F113" s="69">
        <v>575</v>
      </c>
      <c r="G113" s="70" t="s">
        <v>276</v>
      </c>
      <c r="H113" s="70" t="s">
        <v>276</v>
      </c>
      <c r="I113" s="70" t="s">
        <v>290</v>
      </c>
      <c r="J113" s="70" t="s">
        <v>276</v>
      </c>
      <c r="K113" s="70" t="s">
        <v>335</v>
      </c>
    </row>
    <row r="114" spans="2:11" s="72" customFormat="1" ht="13" x14ac:dyDescent="0.25">
      <c r="B114" s="65" t="s">
        <v>182</v>
      </c>
      <c r="C114" s="65" t="s">
        <v>184</v>
      </c>
      <c r="D114" s="66" t="s">
        <v>8</v>
      </c>
      <c r="E114" s="69">
        <v>150</v>
      </c>
      <c r="F114" s="69">
        <v>425</v>
      </c>
      <c r="G114" s="70" t="s">
        <v>276</v>
      </c>
      <c r="H114" s="70" t="s">
        <v>276</v>
      </c>
      <c r="I114" s="70" t="s">
        <v>290</v>
      </c>
      <c r="J114" s="70" t="s">
        <v>276</v>
      </c>
      <c r="K114" s="70" t="s">
        <v>335</v>
      </c>
    </row>
    <row r="115" spans="2:11" ht="39" x14ac:dyDescent="0.25">
      <c r="B115" s="65" t="s">
        <v>182</v>
      </c>
      <c r="C115" s="65" t="s">
        <v>185</v>
      </c>
      <c r="D115" s="66" t="s">
        <v>8</v>
      </c>
      <c r="E115" s="69">
        <v>150</v>
      </c>
      <c r="F115" s="69">
        <v>525</v>
      </c>
      <c r="G115" s="70" t="s">
        <v>276</v>
      </c>
      <c r="H115" s="70" t="s">
        <v>276</v>
      </c>
      <c r="I115" s="70" t="s">
        <v>290</v>
      </c>
      <c r="J115" s="70" t="s">
        <v>276</v>
      </c>
      <c r="K115" s="70" t="s">
        <v>336</v>
      </c>
    </row>
    <row r="116" spans="2:11" ht="13" x14ac:dyDescent="0.25">
      <c r="B116" s="65" t="s">
        <v>182</v>
      </c>
      <c r="C116" s="65" t="s">
        <v>186</v>
      </c>
      <c r="D116" s="66" t="s">
        <v>8</v>
      </c>
      <c r="E116" s="69">
        <v>150</v>
      </c>
      <c r="F116" s="69">
        <v>475</v>
      </c>
      <c r="G116" s="70" t="s">
        <v>276</v>
      </c>
      <c r="H116" s="70" t="s">
        <v>276</v>
      </c>
      <c r="I116" s="70" t="s">
        <v>290</v>
      </c>
      <c r="J116" s="70" t="s">
        <v>276</v>
      </c>
      <c r="K116" s="70" t="s">
        <v>335</v>
      </c>
    </row>
    <row r="117" spans="2:11" s="75" customFormat="1" ht="13" x14ac:dyDescent="0.25">
      <c r="B117" s="65" t="s">
        <v>180</v>
      </c>
      <c r="C117" s="65" t="s">
        <v>187</v>
      </c>
      <c r="D117" s="66" t="s">
        <v>8</v>
      </c>
      <c r="E117" s="69">
        <v>177</v>
      </c>
      <c r="F117" s="69">
        <v>257</v>
      </c>
      <c r="G117" s="70" t="s">
        <v>276</v>
      </c>
      <c r="H117" s="70" t="s">
        <v>276</v>
      </c>
      <c r="I117" s="70" t="s">
        <v>280</v>
      </c>
      <c r="J117" s="70" t="s">
        <v>311</v>
      </c>
      <c r="K117" s="70"/>
    </row>
    <row r="118" spans="2:11" ht="13" x14ac:dyDescent="0.25">
      <c r="B118" s="65" t="s">
        <v>180</v>
      </c>
      <c r="C118" s="65" t="s">
        <v>188</v>
      </c>
      <c r="D118" s="66" t="s">
        <v>8</v>
      </c>
      <c r="E118" s="69">
        <v>177</v>
      </c>
      <c r="F118" s="69">
        <v>257</v>
      </c>
      <c r="G118" s="70" t="s">
        <v>276</v>
      </c>
      <c r="H118" s="70" t="s">
        <v>276</v>
      </c>
      <c r="I118" s="70" t="s">
        <v>280</v>
      </c>
      <c r="J118" s="70" t="s">
        <v>311</v>
      </c>
      <c r="K118" s="70"/>
    </row>
    <row r="119" spans="2:11" s="81" customFormat="1" ht="13" x14ac:dyDescent="0.25">
      <c r="B119" s="65" t="s">
        <v>180</v>
      </c>
      <c r="C119" s="65" t="s">
        <v>189</v>
      </c>
      <c r="D119" s="66" t="s">
        <v>8</v>
      </c>
      <c r="E119" s="69">
        <v>177</v>
      </c>
      <c r="F119" s="69">
        <v>257</v>
      </c>
      <c r="G119" s="70" t="s">
        <v>276</v>
      </c>
      <c r="H119" s="70" t="s">
        <v>276</v>
      </c>
      <c r="I119" s="70" t="s">
        <v>280</v>
      </c>
      <c r="J119" s="70" t="s">
        <v>311</v>
      </c>
      <c r="K119" s="70"/>
    </row>
    <row r="120" spans="2:11" s="83" customFormat="1" ht="13" x14ac:dyDescent="0.25">
      <c r="B120" s="65" t="s">
        <v>190</v>
      </c>
      <c r="C120" s="65" t="s">
        <v>191</v>
      </c>
      <c r="D120" s="66" t="s">
        <v>8</v>
      </c>
      <c r="E120" s="69">
        <v>57</v>
      </c>
      <c r="F120" s="69">
        <v>75</v>
      </c>
      <c r="G120" s="70" t="s">
        <v>286</v>
      </c>
      <c r="H120" s="70" t="s">
        <v>286</v>
      </c>
      <c r="I120" s="70" t="s">
        <v>280</v>
      </c>
      <c r="J120" s="70" t="s">
        <v>311</v>
      </c>
      <c r="K120" s="70"/>
    </row>
    <row r="121" spans="2:11" s="84" customFormat="1" ht="13" x14ac:dyDescent="0.25">
      <c r="B121" s="65" t="s">
        <v>190</v>
      </c>
      <c r="C121" s="65" t="s">
        <v>192</v>
      </c>
      <c r="D121" s="66" t="s">
        <v>8</v>
      </c>
      <c r="E121" s="69">
        <v>57</v>
      </c>
      <c r="F121" s="69">
        <v>75</v>
      </c>
      <c r="G121" s="70" t="s">
        <v>286</v>
      </c>
      <c r="H121" s="70" t="s">
        <v>286</v>
      </c>
      <c r="I121" s="70" t="s">
        <v>280</v>
      </c>
      <c r="J121" s="70" t="s">
        <v>311</v>
      </c>
      <c r="K121" s="70"/>
    </row>
    <row r="122" spans="2:11" s="85" customFormat="1" ht="13" x14ac:dyDescent="0.25">
      <c r="B122" s="65" t="s">
        <v>190</v>
      </c>
      <c r="C122" s="65" t="s">
        <v>193</v>
      </c>
      <c r="D122" s="66" t="s">
        <v>8</v>
      </c>
      <c r="E122" s="69">
        <v>55</v>
      </c>
      <c r="F122" s="69">
        <v>75</v>
      </c>
      <c r="G122" s="70" t="s">
        <v>286</v>
      </c>
      <c r="H122" s="70" t="s">
        <v>286</v>
      </c>
      <c r="I122" s="70" t="s">
        <v>280</v>
      </c>
      <c r="J122" s="70" t="s">
        <v>311</v>
      </c>
      <c r="K122" s="70"/>
    </row>
    <row r="123" spans="2:11" s="84" customFormat="1" ht="13" x14ac:dyDescent="0.25">
      <c r="B123" s="65" t="s">
        <v>190</v>
      </c>
      <c r="C123" s="65" t="s">
        <v>194</v>
      </c>
      <c r="D123" s="66" t="s">
        <v>8</v>
      </c>
      <c r="E123" s="69">
        <v>55</v>
      </c>
      <c r="F123" s="69">
        <v>70</v>
      </c>
      <c r="G123" s="70" t="s">
        <v>286</v>
      </c>
      <c r="H123" s="70" t="s">
        <v>286</v>
      </c>
      <c r="I123" s="70" t="s">
        <v>280</v>
      </c>
      <c r="J123" s="70" t="s">
        <v>311</v>
      </c>
      <c r="K123" s="70"/>
    </row>
    <row r="124" spans="2:11" s="84" customFormat="1" ht="13" x14ac:dyDescent="0.25">
      <c r="B124" s="65" t="s">
        <v>190</v>
      </c>
      <c r="C124" s="65" t="s">
        <v>195</v>
      </c>
      <c r="D124" s="66" t="s">
        <v>8</v>
      </c>
      <c r="E124" s="69">
        <v>60</v>
      </c>
      <c r="F124" s="69">
        <v>80</v>
      </c>
      <c r="G124" s="70" t="s">
        <v>286</v>
      </c>
      <c r="H124" s="70" t="s">
        <v>286</v>
      </c>
      <c r="I124" s="70" t="s">
        <v>280</v>
      </c>
      <c r="J124" s="70" t="s">
        <v>311</v>
      </c>
      <c r="K124" s="70"/>
    </row>
    <row r="125" spans="2:11" s="86" customFormat="1" ht="13.5" x14ac:dyDescent="0.25">
      <c r="B125" s="65" t="s">
        <v>190</v>
      </c>
      <c r="C125" s="65" t="s">
        <v>196</v>
      </c>
      <c r="D125" s="66" t="s">
        <v>8</v>
      </c>
      <c r="E125" s="69">
        <v>60</v>
      </c>
      <c r="F125" s="69">
        <v>80</v>
      </c>
      <c r="G125" s="70" t="s">
        <v>286</v>
      </c>
      <c r="H125" s="70" t="s">
        <v>286</v>
      </c>
      <c r="I125" s="70" t="s">
        <v>280</v>
      </c>
      <c r="J125" s="70" t="s">
        <v>311</v>
      </c>
      <c r="K125" s="70"/>
    </row>
    <row r="126" spans="2:11" s="86" customFormat="1" ht="13.5" x14ac:dyDescent="0.25">
      <c r="B126" s="65" t="s">
        <v>190</v>
      </c>
      <c r="C126" s="65" t="s">
        <v>197</v>
      </c>
      <c r="D126" s="66" t="s">
        <v>8</v>
      </c>
      <c r="E126" s="69">
        <v>55</v>
      </c>
      <c r="F126" s="69">
        <v>75</v>
      </c>
      <c r="G126" s="70" t="s">
        <v>286</v>
      </c>
      <c r="H126" s="70" t="s">
        <v>286</v>
      </c>
      <c r="I126" s="70" t="s">
        <v>280</v>
      </c>
      <c r="J126" s="70" t="s">
        <v>311</v>
      </c>
      <c r="K126" s="70"/>
    </row>
    <row r="127" spans="2:11" s="86" customFormat="1" ht="13.5" x14ac:dyDescent="0.25">
      <c r="B127" s="65" t="s">
        <v>198</v>
      </c>
      <c r="C127" s="65" t="s">
        <v>199</v>
      </c>
      <c r="D127" s="66" t="s">
        <v>8</v>
      </c>
      <c r="E127" s="69">
        <v>104</v>
      </c>
      <c r="F127" s="69">
        <v>156</v>
      </c>
      <c r="G127" s="70" t="s">
        <v>276</v>
      </c>
      <c r="H127" s="70" t="s">
        <v>276</v>
      </c>
      <c r="I127" s="70" t="s">
        <v>280</v>
      </c>
      <c r="J127" s="70" t="s">
        <v>311</v>
      </c>
      <c r="K127" s="70"/>
    </row>
    <row r="128" spans="2:11" s="86" customFormat="1" ht="13.5" x14ac:dyDescent="0.25">
      <c r="B128" s="65" t="s">
        <v>200</v>
      </c>
      <c r="C128" s="65" t="s">
        <v>201</v>
      </c>
      <c r="D128" s="66" t="s">
        <v>8</v>
      </c>
      <c r="E128" s="69">
        <v>409.99999999999994</v>
      </c>
      <c r="F128" s="69">
        <v>640.625</v>
      </c>
      <c r="G128" s="70" t="s">
        <v>276</v>
      </c>
      <c r="H128" s="70" t="s">
        <v>276</v>
      </c>
      <c r="I128" s="70" t="s">
        <v>280</v>
      </c>
      <c r="J128" s="70" t="s">
        <v>311</v>
      </c>
      <c r="K128" s="70"/>
    </row>
    <row r="129" spans="2:11" s="87" customFormat="1" ht="13.5" x14ac:dyDescent="0.25">
      <c r="B129" s="65" t="s">
        <v>202</v>
      </c>
      <c r="C129" s="65" t="s">
        <v>203</v>
      </c>
      <c r="D129" s="66" t="s">
        <v>8</v>
      </c>
      <c r="E129" s="69">
        <v>67.210000000000008</v>
      </c>
      <c r="F129" s="69">
        <v>108.57000000000001</v>
      </c>
      <c r="G129" s="70" t="s">
        <v>276</v>
      </c>
      <c r="H129" s="70" t="s">
        <v>276</v>
      </c>
      <c r="I129" s="70" t="s">
        <v>280</v>
      </c>
      <c r="J129" s="70" t="s">
        <v>311</v>
      </c>
      <c r="K129" s="70"/>
    </row>
    <row r="130" spans="2:11" s="88" customFormat="1" ht="13.5" x14ac:dyDescent="0.25">
      <c r="B130" s="65" t="s">
        <v>204</v>
      </c>
      <c r="C130" s="65" t="s">
        <v>205</v>
      </c>
      <c r="D130" s="66" t="s">
        <v>8</v>
      </c>
      <c r="E130" s="69">
        <v>350</v>
      </c>
      <c r="F130" s="69">
        <v>550</v>
      </c>
      <c r="G130" s="70" t="s">
        <v>276</v>
      </c>
      <c r="H130" s="70" t="s">
        <v>276</v>
      </c>
      <c r="I130" s="70" t="s">
        <v>280</v>
      </c>
      <c r="J130" s="70" t="s">
        <v>311</v>
      </c>
      <c r="K130" s="70" t="s">
        <v>335</v>
      </c>
    </row>
    <row r="131" spans="2:11" s="88" customFormat="1" ht="13.5" x14ac:dyDescent="0.25">
      <c r="B131" s="65" t="s">
        <v>206</v>
      </c>
      <c r="C131" s="65" t="s">
        <v>207</v>
      </c>
      <c r="D131" s="66" t="s">
        <v>8</v>
      </c>
      <c r="E131" s="69">
        <v>127</v>
      </c>
      <c r="F131" s="69">
        <v>179</v>
      </c>
      <c r="G131" s="70"/>
      <c r="H131" s="70"/>
      <c r="I131" s="70"/>
      <c r="J131" s="70"/>
      <c r="K131" s="70"/>
    </row>
    <row r="132" spans="2:11" s="88" customFormat="1" ht="26" x14ac:dyDescent="0.25">
      <c r="B132" s="65" t="s">
        <v>208</v>
      </c>
      <c r="C132" s="65" t="s">
        <v>209</v>
      </c>
      <c r="D132" s="66" t="s">
        <v>8</v>
      </c>
      <c r="E132" s="69">
        <v>99</v>
      </c>
      <c r="F132" s="69">
        <v>153</v>
      </c>
      <c r="G132" s="70" t="s">
        <v>276</v>
      </c>
      <c r="H132" s="70" t="s">
        <v>276</v>
      </c>
      <c r="I132" s="70" t="s">
        <v>337</v>
      </c>
      <c r="J132" s="70" t="s">
        <v>311</v>
      </c>
      <c r="K132" s="70"/>
    </row>
    <row r="133" spans="2:11" s="88" customFormat="1" ht="13.5" x14ac:dyDescent="0.25">
      <c r="B133" s="65" t="s">
        <v>210</v>
      </c>
      <c r="C133" s="65" t="s">
        <v>210</v>
      </c>
      <c r="D133" s="66" t="s">
        <v>8</v>
      </c>
      <c r="E133" s="69">
        <v>202.28800000000001</v>
      </c>
      <c r="F133" s="69">
        <v>283.50400000000002</v>
      </c>
      <c r="G133" s="70" t="s">
        <v>276</v>
      </c>
      <c r="H133" s="70" t="s">
        <v>276</v>
      </c>
      <c r="I133" s="70" t="s">
        <v>280</v>
      </c>
      <c r="J133" s="70" t="s">
        <v>311</v>
      </c>
      <c r="K133" s="70"/>
    </row>
    <row r="134" spans="2:11" s="88" customFormat="1" ht="13.5" x14ac:dyDescent="0.25">
      <c r="B134" s="65" t="s">
        <v>211</v>
      </c>
      <c r="C134" s="65" t="s">
        <v>212</v>
      </c>
      <c r="D134" s="66" t="s">
        <v>8</v>
      </c>
      <c r="E134" s="69">
        <v>220.70999999999998</v>
      </c>
      <c r="F134" s="69">
        <v>315.29999999999995</v>
      </c>
      <c r="G134" s="70" t="s">
        <v>276</v>
      </c>
      <c r="H134" s="70" t="s">
        <v>276</v>
      </c>
      <c r="I134" s="70" t="s">
        <v>280</v>
      </c>
      <c r="J134" s="70" t="s">
        <v>311</v>
      </c>
      <c r="K134" s="70"/>
    </row>
    <row r="135" spans="2:11" s="88" customFormat="1" ht="13.5" x14ac:dyDescent="0.25">
      <c r="B135" s="65" t="s">
        <v>213</v>
      </c>
      <c r="C135" s="65" t="s">
        <v>214</v>
      </c>
      <c r="D135" s="66" t="s">
        <v>8</v>
      </c>
      <c r="E135" s="69">
        <v>132</v>
      </c>
      <c r="F135" s="69">
        <v>303</v>
      </c>
      <c r="G135" s="70" t="s">
        <v>276</v>
      </c>
      <c r="H135" s="70" t="s">
        <v>276</v>
      </c>
      <c r="I135" s="70" t="s">
        <v>280</v>
      </c>
      <c r="J135" s="70" t="s">
        <v>311</v>
      </c>
      <c r="K135" s="70"/>
    </row>
    <row r="136" spans="2:11" s="86" customFormat="1" ht="13.5" x14ac:dyDescent="0.25">
      <c r="B136" s="65" t="s">
        <v>215</v>
      </c>
      <c r="C136" s="65" t="s">
        <v>216</v>
      </c>
      <c r="D136" s="66" t="s">
        <v>8</v>
      </c>
      <c r="E136" s="69">
        <v>129</v>
      </c>
      <c r="F136" s="69">
        <v>200</v>
      </c>
      <c r="G136" s="70" t="s">
        <v>276</v>
      </c>
      <c r="H136" s="70" t="s">
        <v>276</v>
      </c>
      <c r="I136" s="70" t="s">
        <v>280</v>
      </c>
      <c r="J136" s="70" t="s">
        <v>311</v>
      </c>
      <c r="K136" s="70"/>
    </row>
    <row r="137" spans="2:11" s="90" customFormat="1" ht="13.5" x14ac:dyDescent="0.25">
      <c r="B137" s="65" t="s">
        <v>217</v>
      </c>
      <c r="C137" s="65" t="s">
        <v>218</v>
      </c>
      <c r="D137" s="66" t="s">
        <v>8</v>
      </c>
      <c r="E137" s="69">
        <v>72.240000000000009</v>
      </c>
      <c r="F137" s="69">
        <v>103.2</v>
      </c>
      <c r="G137" s="70" t="s">
        <v>276</v>
      </c>
      <c r="H137" s="70" t="s">
        <v>276</v>
      </c>
      <c r="I137" s="70" t="s">
        <v>280</v>
      </c>
      <c r="J137" s="70" t="s">
        <v>311</v>
      </c>
      <c r="K137" s="70"/>
    </row>
    <row r="138" spans="2:11" s="86" customFormat="1" ht="26" x14ac:dyDescent="0.25">
      <c r="B138" s="65" t="s">
        <v>219</v>
      </c>
      <c r="C138" s="65" t="s">
        <v>220</v>
      </c>
      <c r="D138" s="66" t="s">
        <v>6</v>
      </c>
      <c r="E138" s="69">
        <v>213</v>
      </c>
      <c r="F138" s="69">
        <v>427</v>
      </c>
      <c r="G138" s="70" t="s">
        <v>276</v>
      </c>
      <c r="H138" s="70" t="s">
        <v>276</v>
      </c>
      <c r="I138" s="70" t="s">
        <v>310</v>
      </c>
      <c r="J138" s="70" t="s">
        <v>311</v>
      </c>
      <c r="K138" s="70" t="s">
        <v>338</v>
      </c>
    </row>
    <row r="139" spans="2:11" s="86" customFormat="1" ht="13.5" x14ac:dyDescent="0.25">
      <c r="B139" s="65" t="s">
        <v>221</v>
      </c>
      <c r="C139" s="65" t="s">
        <v>222</v>
      </c>
      <c r="D139" s="66" t="s">
        <v>6</v>
      </c>
      <c r="E139" s="69">
        <v>128</v>
      </c>
      <c r="F139" s="69">
        <v>256</v>
      </c>
      <c r="G139" s="70"/>
      <c r="H139" s="70"/>
      <c r="I139" s="70"/>
      <c r="J139" s="70"/>
      <c r="K139" s="70"/>
    </row>
  </sheetData>
  <autoFilter ref="B5:K139" xr:uid="{9B773AD1-49F3-4E86-9395-9B0F46C07B63}"/>
  <phoneticPr fontId="8" type="noConversion"/>
  <pageMargins left="0.74803149606299213" right="0.74803149606299213" top="0.98425196850393704" bottom="0.39370078740157483" header="0.51181102362204722" footer="0.51181102362204722"/>
  <pageSetup paperSize="9" scale="25" orientation="landscape" r:id="rId1"/>
  <headerFooter>
    <oddHeader>&amp;L&amp;"Calibre,Regular"&amp;K435254Property Address&amp;R&amp;G</oddHead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BF8DE-2713-4D71-863D-B8CD63A75432}">
  <sheetPr>
    <tabColor theme="0" tint="-0.499984740745262"/>
  </sheetPr>
  <dimension ref="B1:M139"/>
  <sheetViews>
    <sheetView view="pageBreakPreview" topLeftCell="A65" zoomScale="70" zoomScaleNormal="100" zoomScaleSheetLayoutView="70" workbookViewId="0">
      <selection activeCell="C47" sqref="C47"/>
    </sheetView>
  </sheetViews>
  <sheetFormatPr defaultColWidth="10.5" defaultRowHeight="12.5" x14ac:dyDescent="0.25"/>
  <cols>
    <col min="1" max="1" width="3.83203125" style="57" customWidth="1"/>
    <col min="2" max="2" width="25.83203125" style="56" customWidth="1"/>
    <col min="3" max="3" width="16" style="56" customWidth="1"/>
    <col min="4" max="4" width="13.33203125" style="56" bestFit="1" customWidth="1"/>
    <col min="5" max="6" width="22.58203125" style="57" hidden="1" customWidth="1"/>
    <col min="7" max="8" width="18.5" style="57" customWidth="1"/>
    <col min="9" max="9" width="31.83203125" style="57" customWidth="1"/>
    <col min="10" max="10" width="50.83203125" style="57" customWidth="1"/>
    <col min="11" max="11" width="46" style="57" customWidth="1"/>
    <col min="12" max="12" width="47.08203125" style="57" customWidth="1"/>
    <col min="13" max="13" width="50.83203125" style="57" customWidth="1"/>
    <col min="14" max="16384" width="10.5" style="57"/>
  </cols>
  <sheetData>
    <row r="1" spans="2:13" ht="13" x14ac:dyDescent="0.25">
      <c r="B1" s="55" t="s">
        <v>259</v>
      </c>
      <c r="C1" s="55"/>
      <c r="E1" s="57">
        <v>9.2903040000000006E-2</v>
      </c>
    </row>
    <row r="3" spans="2:13" ht="27.5" x14ac:dyDescent="0.25">
      <c r="B3" s="58" t="s">
        <v>339</v>
      </c>
      <c r="C3" s="58"/>
      <c r="D3" s="59"/>
      <c r="E3" s="59"/>
      <c r="F3" s="60"/>
      <c r="G3" s="60"/>
      <c r="H3" s="60"/>
    </row>
    <row r="4" spans="2:13" s="62" customFormat="1" ht="13" x14ac:dyDescent="0.25">
      <c r="B4" s="61"/>
      <c r="C4" s="61"/>
      <c r="D4" s="61"/>
    </row>
    <row r="5" spans="2:13" s="62" customFormat="1" ht="43.5" thickBot="1" x14ac:dyDescent="0.45">
      <c r="B5" s="63" t="s">
        <v>261</v>
      </c>
      <c r="C5" s="63" t="s">
        <v>262</v>
      </c>
      <c r="D5" s="64" t="s">
        <v>263</v>
      </c>
      <c r="E5" s="63" t="s">
        <v>264</v>
      </c>
      <c r="F5" s="63" t="s">
        <v>265</v>
      </c>
      <c r="G5" s="63" t="s">
        <v>340</v>
      </c>
      <c r="H5" s="63" t="s">
        <v>341</v>
      </c>
      <c r="I5" s="64" t="s">
        <v>266</v>
      </c>
      <c r="J5" s="64" t="s">
        <v>267</v>
      </c>
      <c r="K5" s="64" t="s">
        <v>268</v>
      </c>
      <c r="L5" s="64" t="s">
        <v>269</v>
      </c>
      <c r="M5" s="64" t="s">
        <v>270</v>
      </c>
    </row>
    <row r="6" spans="2:13" s="68" customFormat="1" ht="13.5" x14ac:dyDescent="0.25">
      <c r="B6" s="65" t="s">
        <v>17</v>
      </c>
      <c r="C6" s="65" t="s">
        <v>18</v>
      </c>
      <c r="D6" s="66" t="s">
        <v>19</v>
      </c>
      <c r="E6" s="79">
        <v>171</v>
      </c>
      <c r="F6" s="79">
        <v>257</v>
      </c>
      <c r="G6" s="69">
        <f>E6*$E$1</f>
        <v>15.88641984</v>
      </c>
      <c r="H6" s="69">
        <f>F6*$E$1</f>
        <v>23.876081280000001</v>
      </c>
      <c r="I6" s="80"/>
      <c r="J6" s="80"/>
      <c r="K6" s="80"/>
      <c r="L6" s="80"/>
      <c r="M6" s="80"/>
    </row>
    <row r="7" spans="2:13" s="71" customFormat="1" ht="54" x14ac:dyDescent="0.25">
      <c r="B7" s="65" t="s">
        <v>17</v>
      </c>
      <c r="C7" s="65" t="s">
        <v>20</v>
      </c>
      <c r="D7" s="66" t="s">
        <v>19</v>
      </c>
      <c r="E7" s="79">
        <v>171</v>
      </c>
      <c r="F7" s="79">
        <v>257</v>
      </c>
      <c r="G7" s="69">
        <f>E7*$E$1</f>
        <v>15.88641984</v>
      </c>
      <c r="H7" s="69">
        <f>F7*$E$1</f>
        <v>23.876081280000001</v>
      </c>
      <c r="I7" s="80" t="s">
        <v>271</v>
      </c>
      <c r="J7" s="80" t="s">
        <v>272</v>
      </c>
      <c r="K7" s="80" t="s">
        <v>273</v>
      </c>
      <c r="L7" s="80" t="s">
        <v>274</v>
      </c>
      <c r="M7" s="80" t="s">
        <v>275</v>
      </c>
    </row>
    <row r="8" spans="2:13" s="72" customFormat="1" ht="54" x14ac:dyDescent="0.25">
      <c r="B8" s="65" t="s">
        <v>17</v>
      </c>
      <c r="C8" s="65" t="s">
        <v>240</v>
      </c>
      <c r="D8" s="66" t="s">
        <v>19</v>
      </c>
      <c r="E8" s="79">
        <v>171</v>
      </c>
      <c r="F8" s="79">
        <v>257</v>
      </c>
      <c r="G8" s="69">
        <f t="shared" ref="G8:H75" si="0">E8*$E$1</f>
        <v>15.88641984</v>
      </c>
      <c r="H8" s="69">
        <f t="shared" si="0"/>
        <v>23.876081280000001</v>
      </c>
      <c r="I8" s="80" t="s">
        <v>271</v>
      </c>
      <c r="J8" s="80" t="s">
        <v>272</v>
      </c>
      <c r="K8" s="80" t="s">
        <v>273</v>
      </c>
      <c r="L8" s="80" t="s">
        <v>274</v>
      </c>
      <c r="M8" s="80" t="s">
        <v>275</v>
      </c>
    </row>
    <row r="9" spans="2:13" s="72" customFormat="1" ht="54" x14ac:dyDescent="0.25">
      <c r="B9" s="65" t="s">
        <v>17</v>
      </c>
      <c r="C9" s="65" t="s">
        <v>22</v>
      </c>
      <c r="D9" s="66" t="s">
        <v>19</v>
      </c>
      <c r="E9" s="79">
        <v>171</v>
      </c>
      <c r="F9" s="79">
        <v>257</v>
      </c>
      <c r="G9" s="69">
        <f t="shared" si="0"/>
        <v>15.88641984</v>
      </c>
      <c r="H9" s="69">
        <f t="shared" si="0"/>
        <v>23.876081280000001</v>
      </c>
      <c r="I9" s="80" t="s">
        <v>271</v>
      </c>
      <c r="J9" s="80" t="s">
        <v>272</v>
      </c>
      <c r="K9" s="80" t="s">
        <v>273</v>
      </c>
      <c r="L9" s="80" t="s">
        <v>274</v>
      </c>
      <c r="M9" s="80" t="s">
        <v>275</v>
      </c>
    </row>
    <row r="10" spans="2:13" s="72" customFormat="1" ht="54" x14ac:dyDescent="0.25">
      <c r="B10" s="65" t="s">
        <v>17</v>
      </c>
      <c r="C10" s="65" t="s">
        <v>23</v>
      </c>
      <c r="D10" s="66" t="s">
        <v>19</v>
      </c>
      <c r="E10" s="79">
        <v>171</v>
      </c>
      <c r="F10" s="79">
        <v>257</v>
      </c>
      <c r="G10" s="69">
        <f t="shared" si="0"/>
        <v>15.88641984</v>
      </c>
      <c r="H10" s="69">
        <f t="shared" si="0"/>
        <v>23.876081280000001</v>
      </c>
      <c r="I10" s="80" t="s">
        <v>271</v>
      </c>
      <c r="J10" s="80" t="s">
        <v>272</v>
      </c>
      <c r="K10" s="80" t="s">
        <v>273</v>
      </c>
      <c r="L10" s="80" t="s">
        <v>274</v>
      </c>
      <c r="M10" s="80" t="s">
        <v>275</v>
      </c>
    </row>
    <row r="11" spans="2:13" s="72" customFormat="1" ht="54" x14ac:dyDescent="0.25">
      <c r="B11" s="65" t="s">
        <v>17</v>
      </c>
      <c r="C11" s="65" t="s">
        <v>24</v>
      </c>
      <c r="D11" s="66" t="s">
        <v>19</v>
      </c>
      <c r="E11" s="79">
        <v>171</v>
      </c>
      <c r="F11" s="79">
        <v>257</v>
      </c>
      <c r="G11" s="69">
        <f t="shared" si="0"/>
        <v>15.88641984</v>
      </c>
      <c r="H11" s="69">
        <f t="shared" si="0"/>
        <v>23.876081280000001</v>
      </c>
      <c r="I11" s="80" t="s">
        <v>271</v>
      </c>
      <c r="J11" s="80" t="s">
        <v>272</v>
      </c>
      <c r="K11" s="80" t="s">
        <v>273</v>
      </c>
      <c r="L11" s="80" t="s">
        <v>274</v>
      </c>
      <c r="M11" s="80" t="s">
        <v>275</v>
      </c>
    </row>
    <row r="12" spans="2:13" s="73" customFormat="1" ht="54" x14ac:dyDescent="0.25">
      <c r="B12" s="65" t="s">
        <v>17</v>
      </c>
      <c r="C12" s="65" t="s">
        <v>25</v>
      </c>
      <c r="D12" s="66" t="s">
        <v>19</v>
      </c>
      <c r="E12" s="79">
        <v>171</v>
      </c>
      <c r="F12" s="79">
        <v>257</v>
      </c>
      <c r="G12" s="69">
        <f t="shared" si="0"/>
        <v>15.88641984</v>
      </c>
      <c r="H12" s="69">
        <f t="shared" si="0"/>
        <v>23.876081280000001</v>
      </c>
      <c r="I12" s="80" t="s">
        <v>271</v>
      </c>
      <c r="J12" s="80" t="s">
        <v>272</v>
      </c>
      <c r="K12" s="80" t="s">
        <v>273</v>
      </c>
      <c r="L12" s="80" t="s">
        <v>274</v>
      </c>
      <c r="M12" s="80" t="s">
        <v>275</v>
      </c>
    </row>
    <row r="13" spans="2:13" s="72" customFormat="1" ht="54" x14ac:dyDescent="0.25">
      <c r="B13" s="65" t="s">
        <v>17</v>
      </c>
      <c r="C13" s="65" t="s">
        <v>26</v>
      </c>
      <c r="D13" s="66" t="s">
        <v>19</v>
      </c>
      <c r="E13" s="79">
        <v>171</v>
      </c>
      <c r="F13" s="79">
        <v>257</v>
      </c>
      <c r="G13" s="69">
        <f t="shared" si="0"/>
        <v>15.88641984</v>
      </c>
      <c r="H13" s="69">
        <f t="shared" si="0"/>
        <v>23.876081280000001</v>
      </c>
      <c r="I13" s="80" t="s">
        <v>271</v>
      </c>
      <c r="J13" s="80" t="s">
        <v>272</v>
      </c>
      <c r="K13" s="80" t="s">
        <v>273</v>
      </c>
      <c r="L13" s="80" t="s">
        <v>274</v>
      </c>
      <c r="M13" s="80" t="s">
        <v>275</v>
      </c>
    </row>
    <row r="14" spans="2:13" s="68" customFormat="1" ht="54" x14ac:dyDescent="0.25">
      <c r="B14" s="65" t="s">
        <v>17</v>
      </c>
      <c r="C14" s="65" t="s">
        <v>27</v>
      </c>
      <c r="D14" s="66" t="s">
        <v>19</v>
      </c>
      <c r="E14" s="79">
        <v>171</v>
      </c>
      <c r="F14" s="79">
        <v>257</v>
      </c>
      <c r="G14" s="69">
        <f t="shared" si="0"/>
        <v>15.88641984</v>
      </c>
      <c r="H14" s="69">
        <f t="shared" si="0"/>
        <v>23.876081280000001</v>
      </c>
      <c r="I14" s="80" t="s">
        <v>271</v>
      </c>
      <c r="J14" s="80" t="s">
        <v>272</v>
      </c>
      <c r="K14" s="80" t="s">
        <v>273</v>
      </c>
      <c r="L14" s="80" t="s">
        <v>274</v>
      </c>
      <c r="M14" s="80" t="s">
        <v>275</v>
      </c>
    </row>
    <row r="15" spans="2:13" s="68" customFormat="1" ht="54" x14ac:dyDescent="0.25">
      <c r="B15" s="65" t="s">
        <v>17</v>
      </c>
      <c r="C15" s="65" t="s">
        <v>28</v>
      </c>
      <c r="D15" s="66" t="s">
        <v>19</v>
      </c>
      <c r="E15" s="79">
        <v>171</v>
      </c>
      <c r="F15" s="79">
        <v>257</v>
      </c>
      <c r="G15" s="69">
        <f t="shared" si="0"/>
        <v>15.88641984</v>
      </c>
      <c r="H15" s="69">
        <f t="shared" si="0"/>
        <v>23.876081280000001</v>
      </c>
      <c r="I15" s="80" t="s">
        <v>271</v>
      </c>
      <c r="J15" s="80" t="s">
        <v>272</v>
      </c>
      <c r="K15" s="80" t="s">
        <v>273</v>
      </c>
      <c r="L15" s="80" t="s">
        <v>274</v>
      </c>
      <c r="M15" s="80" t="s">
        <v>275</v>
      </c>
    </row>
    <row r="16" spans="2:13" s="68" customFormat="1" ht="54" x14ac:dyDescent="0.25">
      <c r="B16" s="65" t="s">
        <v>17</v>
      </c>
      <c r="C16" s="65" t="s">
        <v>29</v>
      </c>
      <c r="D16" s="66" t="s">
        <v>19</v>
      </c>
      <c r="E16" s="79">
        <v>171</v>
      </c>
      <c r="F16" s="79">
        <v>257</v>
      </c>
      <c r="G16" s="69">
        <f t="shared" si="0"/>
        <v>15.88641984</v>
      </c>
      <c r="H16" s="69">
        <f t="shared" si="0"/>
        <v>23.876081280000001</v>
      </c>
      <c r="I16" s="80" t="s">
        <v>271</v>
      </c>
      <c r="J16" s="80" t="s">
        <v>272</v>
      </c>
      <c r="K16" s="80" t="s">
        <v>273</v>
      </c>
      <c r="L16" s="80" t="s">
        <v>274</v>
      </c>
      <c r="M16" s="80" t="s">
        <v>275</v>
      </c>
    </row>
    <row r="17" spans="2:13" s="68" customFormat="1" ht="54" x14ac:dyDescent="0.25">
      <c r="B17" s="65" t="s">
        <v>17</v>
      </c>
      <c r="C17" s="65" t="s">
        <v>30</v>
      </c>
      <c r="D17" s="66" t="s">
        <v>19</v>
      </c>
      <c r="E17" s="79">
        <v>171</v>
      </c>
      <c r="F17" s="79">
        <v>257</v>
      </c>
      <c r="G17" s="69">
        <f t="shared" si="0"/>
        <v>15.88641984</v>
      </c>
      <c r="H17" s="69">
        <f t="shared" si="0"/>
        <v>23.876081280000001</v>
      </c>
      <c r="I17" s="80" t="s">
        <v>271</v>
      </c>
      <c r="J17" s="80" t="s">
        <v>272</v>
      </c>
      <c r="K17" s="80" t="s">
        <v>273</v>
      </c>
      <c r="L17" s="80" t="s">
        <v>274</v>
      </c>
      <c r="M17" s="80" t="s">
        <v>275</v>
      </c>
    </row>
    <row r="18" spans="2:13" s="71" customFormat="1" ht="54" x14ac:dyDescent="0.25">
      <c r="B18" s="65" t="s">
        <v>17</v>
      </c>
      <c r="C18" s="65" t="s">
        <v>32</v>
      </c>
      <c r="D18" s="66" t="s">
        <v>19</v>
      </c>
      <c r="E18" s="79">
        <v>171</v>
      </c>
      <c r="F18" s="79">
        <v>257</v>
      </c>
      <c r="G18" s="69">
        <f t="shared" si="0"/>
        <v>15.88641984</v>
      </c>
      <c r="H18" s="69">
        <f t="shared" si="0"/>
        <v>23.876081280000001</v>
      </c>
      <c r="I18" s="80" t="s">
        <v>271</v>
      </c>
      <c r="J18" s="80" t="s">
        <v>272</v>
      </c>
      <c r="K18" s="80" t="s">
        <v>273</v>
      </c>
      <c r="L18" s="80" t="s">
        <v>274</v>
      </c>
      <c r="M18" s="80" t="s">
        <v>275</v>
      </c>
    </row>
    <row r="19" spans="2:13" s="68" customFormat="1" ht="54" x14ac:dyDescent="0.25">
      <c r="B19" s="65" t="s">
        <v>17</v>
      </c>
      <c r="C19" s="65" t="s">
        <v>33</v>
      </c>
      <c r="D19" s="66" t="s">
        <v>19</v>
      </c>
      <c r="E19" s="79">
        <v>171</v>
      </c>
      <c r="F19" s="79">
        <v>257</v>
      </c>
      <c r="G19" s="69">
        <f t="shared" si="0"/>
        <v>15.88641984</v>
      </c>
      <c r="H19" s="69">
        <f t="shared" si="0"/>
        <v>23.876081280000001</v>
      </c>
      <c r="I19" s="80" t="s">
        <v>271</v>
      </c>
      <c r="J19" s="80" t="s">
        <v>272</v>
      </c>
      <c r="K19" s="80" t="s">
        <v>273</v>
      </c>
      <c r="L19" s="80" t="s">
        <v>274</v>
      </c>
      <c r="M19" s="80" t="s">
        <v>275</v>
      </c>
    </row>
    <row r="20" spans="2:13" s="68" customFormat="1" ht="54" x14ac:dyDescent="0.25">
      <c r="B20" s="65" t="s">
        <v>17</v>
      </c>
      <c r="C20" s="65" t="s">
        <v>34</v>
      </c>
      <c r="D20" s="66" t="s">
        <v>19</v>
      </c>
      <c r="E20" s="79">
        <v>171</v>
      </c>
      <c r="F20" s="79">
        <v>257</v>
      </c>
      <c r="G20" s="69">
        <f t="shared" si="0"/>
        <v>15.88641984</v>
      </c>
      <c r="H20" s="69">
        <f t="shared" si="0"/>
        <v>23.876081280000001</v>
      </c>
      <c r="I20" s="80" t="s">
        <v>271</v>
      </c>
      <c r="J20" s="80" t="s">
        <v>272</v>
      </c>
      <c r="K20" s="80" t="s">
        <v>273</v>
      </c>
      <c r="L20" s="80" t="s">
        <v>274</v>
      </c>
      <c r="M20" s="80" t="s">
        <v>275</v>
      </c>
    </row>
    <row r="21" spans="2:13" s="68" customFormat="1" ht="39" x14ac:dyDescent="0.25">
      <c r="B21" s="65" t="s">
        <v>17</v>
      </c>
      <c r="C21" s="65" t="s">
        <v>35</v>
      </c>
      <c r="D21" s="66" t="s">
        <v>19</v>
      </c>
      <c r="E21" s="79">
        <v>171</v>
      </c>
      <c r="F21" s="79">
        <v>257</v>
      </c>
      <c r="G21" s="69">
        <f t="shared" si="0"/>
        <v>15.88641984</v>
      </c>
      <c r="H21" s="69">
        <f t="shared" si="0"/>
        <v>23.876081280000001</v>
      </c>
      <c r="I21" s="70" t="s">
        <v>271</v>
      </c>
      <c r="J21" s="70" t="s">
        <v>272</v>
      </c>
      <c r="K21" s="70" t="s">
        <v>273</v>
      </c>
      <c r="L21" s="70" t="s">
        <v>274</v>
      </c>
      <c r="M21" s="70" t="s">
        <v>275</v>
      </c>
    </row>
    <row r="22" spans="2:13" s="72" customFormat="1" ht="39" x14ac:dyDescent="0.25">
      <c r="B22" s="65" t="s">
        <v>17</v>
      </c>
      <c r="C22" s="65" t="s">
        <v>36</v>
      </c>
      <c r="D22" s="66" t="s">
        <v>19</v>
      </c>
      <c r="E22" s="79">
        <v>171</v>
      </c>
      <c r="F22" s="79">
        <v>257</v>
      </c>
      <c r="G22" s="69">
        <f t="shared" si="0"/>
        <v>15.88641984</v>
      </c>
      <c r="H22" s="69">
        <f t="shared" si="0"/>
        <v>23.876081280000001</v>
      </c>
      <c r="I22" s="70" t="s">
        <v>271</v>
      </c>
      <c r="J22" s="70" t="s">
        <v>272</v>
      </c>
      <c r="K22" s="70" t="s">
        <v>273</v>
      </c>
      <c r="L22" s="70" t="s">
        <v>274</v>
      </c>
      <c r="M22" s="70" t="s">
        <v>275</v>
      </c>
    </row>
    <row r="23" spans="2:13" s="74" customFormat="1" ht="39" x14ac:dyDescent="0.25">
      <c r="B23" s="65" t="s">
        <v>17</v>
      </c>
      <c r="C23" s="65" t="s">
        <v>37</v>
      </c>
      <c r="D23" s="66" t="s">
        <v>19</v>
      </c>
      <c r="E23" s="79">
        <v>171</v>
      </c>
      <c r="F23" s="79">
        <v>257</v>
      </c>
      <c r="G23" s="69">
        <f t="shared" si="0"/>
        <v>15.88641984</v>
      </c>
      <c r="H23" s="69">
        <f t="shared" si="0"/>
        <v>23.876081280000001</v>
      </c>
      <c r="I23" s="70" t="s">
        <v>271</v>
      </c>
      <c r="J23" s="70" t="s">
        <v>272</v>
      </c>
      <c r="K23" s="70" t="s">
        <v>273</v>
      </c>
      <c r="L23" s="70" t="s">
        <v>274</v>
      </c>
      <c r="M23" s="70" t="s">
        <v>275</v>
      </c>
    </row>
    <row r="24" spans="2:13" s="75" customFormat="1" ht="39" x14ac:dyDescent="0.25">
      <c r="B24" s="65" t="s">
        <v>17</v>
      </c>
      <c r="C24" s="65" t="s">
        <v>38</v>
      </c>
      <c r="D24" s="66" t="s">
        <v>19</v>
      </c>
      <c r="E24" s="79">
        <v>171</v>
      </c>
      <c r="F24" s="79">
        <v>257</v>
      </c>
      <c r="G24" s="69">
        <f t="shared" si="0"/>
        <v>15.88641984</v>
      </c>
      <c r="H24" s="69">
        <f t="shared" si="0"/>
        <v>23.876081280000001</v>
      </c>
      <c r="I24" s="70" t="s">
        <v>271</v>
      </c>
      <c r="J24" s="70" t="s">
        <v>272</v>
      </c>
      <c r="K24" s="70" t="s">
        <v>273</v>
      </c>
      <c r="L24" s="70" t="s">
        <v>274</v>
      </c>
      <c r="M24" s="70" t="s">
        <v>275</v>
      </c>
    </row>
    <row r="25" spans="2:13" s="75" customFormat="1" ht="39" x14ac:dyDescent="0.25">
      <c r="B25" s="65" t="s">
        <v>17</v>
      </c>
      <c r="C25" s="65" t="s">
        <v>39</v>
      </c>
      <c r="D25" s="66" t="s">
        <v>19</v>
      </c>
      <c r="E25" s="79">
        <v>171</v>
      </c>
      <c r="F25" s="79">
        <v>257</v>
      </c>
      <c r="G25" s="69">
        <f t="shared" si="0"/>
        <v>15.88641984</v>
      </c>
      <c r="H25" s="69">
        <f t="shared" si="0"/>
        <v>23.876081280000001</v>
      </c>
      <c r="I25" s="70" t="s">
        <v>271</v>
      </c>
      <c r="J25" s="70" t="s">
        <v>272</v>
      </c>
      <c r="K25" s="70" t="s">
        <v>273</v>
      </c>
      <c r="L25" s="70" t="s">
        <v>274</v>
      </c>
      <c r="M25" s="70" t="s">
        <v>275</v>
      </c>
    </row>
    <row r="26" spans="2:13" s="75" customFormat="1" ht="39" x14ac:dyDescent="0.25">
      <c r="B26" s="65" t="s">
        <v>17</v>
      </c>
      <c r="C26" s="65" t="s">
        <v>40</v>
      </c>
      <c r="D26" s="66" t="s">
        <v>19</v>
      </c>
      <c r="E26" s="79">
        <v>171</v>
      </c>
      <c r="F26" s="79">
        <v>257</v>
      </c>
      <c r="G26" s="69">
        <f t="shared" si="0"/>
        <v>15.88641984</v>
      </c>
      <c r="H26" s="69">
        <f t="shared" si="0"/>
        <v>23.876081280000001</v>
      </c>
      <c r="I26" s="70" t="s">
        <v>271</v>
      </c>
      <c r="J26" s="70" t="s">
        <v>272</v>
      </c>
      <c r="K26" s="70" t="s">
        <v>273</v>
      </c>
      <c r="L26" s="70" t="s">
        <v>274</v>
      </c>
      <c r="M26" s="70" t="s">
        <v>275</v>
      </c>
    </row>
    <row r="27" spans="2:13" s="75" customFormat="1" ht="39" x14ac:dyDescent="0.25">
      <c r="B27" s="65" t="s">
        <v>17</v>
      </c>
      <c r="C27" s="65" t="s">
        <v>41</v>
      </c>
      <c r="D27" s="66" t="s">
        <v>19</v>
      </c>
      <c r="E27" s="79">
        <v>171</v>
      </c>
      <c r="F27" s="79">
        <v>257</v>
      </c>
      <c r="G27" s="69">
        <f t="shared" si="0"/>
        <v>15.88641984</v>
      </c>
      <c r="H27" s="69">
        <f t="shared" si="0"/>
        <v>23.876081280000001</v>
      </c>
      <c r="I27" s="70" t="s">
        <v>271</v>
      </c>
      <c r="J27" s="70" t="s">
        <v>272</v>
      </c>
      <c r="K27" s="70" t="s">
        <v>273</v>
      </c>
      <c r="L27" s="70" t="s">
        <v>274</v>
      </c>
      <c r="M27" s="70" t="s">
        <v>275</v>
      </c>
    </row>
    <row r="28" spans="2:13" s="75" customFormat="1" ht="39" x14ac:dyDescent="0.25">
      <c r="B28" s="65" t="s">
        <v>17</v>
      </c>
      <c r="C28" s="65" t="s">
        <v>42</v>
      </c>
      <c r="D28" s="66" t="s">
        <v>19</v>
      </c>
      <c r="E28" s="79">
        <v>171</v>
      </c>
      <c r="F28" s="79">
        <v>257</v>
      </c>
      <c r="G28" s="69">
        <f t="shared" si="0"/>
        <v>15.88641984</v>
      </c>
      <c r="H28" s="69">
        <f t="shared" si="0"/>
        <v>23.876081280000001</v>
      </c>
      <c r="I28" s="70" t="s">
        <v>271</v>
      </c>
      <c r="J28" s="70" t="s">
        <v>272</v>
      </c>
      <c r="K28" s="70" t="s">
        <v>273</v>
      </c>
      <c r="L28" s="70" t="s">
        <v>274</v>
      </c>
      <c r="M28" s="70" t="s">
        <v>275</v>
      </c>
    </row>
    <row r="29" spans="2:13" s="75" customFormat="1" ht="39" x14ac:dyDescent="0.25">
      <c r="B29" s="65" t="s">
        <v>17</v>
      </c>
      <c r="C29" s="65" t="s">
        <v>43</v>
      </c>
      <c r="D29" s="66" t="s">
        <v>19</v>
      </c>
      <c r="E29" s="79">
        <v>153</v>
      </c>
      <c r="F29" s="79">
        <v>230</v>
      </c>
      <c r="G29" s="69">
        <f t="shared" si="0"/>
        <v>14.214165120000001</v>
      </c>
      <c r="H29" s="69">
        <f t="shared" si="0"/>
        <v>21.367699200000001</v>
      </c>
      <c r="I29" s="70" t="s">
        <v>271</v>
      </c>
      <c r="J29" s="70" t="s">
        <v>272</v>
      </c>
      <c r="K29" s="70" t="s">
        <v>273</v>
      </c>
      <c r="L29" s="70" t="s">
        <v>274</v>
      </c>
      <c r="M29" s="70" t="s">
        <v>275</v>
      </c>
    </row>
    <row r="30" spans="2:13" s="75" customFormat="1" ht="13.5" x14ac:dyDescent="0.25">
      <c r="B30" s="65" t="s">
        <v>17</v>
      </c>
      <c r="C30" s="65" t="s">
        <v>44</v>
      </c>
      <c r="D30" s="66" t="s">
        <v>19</v>
      </c>
      <c r="E30" s="79">
        <v>156</v>
      </c>
      <c r="F30" s="79">
        <v>234</v>
      </c>
      <c r="G30" s="69">
        <f>E30*$E$1</f>
        <v>14.492874240000001</v>
      </c>
      <c r="H30" s="69">
        <f>F30*$E$1</f>
        <v>21.739311360000002</v>
      </c>
      <c r="I30" s="80"/>
      <c r="J30" s="80"/>
      <c r="K30" s="80"/>
      <c r="L30" s="80"/>
      <c r="M30" s="80"/>
    </row>
    <row r="31" spans="2:13" s="75" customFormat="1" ht="54" x14ac:dyDescent="0.25">
      <c r="B31" s="65" t="s">
        <v>17</v>
      </c>
      <c r="C31" s="65" t="s">
        <v>45</v>
      </c>
      <c r="D31" s="66" t="s">
        <v>19</v>
      </c>
      <c r="E31" s="79">
        <v>197</v>
      </c>
      <c r="F31" s="79">
        <v>295</v>
      </c>
      <c r="G31" s="69">
        <f t="shared" si="0"/>
        <v>18.30189888</v>
      </c>
      <c r="H31" s="69">
        <f t="shared" si="0"/>
        <v>27.406396800000003</v>
      </c>
      <c r="I31" s="80" t="s">
        <v>271</v>
      </c>
      <c r="J31" s="80" t="s">
        <v>272</v>
      </c>
      <c r="K31" s="80" t="s">
        <v>273</v>
      </c>
      <c r="L31" s="80" t="s">
        <v>274</v>
      </c>
      <c r="M31" s="80" t="s">
        <v>275</v>
      </c>
    </row>
    <row r="32" spans="2:13" s="75" customFormat="1" ht="54" x14ac:dyDescent="0.25">
      <c r="B32" s="65" t="s">
        <v>17</v>
      </c>
      <c r="C32" s="65" t="s">
        <v>46</v>
      </c>
      <c r="D32" s="66" t="s">
        <v>19</v>
      </c>
      <c r="E32" s="79">
        <v>156</v>
      </c>
      <c r="F32" s="79">
        <v>234</v>
      </c>
      <c r="G32" s="69">
        <f t="shared" si="0"/>
        <v>14.492874240000001</v>
      </c>
      <c r="H32" s="69">
        <f t="shared" si="0"/>
        <v>21.739311360000002</v>
      </c>
      <c r="I32" s="80" t="s">
        <v>271</v>
      </c>
      <c r="J32" s="80" t="s">
        <v>272</v>
      </c>
      <c r="K32" s="80" t="s">
        <v>273</v>
      </c>
      <c r="L32" s="80" t="s">
        <v>274</v>
      </c>
      <c r="M32" s="80" t="s">
        <v>275</v>
      </c>
    </row>
    <row r="33" spans="2:13" s="75" customFormat="1" ht="54" x14ac:dyDescent="0.25">
      <c r="B33" s="65" t="s">
        <v>17</v>
      </c>
      <c r="C33" s="65" t="s">
        <v>47</v>
      </c>
      <c r="D33" s="66" t="s">
        <v>19</v>
      </c>
      <c r="E33" s="79">
        <v>178</v>
      </c>
      <c r="F33" s="79">
        <v>268</v>
      </c>
      <c r="G33" s="69">
        <f t="shared" si="0"/>
        <v>16.536741120000002</v>
      </c>
      <c r="H33" s="69">
        <f t="shared" si="0"/>
        <v>24.898014720000003</v>
      </c>
      <c r="I33" s="80" t="s">
        <v>271</v>
      </c>
      <c r="J33" s="80" t="s">
        <v>272</v>
      </c>
      <c r="K33" s="80" t="s">
        <v>273</v>
      </c>
      <c r="L33" s="80" t="s">
        <v>274</v>
      </c>
      <c r="M33" s="80" t="s">
        <v>275</v>
      </c>
    </row>
    <row r="34" spans="2:13" s="75" customFormat="1" ht="54" x14ac:dyDescent="0.25">
      <c r="B34" s="65" t="s">
        <v>17</v>
      </c>
      <c r="C34" s="65" t="s">
        <v>48</v>
      </c>
      <c r="D34" s="66" t="s">
        <v>19</v>
      </c>
      <c r="E34" s="79">
        <v>191</v>
      </c>
      <c r="F34" s="79">
        <v>287</v>
      </c>
      <c r="G34" s="69">
        <f t="shared" si="0"/>
        <v>17.744480640000003</v>
      </c>
      <c r="H34" s="69">
        <f t="shared" si="0"/>
        <v>26.66317248</v>
      </c>
      <c r="I34" s="80" t="s">
        <v>271</v>
      </c>
      <c r="J34" s="80" t="s">
        <v>272</v>
      </c>
      <c r="K34" s="80" t="s">
        <v>273</v>
      </c>
      <c r="L34" s="80" t="s">
        <v>274</v>
      </c>
      <c r="M34" s="80" t="s">
        <v>275</v>
      </c>
    </row>
    <row r="35" spans="2:13" s="75" customFormat="1" ht="13.5" x14ac:dyDescent="0.25">
      <c r="B35" s="65" t="s">
        <v>17</v>
      </c>
      <c r="C35" s="65" t="s">
        <v>241</v>
      </c>
      <c r="D35" s="66" t="s">
        <v>19</v>
      </c>
      <c r="E35" s="79">
        <v>194</v>
      </c>
      <c r="F35" s="79">
        <v>293</v>
      </c>
      <c r="G35" s="69">
        <f>E35*$E$1</f>
        <v>18.023189760000001</v>
      </c>
      <c r="H35" s="69">
        <f>F35*$E$1</f>
        <v>27.220590720000001</v>
      </c>
      <c r="I35" s="80"/>
      <c r="J35" s="80"/>
      <c r="K35" s="80"/>
      <c r="L35" s="80"/>
      <c r="M35" s="80"/>
    </row>
    <row r="36" spans="2:13" s="75" customFormat="1" ht="54" x14ac:dyDescent="0.25">
      <c r="B36" s="65" t="s">
        <v>17</v>
      </c>
      <c r="C36" s="65" t="s">
        <v>50</v>
      </c>
      <c r="D36" s="66" t="s">
        <v>19</v>
      </c>
      <c r="E36" s="79">
        <v>157</v>
      </c>
      <c r="F36" s="79">
        <v>235</v>
      </c>
      <c r="G36" s="69">
        <f t="shared" si="0"/>
        <v>14.58577728</v>
      </c>
      <c r="H36" s="69">
        <f t="shared" si="0"/>
        <v>21.832214400000002</v>
      </c>
      <c r="I36" s="80" t="s">
        <v>271</v>
      </c>
      <c r="J36" s="80" t="s">
        <v>272</v>
      </c>
      <c r="K36" s="80" t="s">
        <v>273</v>
      </c>
      <c r="L36" s="80" t="s">
        <v>274</v>
      </c>
      <c r="M36" s="80" t="s">
        <v>275</v>
      </c>
    </row>
    <row r="37" spans="2:13" s="75" customFormat="1" ht="54" x14ac:dyDescent="0.25">
      <c r="B37" s="65" t="s">
        <v>17</v>
      </c>
      <c r="C37" s="65" t="s">
        <v>51</v>
      </c>
      <c r="D37" s="66" t="s">
        <v>19</v>
      </c>
      <c r="E37" s="79">
        <v>192</v>
      </c>
      <c r="F37" s="79">
        <v>288</v>
      </c>
      <c r="G37" s="69">
        <f t="shared" si="0"/>
        <v>17.837383680000002</v>
      </c>
      <c r="H37" s="69">
        <f t="shared" si="0"/>
        <v>26.756075520000003</v>
      </c>
      <c r="I37" s="80" t="s">
        <v>271</v>
      </c>
      <c r="J37" s="80" t="s">
        <v>272</v>
      </c>
      <c r="K37" s="80" t="s">
        <v>273</v>
      </c>
      <c r="L37" s="80" t="s">
        <v>274</v>
      </c>
      <c r="M37" s="80" t="s">
        <v>275</v>
      </c>
    </row>
    <row r="38" spans="2:13" s="75" customFormat="1" ht="54" x14ac:dyDescent="0.25">
      <c r="B38" s="65" t="s">
        <v>17</v>
      </c>
      <c r="C38" s="65" t="s">
        <v>52</v>
      </c>
      <c r="D38" s="66" t="s">
        <v>19</v>
      </c>
      <c r="E38" s="79">
        <v>218</v>
      </c>
      <c r="F38" s="79">
        <v>328</v>
      </c>
      <c r="G38" s="69">
        <f t="shared" si="0"/>
        <v>20.252862720000003</v>
      </c>
      <c r="H38" s="69">
        <f t="shared" si="0"/>
        <v>30.472197120000001</v>
      </c>
      <c r="I38" s="80" t="s">
        <v>271</v>
      </c>
      <c r="J38" s="80" t="s">
        <v>272</v>
      </c>
      <c r="K38" s="80" t="s">
        <v>273</v>
      </c>
      <c r="L38" s="80" t="s">
        <v>274</v>
      </c>
      <c r="M38" s="80" t="s">
        <v>275</v>
      </c>
    </row>
    <row r="39" spans="2:13" s="75" customFormat="1" ht="54" x14ac:dyDescent="0.25">
      <c r="B39" s="65" t="s">
        <v>17</v>
      </c>
      <c r="C39" s="65" t="s">
        <v>53</v>
      </c>
      <c r="D39" s="66" t="s">
        <v>19</v>
      </c>
      <c r="E39" s="79">
        <v>211</v>
      </c>
      <c r="F39" s="79">
        <v>316</v>
      </c>
      <c r="G39" s="69">
        <f t="shared" si="0"/>
        <v>19.60254144</v>
      </c>
      <c r="H39" s="69">
        <f t="shared" si="0"/>
        <v>29.357360640000003</v>
      </c>
      <c r="I39" s="80" t="s">
        <v>271</v>
      </c>
      <c r="J39" s="80" t="s">
        <v>272</v>
      </c>
      <c r="K39" s="80" t="s">
        <v>273</v>
      </c>
      <c r="L39" s="80" t="s">
        <v>274</v>
      </c>
      <c r="M39" s="80" t="s">
        <v>275</v>
      </c>
    </row>
    <row r="40" spans="2:13" s="75" customFormat="1" ht="13.5" x14ac:dyDescent="0.25">
      <c r="B40" s="65" t="s">
        <v>17</v>
      </c>
      <c r="C40" s="65" t="s">
        <v>54</v>
      </c>
      <c r="D40" s="66" t="s">
        <v>19</v>
      </c>
      <c r="E40" s="79">
        <v>181</v>
      </c>
      <c r="F40" s="79">
        <v>273</v>
      </c>
      <c r="G40" s="69">
        <f>E40*$E$1</f>
        <v>16.815450240000001</v>
      </c>
      <c r="H40" s="69">
        <f>F40*$E$1</f>
        <v>25.36252992</v>
      </c>
      <c r="I40" s="80"/>
      <c r="J40" s="80"/>
      <c r="K40" s="80"/>
      <c r="L40" s="80"/>
      <c r="M40" s="80"/>
    </row>
    <row r="41" spans="2:13" s="75" customFormat="1" ht="54" x14ac:dyDescent="0.25">
      <c r="B41" s="65" t="s">
        <v>17</v>
      </c>
      <c r="C41" s="65" t="s">
        <v>55</v>
      </c>
      <c r="D41" s="66" t="s">
        <v>19</v>
      </c>
      <c r="E41" s="79">
        <v>172</v>
      </c>
      <c r="F41" s="79">
        <v>258</v>
      </c>
      <c r="G41" s="69">
        <f t="shared" si="0"/>
        <v>15.979322880000002</v>
      </c>
      <c r="H41" s="69">
        <f t="shared" si="0"/>
        <v>23.968984320000001</v>
      </c>
      <c r="I41" s="80" t="s">
        <v>271</v>
      </c>
      <c r="J41" s="80" t="s">
        <v>272</v>
      </c>
      <c r="K41" s="80" t="s">
        <v>273</v>
      </c>
      <c r="L41" s="80" t="s">
        <v>274</v>
      </c>
      <c r="M41" s="80" t="s">
        <v>275</v>
      </c>
    </row>
    <row r="42" spans="2:13" s="75" customFormat="1" ht="13.5" x14ac:dyDescent="0.25">
      <c r="B42" s="65" t="s">
        <v>17</v>
      </c>
      <c r="C42" s="65" t="s">
        <v>242</v>
      </c>
      <c r="D42" s="66" t="s">
        <v>19</v>
      </c>
      <c r="E42" s="79">
        <v>188</v>
      </c>
      <c r="F42" s="79">
        <v>283</v>
      </c>
      <c r="G42" s="69">
        <f>E42*$E$1</f>
        <v>17.465771520000001</v>
      </c>
      <c r="H42" s="69">
        <f>F42*$E$1</f>
        <v>26.291560320000002</v>
      </c>
      <c r="I42" s="80"/>
      <c r="J42" s="80"/>
      <c r="K42" s="80"/>
      <c r="L42" s="80"/>
      <c r="M42" s="80"/>
    </row>
    <row r="43" spans="2:13" s="75" customFormat="1" ht="54" x14ac:dyDescent="0.25">
      <c r="B43" s="65" t="s">
        <v>17</v>
      </c>
      <c r="C43" s="65" t="s">
        <v>57</v>
      </c>
      <c r="D43" s="66" t="s">
        <v>19</v>
      </c>
      <c r="E43" s="79">
        <v>153</v>
      </c>
      <c r="F43" s="79">
        <v>229</v>
      </c>
      <c r="G43" s="69">
        <f t="shared" si="0"/>
        <v>14.214165120000001</v>
      </c>
      <c r="H43" s="69">
        <f t="shared" si="0"/>
        <v>21.274796160000001</v>
      </c>
      <c r="I43" s="80" t="s">
        <v>271</v>
      </c>
      <c r="J43" s="80" t="s">
        <v>272</v>
      </c>
      <c r="K43" s="80" t="s">
        <v>273</v>
      </c>
      <c r="L43" s="80" t="s">
        <v>274</v>
      </c>
      <c r="M43" s="80" t="s">
        <v>275</v>
      </c>
    </row>
    <row r="44" spans="2:13" s="75" customFormat="1" ht="13.5" x14ac:dyDescent="0.25">
      <c r="B44" s="65" t="s">
        <v>17</v>
      </c>
      <c r="C44" s="65" t="s">
        <v>58</v>
      </c>
      <c r="D44" s="66" t="s">
        <v>19</v>
      </c>
      <c r="E44" s="79">
        <v>168</v>
      </c>
      <c r="F44" s="79">
        <v>254</v>
      </c>
      <c r="G44" s="69">
        <f>E44*$E$1</f>
        <v>15.607710720000002</v>
      </c>
      <c r="H44" s="69">
        <f>F44*$E$1</f>
        <v>23.597372160000003</v>
      </c>
      <c r="I44" s="80"/>
      <c r="J44" s="80"/>
      <c r="K44" s="80"/>
      <c r="L44" s="80"/>
      <c r="M44" s="80"/>
    </row>
    <row r="45" spans="2:13" s="75" customFormat="1" ht="54" x14ac:dyDescent="0.25">
      <c r="B45" s="65" t="s">
        <v>17</v>
      </c>
      <c r="C45" s="65" t="s">
        <v>59</v>
      </c>
      <c r="D45" s="66" t="s">
        <v>19</v>
      </c>
      <c r="E45" s="79">
        <v>145</v>
      </c>
      <c r="F45" s="79">
        <v>218</v>
      </c>
      <c r="G45" s="69">
        <f t="shared" si="0"/>
        <v>13.470940800000001</v>
      </c>
      <c r="H45" s="69">
        <f t="shared" si="0"/>
        <v>20.252862720000003</v>
      </c>
      <c r="I45" s="80" t="s">
        <v>271</v>
      </c>
      <c r="J45" s="80" t="s">
        <v>272</v>
      </c>
      <c r="K45" s="80" t="s">
        <v>273</v>
      </c>
      <c r="L45" s="80" t="s">
        <v>274</v>
      </c>
      <c r="M45" s="80" t="s">
        <v>275</v>
      </c>
    </row>
    <row r="46" spans="2:13" s="75" customFormat="1" ht="13.5" x14ac:dyDescent="0.25">
      <c r="B46" s="65" t="s">
        <v>60</v>
      </c>
      <c r="C46" s="65" t="s">
        <v>61</v>
      </c>
      <c r="D46" s="66" t="s">
        <v>243</v>
      </c>
      <c r="E46" s="79">
        <v>54</v>
      </c>
      <c r="F46" s="79">
        <v>81</v>
      </c>
      <c r="G46" s="69">
        <f t="shared" si="0"/>
        <v>5.0167641600000001</v>
      </c>
      <c r="H46" s="69">
        <f t="shared" si="0"/>
        <v>7.5251462400000007</v>
      </c>
      <c r="I46" s="80"/>
      <c r="J46" s="80"/>
      <c r="K46" s="80"/>
      <c r="L46" s="80"/>
      <c r="M46" s="80"/>
    </row>
    <row r="47" spans="2:13" s="75" customFormat="1" ht="13.5" x14ac:dyDescent="0.25">
      <c r="B47" s="65" t="s">
        <v>62</v>
      </c>
      <c r="C47" s="65" t="s">
        <v>63</v>
      </c>
      <c r="D47" s="66" t="s">
        <v>243</v>
      </c>
      <c r="E47" s="79">
        <v>158</v>
      </c>
      <c r="F47" s="79">
        <v>237</v>
      </c>
      <c r="G47" s="69">
        <f t="shared" si="0"/>
        <v>14.678680320000002</v>
      </c>
      <c r="H47" s="69">
        <f t="shared" si="0"/>
        <v>22.018020480000001</v>
      </c>
      <c r="I47" s="80"/>
      <c r="J47" s="80"/>
      <c r="K47" s="80"/>
      <c r="L47" s="80"/>
      <c r="M47" s="80"/>
    </row>
    <row r="48" spans="2:13" s="75" customFormat="1" ht="13.5" x14ac:dyDescent="0.25">
      <c r="B48" s="65" t="s">
        <v>64</v>
      </c>
      <c r="C48" s="65" t="s">
        <v>65</v>
      </c>
      <c r="D48" s="66" t="s">
        <v>243</v>
      </c>
      <c r="E48" s="79">
        <v>76</v>
      </c>
      <c r="F48" s="79">
        <v>114</v>
      </c>
      <c r="G48" s="69">
        <f t="shared" si="0"/>
        <v>7.0606310400000005</v>
      </c>
      <c r="H48" s="69">
        <f t="shared" si="0"/>
        <v>10.590946560000001</v>
      </c>
      <c r="I48" s="80"/>
      <c r="J48" s="80"/>
      <c r="K48" s="80"/>
      <c r="L48" s="80"/>
      <c r="M48" s="80"/>
    </row>
    <row r="49" spans="2:13" s="75" customFormat="1" ht="13.5" x14ac:dyDescent="0.25">
      <c r="B49" s="65" t="s">
        <v>66</v>
      </c>
      <c r="C49" s="65" t="s">
        <v>67</v>
      </c>
      <c r="D49" s="66" t="s">
        <v>243</v>
      </c>
      <c r="E49" s="79">
        <v>76</v>
      </c>
      <c r="F49" s="79">
        <v>114</v>
      </c>
      <c r="G49" s="69">
        <f t="shared" si="0"/>
        <v>7.0606310400000005</v>
      </c>
      <c r="H49" s="69">
        <f t="shared" si="0"/>
        <v>10.590946560000001</v>
      </c>
      <c r="I49" s="80"/>
      <c r="J49" s="80"/>
      <c r="K49" s="80"/>
      <c r="L49" s="80"/>
      <c r="M49" s="80"/>
    </row>
    <row r="50" spans="2:13" s="75" customFormat="1" ht="13.5" x14ac:dyDescent="0.25">
      <c r="B50" s="65" t="s">
        <v>68</v>
      </c>
      <c r="C50" s="65" t="s">
        <v>69</v>
      </c>
      <c r="D50" s="66" t="s">
        <v>243</v>
      </c>
      <c r="E50" s="79">
        <v>188</v>
      </c>
      <c r="F50" s="79">
        <v>283</v>
      </c>
      <c r="G50" s="69">
        <f t="shared" si="0"/>
        <v>17.465771520000001</v>
      </c>
      <c r="H50" s="69">
        <f t="shared" si="0"/>
        <v>26.291560320000002</v>
      </c>
      <c r="I50" s="80"/>
      <c r="J50" s="80"/>
      <c r="K50" s="80"/>
      <c r="L50" s="80"/>
      <c r="M50" s="80"/>
    </row>
    <row r="51" spans="2:13" s="75" customFormat="1" ht="13.5" x14ac:dyDescent="0.25">
      <c r="B51" s="65" t="s">
        <v>70</v>
      </c>
      <c r="C51" s="65" t="s">
        <v>71</v>
      </c>
      <c r="D51" s="66" t="s">
        <v>243</v>
      </c>
      <c r="E51" s="79">
        <v>158</v>
      </c>
      <c r="F51" s="79">
        <v>237</v>
      </c>
      <c r="G51" s="69">
        <f t="shared" si="0"/>
        <v>14.678680320000002</v>
      </c>
      <c r="H51" s="69">
        <f t="shared" si="0"/>
        <v>22.018020480000001</v>
      </c>
      <c r="I51" s="80"/>
      <c r="J51" s="80"/>
      <c r="K51" s="80"/>
      <c r="L51" s="80"/>
      <c r="M51" s="80"/>
    </row>
    <row r="52" spans="2:13" s="75" customFormat="1" ht="13.5" x14ac:dyDescent="0.25">
      <c r="B52" s="65" t="s">
        <v>72</v>
      </c>
      <c r="C52" s="65" t="s">
        <v>73</v>
      </c>
      <c r="D52" s="66" t="s">
        <v>243</v>
      </c>
      <c r="E52" s="79">
        <v>37</v>
      </c>
      <c r="F52" s="79">
        <v>55</v>
      </c>
      <c r="G52" s="69">
        <f t="shared" si="0"/>
        <v>3.4374124800000003</v>
      </c>
      <c r="H52" s="69">
        <f t="shared" si="0"/>
        <v>5.1096672000000005</v>
      </c>
      <c r="I52" s="80"/>
      <c r="J52" s="80"/>
      <c r="K52" s="80"/>
      <c r="L52" s="80"/>
      <c r="M52" s="80"/>
    </row>
    <row r="53" spans="2:13" s="75" customFormat="1" ht="13.5" x14ac:dyDescent="0.25">
      <c r="B53" s="65" t="s">
        <v>74</v>
      </c>
      <c r="C53" s="65" t="s">
        <v>75</v>
      </c>
      <c r="D53" s="66" t="s">
        <v>243</v>
      </c>
      <c r="E53" s="79">
        <v>95</v>
      </c>
      <c r="F53" s="79">
        <v>143</v>
      </c>
      <c r="G53" s="69">
        <f t="shared" si="0"/>
        <v>8.8257887999999998</v>
      </c>
      <c r="H53" s="69">
        <f t="shared" si="0"/>
        <v>13.28513472</v>
      </c>
      <c r="I53" s="80"/>
      <c r="J53" s="80"/>
      <c r="K53" s="80"/>
      <c r="L53" s="80"/>
      <c r="M53" s="80"/>
    </row>
    <row r="54" spans="2:13" s="75" customFormat="1" ht="13.5" x14ac:dyDescent="0.25">
      <c r="B54" s="65" t="s">
        <v>76</v>
      </c>
      <c r="C54" s="65" t="s">
        <v>77</v>
      </c>
      <c r="D54" s="66" t="s">
        <v>243</v>
      </c>
      <c r="E54" s="79">
        <v>89</v>
      </c>
      <c r="F54" s="79">
        <v>133</v>
      </c>
      <c r="G54" s="69">
        <f t="shared" si="0"/>
        <v>8.268370560000001</v>
      </c>
      <c r="H54" s="69">
        <f t="shared" si="0"/>
        <v>12.35610432</v>
      </c>
      <c r="I54" s="80"/>
      <c r="J54" s="80"/>
      <c r="K54" s="80"/>
      <c r="L54" s="80"/>
      <c r="M54" s="80"/>
    </row>
    <row r="55" spans="2:13" s="75" customFormat="1" ht="13.5" x14ac:dyDescent="0.25">
      <c r="B55" s="65" t="s">
        <v>78</v>
      </c>
      <c r="C55" s="65" t="s">
        <v>79</v>
      </c>
      <c r="D55" s="66" t="s">
        <v>243</v>
      </c>
      <c r="E55" s="79">
        <v>26</v>
      </c>
      <c r="F55" s="79">
        <v>39</v>
      </c>
      <c r="G55" s="69">
        <f t="shared" si="0"/>
        <v>2.4154790400000001</v>
      </c>
      <c r="H55" s="69">
        <f t="shared" si="0"/>
        <v>3.6232185600000002</v>
      </c>
      <c r="I55" s="80"/>
      <c r="J55" s="80"/>
      <c r="K55" s="80"/>
      <c r="L55" s="80"/>
      <c r="M55" s="80"/>
    </row>
    <row r="56" spans="2:13" s="75" customFormat="1" ht="13.5" x14ac:dyDescent="0.25">
      <c r="B56" s="65" t="s">
        <v>80</v>
      </c>
      <c r="C56" s="65" t="s">
        <v>81</v>
      </c>
      <c r="D56" s="66" t="s">
        <v>243</v>
      </c>
      <c r="E56" s="79">
        <v>173</v>
      </c>
      <c r="F56" s="79">
        <v>260</v>
      </c>
      <c r="G56" s="69">
        <f t="shared" si="0"/>
        <v>16.072225920000001</v>
      </c>
      <c r="H56" s="69">
        <f t="shared" si="0"/>
        <v>24.154790400000003</v>
      </c>
      <c r="I56" s="80"/>
      <c r="J56" s="80"/>
      <c r="K56" s="80"/>
      <c r="L56" s="80"/>
      <c r="M56" s="80"/>
    </row>
    <row r="57" spans="2:13" s="75" customFormat="1" ht="13.5" x14ac:dyDescent="0.25">
      <c r="B57" s="65" t="s">
        <v>82</v>
      </c>
      <c r="C57" s="65" t="s">
        <v>83</v>
      </c>
      <c r="D57" s="66" t="s">
        <v>243</v>
      </c>
      <c r="E57" s="79">
        <v>77</v>
      </c>
      <c r="F57" s="79">
        <v>308</v>
      </c>
      <c r="G57" s="69">
        <f t="shared" si="0"/>
        <v>7.1535340800000009</v>
      </c>
      <c r="H57" s="69">
        <f t="shared" si="0"/>
        <v>28.614136320000004</v>
      </c>
      <c r="I57" s="80" t="s">
        <v>276</v>
      </c>
      <c r="J57" s="80" t="s">
        <v>276</v>
      </c>
      <c r="K57" s="80" t="s">
        <v>277</v>
      </c>
      <c r="L57" s="80" t="s">
        <v>276</v>
      </c>
      <c r="M57" s="80" t="s">
        <v>278</v>
      </c>
    </row>
    <row r="58" spans="2:13" s="75" customFormat="1" ht="13.5" x14ac:dyDescent="0.25">
      <c r="B58" s="65" t="s">
        <v>82</v>
      </c>
      <c r="C58" s="65" t="s">
        <v>84</v>
      </c>
      <c r="D58" s="66" t="s">
        <v>243</v>
      </c>
      <c r="E58" s="79">
        <v>77</v>
      </c>
      <c r="F58" s="79">
        <v>308</v>
      </c>
      <c r="G58" s="69">
        <f t="shared" si="0"/>
        <v>7.1535340800000009</v>
      </c>
      <c r="H58" s="69">
        <f t="shared" si="0"/>
        <v>28.614136320000004</v>
      </c>
      <c r="I58" s="80" t="s">
        <v>276</v>
      </c>
      <c r="J58" s="80" t="s">
        <v>276</v>
      </c>
      <c r="K58" s="80" t="s">
        <v>277</v>
      </c>
      <c r="L58" s="80" t="s">
        <v>276</v>
      </c>
      <c r="M58" s="80" t="s">
        <v>278</v>
      </c>
    </row>
    <row r="59" spans="2:13" ht="13.5" x14ac:dyDescent="0.25">
      <c r="B59" s="65" t="s">
        <v>85</v>
      </c>
      <c r="C59" s="65" t="s">
        <v>86</v>
      </c>
      <c r="D59" s="66" t="s">
        <v>243</v>
      </c>
      <c r="E59" s="79">
        <v>166</v>
      </c>
      <c r="F59" s="79">
        <v>249</v>
      </c>
      <c r="G59" s="69">
        <f t="shared" si="0"/>
        <v>15.421904640000001</v>
      </c>
      <c r="H59" s="69">
        <f t="shared" si="0"/>
        <v>23.132856960000002</v>
      </c>
      <c r="I59" s="80" t="s">
        <v>276</v>
      </c>
      <c r="J59" s="80" t="s">
        <v>276</v>
      </c>
      <c r="K59" s="80" t="s">
        <v>277</v>
      </c>
      <c r="L59" s="80" t="s">
        <v>276</v>
      </c>
      <c r="M59" s="80"/>
    </row>
    <row r="60" spans="2:13" s="68" customFormat="1" ht="13.5" x14ac:dyDescent="0.25">
      <c r="B60" s="65" t="s">
        <v>85</v>
      </c>
      <c r="C60" s="65" t="s">
        <v>87</v>
      </c>
      <c r="D60" s="66" t="s">
        <v>243</v>
      </c>
      <c r="E60" s="79">
        <v>166</v>
      </c>
      <c r="F60" s="79">
        <v>249</v>
      </c>
      <c r="G60" s="69">
        <f t="shared" si="0"/>
        <v>15.421904640000001</v>
      </c>
      <c r="H60" s="69">
        <f t="shared" si="0"/>
        <v>23.132856960000002</v>
      </c>
      <c r="I60" s="80" t="s">
        <v>276</v>
      </c>
      <c r="J60" s="80" t="s">
        <v>276</v>
      </c>
      <c r="K60" s="80" t="s">
        <v>277</v>
      </c>
      <c r="L60" s="80" t="s">
        <v>276</v>
      </c>
      <c r="M60" s="80"/>
    </row>
    <row r="61" spans="2:13" s="72" customFormat="1" ht="13.5" x14ac:dyDescent="0.25">
      <c r="B61" s="65" t="s">
        <v>85</v>
      </c>
      <c r="C61" s="65" t="s">
        <v>88</v>
      </c>
      <c r="D61" s="66" t="s">
        <v>243</v>
      </c>
      <c r="E61" s="79">
        <v>99</v>
      </c>
      <c r="F61" s="79">
        <v>150</v>
      </c>
      <c r="G61" s="69">
        <f>E61*$E$1</f>
        <v>9.1974009600000013</v>
      </c>
      <c r="H61" s="69">
        <f>F61*$E$1</f>
        <v>13.935456</v>
      </c>
      <c r="I61" s="80"/>
      <c r="J61" s="80"/>
      <c r="K61" s="80"/>
      <c r="L61" s="80"/>
      <c r="M61" s="80"/>
    </row>
    <row r="62" spans="2:13" s="76" customFormat="1" ht="13.5" x14ac:dyDescent="0.25">
      <c r="B62" s="65" t="s">
        <v>89</v>
      </c>
      <c r="C62" s="65" t="s">
        <v>90</v>
      </c>
      <c r="D62" s="66" t="s">
        <v>243</v>
      </c>
      <c r="E62" s="79">
        <v>68</v>
      </c>
      <c r="F62" s="79">
        <v>165</v>
      </c>
      <c r="G62" s="69">
        <f t="shared" si="0"/>
        <v>6.3174067200000001</v>
      </c>
      <c r="H62" s="69">
        <f t="shared" si="0"/>
        <v>15.329001600000002</v>
      </c>
      <c r="I62" s="80" t="s">
        <v>279</v>
      </c>
      <c r="J62" s="80" t="s">
        <v>276</v>
      </c>
      <c r="K62" s="80" t="s">
        <v>280</v>
      </c>
      <c r="L62" s="80" t="s">
        <v>281</v>
      </c>
      <c r="M62" s="80" t="s">
        <v>282</v>
      </c>
    </row>
    <row r="63" spans="2:13" s="77" customFormat="1" ht="54" x14ac:dyDescent="0.25">
      <c r="B63" s="65" t="s">
        <v>91</v>
      </c>
      <c r="C63" s="65" t="s">
        <v>92</v>
      </c>
      <c r="D63" s="66" t="s">
        <v>243</v>
      </c>
      <c r="E63" s="79">
        <v>68</v>
      </c>
      <c r="F63" s="79">
        <v>164</v>
      </c>
      <c r="G63" s="69">
        <f t="shared" si="0"/>
        <v>6.3174067200000001</v>
      </c>
      <c r="H63" s="69">
        <f t="shared" si="0"/>
        <v>15.23609856</v>
      </c>
      <c r="I63" s="80" t="s">
        <v>283</v>
      </c>
      <c r="J63" s="80" t="s">
        <v>284</v>
      </c>
      <c r="K63" s="80" t="s">
        <v>280</v>
      </c>
      <c r="L63" s="80" t="s">
        <v>281</v>
      </c>
      <c r="M63" s="80" t="s">
        <v>285</v>
      </c>
    </row>
    <row r="64" spans="2:13" s="72" customFormat="1" ht="13.5" x14ac:dyDescent="0.25">
      <c r="B64" s="65" t="s">
        <v>93</v>
      </c>
      <c r="C64" s="65" t="s">
        <v>53</v>
      </c>
      <c r="D64" s="66" t="s">
        <v>243</v>
      </c>
      <c r="E64" s="79">
        <v>79</v>
      </c>
      <c r="F64" s="79">
        <v>210</v>
      </c>
      <c r="G64" s="69">
        <f t="shared" si="0"/>
        <v>7.3393401600000008</v>
      </c>
      <c r="H64" s="69">
        <f t="shared" si="0"/>
        <v>19.5096384</v>
      </c>
      <c r="I64" s="80" t="s">
        <v>279</v>
      </c>
      <c r="J64" s="80" t="s">
        <v>276</v>
      </c>
      <c r="K64" s="80" t="s">
        <v>280</v>
      </c>
      <c r="L64" s="80" t="s">
        <v>281</v>
      </c>
      <c r="M64" s="80" t="s">
        <v>282</v>
      </c>
    </row>
    <row r="65" spans="2:13" s="68" customFormat="1" ht="13.5" x14ac:dyDescent="0.25">
      <c r="B65" s="65" t="s">
        <v>94</v>
      </c>
      <c r="C65" s="65" t="s">
        <v>95</v>
      </c>
      <c r="D65" s="66" t="s">
        <v>243</v>
      </c>
      <c r="E65" s="79">
        <v>67</v>
      </c>
      <c r="F65" s="79">
        <v>141</v>
      </c>
      <c r="G65" s="69">
        <f t="shared" si="0"/>
        <v>6.2245036800000006</v>
      </c>
      <c r="H65" s="69">
        <f t="shared" si="0"/>
        <v>13.099328640000001</v>
      </c>
      <c r="I65" s="80" t="s">
        <v>286</v>
      </c>
      <c r="J65" s="80" t="s">
        <v>287</v>
      </c>
      <c r="K65" s="80" t="s">
        <v>286</v>
      </c>
      <c r="L65" s="80" t="s">
        <v>276</v>
      </c>
      <c r="M65" s="80"/>
    </row>
    <row r="66" spans="2:13" s="76" customFormat="1" ht="13.5" x14ac:dyDescent="0.25">
      <c r="B66" s="65" t="s">
        <v>94</v>
      </c>
      <c r="C66" s="65" t="s">
        <v>96</v>
      </c>
      <c r="D66" s="66" t="s">
        <v>243</v>
      </c>
      <c r="E66" s="79">
        <v>67</v>
      </c>
      <c r="F66" s="79">
        <v>144</v>
      </c>
      <c r="G66" s="69">
        <f t="shared" si="0"/>
        <v>6.2245036800000006</v>
      </c>
      <c r="H66" s="69">
        <f t="shared" si="0"/>
        <v>13.378037760000002</v>
      </c>
      <c r="I66" s="80" t="s">
        <v>286</v>
      </c>
      <c r="J66" s="80" t="s">
        <v>288</v>
      </c>
      <c r="K66" s="80" t="s">
        <v>286</v>
      </c>
      <c r="L66" s="80" t="s">
        <v>276</v>
      </c>
      <c r="M66" s="80"/>
    </row>
    <row r="67" spans="2:13" s="77" customFormat="1" ht="13.5" x14ac:dyDescent="0.25">
      <c r="B67" s="65" t="s">
        <v>94</v>
      </c>
      <c r="C67" s="65" t="s">
        <v>97</v>
      </c>
      <c r="D67" s="66" t="s">
        <v>243</v>
      </c>
      <c r="E67" s="79">
        <v>69</v>
      </c>
      <c r="F67" s="79">
        <v>145</v>
      </c>
      <c r="G67" s="69">
        <f t="shared" si="0"/>
        <v>6.4103097600000005</v>
      </c>
      <c r="H67" s="69">
        <f t="shared" si="0"/>
        <v>13.470940800000001</v>
      </c>
      <c r="I67" s="80" t="s">
        <v>286</v>
      </c>
      <c r="J67" s="80" t="s">
        <v>287</v>
      </c>
      <c r="K67" s="80" t="s">
        <v>286</v>
      </c>
      <c r="L67" s="80" t="s">
        <v>276</v>
      </c>
      <c r="M67" s="80"/>
    </row>
    <row r="68" spans="2:13" s="76" customFormat="1" ht="13.5" x14ac:dyDescent="0.25">
      <c r="B68" s="65" t="s">
        <v>94</v>
      </c>
      <c r="C68" s="65" t="s">
        <v>98</v>
      </c>
      <c r="D68" s="66" t="s">
        <v>243</v>
      </c>
      <c r="E68" s="79">
        <v>67</v>
      </c>
      <c r="F68" s="79">
        <v>144</v>
      </c>
      <c r="G68" s="69">
        <f t="shared" si="0"/>
        <v>6.2245036800000006</v>
      </c>
      <c r="H68" s="69">
        <f t="shared" si="0"/>
        <v>13.378037760000002</v>
      </c>
      <c r="I68" s="80" t="s">
        <v>286</v>
      </c>
      <c r="J68" s="80" t="s">
        <v>287</v>
      </c>
      <c r="K68" s="80" t="s">
        <v>286</v>
      </c>
      <c r="L68" s="80" t="s">
        <v>276</v>
      </c>
      <c r="M68" s="80"/>
    </row>
    <row r="69" spans="2:13" s="76" customFormat="1" ht="13.5" x14ac:dyDescent="0.25">
      <c r="B69" s="65" t="s">
        <v>99</v>
      </c>
      <c r="C69" s="65" t="s">
        <v>100</v>
      </c>
      <c r="D69" s="66" t="s">
        <v>243</v>
      </c>
      <c r="E69" s="79">
        <v>166</v>
      </c>
      <c r="F69" s="79">
        <v>333</v>
      </c>
      <c r="G69" s="69">
        <f>E69*$E$1</f>
        <v>15.421904640000001</v>
      </c>
      <c r="H69" s="69">
        <f>F69*$E$1</f>
        <v>30.936712320000002</v>
      </c>
      <c r="I69" s="80"/>
      <c r="J69" s="80"/>
      <c r="K69" s="80"/>
      <c r="L69" s="80"/>
      <c r="M69" s="80"/>
    </row>
    <row r="70" spans="2:13" s="76" customFormat="1" ht="13.5" x14ac:dyDescent="0.25">
      <c r="B70" s="65" t="s">
        <v>244</v>
      </c>
      <c r="C70" s="65" t="s">
        <v>245</v>
      </c>
      <c r="D70" s="66" t="s">
        <v>19</v>
      </c>
      <c r="E70" s="130">
        <v>129.6</v>
      </c>
      <c r="F70" s="130">
        <v>195</v>
      </c>
      <c r="G70" s="69">
        <f>E70*$E$1</f>
        <v>12.040233984</v>
      </c>
      <c r="H70" s="69">
        <f t="shared" si="0"/>
        <v>18.116092800000001</v>
      </c>
      <c r="I70" s="80"/>
      <c r="J70" s="80"/>
      <c r="K70" s="80"/>
      <c r="L70" s="80"/>
      <c r="M70" s="80"/>
    </row>
    <row r="71" spans="2:13" s="76" customFormat="1" ht="13.5" x14ac:dyDescent="0.25">
      <c r="B71" s="65" t="s">
        <v>244</v>
      </c>
      <c r="C71" s="65" t="s">
        <v>246</v>
      </c>
      <c r="D71" s="66" t="s">
        <v>19</v>
      </c>
      <c r="E71" s="130">
        <v>125.27999999999999</v>
      </c>
      <c r="F71" s="130">
        <v>188.5</v>
      </c>
      <c r="G71" s="69">
        <f>E71*$E$1</f>
        <v>11.6388928512</v>
      </c>
      <c r="H71" s="69">
        <f t="shared" si="0"/>
        <v>17.512223040000002</v>
      </c>
      <c r="I71" s="80"/>
      <c r="J71" s="80"/>
      <c r="K71" s="80"/>
      <c r="L71" s="80"/>
      <c r="M71" s="80"/>
    </row>
    <row r="72" spans="2:13" s="76" customFormat="1" ht="13.5" x14ac:dyDescent="0.25">
      <c r="B72" s="65" t="s">
        <v>244</v>
      </c>
      <c r="C72" s="65" t="s">
        <v>247</v>
      </c>
      <c r="D72" s="66" t="s">
        <v>19</v>
      </c>
      <c r="E72" s="130">
        <v>125.27999999999999</v>
      </c>
      <c r="F72" s="130">
        <v>188.5</v>
      </c>
      <c r="G72" s="69">
        <f t="shared" si="0"/>
        <v>11.6388928512</v>
      </c>
      <c r="H72" s="69">
        <f t="shared" si="0"/>
        <v>17.512223040000002</v>
      </c>
      <c r="I72" s="80"/>
      <c r="J72" s="80"/>
      <c r="K72" s="80"/>
      <c r="L72" s="80"/>
      <c r="M72" s="80"/>
    </row>
    <row r="73" spans="2:13" s="76" customFormat="1" ht="13.5" x14ac:dyDescent="0.25">
      <c r="B73" s="65" t="s">
        <v>244</v>
      </c>
      <c r="C73" s="65" t="s">
        <v>248</v>
      </c>
      <c r="D73" s="66" t="s">
        <v>19</v>
      </c>
      <c r="E73" s="130">
        <v>127.44</v>
      </c>
      <c r="F73" s="130">
        <v>191.75</v>
      </c>
      <c r="G73" s="69">
        <f t="shared" si="0"/>
        <v>11.839563417600001</v>
      </c>
      <c r="H73" s="69">
        <f t="shared" si="0"/>
        <v>17.81415792</v>
      </c>
      <c r="I73" s="80"/>
      <c r="J73" s="80"/>
      <c r="K73" s="80"/>
      <c r="L73" s="80"/>
      <c r="M73" s="80"/>
    </row>
    <row r="74" spans="2:13" s="76" customFormat="1" ht="13.5" x14ac:dyDescent="0.25">
      <c r="B74" s="65" t="s">
        <v>101</v>
      </c>
      <c r="C74" s="65" t="s">
        <v>102</v>
      </c>
      <c r="D74" s="66" t="s">
        <v>6</v>
      </c>
      <c r="E74" s="79">
        <v>125</v>
      </c>
      <c r="F74" s="79">
        <v>300</v>
      </c>
      <c r="G74" s="69">
        <f t="shared" si="0"/>
        <v>11.612880000000001</v>
      </c>
      <c r="H74" s="69">
        <f t="shared" si="0"/>
        <v>27.870912000000001</v>
      </c>
      <c r="I74" s="80" t="s">
        <v>289</v>
      </c>
      <c r="J74" s="80" t="s">
        <v>289</v>
      </c>
      <c r="K74" s="80" t="s">
        <v>290</v>
      </c>
      <c r="L74" s="80" t="s">
        <v>291</v>
      </c>
      <c r="M74" s="80"/>
    </row>
    <row r="75" spans="2:13" s="72" customFormat="1" ht="13.5" x14ac:dyDescent="0.25">
      <c r="B75" s="65" t="s">
        <v>103</v>
      </c>
      <c r="C75" s="65" t="s">
        <v>104</v>
      </c>
      <c r="D75" s="66" t="s">
        <v>6</v>
      </c>
      <c r="E75" s="79">
        <v>180</v>
      </c>
      <c r="F75" s="79">
        <v>250</v>
      </c>
      <c r="G75" s="69">
        <f t="shared" si="0"/>
        <v>16.722547200000001</v>
      </c>
      <c r="H75" s="69">
        <f t="shared" si="0"/>
        <v>23.225760000000001</v>
      </c>
      <c r="I75" s="80" t="s">
        <v>276</v>
      </c>
      <c r="J75" s="80" t="s">
        <v>276</v>
      </c>
      <c r="K75" s="80" t="s">
        <v>290</v>
      </c>
      <c r="L75" s="80" t="s">
        <v>292</v>
      </c>
      <c r="M75" s="80"/>
    </row>
    <row r="76" spans="2:13" s="77" customFormat="1" ht="27" x14ac:dyDescent="0.25">
      <c r="B76" s="65" t="s">
        <v>105</v>
      </c>
      <c r="C76" s="65" t="s">
        <v>106</v>
      </c>
      <c r="D76" s="66" t="s">
        <v>6</v>
      </c>
      <c r="E76" s="79">
        <v>74</v>
      </c>
      <c r="F76" s="79">
        <v>179</v>
      </c>
      <c r="G76" s="69">
        <f t="shared" ref="G76:H134" si="1">E76*$E$1</f>
        <v>6.8748249600000007</v>
      </c>
      <c r="H76" s="69">
        <f t="shared" si="1"/>
        <v>16.629644160000002</v>
      </c>
      <c r="I76" s="80" t="s">
        <v>276</v>
      </c>
      <c r="J76" s="80" t="s">
        <v>293</v>
      </c>
      <c r="K76" s="80" t="s">
        <v>294</v>
      </c>
      <c r="L76" s="80" t="s">
        <v>276</v>
      </c>
      <c r="M76" s="80" t="s">
        <v>295</v>
      </c>
    </row>
    <row r="77" spans="2:13" s="77" customFormat="1" ht="27" x14ac:dyDescent="0.25">
      <c r="B77" s="65" t="s">
        <v>107</v>
      </c>
      <c r="C77" s="65" t="s">
        <v>108</v>
      </c>
      <c r="D77" s="66" t="s">
        <v>6</v>
      </c>
      <c r="E77" s="79">
        <v>32</v>
      </c>
      <c r="F77" s="79">
        <v>53</v>
      </c>
      <c r="G77" s="69">
        <f t="shared" si="1"/>
        <v>2.9728972800000002</v>
      </c>
      <c r="H77" s="69">
        <f t="shared" si="1"/>
        <v>4.9238611200000006</v>
      </c>
      <c r="I77" s="80" t="s">
        <v>276</v>
      </c>
      <c r="J77" s="80" t="s">
        <v>296</v>
      </c>
      <c r="K77" s="80" t="s">
        <v>290</v>
      </c>
      <c r="L77" s="80" t="s">
        <v>297</v>
      </c>
      <c r="M77" s="80" t="s">
        <v>298</v>
      </c>
    </row>
    <row r="78" spans="2:13" s="76" customFormat="1" ht="13.5" x14ac:dyDescent="0.25">
      <c r="B78" s="65" t="s">
        <v>109</v>
      </c>
      <c r="C78" s="65" t="s">
        <v>110</v>
      </c>
      <c r="D78" s="66" t="s">
        <v>6</v>
      </c>
      <c r="E78" s="79">
        <v>42</v>
      </c>
      <c r="F78" s="79">
        <v>63</v>
      </c>
      <c r="G78" s="69">
        <f t="shared" si="1"/>
        <v>3.9019276800000005</v>
      </c>
      <c r="H78" s="69">
        <f t="shared" si="1"/>
        <v>5.85289152</v>
      </c>
      <c r="I78" s="80" t="s">
        <v>276</v>
      </c>
      <c r="J78" s="80" t="s">
        <v>296</v>
      </c>
      <c r="K78" s="80" t="s">
        <v>290</v>
      </c>
      <c r="L78" s="80" t="s">
        <v>297</v>
      </c>
      <c r="M78" s="80"/>
    </row>
    <row r="79" spans="2:13" s="76" customFormat="1" ht="27" x14ac:dyDescent="0.25">
      <c r="B79" s="65" t="s">
        <v>111</v>
      </c>
      <c r="C79" s="65" t="s">
        <v>112</v>
      </c>
      <c r="D79" s="66" t="s">
        <v>6</v>
      </c>
      <c r="E79" s="79">
        <v>15</v>
      </c>
      <c r="F79" s="79">
        <v>85</v>
      </c>
      <c r="G79" s="69">
        <f t="shared" si="1"/>
        <v>1.3935456000000002</v>
      </c>
      <c r="H79" s="69">
        <f t="shared" si="1"/>
        <v>7.8967584000000004</v>
      </c>
      <c r="I79" s="80" t="s">
        <v>299</v>
      </c>
      <c r="J79" s="80" t="s">
        <v>300</v>
      </c>
      <c r="K79" s="80" t="s">
        <v>301</v>
      </c>
      <c r="L79" s="80" t="s">
        <v>291</v>
      </c>
      <c r="M79" s="80"/>
    </row>
    <row r="80" spans="2:13" s="76" customFormat="1" ht="27" x14ac:dyDescent="0.25">
      <c r="B80" s="65" t="s">
        <v>113</v>
      </c>
      <c r="C80" s="65" t="s">
        <v>114</v>
      </c>
      <c r="D80" s="66" t="s">
        <v>6</v>
      </c>
      <c r="E80" s="79">
        <f>218+11</f>
        <v>229</v>
      </c>
      <c r="F80" s="79">
        <f>13+266</f>
        <v>279</v>
      </c>
      <c r="G80" s="69">
        <f t="shared" si="1"/>
        <v>21.274796160000001</v>
      </c>
      <c r="H80" s="69">
        <f t="shared" si="1"/>
        <v>25.919948160000001</v>
      </c>
      <c r="I80" s="80" t="s">
        <v>276</v>
      </c>
      <c r="J80" s="80" t="s">
        <v>276</v>
      </c>
      <c r="K80" s="80" t="s">
        <v>290</v>
      </c>
      <c r="L80" s="80" t="s">
        <v>302</v>
      </c>
      <c r="M80" s="80"/>
    </row>
    <row r="81" spans="2:13" s="76" customFormat="1" ht="13.5" x14ac:dyDescent="0.25">
      <c r="B81" s="65" t="s">
        <v>115</v>
      </c>
      <c r="C81" s="65" t="s">
        <v>116</v>
      </c>
      <c r="D81" s="66" t="s">
        <v>6</v>
      </c>
      <c r="E81" s="79">
        <v>73</v>
      </c>
      <c r="F81" s="79">
        <v>171</v>
      </c>
      <c r="G81" s="69">
        <f t="shared" si="1"/>
        <v>6.7819219200000003</v>
      </c>
      <c r="H81" s="69">
        <f t="shared" si="1"/>
        <v>15.88641984</v>
      </c>
      <c r="I81" s="80" t="s">
        <v>303</v>
      </c>
      <c r="J81" s="80" t="s">
        <v>304</v>
      </c>
      <c r="K81" s="80" t="s">
        <v>305</v>
      </c>
      <c r="L81" s="80" t="s">
        <v>276</v>
      </c>
      <c r="M81" s="80" t="s">
        <v>295</v>
      </c>
    </row>
    <row r="82" spans="2:13" s="76" customFormat="1" ht="13.5" x14ac:dyDescent="0.25">
      <c r="B82" s="65" t="s">
        <v>117</v>
      </c>
      <c r="C82" s="65" t="s">
        <v>118</v>
      </c>
      <c r="D82" s="66" t="s">
        <v>6</v>
      </c>
      <c r="E82" s="79">
        <v>26</v>
      </c>
      <c r="F82" s="79">
        <v>74</v>
      </c>
      <c r="G82" s="69">
        <f t="shared" si="1"/>
        <v>2.4154790400000001</v>
      </c>
      <c r="H82" s="69">
        <f t="shared" si="1"/>
        <v>6.8748249600000007</v>
      </c>
      <c r="I82" s="80" t="s">
        <v>306</v>
      </c>
      <c r="J82" s="80" t="s">
        <v>307</v>
      </c>
      <c r="K82" s="80" t="s">
        <v>290</v>
      </c>
      <c r="L82" s="80" t="s">
        <v>297</v>
      </c>
      <c r="M82" s="80"/>
    </row>
    <row r="83" spans="2:13" s="72" customFormat="1" ht="40.5" x14ac:dyDescent="0.25">
      <c r="B83" s="65" t="s">
        <v>119</v>
      </c>
      <c r="C83" s="65" t="s">
        <v>120</v>
      </c>
      <c r="D83" s="66" t="s">
        <v>6</v>
      </c>
      <c r="E83" s="79">
        <v>182</v>
      </c>
      <c r="F83" s="79">
        <v>250</v>
      </c>
      <c r="G83" s="69">
        <f t="shared" si="1"/>
        <v>16.90835328</v>
      </c>
      <c r="H83" s="69">
        <f t="shared" si="1"/>
        <v>23.225760000000001</v>
      </c>
      <c r="I83" s="80" t="s">
        <v>276</v>
      </c>
      <c r="J83" s="80" t="s">
        <v>276</v>
      </c>
      <c r="K83" s="80" t="s">
        <v>290</v>
      </c>
      <c r="L83" s="80" t="s">
        <v>308</v>
      </c>
      <c r="M83" s="80" t="s">
        <v>309</v>
      </c>
    </row>
    <row r="84" spans="2:13" s="76" customFormat="1" ht="13.5" x14ac:dyDescent="0.25">
      <c r="B84" s="65" t="s">
        <v>122</v>
      </c>
      <c r="C84" s="65" t="s">
        <v>124</v>
      </c>
      <c r="D84" s="66" t="s">
        <v>6</v>
      </c>
      <c r="E84" s="79">
        <v>164</v>
      </c>
      <c r="F84" s="79">
        <v>247</v>
      </c>
      <c r="G84" s="69">
        <f>E84*$E$1</f>
        <v>15.23609856</v>
      </c>
      <c r="H84" s="69">
        <f>F84*$E$1</f>
        <v>22.947050880000003</v>
      </c>
      <c r="I84" s="80"/>
      <c r="J84" s="80"/>
      <c r="K84" s="80"/>
      <c r="L84" s="80"/>
      <c r="M84" s="80"/>
    </row>
    <row r="85" spans="2:13" s="68" customFormat="1" ht="27" x14ac:dyDescent="0.25">
      <c r="B85" s="65" t="s">
        <v>129</v>
      </c>
      <c r="C85" s="65" t="s">
        <v>130</v>
      </c>
      <c r="D85" s="66" t="s">
        <v>6</v>
      </c>
      <c r="E85" s="79">
        <v>85</v>
      </c>
      <c r="F85" s="79">
        <v>199</v>
      </c>
      <c r="G85" s="69">
        <f t="shared" si="1"/>
        <v>7.8967584000000004</v>
      </c>
      <c r="H85" s="69">
        <f t="shared" si="1"/>
        <v>18.487704960000002</v>
      </c>
      <c r="I85" s="80" t="s">
        <v>276</v>
      </c>
      <c r="J85" s="80" t="s">
        <v>293</v>
      </c>
      <c r="K85" s="80" t="s">
        <v>294</v>
      </c>
      <c r="L85" s="80" t="s">
        <v>276</v>
      </c>
      <c r="M85" s="80" t="s">
        <v>295</v>
      </c>
    </row>
    <row r="86" spans="2:13" s="77" customFormat="1" ht="13.5" x14ac:dyDescent="0.25">
      <c r="B86" s="65" t="s">
        <v>131</v>
      </c>
      <c r="C86" s="65" t="s">
        <v>132</v>
      </c>
      <c r="D86" s="66" t="s">
        <v>6</v>
      </c>
      <c r="E86" s="79">
        <v>16</v>
      </c>
      <c r="F86" s="79">
        <v>37</v>
      </c>
      <c r="G86" s="69">
        <f t="shared" si="1"/>
        <v>1.4864486400000001</v>
      </c>
      <c r="H86" s="69">
        <f t="shared" si="1"/>
        <v>3.4374124800000003</v>
      </c>
      <c r="I86" s="80" t="s">
        <v>306</v>
      </c>
      <c r="J86" s="80" t="s">
        <v>307</v>
      </c>
      <c r="K86" s="80" t="s">
        <v>290</v>
      </c>
      <c r="L86" s="80" t="s">
        <v>297</v>
      </c>
      <c r="M86" s="80"/>
    </row>
    <row r="87" spans="2:13" s="78" customFormat="1" ht="27" x14ac:dyDescent="0.25">
      <c r="B87" s="65" t="s">
        <v>133</v>
      </c>
      <c r="C87" s="65" t="s">
        <v>134</v>
      </c>
      <c r="D87" s="66" t="s">
        <v>6</v>
      </c>
      <c r="E87" s="79">
        <v>145</v>
      </c>
      <c r="F87" s="79">
        <v>363</v>
      </c>
      <c r="G87" s="69">
        <f t="shared" si="1"/>
        <v>13.470940800000001</v>
      </c>
      <c r="H87" s="69">
        <f t="shared" si="1"/>
        <v>33.723803520000004</v>
      </c>
      <c r="I87" s="80" t="s">
        <v>276</v>
      </c>
      <c r="J87" s="80" t="s">
        <v>276</v>
      </c>
      <c r="K87" s="80" t="s">
        <v>310</v>
      </c>
      <c r="L87" s="80" t="s">
        <v>311</v>
      </c>
      <c r="M87" s="80" t="s">
        <v>312</v>
      </c>
    </row>
    <row r="88" spans="2:13" s="74" customFormat="1" ht="40.5" x14ac:dyDescent="0.25">
      <c r="B88" s="65" t="s">
        <v>135</v>
      </c>
      <c r="C88" s="65" t="s">
        <v>136</v>
      </c>
      <c r="D88" s="66" t="s">
        <v>6</v>
      </c>
      <c r="E88" s="79">
        <v>71</v>
      </c>
      <c r="F88" s="79">
        <v>239</v>
      </c>
      <c r="G88" s="69">
        <f t="shared" si="1"/>
        <v>6.5961158400000004</v>
      </c>
      <c r="H88" s="69">
        <f t="shared" si="1"/>
        <v>22.203826560000003</v>
      </c>
      <c r="I88" s="80" t="s">
        <v>313</v>
      </c>
      <c r="J88" s="80" t="s">
        <v>307</v>
      </c>
      <c r="K88" s="80" t="s">
        <v>290</v>
      </c>
      <c r="L88" s="80" t="s">
        <v>311</v>
      </c>
      <c r="M88" s="80" t="s">
        <v>314</v>
      </c>
    </row>
    <row r="89" spans="2:13" s="76" customFormat="1" ht="13.5" x14ac:dyDescent="0.25">
      <c r="B89" s="65" t="s">
        <v>137</v>
      </c>
      <c r="C89" s="65" t="s">
        <v>138</v>
      </c>
      <c r="D89" s="66" t="s">
        <v>6</v>
      </c>
      <c r="E89" s="79">
        <v>190</v>
      </c>
      <c r="F89" s="79">
        <v>250</v>
      </c>
      <c r="G89" s="69">
        <f t="shared" si="1"/>
        <v>17.6515776</v>
      </c>
      <c r="H89" s="69">
        <f t="shared" si="1"/>
        <v>23.225760000000001</v>
      </c>
      <c r="I89" s="80" t="s">
        <v>276</v>
      </c>
      <c r="J89" s="80" t="s">
        <v>276</v>
      </c>
      <c r="K89" s="80" t="s">
        <v>280</v>
      </c>
      <c r="L89" s="80" t="s">
        <v>276</v>
      </c>
      <c r="M89" s="80" t="s">
        <v>315</v>
      </c>
    </row>
    <row r="90" spans="2:13" s="68" customFormat="1" ht="27" x14ac:dyDescent="0.25">
      <c r="B90" s="65" t="s">
        <v>139</v>
      </c>
      <c r="C90" s="65" t="s">
        <v>140</v>
      </c>
      <c r="D90" s="66" t="s">
        <v>6</v>
      </c>
      <c r="E90" s="79">
        <v>83</v>
      </c>
      <c r="F90" s="79">
        <v>187</v>
      </c>
      <c r="G90" s="69">
        <f t="shared" si="1"/>
        <v>7.7109523200000005</v>
      </c>
      <c r="H90" s="69">
        <f t="shared" si="1"/>
        <v>17.372868480000001</v>
      </c>
      <c r="I90" s="80" t="s">
        <v>276</v>
      </c>
      <c r="J90" s="80" t="s">
        <v>316</v>
      </c>
      <c r="K90" s="80" t="s">
        <v>294</v>
      </c>
      <c r="L90" s="80" t="s">
        <v>276</v>
      </c>
      <c r="M90" s="80" t="s">
        <v>295</v>
      </c>
    </row>
    <row r="91" spans="2:13" s="76" customFormat="1" ht="13.5" x14ac:dyDescent="0.25">
      <c r="B91" s="65" t="s">
        <v>141</v>
      </c>
      <c r="C91" s="65" t="s">
        <v>141</v>
      </c>
      <c r="D91" s="66" t="s">
        <v>6</v>
      </c>
      <c r="E91" s="79">
        <v>179</v>
      </c>
      <c r="F91" s="79">
        <v>250</v>
      </c>
      <c r="G91" s="69">
        <f t="shared" si="1"/>
        <v>16.629644160000002</v>
      </c>
      <c r="H91" s="69">
        <f t="shared" si="1"/>
        <v>23.225760000000001</v>
      </c>
      <c r="I91" s="80" t="s">
        <v>276</v>
      </c>
      <c r="J91" s="80" t="s">
        <v>276</v>
      </c>
      <c r="K91" s="80" t="s">
        <v>290</v>
      </c>
      <c r="L91" s="80" t="s">
        <v>276</v>
      </c>
      <c r="M91" s="80"/>
    </row>
    <row r="92" spans="2:13" s="76" customFormat="1" ht="13.5" x14ac:dyDescent="0.25">
      <c r="B92" s="65" t="s">
        <v>142</v>
      </c>
      <c r="C92" s="65" t="s">
        <v>143</v>
      </c>
      <c r="D92" s="66" t="s">
        <v>6</v>
      </c>
      <c r="E92" s="79">
        <v>68</v>
      </c>
      <c r="F92" s="79">
        <v>164</v>
      </c>
      <c r="G92" s="69">
        <f t="shared" si="1"/>
        <v>6.3174067200000001</v>
      </c>
      <c r="H92" s="69">
        <f t="shared" si="1"/>
        <v>15.23609856</v>
      </c>
      <c r="I92" s="80" t="s">
        <v>303</v>
      </c>
      <c r="J92" s="80" t="s">
        <v>304</v>
      </c>
      <c r="K92" s="80" t="s">
        <v>317</v>
      </c>
      <c r="L92" s="80" t="s">
        <v>276</v>
      </c>
      <c r="M92" s="80" t="s">
        <v>295</v>
      </c>
    </row>
    <row r="93" spans="2:13" s="72" customFormat="1" ht="13.5" x14ac:dyDescent="0.25">
      <c r="B93" s="65" t="s">
        <v>144</v>
      </c>
      <c r="C93" s="65" t="s">
        <v>145</v>
      </c>
      <c r="D93" s="66" t="s">
        <v>6</v>
      </c>
      <c r="E93" s="79">
        <v>116</v>
      </c>
      <c r="F93" s="79">
        <v>158</v>
      </c>
      <c r="G93" s="69">
        <f t="shared" si="1"/>
        <v>10.776752640000002</v>
      </c>
      <c r="H93" s="69">
        <f t="shared" si="1"/>
        <v>14.678680320000002</v>
      </c>
      <c r="I93" s="80" t="s">
        <v>276</v>
      </c>
      <c r="J93" s="80" t="s">
        <v>276</v>
      </c>
      <c r="K93" s="80" t="s">
        <v>318</v>
      </c>
      <c r="L93" s="80" t="s">
        <v>276</v>
      </c>
      <c r="M93" s="80"/>
    </row>
    <row r="94" spans="2:13" s="77" customFormat="1" ht="81" x14ac:dyDescent="0.25">
      <c r="B94" s="65" t="s">
        <v>146</v>
      </c>
      <c r="C94" s="65" t="s">
        <v>147</v>
      </c>
      <c r="D94" s="66" t="s">
        <v>6</v>
      </c>
      <c r="E94" s="79">
        <v>76</v>
      </c>
      <c r="F94" s="79">
        <v>173</v>
      </c>
      <c r="G94" s="69">
        <f t="shared" si="1"/>
        <v>7.0606310400000005</v>
      </c>
      <c r="H94" s="69">
        <f t="shared" si="1"/>
        <v>16.072225920000001</v>
      </c>
      <c r="I94" s="80" t="s">
        <v>276</v>
      </c>
      <c r="J94" s="80" t="s">
        <v>276</v>
      </c>
      <c r="K94" s="80" t="s">
        <v>319</v>
      </c>
      <c r="L94" s="80" t="s">
        <v>320</v>
      </c>
      <c r="M94" s="80" t="s">
        <v>321</v>
      </c>
    </row>
    <row r="95" spans="2:13" s="68" customFormat="1" ht="13.5" x14ac:dyDescent="0.25">
      <c r="B95" s="65" t="s">
        <v>148</v>
      </c>
      <c r="C95" s="65" t="s">
        <v>149</v>
      </c>
      <c r="D95" s="66" t="s">
        <v>6</v>
      </c>
      <c r="E95" s="79">
        <v>26</v>
      </c>
      <c r="F95" s="79">
        <v>74</v>
      </c>
      <c r="G95" s="69">
        <f t="shared" si="1"/>
        <v>2.4154790400000001</v>
      </c>
      <c r="H95" s="69">
        <f t="shared" si="1"/>
        <v>6.8748249600000007</v>
      </c>
      <c r="I95" s="80" t="s">
        <v>306</v>
      </c>
      <c r="J95" s="80" t="s">
        <v>307</v>
      </c>
      <c r="K95" s="80" t="s">
        <v>290</v>
      </c>
      <c r="L95" s="80" t="s">
        <v>297</v>
      </c>
      <c r="M95" s="80"/>
    </row>
    <row r="96" spans="2:13" s="68" customFormat="1" ht="13.5" x14ac:dyDescent="0.25">
      <c r="B96" s="65" t="s">
        <v>150</v>
      </c>
      <c r="C96" s="65" t="s">
        <v>151</v>
      </c>
      <c r="D96" s="66" t="s">
        <v>6</v>
      </c>
      <c r="E96" s="79">
        <v>27</v>
      </c>
      <c r="F96" s="79">
        <v>80</v>
      </c>
      <c r="G96" s="69">
        <f t="shared" si="1"/>
        <v>2.5083820800000001</v>
      </c>
      <c r="H96" s="69">
        <f t="shared" si="1"/>
        <v>7.4322432000000003</v>
      </c>
      <c r="I96" s="80" t="s">
        <v>306</v>
      </c>
      <c r="J96" s="80" t="s">
        <v>307</v>
      </c>
      <c r="K96" s="80" t="s">
        <v>290</v>
      </c>
      <c r="L96" s="80" t="s">
        <v>297</v>
      </c>
      <c r="M96" s="80"/>
    </row>
    <row r="97" spans="2:13" s="76" customFormat="1" ht="13.5" x14ac:dyDescent="0.25">
      <c r="B97" s="65" t="s">
        <v>152</v>
      </c>
      <c r="C97" s="65" t="s">
        <v>153</v>
      </c>
      <c r="D97" s="66" t="s">
        <v>6</v>
      </c>
      <c r="E97" s="79">
        <v>90</v>
      </c>
      <c r="F97" s="79">
        <v>145</v>
      </c>
      <c r="G97" s="69">
        <f t="shared" si="1"/>
        <v>8.3612736000000005</v>
      </c>
      <c r="H97" s="69">
        <f t="shared" si="1"/>
        <v>13.470940800000001</v>
      </c>
      <c r="I97" s="80" t="s">
        <v>276</v>
      </c>
      <c r="J97" s="80" t="s">
        <v>276</v>
      </c>
      <c r="K97" s="80" t="s">
        <v>290</v>
      </c>
      <c r="L97" s="80" t="s">
        <v>297</v>
      </c>
      <c r="M97" s="80"/>
    </row>
    <row r="98" spans="2:13" s="76" customFormat="1" ht="13.5" x14ac:dyDescent="0.25">
      <c r="B98" s="65" t="s">
        <v>154</v>
      </c>
      <c r="C98" s="65" t="s">
        <v>155</v>
      </c>
      <c r="D98" s="66" t="s">
        <v>6</v>
      </c>
      <c r="E98" s="79">
        <v>113</v>
      </c>
      <c r="F98" s="79">
        <v>226</v>
      </c>
      <c r="G98" s="69">
        <f t="shared" si="1"/>
        <v>10.498043520000001</v>
      </c>
      <c r="H98" s="69">
        <f t="shared" si="1"/>
        <v>20.996087040000003</v>
      </c>
      <c r="I98" s="80"/>
      <c r="J98" s="80"/>
      <c r="K98" s="80"/>
      <c r="L98" s="80"/>
      <c r="M98" s="80"/>
    </row>
    <row r="99" spans="2:13" s="76" customFormat="1" ht="13.5" x14ac:dyDescent="0.25">
      <c r="B99" s="65" t="s">
        <v>156</v>
      </c>
      <c r="C99" s="65" t="s">
        <v>157</v>
      </c>
      <c r="D99" s="66" t="s">
        <v>6</v>
      </c>
      <c r="E99" s="79">
        <v>130</v>
      </c>
      <c r="F99" s="79">
        <v>260</v>
      </c>
      <c r="G99" s="69">
        <f t="shared" si="1"/>
        <v>12.077395200000002</v>
      </c>
      <c r="H99" s="69">
        <f t="shared" si="1"/>
        <v>24.154790400000003</v>
      </c>
      <c r="I99" s="80"/>
      <c r="J99" s="80"/>
      <c r="K99" s="80"/>
      <c r="L99" s="80"/>
      <c r="M99" s="80"/>
    </row>
    <row r="100" spans="2:13" s="68" customFormat="1" ht="27" x14ac:dyDescent="0.25">
      <c r="B100" s="65" t="s">
        <v>158</v>
      </c>
      <c r="C100" s="65" t="s">
        <v>159</v>
      </c>
      <c r="D100" s="66" t="s">
        <v>6</v>
      </c>
      <c r="E100" s="79">
        <v>47</v>
      </c>
      <c r="F100" s="79">
        <v>68</v>
      </c>
      <c r="G100" s="69">
        <f t="shared" si="1"/>
        <v>4.3664428800000001</v>
      </c>
      <c r="H100" s="69">
        <f t="shared" si="1"/>
        <v>6.3174067200000001</v>
      </c>
      <c r="I100" s="80" t="s">
        <v>276</v>
      </c>
      <c r="J100" s="80" t="s">
        <v>276</v>
      </c>
      <c r="K100" s="80" t="s">
        <v>318</v>
      </c>
      <c r="L100" s="80" t="s">
        <v>297</v>
      </c>
      <c r="M100" s="80" t="s">
        <v>298</v>
      </c>
    </row>
    <row r="101" spans="2:13" s="72" customFormat="1" ht="54" x14ac:dyDescent="0.25">
      <c r="B101" s="65" t="s">
        <v>160</v>
      </c>
      <c r="C101" s="65" t="s">
        <v>161</v>
      </c>
      <c r="D101" s="66" t="s">
        <v>6</v>
      </c>
      <c r="E101" s="79">
        <v>30</v>
      </c>
      <c r="F101" s="79">
        <v>100</v>
      </c>
      <c r="G101" s="69">
        <f t="shared" si="1"/>
        <v>2.7870912000000003</v>
      </c>
      <c r="H101" s="69">
        <f t="shared" si="1"/>
        <v>9.2903040000000008</v>
      </c>
      <c r="I101" s="80" t="s">
        <v>322</v>
      </c>
      <c r="J101" s="80" t="s">
        <v>323</v>
      </c>
      <c r="K101" s="80" t="s">
        <v>324</v>
      </c>
      <c r="L101" s="80" t="s">
        <v>297</v>
      </c>
      <c r="M101" s="80" t="s">
        <v>325</v>
      </c>
    </row>
    <row r="102" spans="2:13" s="68" customFormat="1" ht="13.5" x14ac:dyDescent="0.25">
      <c r="B102" s="65" t="s">
        <v>162</v>
      </c>
      <c r="C102" s="65" t="s">
        <v>163</v>
      </c>
      <c r="D102" s="66" t="s">
        <v>6</v>
      </c>
      <c r="E102" s="79">
        <v>155</v>
      </c>
      <c r="F102" s="79">
        <v>312</v>
      </c>
      <c r="G102" s="69">
        <f>E102*$E$1</f>
        <v>14.399971200000001</v>
      </c>
      <c r="H102" s="69">
        <f>F102*$E$1</f>
        <v>28.985748480000002</v>
      </c>
      <c r="I102" s="80"/>
      <c r="J102" s="80"/>
      <c r="K102" s="80"/>
      <c r="L102" s="80"/>
      <c r="M102" s="80"/>
    </row>
    <row r="103" spans="2:13" s="77" customFormat="1" ht="40.5" x14ac:dyDescent="0.25">
      <c r="B103" s="65" t="s">
        <v>164</v>
      </c>
      <c r="C103" s="65" t="s">
        <v>165</v>
      </c>
      <c r="D103" s="66" t="s">
        <v>6</v>
      </c>
      <c r="E103" s="69">
        <v>68</v>
      </c>
      <c r="F103" s="69">
        <v>172</v>
      </c>
      <c r="G103" s="69">
        <f t="shared" si="1"/>
        <v>6.3174067200000001</v>
      </c>
      <c r="H103" s="69">
        <f t="shared" si="1"/>
        <v>15.979322880000002</v>
      </c>
      <c r="I103" s="80" t="s">
        <v>276</v>
      </c>
      <c r="J103" s="80" t="s">
        <v>326</v>
      </c>
      <c r="K103" s="80" t="s">
        <v>294</v>
      </c>
      <c r="L103" s="80" t="s">
        <v>276</v>
      </c>
      <c r="M103" s="80" t="s">
        <v>295</v>
      </c>
    </row>
    <row r="104" spans="2:13" s="68" customFormat="1" ht="13.5" x14ac:dyDescent="0.25">
      <c r="B104" s="65" t="s">
        <v>166</v>
      </c>
      <c r="C104" s="65" t="s">
        <v>167</v>
      </c>
      <c r="D104" s="66" t="s">
        <v>6</v>
      </c>
      <c r="E104" s="69">
        <v>96</v>
      </c>
      <c r="F104" s="69">
        <v>149</v>
      </c>
      <c r="G104" s="69">
        <f t="shared" si="1"/>
        <v>8.918691840000001</v>
      </c>
      <c r="H104" s="69">
        <f t="shared" si="1"/>
        <v>13.842552960000001</v>
      </c>
      <c r="I104" s="80" t="s">
        <v>276</v>
      </c>
      <c r="J104" s="80" t="s">
        <v>276</v>
      </c>
      <c r="K104" s="80" t="s">
        <v>280</v>
      </c>
      <c r="L104" s="80" t="s">
        <v>276</v>
      </c>
      <c r="M104" s="80" t="s">
        <v>327</v>
      </c>
    </row>
    <row r="105" spans="2:13" s="68" customFormat="1" ht="13.5" x14ac:dyDescent="0.25">
      <c r="B105" s="65" t="s">
        <v>168</v>
      </c>
      <c r="C105" s="65" t="s">
        <v>169</v>
      </c>
      <c r="D105" s="66" t="s">
        <v>6</v>
      </c>
      <c r="E105" s="69">
        <v>180</v>
      </c>
      <c r="F105" s="69">
        <v>300</v>
      </c>
      <c r="G105" s="69">
        <f t="shared" si="1"/>
        <v>16.722547200000001</v>
      </c>
      <c r="H105" s="69">
        <f t="shared" si="1"/>
        <v>27.870912000000001</v>
      </c>
      <c r="I105" s="80" t="s">
        <v>276</v>
      </c>
      <c r="J105" s="80" t="s">
        <v>307</v>
      </c>
      <c r="K105" s="80" t="s">
        <v>280</v>
      </c>
      <c r="L105" s="80" t="s">
        <v>289</v>
      </c>
      <c r="M105" s="80" t="s">
        <v>328</v>
      </c>
    </row>
    <row r="106" spans="2:13" s="75" customFormat="1" ht="13.5" x14ac:dyDescent="0.25">
      <c r="B106" s="65" t="s">
        <v>170</v>
      </c>
      <c r="C106" s="65" t="s">
        <v>171</v>
      </c>
      <c r="D106" s="66" t="s">
        <v>6</v>
      </c>
      <c r="E106" s="69">
        <f>242*105%</f>
        <v>254.10000000000002</v>
      </c>
      <c r="F106" s="69">
        <v>318</v>
      </c>
      <c r="G106" s="69">
        <f t="shared" si="1"/>
        <v>23.606662464000003</v>
      </c>
      <c r="H106" s="69">
        <f t="shared" si="1"/>
        <v>29.543166720000002</v>
      </c>
      <c r="I106" s="80" t="s">
        <v>329</v>
      </c>
      <c r="J106" s="80" t="s">
        <v>276</v>
      </c>
      <c r="K106" s="80" t="s">
        <v>290</v>
      </c>
      <c r="L106" s="80" t="s">
        <v>306</v>
      </c>
      <c r="M106" s="80" t="s">
        <v>330</v>
      </c>
    </row>
    <row r="107" spans="2:13" s="75" customFormat="1" ht="13.5" x14ac:dyDescent="0.25">
      <c r="B107" s="65" t="s">
        <v>170</v>
      </c>
      <c r="C107" s="65" t="s">
        <v>172</v>
      </c>
      <c r="D107" s="66" t="s">
        <v>6</v>
      </c>
      <c r="E107" s="69">
        <f>242*105%</f>
        <v>254.10000000000002</v>
      </c>
      <c r="F107" s="69">
        <v>303</v>
      </c>
      <c r="G107" s="69">
        <f t="shared" si="1"/>
        <v>23.606662464000003</v>
      </c>
      <c r="H107" s="69">
        <f t="shared" si="1"/>
        <v>28.149621120000003</v>
      </c>
      <c r="I107" s="80" t="s">
        <v>329</v>
      </c>
      <c r="J107" s="80" t="s">
        <v>276</v>
      </c>
      <c r="K107" s="80" t="s">
        <v>290</v>
      </c>
      <c r="L107" s="80" t="s">
        <v>306</v>
      </c>
      <c r="M107" s="80" t="s">
        <v>330</v>
      </c>
    </row>
    <row r="108" spans="2:13" s="75" customFormat="1" ht="13.5" x14ac:dyDescent="0.25">
      <c r="B108" s="65" t="s">
        <v>173</v>
      </c>
      <c r="C108" s="65" t="s">
        <v>174</v>
      </c>
      <c r="D108" s="66" t="s">
        <v>6</v>
      </c>
      <c r="E108" s="69">
        <v>25</v>
      </c>
      <c r="F108" s="69">
        <v>35</v>
      </c>
      <c r="G108" s="69">
        <f t="shared" si="1"/>
        <v>2.3225760000000002</v>
      </c>
      <c r="H108" s="69">
        <f t="shared" si="1"/>
        <v>3.2516064</v>
      </c>
      <c r="I108" s="80" t="s">
        <v>306</v>
      </c>
      <c r="J108" s="80" t="s">
        <v>276</v>
      </c>
      <c r="K108" s="80" t="s">
        <v>331</v>
      </c>
      <c r="L108" s="80" t="s">
        <v>306</v>
      </c>
      <c r="M108" s="80" t="s">
        <v>332</v>
      </c>
    </row>
    <row r="109" spans="2:13" ht="13.5" x14ac:dyDescent="0.25">
      <c r="B109" s="65" t="s">
        <v>175</v>
      </c>
      <c r="C109" s="65" t="s">
        <v>176</v>
      </c>
      <c r="D109" s="66" t="s">
        <v>6</v>
      </c>
      <c r="E109" s="69">
        <v>220</v>
      </c>
      <c r="F109" s="69">
        <v>386</v>
      </c>
      <c r="G109" s="69">
        <f t="shared" si="1"/>
        <v>20.438668800000002</v>
      </c>
      <c r="H109" s="69">
        <f t="shared" si="1"/>
        <v>35.860573440000003</v>
      </c>
      <c r="I109" s="80" t="s">
        <v>276</v>
      </c>
      <c r="J109" s="80" t="s">
        <v>276</v>
      </c>
      <c r="K109" s="80" t="s">
        <v>333</v>
      </c>
      <c r="L109" s="80" t="s">
        <v>276</v>
      </c>
      <c r="M109" s="80" t="s">
        <v>334</v>
      </c>
    </row>
    <row r="110" spans="2:13" ht="13.5" x14ac:dyDescent="0.25">
      <c r="B110" s="65" t="s">
        <v>175</v>
      </c>
      <c r="C110" s="65" t="s">
        <v>177</v>
      </c>
      <c r="D110" s="66" t="s">
        <v>6</v>
      </c>
      <c r="E110" s="69">
        <v>220</v>
      </c>
      <c r="F110" s="69">
        <v>386</v>
      </c>
      <c r="G110" s="69">
        <f t="shared" si="1"/>
        <v>20.438668800000002</v>
      </c>
      <c r="H110" s="69">
        <f t="shared" si="1"/>
        <v>35.860573440000003</v>
      </c>
      <c r="I110" s="80" t="s">
        <v>276</v>
      </c>
      <c r="J110" s="80" t="s">
        <v>276</v>
      </c>
      <c r="K110" s="80" t="s">
        <v>333</v>
      </c>
      <c r="L110" s="80" t="s">
        <v>276</v>
      </c>
      <c r="M110" s="80" t="s">
        <v>334</v>
      </c>
    </row>
    <row r="111" spans="2:13" ht="27" x14ac:dyDescent="0.25">
      <c r="B111" s="65" t="s">
        <v>178</v>
      </c>
      <c r="C111" s="65" t="s">
        <v>179</v>
      </c>
      <c r="D111" s="66" t="s">
        <v>6</v>
      </c>
      <c r="E111" s="69">
        <v>66</v>
      </c>
      <c r="F111" s="69">
        <v>160</v>
      </c>
      <c r="G111" s="69">
        <f t="shared" si="1"/>
        <v>6.1316006400000003</v>
      </c>
      <c r="H111" s="69">
        <f t="shared" si="1"/>
        <v>14.864486400000001</v>
      </c>
      <c r="I111" s="80" t="s">
        <v>276</v>
      </c>
      <c r="J111" s="80" t="s">
        <v>293</v>
      </c>
      <c r="K111" s="80" t="s">
        <v>294</v>
      </c>
      <c r="L111" s="80" t="s">
        <v>276</v>
      </c>
      <c r="M111" s="80" t="s">
        <v>295</v>
      </c>
    </row>
    <row r="112" spans="2:13" s="68" customFormat="1" ht="13.5" x14ac:dyDescent="0.25">
      <c r="B112" s="65" t="s">
        <v>180</v>
      </c>
      <c r="C112" s="65" t="s">
        <v>181</v>
      </c>
      <c r="D112" s="66" t="s">
        <v>8</v>
      </c>
      <c r="E112" s="79">
        <v>392.31499999999994</v>
      </c>
      <c r="F112" s="79">
        <v>560.44999999999993</v>
      </c>
      <c r="G112" s="69">
        <f t="shared" si="1"/>
        <v>36.4472561376</v>
      </c>
      <c r="H112" s="69">
        <f t="shared" si="1"/>
        <v>52.067508767999996</v>
      </c>
      <c r="I112" s="80" t="s">
        <v>276</v>
      </c>
      <c r="J112" s="80" t="s">
        <v>276</v>
      </c>
      <c r="K112" s="80" t="s">
        <v>280</v>
      </c>
      <c r="L112" s="80" t="s">
        <v>311</v>
      </c>
      <c r="M112" s="80"/>
    </row>
    <row r="113" spans="2:13" s="68" customFormat="1" ht="13.5" x14ac:dyDescent="0.25">
      <c r="B113" s="65" t="s">
        <v>182</v>
      </c>
      <c r="C113" s="65" t="s">
        <v>183</v>
      </c>
      <c r="D113" s="66" t="s">
        <v>8</v>
      </c>
      <c r="E113" s="69">
        <v>150</v>
      </c>
      <c r="F113" s="69">
        <v>575</v>
      </c>
      <c r="G113" s="69">
        <f t="shared" si="1"/>
        <v>13.935456</v>
      </c>
      <c r="H113" s="69">
        <f t="shared" si="1"/>
        <v>53.419248000000003</v>
      </c>
      <c r="I113" s="80" t="s">
        <v>276</v>
      </c>
      <c r="J113" s="80" t="s">
        <v>276</v>
      </c>
      <c r="K113" s="80" t="s">
        <v>290</v>
      </c>
      <c r="L113" s="80" t="s">
        <v>276</v>
      </c>
      <c r="M113" s="80" t="s">
        <v>335</v>
      </c>
    </row>
    <row r="114" spans="2:13" s="72" customFormat="1" ht="13.5" x14ac:dyDescent="0.25">
      <c r="B114" s="65" t="s">
        <v>182</v>
      </c>
      <c r="C114" s="65" t="s">
        <v>184</v>
      </c>
      <c r="D114" s="66" t="s">
        <v>8</v>
      </c>
      <c r="E114" s="69">
        <v>150</v>
      </c>
      <c r="F114" s="69">
        <v>425</v>
      </c>
      <c r="G114" s="69">
        <f t="shared" si="1"/>
        <v>13.935456</v>
      </c>
      <c r="H114" s="69">
        <f t="shared" si="1"/>
        <v>39.483792000000001</v>
      </c>
      <c r="I114" s="80" t="s">
        <v>276</v>
      </c>
      <c r="J114" s="80" t="s">
        <v>276</v>
      </c>
      <c r="K114" s="80" t="s">
        <v>290</v>
      </c>
      <c r="L114" s="80" t="s">
        <v>276</v>
      </c>
      <c r="M114" s="80" t="s">
        <v>335</v>
      </c>
    </row>
    <row r="115" spans="2:13" ht="27" x14ac:dyDescent="0.25">
      <c r="B115" s="65" t="s">
        <v>182</v>
      </c>
      <c r="C115" s="65" t="s">
        <v>185</v>
      </c>
      <c r="D115" s="66" t="s">
        <v>8</v>
      </c>
      <c r="E115" s="69">
        <v>150</v>
      </c>
      <c r="F115" s="69">
        <v>525</v>
      </c>
      <c r="G115" s="69">
        <f t="shared" si="1"/>
        <v>13.935456</v>
      </c>
      <c r="H115" s="69">
        <f t="shared" si="1"/>
        <v>48.774096</v>
      </c>
      <c r="I115" s="80" t="s">
        <v>276</v>
      </c>
      <c r="J115" s="80" t="s">
        <v>276</v>
      </c>
      <c r="K115" s="80" t="s">
        <v>290</v>
      </c>
      <c r="L115" s="80" t="s">
        <v>276</v>
      </c>
      <c r="M115" s="80" t="s">
        <v>336</v>
      </c>
    </row>
    <row r="116" spans="2:13" ht="13.5" x14ac:dyDescent="0.25">
      <c r="B116" s="65" t="s">
        <v>182</v>
      </c>
      <c r="C116" s="65" t="s">
        <v>186</v>
      </c>
      <c r="D116" s="66" t="s">
        <v>8</v>
      </c>
      <c r="E116" s="69">
        <v>150</v>
      </c>
      <c r="F116" s="69">
        <v>475</v>
      </c>
      <c r="G116" s="69">
        <f t="shared" si="1"/>
        <v>13.935456</v>
      </c>
      <c r="H116" s="69">
        <f t="shared" si="1"/>
        <v>44.128944000000004</v>
      </c>
      <c r="I116" s="80" t="s">
        <v>276</v>
      </c>
      <c r="J116" s="80" t="s">
        <v>276</v>
      </c>
      <c r="K116" s="80" t="s">
        <v>290</v>
      </c>
      <c r="L116" s="80" t="s">
        <v>276</v>
      </c>
      <c r="M116" s="80" t="s">
        <v>335</v>
      </c>
    </row>
    <row r="117" spans="2:13" s="75" customFormat="1" ht="13.5" x14ac:dyDescent="0.25">
      <c r="B117" s="65" t="s">
        <v>180</v>
      </c>
      <c r="C117" s="65" t="s">
        <v>187</v>
      </c>
      <c r="D117" s="66" t="s">
        <v>8</v>
      </c>
      <c r="E117" s="79">
        <v>177</v>
      </c>
      <c r="F117" s="79">
        <v>257</v>
      </c>
      <c r="G117" s="69">
        <f t="shared" si="1"/>
        <v>16.443838080000003</v>
      </c>
      <c r="H117" s="69">
        <f t="shared" si="1"/>
        <v>23.876081280000001</v>
      </c>
      <c r="I117" s="80" t="s">
        <v>276</v>
      </c>
      <c r="J117" s="80" t="s">
        <v>276</v>
      </c>
      <c r="K117" s="80" t="s">
        <v>280</v>
      </c>
      <c r="L117" s="80" t="s">
        <v>311</v>
      </c>
      <c r="M117" s="80"/>
    </row>
    <row r="118" spans="2:13" ht="13.5" x14ac:dyDescent="0.25">
      <c r="B118" s="65" t="s">
        <v>180</v>
      </c>
      <c r="C118" s="65" t="s">
        <v>188</v>
      </c>
      <c r="D118" s="66" t="s">
        <v>8</v>
      </c>
      <c r="E118" s="79">
        <v>177</v>
      </c>
      <c r="F118" s="79">
        <v>257</v>
      </c>
      <c r="G118" s="69">
        <f t="shared" si="1"/>
        <v>16.443838080000003</v>
      </c>
      <c r="H118" s="69">
        <f t="shared" si="1"/>
        <v>23.876081280000001</v>
      </c>
      <c r="I118" s="80" t="s">
        <v>276</v>
      </c>
      <c r="J118" s="80" t="s">
        <v>276</v>
      </c>
      <c r="K118" s="80" t="s">
        <v>280</v>
      </c>
      <c r="L118" s="80" t="s">
        <v>311</v>
      </c>
      <c r="M118" s="80"/>
    </row>
    <row r="119" spans="2:13" s="81" customFormat="1" ht="13.5" x14ac:dyDescent="0.25">
      <c r="B119" s="65" t="s">
        <v>180</v>
      </c>
      <c r="C119" s="65" t="s">
        <v>189</v>
      </c>
      <c r="D119" s="66" t="s">
        <v>8</v>
      </c>
      <c r="E119" s="79">
        <v>177</v>
      </c>
      <c r="F119" s="79">
        <v>257</v>
      </c>
      <c r="G119" s="69">
        <f t="shared" si="1"/>
        <v>16.443838080000003</v>
      </c>
      <c r="H119" s="69">
        <f t="shared" si="1"/>
        <v>23.876081280000001</v>
      </c>
      <c r="I119" s="80" t="s">
        <v>276</v>
      </c>
      <c r="J119" s="80" t="s">
        <v>276</v>
      </c>
      <c r="K119" s="80" t="s">
        <v>280</v>
      </c>
      <c r="L119" s="80" t="s">
        <v>311</v>
      </c>
      <c r="M119" s="80"/>
    </row>
    <row r="120" spans="2:13" s="83" customFormat="1" ht="13.5" x14ac:dyDescent="0.25">
      <c r="B120" s="65" t="s">
        <v>190</v>
      </c>
      <c r="C120" s="65" t="s">
        <v>191</v>
      </c>
      <c r="D120" s="66" t="s">
        <v>8</v>
      </c>
      <c r="E120" s="82">
        <v>57</v>
      </c>
      <c r="F120" s="82">
        <v>75</v>
      </c>
      <c r="G120" s="69">
        <f t="shared" si="1"/>
        <v>5.2954732800000004</v>
      </c>
      <c r="H120" s="69">
        <f t="shared" si="1"/>
        <v>6.9677280000000001</v>
      </c>
      <c r="I120" s="80" t="s">
        <v>286</v>
      </c>
      <c r="J120" s="80" t="s">
        <v>286</v>
      </c>
      <c r="K120" s="80" t="s">
        <v>280</v>
      </c>
      <c r="L120" s="80" t="s">
        <v>311</v>
      </c>
      <c r="M120" s="80"/>
    </row>
    <row r="121" spans="2:13" s="84" customFormat="1" ht="13.5" x14ac:dyDescent="0.25">
      <c r="B121" s="65" t="s">
        <v>190</v>
      </c>
      <c r="C121" s="65" t="s">
        <v>192</v>
      </c>
      <c r="D121" s="66" t="s">
        <v>8</v>
      </c>
      <c r="E121" s="82">
        <v>57</v>
      </c>
      <c r="F121" s="82">
        <v>75</v>
      </c>
      <c r="G121" s="69">
        <f t="shared" si="1"/>
        <v>5.2954732800000004</v>
      </c>
      <c r="H121" s="69">
        <f t="shared" si="1"/>
        <v>6.9677280000000001</v>
      </c>
      <c r="I121" s="80" t="s">
        <v>286</v>
      </c>
      <c r="J121" s="80" t="s">
        <v>286</v>
      </c>
      <c r="K121" s="80" t="s">
        <v>280</v>
      </c>
      <c r="L121" s="80" t="s">
        <v>311</v>
      </c>
      <c r="M121" s="80"/>
    </row>
    <row r="122" spans="2:13" s="85" customFormat="1" ht="13.5" x14ac:dyDescent="0.25">
      <c r="B122" s="65" t="s">
        <v>190</v>
      </c>
      <c r="C122" s="65" t="s">
        <v>193</v>
      </c>
      <c r="D122" s="66" t="s">
        <v>8</v>
      </c>
      <c r="E122" s="82">
        <v>55</v>
      </c>
      <c r="F122" s="82">
        <v>75</v>
      </c>
      <c r="G122" s="69">
        <f t="shared" si="1"/>
        <v>5.1096672000000005</v>
      </c>
      <c r="H122" s="69">
        <f t="shared" si="1"/>
        <v>6.9677280000000001</v>
      </c>
      <c r="I122" s="80" t="s">
        <v>286</v>
      </c>
      <c r="J122" s="80" t="s">
        <v>286</v>
      </c>
      <c r="K122" s="80" t="s">
        <v>280</v>
      </c>
      <c r="L122" s="80" t="s">
        <v>311</v>
      </c>
      <c r="M122" s="80"/>
    </row>
    <row r="123" spans="2:13" s="84" customFormat="1" ht="13.5" x14ac:dyDescent="0.25">
      <c r="B123" s="65" t="s">
        <v>190</v>
      </c>
      <c r="C123" s="65" t="s">
        <v>194</v>
      </c>
      <c r="D123" s="66" t="s">
        <v>8</v>
      </c>
      <c r="E123" s="82">
        <v>55</v>
      </c>
      <c r="F123" s="82">
        <v>70</v>
      </c>
      <c r="G123" s="69">
        <f t="shared" si="1"/>
        <v>5.1096672000000005</v>
      </c>
      <c r="H123" s="69">
        <f t="shared" si="1"/>
        <v>6.5032128</v>
      </c>
      <c r="I123" s="80" t="s">
        <v>286</v>
      </c>
      <c r="J123" s="80" t="s">
        <v>286</v>
      </c>
      <c r="K123" s="80" t="s">
        <v>280</v>
      </c>
      <c r="L123" s="80" t="s">
        <v>311</v>
      </c>
      <c r="M123" s="80"/>
    </row>
    <row r="124" spans="2:13" s="84" customFormat="1" ht="13.5" x14ac:dyDescent="0.25">
      <c r="B124" s="65" t="s">
        <v>190</v>
      </c>
      <c r="C124" s="65" t="s">
        <v>195</v>
      </c>
      <c r="D124" s="66" t="s">
        <v>8</v>
      </c>
      <c r="E124" s="82">
        <v>60</v>
      </c>
      <c r="F124" s="82">
        <v>80</v>
      </c>
      <c r="G124" s="69">
        <f t="shared" si="1"/>
        <v>5.5741824000000006</v>
      </c>
      <c r="H124" s="69">
        <f t="shared" si="1"/>
        <v>7.4322432000000003</v>
      </c>
      <c r="I124" s="80" t="s">
        <v>286</v>
      </c>
      <c r="J124" s="80" t="s">
        <v>286</v>
      </c>
      <c r="K124" s="80" t="s">
        <v>280</v>
      </c>
      <c r="L124" s="80" t="s">
        <v>311</v>
      </c>
      <c r="M124" s="80"/>
    </row>
    <row r="125" spans="2:13" s="86" customFormat="1" ht="13.5" x14ac:dyDescent="0.25">
      <c r="B125" s="65" t="s">
        <v>190</v>
      </c>
      <c r="C125" s="65" t="s">
        <v>196</v>
      </c>
      <c r="D125" s="66" t="s">
        <v>8</v>
      </c>
      <c r="E125" s="82">
        <v>60</v>
      </c>
      <c r="F125" s="82">
        <v>80</v>
      </c>
      <c r="G125" s="69">
        <f t="shared" si="1"/>
        <v>5.5741824000000006</v>
      </c>
      <c r="H125" s="69">
        <f t="shared" si="1"/>
        <v>7.4322432000000003</v>
      </c>
      <c r="I125" s="80" t="s">
        <v>286</v>
      </c>
      <c r="J125" s="80" t="s">
        <v>286</v>
      </c>
      <c r="K125" s="80" t="s">
        <v>280</v>
      </c>
      <c r="L125" s="80" t="s">
        <v>311</v>
      </c>
      <c r="M125" s="80"/>
    </row>
    <row r="126" spans="2:13" s="86" customFormat="1" ht="13.5" x14ac:dyDescent="0.25">
      <c r="B126" s="65" t="s">
        <v>190</v>
      </c>
      <c r="C126" s="65" t="s">
        <v>197</v>
      </c>
      <c r="D126" s="66" t="s">
        <v>8</v>
      </c>
      <c r="E126" s="82">
        <v>55</v>
      </c>
      <c r="F126" s="82">
        <v>75</v>
      </c>
      <c r="G126" s="69">
        <f t="shared" si="1"/>
        <v>5.1096672000000005</v>
      </c>
      <c r="H126" s="69">
        <f t="shared" si="1"/>
        <v>6.9677280000000001</v>
      </c>
      <c r="I126" s="80" t="s">
        <v>286</v>
      </c>
      <c r="J126" s="80" t="s">
        <v>286</v>
      </c>
      <c r="K126" s="80" t="s">
        <v>280</v>
      </c>
      <c r="L126" s="80" t="s">
        <v>311</v>
      </c>
      <c r="M126" s="80"/>
    </row>
    <row r="127" spans="2:13" s="86" customFormat="1" ht="13.5" x14ac:dyDescent="0.25">
      <c r="B127" s="65" t="s">
        <v>198</v>
      </c>
      <c r="C127" s="65" t="s">
        <v>199</v>
      </c>
      <c r="D127" s="66" t="s">
        <v>8</v>
      </c>
      <c r="E127" s="79">
        <v>104</v>
      </c>
      <c r="F127" s="79">
        <v>156</v>
      </c>
      <c r="G127" s="69">
        <f t="shared" si="1"/>
        <v>9.6619161600000005</v>
      </c>
      <c r="H127" s="69">
        <f t="shared" si="1"/>
        <v>14.492874240000001</v>
      </c>
      <c r="I127" s="80" t="s">
        <v>276</v>
      </c>
      <c r="J127" s="80" t="s">
        <v>276</v>
      </c>
      <c r="K127" s="80" t="s">
        <v>280</v>
      </c>
      <c r="L127" s="80" t="s">
        <v>311</v>
      </c>
      <c r="M127" s="80"/>
    </row>
    <row r="128" spans="2:13" s="86" customFormat="1" ht="13.5" x14ac:dyDescent="0.25">
      <c r="B128" s="65" t="s">
        <v>200</v>
      </c>
      <c r="C128" s="65" t="s">
        <v>201</v>
      </c>
      <c r="D128" s="66" t="s">
        <v>8</v>
      </c>
      <c r="E128" s="79">
        <v>409.99999999999994</v>
      </c>
      <c r="F128" s="79">
        <v>640.625</v>
      </c>
      <c r="G128" s="69">
        <f>E128*$E$1</f>
        <v>38.090246399999998</v>
      </c>
      <c r="H128" s="69">
        <f>F128*$E$1</f>
        <v>59.516010000000001</v>
      </c>
      <c r="I128" s="80" t="s">
        <v>276</v>
      </c>
      <c r="J128" s="80" t="s">
        <v>276</v>
      </c>
      <c r="K128" s="80" t="s">
        <v>280</v>
      </c>
      <c r="L128" s="80" t="s">
        <v>311</v>
      </c>
      <c r="M128" s="80"/>
    </row>
    <row r="129" spans="2:13" s="87" customFormat="1" ht="13.5" x14ac:dyDescent="0.25">
      <c r="B129" s="65" t="s">
        <v>202</v>
      </c>
      <c r="C129" s="65" t="s">
        <v>203</v>
      </c>
      <c r="D129" s="66" t="s">
        <v>8</v>
      </c>
      <c r="E129" s="79">
        <v>67.210000000000008</v>
      </c>
      <c r="F129" s="79">
        <v>108.57000000000001</v>
      </c>
      <c r="G129" s="69">
        <f t="shared" si="1"/>
        <v>6.2440133184000013</v>
      </c>
      <c r="H129" s="69">
        <f t="shared" si="1"/>
        <v>10.086483052800002</v>
      </c>
      <c r="I129" s="80" t="s">
        <v>276</v>
      </c>
      <c r="J129" s="80" t="s">
        <v>276</v>
      </c>
      <c r="K129" s="80" t="s">
        <v>280</v>
      </c>
      <c r="L129" s="80" t="s">
        <v>311</v>
      </c>
      <c r="M129" s="80"/>
    </row>
    <row r="130" spans="2:13" s="88" customFormat="1" ht="13.5" x14ac:dyDescent="0.25">
      <c r="B130" s="65" t="s">
        <v>204</v>
      </c>
      <c r="C130" s="65" t="s">
        <v>205</v>
      </c>
      <c r="D130" s="66" t="s">
        <v>8</v>
      </c>
      <c r="E130" s="79">
        <v>350</v>
      </c>
      <c r="F130" s="79">
        <v>550</v>
      </c>
      <c r="G130" s="69">
        <f t="shared" si="1"/>
        <v>32.516064</v>
      </c>
      <c r="H130" s="69">
        <f t="shared" si="1"/>
        <v>51.096672000000005</v>
      </c>
      <c r="I130" s="80" t="s">
        <v>276</v>
      </c>
      <c r="J130" s="80" t="s">
        <v>276</v>
      </c>
      <c r="K130" s="80" t="s">
        <v>280</v>
      </c>
      <c r="L130" s="80" t="s">
        <v>311</v>
      </c>
      <c r="M130" s="80" t="s">
        <v>335</v>
      </c>
    </row>
    <row r="131" spans="2:13" s="88" customFormat="1" ht="13.5" x14ac:dyDescent="0.25">
      <c r="B131" s="65" t="s">
        <v>206</v>
      </c>
      <c r="C131" s="65" t="s">
        <v>207</v>
      </c>
      <c r="D131" s="66" t="s">
        <v>8</v>
      </c>
      <c r="E131" s="79">
        <v>127</v>
      </c>
      <c r="F131" s="79">
        <v>179</v>
      </c>
      <c r="G131" s="69">
        <f>E131*$E$1</f>
        <v>11.798686080000001</v>
      </c>
      <c r="H131" s="69">
        <f>F131*$E$1</f>
        <v>16.629644160000002</v>
      </c>
      <c r="I131" s="80"/>
      <c r="J131" s="80"/>
      <c r="K131" s="80"/>
      <c r="L131" s="80"/>
      <c r="M131" s="80"/>
    </row>
    <row r="132" spans="2:13" s="88" customFormat="1" ht="13.5" x14ac:dyDescent="0.25">
      <c r="B132" s="65" t="s">
        <v>208</v>
      </c>
      <c r="C132" s="65" t="s">
        <v>209</v>
      </c>
      <c r="D132" s="66" t="s">
        <v>8</v>
      </c>
      <c r="E132" s="79">
        <v>99</v>
      </c>
      <c r="F132" s="79">
        <v>153</v>
      </c>
      <c r="G132" s="69">
        <f t="shared" si="1"/>
        <v>9.1974009600000013</v>
      </c>
      <c r="H132" s="69">
        <f t="shared" si="1"/>
        <v>14.214165120000001</v>
      </c>
      <c r="I132" s="80" t="s">
        <v>276</v>
      </c>
      <c r="J132" s="80" t="s">
        <v>276</v>
      </c>
      <c r="K132" s="80" t="s">
        <v>337</v>
      </c>
      <c r="L132" s="80" t="s">
        <v>311</v>
      </c>
      <c r="M132" s="80"/>
    </row>
    <row r="133" spans="2:13" s="88" customFormat="1" ht="13.5" x14ac:dyDescent="0.25">
      <c r="B133" s="65" t="s">
        <v>210</v>
      </c>
      <c r="C133" s="65" t="s">
        <v>210</v>
      </c>
      <c r="D133" s="66" t="s">
        <v>8</v>
      </c>
      <c r="E133" s="79">
        <v>202.28800000000001</v>
      </c>
      <c r="F133" s="79">
        <v>283.50400000000002</v>
      </c>
      <c r="G133" s="69">
        <f t="shared" si="1"/>
        <v>18.793170155520002</v>
      </c>
      <c r="H133" s="69">
        <f t="shared" si="1"/>
        <v>26.338383452160002</v>
      </c>
      <c r="I133" s="80" t="s">
        <v>276</v>
      </c>
      <c r="J133" s="80" t="s">
        <v>276</v>
      </c>
      <c r="K133" s="80" t="s">
        <v>280</v>
      </c>
      <c r="L133" s="80" t="s">
        <v>311</v>
      </c>
      <c r="M133" s="80"/>
    </row>
    <row r="134" spans="2:13" s="88" customFormat="1" ht="13.5" x14ac:dyDescent="0.25">
      <c r="B134" s="65" t="s">
        <v>211</v>
      </c>
      <c r="C134" s="65" t="s">
        <v>212</v>
      </c>
      <c r="D134" s="66" t="s">
        <v>8</v>
      </c>
      <c r="E134" s="79">
        <v>220.70999999999998</v>
      </c>
      <c r="F134" s="79">
        <v>315.29999999999995</v>
      </c>
      <c r="G134" s="69">
        <f t="shared" si="1"/>
        <v>20.504629958399999</v>
      </c>
      <c r="H134" s="69">
        <f t="shared" si="1"/>
        <v>29.292328511999997</v>
      </c>
      <c r="I134" s="80" t="s">
        <v>276</v>
      </c>
      <c r="J134" s="80" t="s">
        <v>276</v>
      </c>
      <c r="K134" s="80" t="s">
        <v>280</v>
      </c>
      <c r="L134" s="80" t="s">
        <v>311</v>
      </c>
      <c r="M134" s="80"/>
    </row>
    <row r="135" spans="2:13" s="88" customFormat="1" ht="13.5" x14ac:dyDescent="0.25">
      <c r="B135" s="65" t="s">
        <v>213</v>
      </c>
      <c r="C135" s="65" t="s">
        <v>214</v>
      </c>
      <c r="D135" s="66" t="s">
        <v>8</v>
      </c>
      <c r="E135" s="79">
        <v>132</v>
      </c>
      <c r="F135" s="79">
        <v>303</v>
      </c>
      <c r="G135" s="69">
        <f t="shared" ref="G135:H138" si="2">E135*$E$1</f>
        <v>12.263201280000001</v>
      </c>
      <c r="H135" s="69">
        <f t="shared" si="2"/>
        <v>28.149621120000003</v>
      </c>
      <c r="I135" s="80" t="s">
        <v>276</v>
      </c>
      <c r="J135" s="80" t="s">
        <v>276</v>
      </c>
      <c r="K135" s="80" t="s">
        <v>280</v>
      </c>
      <c r="L135" s="80" t="s">
        <v>311</v>
      </c>
      <c r="M135" s="80"/>
    </row>
    <row r="136" spans="2:13" s="86" customFormat="1" ht="13.5" x14ac:dyDescent="0.25">
      <c r="B136" s="65" t="s">
        <v>215</v>
      </c>
      <c r="C136" s="65" t="s">
        <v>216</v>
      </c>
      <c r="D136" s="66" t="s">
        <v>8</v>
      </c>
      <c r="E136" s="79">
        <v>129</v>
      </c>
      <c r="F136" s="79">
        <v>200</v>
      </c>
      <c r="G136" s="69">
        <f t="shared" si="2"/>
        <v>11.98449216</v>
      </c>
      <c r="H136" s="69">
        <f t="shared" si="2"/>
        <v>18.580608000000002</v>
      </c>
      <c r="I136" s="80" t="s">
        <v>276</v>
      </c>
      <c r="J136" s="80" t="s">
        <v>276</v>
      </c>
      <c r="K136" s="80" t="s">
        <v>280</v>
      </c>
      <c r="L136" s="80" t="s">
        <v>311</v>
      </c>
      <c r="M136" s="80"/>
    </row>
    <row r="137" spans="2:13" s="90" customFormat="1" ht="13.5" x14ac:dyDescent="0.25">
      <c r="B137" s="65" t="s">
        <v>217</v>
      </c>
      <c r="C137" s="65" t="s">
        <v>218</v>
      </c>
      <c r="D137" s="66" t="s">
        <v>8</v>
      </c>
      <c r="E137" s="79">
        <v>72.240000000000009</v>
      </c>
      <c r="F137" s="79">
        <v>103.2</v>
      </c>
      <c r="G137" s="69">
        <f t="shared" si="2"/>
        <v>6.7113156096000015</v>
      </c>
      <c r="H137" s="69">
        <f t="shared" si="2"/>
        <v>9.5875937280000016</v>
      </c>
      <c r="I137" s="80" t="s">
        <v>276</v>
      </c>
      <c r="J137" s="80" t="s">
        <v>276</v>
      </c>
      <c r="K137" s="80" t="s">
        <v>280</v>
      </c>
      <c r="L137" s="80" t="s">
        <v>311</v>
      </c>
      <c r="M137" s="89"/>
    </row>
    <row r="138" spans="2:13" s="86" customFormat="1" ht="26" x14ac:dyDescent="0.25">
      <c r="B138" s="65" t="s">
        <v>219</v>
      </c>
      <c r="C138" s="65" t="s">
        <v>220</v>
      </c>
      <c r="D138" s="66" t="s">
        <v>6</v>
      </c>
      <c r="E138" s="79">
        <v>213</v>
      </c>
      <c r="F138" s="79">
        <v>427</v>
      </c>
      <c r="G138" s="69">
        <f t="shared" si="2"/>
        <v>19.788347520000002</v>
      </c>
      <c r="H138" s="69">
        <f t="shared" si="2"/>
        <v>39.66959808</v>
      </c>
      <c r="I138" s="70" t="s">
        <v>276</v>
      </c>
      <c r="J138" s="70" t="s">
        <v>276</v>
      </c>
      <c r="K138" s="70" t="s">
        <v>310</v>
      </c>
      <c r="L138" s="70" t="s">
        <v>311</v>
      </c>
      <c r="M138" s="70" t="s">
        <v>338</v>
      </c>
    </row>
    <row r="139" spans="2:13" s="86" customFormat="1" ht="13.5" x14ac:dyDescent="0.25">
      <c r="B139" s="65" t="s">
        <v>221</v>
      </c>
      <c r="C139" s="65" t="s">
        <v>222</v>
      </c>
      <c r="D139" s="66" t="s">
        <v>6</v>
      </c>
      <c r="E139" s="79">
        <v>128</v>
      </c>
      <c r="F139" s="79">
        <v>256</v>
      </c>
      <c r="G139" s="69">
        <f>E139*$E$1</f>
        <v>11.891589120000001</v>
      </c>
      <c r="H139" s="69">
        <f>F139*$E$1</f>
        <v>23.783178240000002</v>
      </c>
      <c r="I139" s="80"/>
      <c r="J139" s="80"/>
      <c r="K139" s="80"/>
      <c r="L139" s="80"/>
      <c r="M139" s="80"/>
    </row>
  </sheetData>
  <autoFilter ref="B5:M139" xr:uid="{9B773AD1-49F3-4E86-9395-9B0F46C07B63}"/>
  <pageMargins left="0.74803149606299213" right="0.74803149606299213" top="0.98425196850393704" bottom="0.39370078740157483" header="0.51181102362204722" footer="0.51181102362204722"/>
  <pageSetup paperSize="9" scale="25" orientation="landscape" r:id="rId1"/>
  <headerFooter>
    <oddHeader>&amp;L&amp;"Calibre,Regular"&amp;K435254Property Address&amp;R&amp;G</odd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00435-894C-411C-A512-733D46E76B44}">
  <sheetPr>
    <tabColor theme="3" tint="-0.249977111117893"/>
  </sheetPr>
  <dimension ref="A2:L136"/>
  <sheetViews>
    <sheetView topLeftCell="C1" workbookViewId="0">
      <selection activeCell="K1" sqref="K1"/>
    </sheetView>
  </sheetViews>
  <sheetFormatPr defaultColWidth="8.83203125" defaultRowHeight="13.5" x14ac:dyDescent="0.25"/>
  <cols>
    <col min="1" max="1" width="22.83203125" bestFit="1" customWidth="1"/>
    <col min="2" max="2" width="19.33203125" customWidth="1"/>
    <col min="3" max="3" width="16" customWidth="1"/>
    <col min="4" max="4" width="13.83203125" customWidth="1"/>
    <col min="5" max="5" width="10.5" customWidth="1"/>
    <col min="6" max="6" width="13.5" customWidth="1"/>
    <col min="7" max="7" width="11.83203125" customWidth="1"/>
    <col min="8" max="8" width="11.5" customWidth="1"/>
    <col min="9" max="9" width="12.83203125" style="10" customWidth="1"/>
    <col min="10" max="11" width="12" style="10" customWidth="1"/>
    <col min="12" max="12" width="11.58203125" customWidth="1"/>
  </cols>
  <sheetData>
    <row r="2" spans="1:12" s="95" customFormat="1" ht="42" customHeight="1" x14ac:dyDescent="0.25">
      <c r="A2" s="95" t="s">
        <v>14</v>
      </c>
      <c r="B2" s="95" t="s">
        <v>15</v>
      </c>
      <c r="C2" s="95" t="s">
        <v>16</v>
      </c>
      <c r="D2" s="164" t="s">
        <v>342</v>
      </c>
      <c r="E2" s="165"/>
      <c r="F2" s="164" t="s">
        <v>343</v>
      </c>
      <c r="G2" s="165"/>
      <c r="I2" s="96" t="s">
        <v>344</v>
      </c>
      <c r="J2" s="96" t="s">
        <v>345</v>
      </c>
      <c r="K2" s="96" t="s">
        <v>346</v>
      </c>
      <c r="L2" s="95" t="s">
        <v>347</v>
      </c>
    </row>
    <row r="3" spans="1:12" x14ac:dyDescent="0.25">
      <c r="A3" t="s">
        <v>17</v>
      </c>
      <c r="B3" t="s">
        <v>18</v>
      </c>
      <c r="C3" t="s">
        <v>19</v>
      </c>
      <c r="D3" s="94">
        <v>2883.9654627419304</v>
      </c>
      <c r="E3" s="94">
        <v>4673.1935375050834</v>
      </c>
      <c r="F3" s="94">
        <v>2757.4002694155661</v>
      </c>
      <c r="G3" s="94">
        <v>4404.9104012341941</v>
      </c>
      <c r="I3" s="10">
        <f t="shared" ref="I3:I34" si="0">SUM(D3:G3)/SUM($D$135:$G$135)</f>
        <v>1.1182057212687879</v>
      </c>
      <c r="J3" s="10">
        <f t="shared" ref="J3:J34" si="1">SUM(D3:G3)/SUM($D$130:$G$130)</f>
        <v>1.2994533607433179</v>
      </c>
      <c r="K3" s="10">
        <f t="shared" ref="K3:K42" si="2">SUM(D3:G3)/SUM($D$62:$G$62)</f>
        <v>1.5873707270263324</v>
      </c>
      <c r="L3" s="10">
        <f>SUM(D3:G3)/SUM($D$23:$G$23)</f>
        <v>0.7777074331196373</v>
      </c>
    </row>
    <row r="4" spans="1:12" x14ac:dyDescent="0.25">
      <c r="A4" t="s">
        <v>17</v>
      </c>
      <c r="B4" t="s">
        <v>20</v>
      </c>
      <c r="C4" t="s">
        <v>19</v>
      </c>
      <c r="D4" s="94">
        <v>2693.9354643073339</v>
      </c>
      <c r="E4" s="94">
        <v>4363.7937017038385</v>
      </c>
      <c r="F4" s="94">
        <v>2625.911511873182</v>
      </c>
      <c r="G4" s="94">
        <v>4193.5674607963147</v>
      </c>
      <c r="I4" s="10">
        <f t="shared" si="0"/>
        <v>1.0542209660305724</v>
      </c>
      <c r="J4" s="10">
        <f t="shared" si="1"/>
        <v>1.2250974496178626</v>
      </c>
      <c r="K4" s="10">
        <f t="shared" si="2"/>
        <v>1.4965399205752234</v>
      </c>
      <c r="L4" s="10">
        <f t="shared" ref="L4:L67" si="3">SUM(D4:G4)/SUM($D$23:$G$23)</f>
        <v>0.73320630170113743</v>
      </c>
    </row>
    <row r="5" spans="1:12" x14ac:dyDescent="0.25">
      <c r="A5" t="s">
        <v>17</v>
      </c>
      <c r="B5" t="s">
        <v>240</v>
      </c>
      <c r="C5" t="s">
        <v>19</v>
      </c>
      <c r="D5" s="94">
        <v>2693.9354643073339</v>
      </c>
      <c r="E5" s="94">
        <v>4363.7937017038385</v>
      </c>
      <c r="F5" s="94">
        <v>2625.911511873182</v>
      </c>
      <c r="G5" s="94">
        <v>4193.5674607963147</v>
      </c>
      <c r="I5" s="10">
        <f t="shared" si="0"/>
        <v>1.0542209660305724</v>
      </c>
      <c r="J5" s="10">
        <f t="shared" si="1"/>
        <v>1.2250974496178626</v>
      </c>
      <c r="K5" s="10">
        <f t="shared" si="2"/>
        <v>1.4965399205752234</v>
      </c>
      <c r="L5" s="10">
        <f t="shared" si="3"/>
        <v>0.73320630170113743</v>
      </c>
    </row>
    <row r="6" spans="1:12" x14ac:dyDescent="0.25">
      <c r="A6" t="s">
        <v>17</v>
      </c>
      <c r="B6" t="s">
        <v>22</v>
      </c>
      <c r="C6" t="s">
        <v>19</v>
      </c>
      <c r="D6" s="94">
        <v>3529.4611487061989</v>
      </c>
      <c r="E6" s="94">
        <v>5724.1707177149765</v>
      </c>
      <c r="F6" s="94">
        <v>3440.2182826914659</v>
      </c>
      <c r="G6" s="94">
        <v>5500.3496002494812</v>
      </c>
      <c r="I6" s="10">
        <f t="shared" si="0"/>
        <v>1.3821733193193486</v>
      </c>
      <c r="J6" s="10">
        <f t="shared" si="1"/>
        <v>1.6062069177050342</v>
      </c>
      <c r="K6" s="10">
        <f t="shared" si="2"/>
        <v>1.962091075938045</v>
      </c>
      <c r="L6" s="10">
        <f t="shared" si="3"/>
        <v>0.96129580080722443</v>
      </c>
    </row>
    <row r="7" spans="1:12" x14ac:dyDescent="0.25">
      <c r="A7" t="s">
        <v>17</v>
      </c>
      <c r="B7" t="s">
        <v>23</v>
      </c>
      <c r="C7" t="s">
        <v>19</v>
      </c>
      <c r="D7" s="94">
        <v>2797.3141061624124</v>
      </c>
      <c r="E7" s="94">
        <v>4540.2224448439147</v>
      </c>
      <c r="F7" s="94">
        <v>2698.1675568473556</v>
      </c>
      <c r="G7" s="94">
        <v>4315.2967856279347</v>
      </c>
      <c r="I7" s="10">
        <f t="shared" si="0"/>
        <v>1.0902139590499904</v>
      </c>
      <c r="J7" s="10">
        <f t="shared" si="1"/>
        <v>1.2669244720097923</v>
      </c>
      <c r="K7" s="10">
        <f t="shared" si="2"/>
        <v>1.5476344753698985</v>
      </c>
      <c r="L7" s="10">
        <f t="shared" si="3"/>
        <v>0.75823927879918251</v>
      </c>
    </row>
    <row r="8" spans="1:12" x14ac:dyDescent="0.25">
      <c r="A8" t="s">
        <v>17</v>
      </c>
      <c r="B8" t="s">
        <v>24</v>
      </c>
      <c r="C8" t="s">
        <v>19</v>
      </c>
      <c r="D8" s="94">
        <v>3435.9548012586938</v>
      </c>
      <c r="E8" s="94">
        <v>5571.9260214590195</v>
      </c>
      <c r="F8" s="94">
        <v>3349.0868854294231</v>
      </c>
      <c r="G8" s="94">
        <v>5354.1037662452964</v>
      </c>
      <c r="I8" s="10">
        <f t="shared" si="0"/>
        <v>1.3454711273751658</v>
      </c>
      <c r="J8" s="10">
        <f t="shared" si="1"/>
        <v>1.56355574380977</v>
      </c>
      <c r="K8" s="10">
        <f t="shared" si="2"/>
        <v>1.9099897639864376</v>
      </c>
      <c r="L8" s="10">
        <f t="shared" si="3"/>
        <v>0.93576957880364964</v>
      </c>
    </row>
    <row r="9" spans="1:12" x14ac:dyDescent="0.25">
      <c r="A9" t="s">
        <v>17</v>
      </c>
      <c r="B9" t="s">
        <v>25</v>
      </c>
      <c r="C9" t="s">
        <v>19</v>
      </c>
      <c r="D9" s="94">
        <v>2809.2788934546734</v>
      </c>
      <c r="E9" s="94">
        <v>4569.3745010144094</v>
      </c>
      <c r="F9" s="94">
        <v>2741.6133876018898</v>
      </c>
      <c r="G9" s="94">
        <v>4387.8656635943862</v>
      </c>
      <c r="I9" s="10">
        <f t="shared" si="0"/>
        <v>1.102150897307427</v>
      </c>
      <c r="J9" s="10">
        <f t="shared" si="1"/>
        <v>1.2807962437603526</v>
      </c>
      <c r="K9" s="10">
        <f t="shared" si="2"/>
        <v>1.5645797887409261</v>
      </c>
      <c r="L9" s="10">
        <f t="shared" si="3"/>
        <v>0.7665413697605532</v>
      </c>
    </row>
    <row r="10" spans="1:12" x14ac:dyDescent="0.25">
      <c r="A10" t="s">
        <v>17</v>
      </c>
      <c r="B10" t="s">
        <v>26</v>
      </c>
      <c r="C10" t="s">
        <v>19</v>
      </c>
      <c r="D10" s="94">
        <v>2732.9080453955821</v>
      </c>
      <c r="E10" s="94">
        <v>4435.1690115414403</v>
      </c>
      <c r="F10" s="94">
        <v>2636.0621216015761</v>
      </c>
      <c r="G10" s="94">
        <v>4215.4968693971487</v>
      </c>
      <c r="I10" s="10">
        <f t="shared" si="0"/>
        <v>1.0650409008895216</v>
      </c>
      <c r="J10" s="10">
        <f t="shared" si="1"/>
        <v>1.2376711652124599</v>
      </c>
      <c r="K10" s="10">
        <f t="shared" si="2"/>
        <v>1.511899569999964</v>
      </c>
      <c r="L10" s="10">
        <f t="shared" si="3"/>
        <v>0.74073152143988741</v>
      </c>
    </row>
    <row r="11" spans="1:12" x14ac:dyDescent="0.25">
      <c r="A11" t="s">
        <v>17</v>
      </c>
      <c r="B11" t="s">
        <v>27</v>
      </c>
      <c r="C11" t="s">
        <v>19</v>
      </c>
      <c r="D11" s="94">
        <v>2564.9991380920496</v>
      </c>
      <c r="E11" s="94">
        <v>4139.0271269026716</v>
      </c>
      <c r="F11" s="94">
        <v>2569.5655970350881</v>
      </c>
      <c r="G11" s="94">
        <v>4116.8730429193229</v>
      </c>
      <c r="I11" s="10">
        <f t="shared" si="0"/>
        <v>1.017244153623831</v>
      </c>
      <c r="J11" s="10">
        <f t="shared" si="1"/>
        <v>1.1821271426004782</v>
      </c>
      <c r="K11" s="10">
        <f t="shared" si="2"/>
        <v>1.4440487657932524</v>
      </c>
      <c r="L11" s="10">
        <f t="shared" si="3"/>
        <v>0.70748908230687102</v>
      </c>
    </row>
    <row r="12" spans="1:12" x14ac:dyDescent="0.25">
      <c r="A12" t="s">
        <v>17</v>
      </c>
      <c r="B12" t="s">
        <v>28</v>
      </c>
      <c r="C12" t="s">
        <v>19</v>
      </c>
      <c r="D12" s="94">
        <v>2706.5600395261854</v>
      </c>
      <c r="E12" s="94">
        <v>4450.877046121087</v>
      </c>
      <c r="F12" s="94">
        <v>2319.3608912056156</v>
      </c>
      <c r="G12" s="94">
        <v>3702.0347916968635</v>
      </c>
      <c r="I12" s="10">
        <f t="shared" si="0"/>
        <v>1.0011669259099802</v>
      </c>
      <c r="J12" s="10">
        <f t="shared" si="1"/>
        <v>1.1634439904873823</v>
      </c>
      <c r="K12" s="10">
        <f t="shared" si="2"/>
        <v>1.4212260238243186</v>
      </c>
      <c r="L12" s="10">
        <f t="shared" si="3"/>
        <v>0.6963074372310154</v>
      </c>
    </row>
    <row r="13" spans="1:12" x14ac:dyDescent="0.25">
      <c r="A13" t="s">
        <v>17</v>
      </c>
      <c r="B13" t="s">
        <v>29</v>
      </c>
      <c r="C13" t="s">
        <v>19</v>
      </c>
      <c r="D13" s="94">
        <v>2577.7471268799027</v>
      </c>
      <c r="E13" s="94">
        <v>4182.0853909070465</v>
      </c>
      <c r="F13" s="94">
        <v>2486.4457932986597</v>
      </c>
      <c r="G13" s="94">
        <v>3975.0705826179292</v>
      </c>
      <c r="I13" s="10">
        <f t="shared" si="0"/>
        <v>1.0043967823828084</v>
      </c>
      <c r="J13" s="10">
        <f t="shared" si="1"/>
        <v>1.1671973676777376</v>
      </c>
      <c r="K13" s="10">
        <f t="shared" si="2"/>
        <v>1.4258110295347586</v>
      </c>
      <c r="L13" s="10">
        <f t="shared" si="3"/>
        <v>0.698553788988166</v>
      </c>
    </row>
    <row r="14" spans="1:12" x14ac:dyDescent="0.25">
      <c r="A14" t="s">
        <v>17</v>
      </c>
      <c r="B14" t="s">
        <v>30</v>
      </c>
      <c r="C14" t="s">
        <v>19</v>
      </c>
      <c r="D14" s="94">
        <v>2753.4010267509589</v>
      </c>
      <c r="E14" s="94">
        <v>4468.5950136473684</v>
      </c>
      <c r="F14" s="94">
        <v>2655.8229214588223</v>
      </c>
      <c r="G14" s="94">
        <v>4247.2514060657186</v>
      </c>
      <c r="I14" s="10">
        <f t="shared" si="0"/>
        <v>1.0730505141747604</v>
      </c>
      <c r="J14" s="10">
        <f t="shared" si="1"/>
        <v>1.2469790400549781</v>
      </c>
      <c r="K14" s="10">
        <f t="shared" si="2"/>
        <v>1.5232697726576314</v>
      </c>
      <c r="L14" s="10">
        <f t="shared" si="3"/>
        <v>0.74630217420070133</v>
      </c>
    </row>
    <row r="15" spans="1:12" x14ac:dyDescent="0.25">
      <c r="A15" t="s">
        <v>17</v>
      </c>
      <c r="B15" t="s">
        <v>32</v>
      </c>
      <c r="C15" t="s">
        <v>19</v>
      </c>
      <c r="D15" s="94">
        <v>2890.9968717245811</v>
      </c>
      <c r="E15" s="94">
        <v>4693.0283052534551</v>
      </c>
      <c r="F15" s="94">
        <v>2788.5022644608616</v>
      </c>
      <c r="G15" s="94">
        <v>4460.4603034643605</v>
      </c>
      <c r="I15" s="10">
        <f t="shared" si="0"/>
        <v>1.1268294395588865</v>
      </c>
      <c r="J15" s="10">
        <f t="shared" si="1"/>
        <v>1.3094748795935856</v>
      </c>
      <c r="K15" s="10">
        <f t="shared" si="2"/>
        <v>1.5996126944134175</v>
      </c>
      <c r="L15" s="10">
        <f t="shared" si="3"/>
        <v>0.78370519335979205</v>
      </c>
    </row>
    <row r="16" spans="1:12" x14ac:dyDescent="0.25">
      <c r="A16" t="s">
        <v>17</v>
      </c>
      <c r="B16" t="s">
        <v>33</v>
      </c>
      <c r="C16" t="s">
        <v>19</v>
      </c>
      <c r="D16" s="94">
        <v>2560.1828444504672</v>
      </c>
      <c r="E16" s="94">
        <v>4153.4341195082188</v>
      </c>
      <c r="F16" s="94">
        <v>2469.5083984166595</v>
      </c>
      <c r="G16" s="94">
        <v>3947.8528458368137</v>
      </c>
      <c r="I16" s="10">
        <f t="shared" si="0"/>
        <v>0.99753152026326053</v>
      </c>
      <c r="J16" s="10">
        <f t="shared" si="1"/>
        <v>1.1592193295010882</v>
      </c>
      <c r="K16" s="10">
        <f t="shared" si="2"/>
        <v>1.4160653128793583</v>
      </c>
      <c r="L16" s="10">
        <f t="shared" si="3"/>
        <v>0.6937790277084358</v>
      </c>
    </row>
    <row r="17" spans="1:12" x14ac:dyDescent="0.25">
      <c r="A17" t="s">
        <v>17</v>
      </c>
      <c r="B17" t="s">
        <v>34</v>
      </c>
      <c r="C17" t="s">
        <v>19</v>
      </c>
      <c r="D17" s="94">
        <v>2721.1979963675435</v>
      </c>
      <c r="E17" s="94">
        <v>4416.0685941119928</v>
      </c>
      <c r="F17" s="94">
        <v>2624.7707980676578</v>
      </c>
      <c r="G17" s="94">
        <v>4197.3517450661893</v>
      </c>
      <c r="I17" s="10">
        <f t="shared" si="0"/>
        <v>1.060464075379479</v>
      </c>
      <c r="J17" s="10">
        <f t="shared" si="1"/>
        <v>1.2323524915753652</v>
      </c>
      <c r="K17" s="10">
        <f t="shared" si="2"/>
        <v>1.5054024481384289</v>
      </c>
      <c r="L17" s="10">
        <f t="shared" si="3"/>
        <v>0.73754835831386356</v>
      </c>
    </row>
    <row r="18" spans="1:12" x14ac:dyDescent="0.25">
      <c r="A18" t="s">
        <v>17</v>
      </c>
      <c r="B18" t="s">
        <v>35</v>
      </c>
      <c r="C18" t="s">
        <v>19</v>
      </c>
      <c r="D18" s="94">
        <v>2858.7938413411662</v>
      </c>
      <c r="E18" s="94">
        <v>4640.5018857180794</v>
      </c>
      <c r="F18" s="94">
        <v>2757.4495468379719</v>
      </c>
      <c r="G18" s="94">
        <v>4410.5600482331047</v>
      </c>
      <c r="I18" s="10">
        <f t="shared" si="0"/>
        <v>1.114242910478652</v>
      </c>
      <c r="J18" s="10">
        <f t="shared" si="1"/>
        <v>1.2948482261949192</v>
      </c>
      <c r="K18" s="10">
        <f t="shared" si="2"/>
        <v>1.5817452417284499</v>
      </c>
      <c r="L18" s="10">
        <f t="shared" si="3"/>
        <v>0.77495131468014444</v>
      </c>
    </row>
    <row r="19" spans="1:12" x14ac:dyDescent="0.25">
      <c r="A19" t="s">
        <v>17</v>
      </c>
      <c r="B19" t="s">
        <v>36</v>
      </c>
      <c r="C19" t="s">
        <v>19</v>
      </c>
      <c r="D19" s="94">
        <v>3374.0431185884313</v>
      </c>
      <c r="E19" s="94">
        <v>5480.9307866942581</v>
      </c>
      <c r="F19" s="94">
        <v>3254.2896480644595</v>
      </c>
      <c r="G19" s="94">
        <v>5208.9584364471248</v>
      </c>
      <c r="I19" s="10">
        <f t="shared" si="0"/>
        <v>1.3156272164804881</v>
      </c>
      <c r="J19" s="10">
        <f t="shared" si="1"/>
        <v>1.5288744954739897</v>
      </c>
      <c r="K19" s="10">
        <f t="shared" si="2"/>
        <v>1.86762425857618</v>
      </c>
      <c r="L19" s="10">
        <f t="shared" si="3"/>
        <v>0.91501326277459583</v>
      </c>
    </row>
    <row r="20" spans="1:12" x14ac:dyDescent="0.25">
      <c r="A20" t="s">
        <v>17</v>
      </c>
      <c r="B20" t="s">
        <v>37</v>
      </c>
      <c r="C20" t="s">
        <v>19</v>
      </c>
      <c r="D20" s="94">
        <v>2642.1539787593547</v>
      </c>
      <c r="E20" s="94">
        <v>4287.1390703024517</v>
      </c>
      <c r="F20" s="94">
        <v>2548.5508189633165</v>
      </c>
      <c r="G20" s="94">
        <v>4074.8701514481772</v>
      </c>
      <c r="I20" s="10">
        <f t="shared" si="0"/>
        <v>1.0295698618312696</v>
      </c>
      <c r="J20" s="10">
        <f t="shared" si="1"/>
        <v>1.1964506992135888</v>
      </c>
      <c r="K20" s="10">
        <f t="shared" si="2"/>
        <v>1.4615459651244775</v>
      </c>
      <c r="L20" s="10">
        <f t="shared" si="3"/>
        <v>0.71606156115317143</v>
      </c>
    </row>
    <row r="21" spans="1:12" x14ac:dyDescent="0.25">
      <c r="A21" t="s">
        <v>17</v>
      </c>
      <c r="B21" t="s">
        <v>38</v>
      </c>
      <c r="C21" t="s">
        <v>19</v>
      </c>
      <c r="D21" s="94">
        <v>3104.7072442678277</v>
      </c>
      <c r="E21" s="94">
        <v>5041.6155496373267</v>
      </c>
      <c r="F21" s="94">
        <v>2994.5774027096672</v>
      </c>
      <c r="G21" s="94">
        <v>4791.6131535306467</v>
      </c>
      <c r="I21" s="10">
        <f t="shared" si="0"/>
        <v>1.2103579803251558</v>
      </c>
      <c r="J21" s="10">
        <f t="shared" si="1"/>
        <v>1.4065423877919478</v>
      </c>
      <c r="K21" s="10">
        <f t="shared" si="2"/>
        <v>1.7181872625466903</v>
      </c>
      <c r="L21" s="10">
        <f t="shared" si="3"/>
        <v>0.84179894641075625</v>
      </c>
    </row>
    <row r="22" spans="1:12" x14ac:dyDescent="0.25">
      <c r="A22" t="s">
        <v>17</v>
      </c>
      <c r="B22" t="s">
        <v>39</v>
      </c>
      <c r="C22" t="s">
        <v>19</v>
      </c>
      <c r="D22" s="94">
        <v>2633.3718375446374</v>
      </c>
      <c r="E22" s="94">
        <v>4272.8143259506251</v>
      </c>
      <c r="F22" s="94">
        <v>2540.0827157540421</v>
      </c>
      <c r="G22" s="94">
        <v>4061.2615801734819</v>
      </c>
      <c r="I22" s="10">
        <f t="shared" si="0"/>
        <v>1.0261373661989253</v>
      </c>
      <c r="J22" s="10">
        <f t="shared" si="1"/>
        <v>1.192461837503844</v>
      </c>
      <c r="K22" s="10">
        <f t="shared" si="2"/>
        <v>1.4566732990454248</v>
      </c>
      <c r="L22" s="10">
        <f t="shared" si="3"/>
        <v>0.71367427470252098</v>
      </c>
    </row>
    <row r="23" spans="1:12" x14ac:dyDescent="0.25">
      <c r="A23" t="s">
        <v>17</v>
      </c>
      <c r="B23" t="s">
        <v>40</v>
      </c>
      <c r="C23" t="s">
        <v>19</v>
      </c>
      <c r="D23" s="94">
        <v>3662.3883770313528</v>
      </c>
      <c r="E23" s="94">
        <v>5963.8568770158317</v>
      </c>
      <c r="F23" s="94">
        <v>3574.0689932670557</v>
      </c>
      <c r="G23" s="94">
        <v>5726.4299807204552</v>
      </c>
      <c r="I23" s="10">
        <f t="shared" si="0"/>
        <v>1.4378231114280358</v>
      </c>
      <c r="J23" s="10">
        <f t="shared" si="1"/>
        <v>1.6708768688641538</v>
      </c>
      <c r="K23" s="10">
        <f t="shared" si="2"/>
        <v>2.0410898230184999</v>
      </c>
      <c r="L23" s="10">
        <f t="shared" si="3"/>
        <v>1</v>
      </c>
    </row>
    <row r="24" spans="1:12" x14ac:dyDescent="0.25">
      <c r="A24" t="s">
        <v>17</v>
      </c>
      <c r="B24" t="s">
        <v>41</v>
      </c>
      <c r="C24" t="s">
        <v>19</v>
      </c>
      <c r="D24" s="94">
        <v>3388.6810754297899</v>
      </c>
      <c r="E24" s="94">
        <v>5504.8062829696</v>
      </c>
      <c r="F24" s="94">
        <v>3268.4041919230203</v>
      </c>
      <c r="G24" s="94">
        <v>5231.6395196026251</v>
      </c>
      <c r="I24" s="10">
        <f t="shared" si="0"/>
        <v>1.3213482815832758</v>
      </c>
      <c r="J24" s="10">
        <f t="shared" si="1"/>
        <v>1.5355228761193804</v>
      </c>
      <c r="K24" s="10">
        <f t="shared" si="2"/>
        <v>1.8757457080544322</v>
      </c>
      <c r="L24" s="10">
        <f t="shared" si="3"/>
        <v>0.91899223978318312</v>
      </c>
    </row>
    <row r="25" spans="1:12" x14ac:dyDescent="0.25">
      <c r="A25" t="s">
        <v>17</v>
      </c>
      <c r="B25" t="s">
        <v>42</v>
      </c>
      <c r="C25" t="s">
        <v>19</v>
      </c>
      <c r="D25" s="94">
        <v>3517.4931969634504</v>
      </c>
      <c r="E25" s="94">
        <v>5714.9137438062753</v>
      </c>
      <c r="F25" s="94">
        <v>3392.6138739511289</v>
      </c>
      <c r="G25" s="94">
        <v>5431.2387578324706</v>
      </c>
      <c r="I25" s="10">
        <f t="shared" si="0"/>
        <v>1.37169430761926</v>
      </c>
      <c r="J25" s="10">
        <f t="shared" si="1"/>
        <v>1.5940293847949916</v>
      </c>
      <c r="K25" s="10">
        <f t="shared" si="2"/>
        <v>1.9472153906285357</v>
      </c>
      <c r="L25" s="10">
        <f t="shared" si="3"/>
        <v>0.95400769170896338</v>
      </c>
    </row>
    <row r="26" spans="1:12" x14ac:dyDescent="0.25">
      <c r="A26" t="s">
        <v>17</v>
      </c>
      <c r="B26" t="s">
        <v>43</v>
      </c>
      <c r="C26" t="s">
        <v>19</v>
      </c>
      <c r="D26" s="94">
        <v>2645.0810954600543</v>
      </c>
      <c r="E26" s="94">
        <v>4291.913903055417</v>
      </c>
      <c r="F26" s="94">
        <v>2551.3744488690832</v>
      </c>
      <c r="G26" s="94">
        <v>4079.4058634415301</v>
      </c>
      <c r="I26" s="10">
        <f t="shared" si="0"/>
        <v>1.0307140349935457</v>
      </c>
      <c r="J26" s="10">
        <f t="shared" si="1"/>
        <v>1.1977803290238398</v>
      </c>
      <c r="K26" s="10">
        <f t="shared" si="2"/>
        <v>1.4631701984385279</v>
      </c>
      <c r="L26" s="10">
        <f t="shared" si="3"/>
        <v>0.71685732883361986</v>
      </c>
    </row>
    <row r="27" spans="1:12" x14ac:dyDescent="0.25">
      <c r="A27" t="s">
        <v>17</v>
      </c>
      <c r="B27" t="s">
        <v>44</v>
      </c>
      <c r="C27" t="s">
        <v>19</v>
      </c>
      <c r="D27" s="94">
        <v>2630.5876590724474</v>
      </c>
      <c r="E27" s="94">
        <v>4277.2870676362763</v>
      </c>
      <c r="F27" s="94">
        <v>2567.2476698021396</v>
      </c>
      <c r="G27" s="94">
        <v>4107.4905203382859</v>
      </c>
      <c r="I27" s="10">
        <f t="shared" si="0"/>
        <v>1.0318412152735343</v>
      </c>
      <c r="J27" s="10">
        <f t="shared" si="1"/>
        <v>1.1990902116108586</v>
      </c>
      <c r="K27" s="10">
        <f t="shared" si="2"/>
        <v>1.4647703091753115</v>
      </c>
      <c r="L27" s="10">
        <f t="shared" si="3"/>
        <v>0.71764127803504074</v>
      </c>
    </row>
    <row r="28" spans="1:12" x14ac:dyDescent="0.25">
      <c r="A28" t="s">
        <v>17</v>
      </c>
      <c r="B28" t="s">
        <v>45</v>
      </c>
      <c r="C28" t="s">
        <v>19</v>
      </c>
      <c r="D28" s="94">
        <v>3319.4158901840328</v>
      </c>
      <c r="E28" s="94">
        <v>5403.2373929187834</v>
      </c>
      <c r="F28" s="94">
        <v>3239.4000792253491</v>
      </c>
      <c r="G28" s="94">
        <v>5188.2914307155597</v>
      </c>
      <c r="I28" s="10">
        <f t="shared" si="0"/>
        <v>1.3028739552506905</v>
      </c>
      <c r="J28" s="10">
        <f t="shared" si="1"/>
        <v>1.5140540846584432</v>
      </c>
      <c r="K28" s="10">
        <f t="shared" si="2"/>
        <v>1.8495201180184566</v>
      </c>
      <c r="L28" s="10">
        <f t="shared" si="3"/>
        <v>0.90614342257768088</v>
      </c>
    </row>
    <row r="29" spans="1:12" x14ac:dyDescent="0.25">
      <c r="A29" t="s">
        <v>17</v>
      </c>
      <c r="B29" t="s">
        <v>46</v>
      </c>
      <c r="C29" t="s">
        <v>19</v>
      </c>
      <c r="D29" s="94">
        <v>2709.4879473395058</v>
      </c>
      <c r="E29" s="94">
        <v>4396.968176682547</v>
      </c>
      <c r="F29" s="94">
        <v>2613.4788803020147</v>
      </c>
      <c r="G29" s="94">
        <v>4179.2066207352282</v>
      </c>
      <c r="I29" s="10">
        <f t="shared" si="0"/>
        <v>1.0558872047269601</v>
      </c>
      <c r="J29" s="10">
        <f t="shared" si="1"/>
        <v>1.2270337654787442</v>
      </c>
      <c r="K29" s="10">
        <f t="shared" si="2"/>
        <v>1.4989052621940118</v>
      </c>
      <c r="L29" s="10">
        <f t="shared" si="3"/>
        <v>0.73436516379143502</v>
      </c>
    </row>
    <row r="30" spans="1:12" x14ac:dyDescent="0.25">
      <c r="A30" t="s">
        <v>17</v>
      </c>
      <c r="B30" t="s">
        <v>47</v>
      </c>
      <c r="C30" t="s">
        <v>19</v>
      </c>
      <c r="D30" s="94">
        <v>2849.6288569953758</v>
      </c>
      <c r="E30" s="94">
        <v>4635.3300492664257</v>
      </c>
      <c r="F30" s="94">
        <v>2780.9865411572473</v>
      </c>
      <c r="G30" s="94">
        <v>4451.1763019347636</v>
      </c>
      <c r="I30" s="10">
        <f t="shared" si="0"/>
        <v>1.1180273548356805</v>
      </c>
      <c r="J30" s="10">
        <f t="shared" si="1"/>
        <v>1.2992460832660733</v>
      </c>
      <c r="K30" s="10">
        <f t="shared" si="2"/>
        <v>1.5871175234796029</v>
      </c>
      <c r="L30" s="10">
        <f t="shared" si="3"/>
        <v>0.77758338000650429</v>
      </c>
    </row>
    <row r="31" spans="1:12" x14ac:dyDescent="0.25">
      <c r="A31" t="s">
        <v>17</v>
      </c>
      <c r="B31" t="s">
        <v>48</v>
      </c>
      <c r="C31" t="s">
        <v>19</v>
      </c>
      <c r="D31" s="94">
        <v>3277.4332363255635</v>
      </c>
      <c r="E31" s="94">
        <v>5323.3500935317534</v>
      </c>
      <c r="F31" s="94">
        <v>3161.1319047769125</v>
      </c>
      <c r="G31" s="94">
        <v>5059.2586123856208</v>
      </c>
      <c r="I31" s="10">
        <f t="shared" si="0"/>
        <v>1.2778675628093159</v>
      </c>
      <c r="J31" s="10">
        <f t="shared" si="1"/>
        <v>1.4849944580799457</v>
      </c>
      <c r="K31" s="10">
        <f t="shared" si="2"/>
        <v>1.8140218062186111</v>
      </c>
      <c r="L31" s="10">
        <f t="shared" si="3"/>
        <v>0.88875158053353787</v>
      </c>
    </row>
    <row r="32" spans="1:12" x14ac:dyDescent="0.25">
      <c r="A32" t="s">
        <v>17</v>
      </c>
      <c r="B32" t="s">
        <v>241</v>
      </c>
      <c r="C32" t="s">
        <v>19</v>
      </c>
      <c r="D32" s="94">
        <v>3296.359419133446</v>
      </c>
      <c r="E32" s="94">
        <v>5365.5489662223126</v>
      </c>
      <c r="F32" s="94">
        <v>3216.9005222654223</v>
      </c>
      <c r="G32" s="94">
        <v>5152.1140413090461</v>
      </c>
      <c r="I32" s="10">
        <f t="shared" si="0"/>
        <v>1.293801740536582</v>
      </c>
      <c r="J32" s="10">
        <f t="shared" si="1"/>
        <v>1.5035113735316776</v>
      </c>
      <c r="K32" s="10">
        <f t="shared" si="2"/>
        <v>1.8366414787908438</v>
      </c>
      <c r="L32" s="10">
        <f t="shared" si="3"/>
        <v>0.89983373493808105</v>
      </c>
    </row>
    <row r="33" spans="1:12" x14ac:dyDescent="0.25">
      <c r="A33" t="s">
        <v>17</v>
      </c>
      <c r="B33" t="s">
        <v>50</v>
      </c>
      <c r="C33" t="s">
        <v>19</v>
      </c>
      <c r="D33" s="94">
        <v>2688.2304110130326</v>
      </c>
      <c r="E33" s="94">
        <v>4371.508912304771</v>
      </c>
      <c r="F33" s="94">
        <v>2623.4954440773422</v>
      </c>
      <c r="G33" s="94">
        <v>4197.9341879327703</v>
      </c>
      <c r="I33" s="10">
        <f t="shared" si="0"/>
        <v>1.0545218605556388</v>
      </c>
      <c r="J33" s="10">
        <f t="shared" si="1"/>
        <v>1.2254471155106312</v>
      </c>
      <c r="K33" s="10">
        <f t="shared" si="2"/>
        <v>1.4969670612631381</v>
      </c>
      <c r="L33" s="10">
        <f t="shared" si="3"/>
        <v>0.73341557259313706</v>
      </c>
    </row>
    <row r="34" spans="1:12" x14ac:dyDescent="0.25">
      <c r="A34" t="s">
        <v>17</v>
      </c>
      <c r="B34" t="s">
        <v>51</v>
      </c>
      <c r="C34" t="s">
        <v>19</v>
      </c>
      <c r="D34" s="94">
        <v>3268.6510951108471</v>
      </c>
      <c r="E34" s="94">
        <v>5309.0247549482028</v>
      </c>
      <c r="F34" s="94">
        <v>3152.6626131041867</v>
      </c>
      <c r="G34" s="94">
        <v>5045.6494468792016</v>
      </c>
      <c r="I34" s="10">
        <f t="shared" si="0"/>
        <v>1.2744348866070654</v>
      </c>
      <c r="J34" s="10">
        <f t="shared" si="1"/>
        <v>1.4810053865320942</v>
      </c>
      <c r="K34" s="10">
        <f t="shared" si="2"/>
        <v>1.8091488838080285</v>
      </c>
      <c r="L34" s="10">
        <f t="shared" si="3"/>
        <v>0.88636416849726785</v>
      </c>
    </row>
    <row r="35" spans="1:12" x14ac:dyDescent="0.25">
      <c r="A35" t="s">
        <v>17</v>
      </c>
      <c r="B35" t="s">
        <v>52</v>
      </c>
      <c r="C35" t="s">
        <v>19</v>
      </c>
      <c r="D35" s="94">
        <v>3650.8609405298071</v>
      </c>
      <c r="E35" s="94">
        <v>5945.0132123084768</v>
      </c>
      <c r="F35" s="94">
        <v>3562.8202926317904</v>
      </c>
      <c r="G35" s="94">
        <v>5708.3424266642878</v>
      </c>
      <c r="I35" s="10">
        <f t="shared" ref="I35:I66" si="4">SUM(D35:G35)/SUM($D$135:$G$135)</f>
        <v>1.4332872749840373</v>
      </c>
      <c r="J35" s="10">
        <f t="shared" ref="J35:J66" si="5">SUM(D35:G35)/SUM($D$130:$G$130)</f>
        <v>1.6656058281255606</v>
      </c>
      <c r="K35" s="10">
        <f t="shared" si="2"/>
        <v>2.0346508879846024</v>
      </c>
      <c r="L35" s="10">
        <f t="shared" si="3"/>
        <v>0.99684534459910479</v>
      </c>
    </row>
    <row r="36" spans="1:12" x14ac:dyDescent="0.25">
      <c r="A36" t="s">
        <v>17</v>
      </c>
      <c r="B36" t="s">
        <v>53</v>
      </c>
      <c r="C36" t="s">
        <v>19</v>
      </c>
      <c r="D36" s="94">
        <v>3628.7410360676768</v>
      </c>
      <c r="E36" s="94">
        <v>5896.3705274758477</v>
      </c>
      <c r="F36" s="94">
        <v>3499.8867553289633</v>
      </c>
      <c r="G36" s="94">
        <v>5603.6208535129263</v>
      </c>
      <c r="I36" s="10">
        <f t="shared" si="4"/>
        <v>1.4151752069631263</v>
      </c>
      <c r="J36" s="10">
        <f t="shared" si="5"/>
        <v>1.6445580126725337</v>
      </c>
      <c r="K36" s="10">
        <f t="shared" si="2"/>
        <v>2.0089395487958872</v>
      </c>
      <c r="L36" s="10">
        <f t="shared" si="3"/>
        <v>0.9842484765442282</v>
      </c>
    </row>
    <row r="37" spans="1:12" x14ac:dyDescent="0.25">
      <c r="A37" t="s">
        <v>17</v>
      </c>
      <c r="B37" t="s">
        <v>54</v>
      </c>
      <c r="C37" t="s">
        <v>19</v>
      </c>
      <c r="D37" s="94">
        <v>3068.6708539420515</v>
      </c>
      <c r="E37" s="94">
        <v>4993.3720850446671</v>
      </c>
      <c r="F37" s="94">
        <v>2994.7250047777388</v>
      </c>
      <c r="G37" s="94">
        <v>4794.8617385990156</v>
      </c>
      <c r="I37" s="10">
        <f t="shared" si="4"/>
        <v>1.2042134260651707</v>
      </c>
      <c r="J37" s="10">
        <f t="shared" si="5"/>
        <v>1.3994018755127338</v>
      </c>
      <c r="K37" s="10">
        <f t="shared" si="2"/>
        <v>1.7094646407809402</v>
      </c>
      <c r="L37" s="10">
        <f t="shared" si="3"/>
        <v>0.83752543445288929</v>
      </c>
    </row>
    <row r="38" spans="1:12" x14ac:dyDescent="0.25">
      <c r="A38" t="s">
        <v>17</v>
      </c>
      <c r="B38" t="s">
        <v>55</v>
      </c>
      <c r="C38" t="s">
        <v>19</v>
      </c>
      <c r="D38" s="94">
        <v>2826.5723859447885</v>
      </c>
      <c r="E38" s="94">
        <v>4597.6410283382302</v>
      </c>
      <c r="F38" s="94">
        <v>2758.4875784290462</v>
      </c>
      <c r="G38" s="94">
        <v>4414.99891252825</v>
      </c>
      <c r="I38" s="10">
        <f t="shared" si="4"/>
        <v>1.108955140121572</v>
      </c>
      <c r="J38" s="10">
        <f t="shared" si="5"/>
        <v>1.2887033721393077</v>
      </c>
      <c r="K38" s="10">
        <f t="shared" si="2"/>
        <v>1.5742388842519899</v>
      </c>
      <c r="L38" s="10">
        <f t="shared" si="3"/>
        <v>0.77127369236690435</v>
      </c>
    </row>
    <row r="39" spans="1:12" x14ac:dyDescent="0.25">
      <c r="A39" t="s">
        <v>17</v>
      </c>
      <c r="B39" t="s">
        <v>242</v>
      </c>
      <c r="C39" t="s">
        <v>19</v>
      </c>
      <c r="D39" s="94">
        <v>3186.8380251037966</v>
      </c>
      <c r="E39" s="94">
        <v>5186.5272310550008</v>
      </c>
      <c r="F39" s="94">
        <v>3110.0311981298755</v>
      </c>
      <c r="G39" s="94">
        <v>4980.2711995613254</v>
      </c>
      <c r="I39" s="10">
        <f t="shared" si="4"/>
        <v>1.2507086039928872</v>
      </c>
      <c r="J39" s="10">
        <f t="shared" si="5"/>
        <v>1.4534333601200342</v>
      </c>
      <c r="K39" s="10">
        <f t="shared" si="2"/>
        <v>1.7754677768645173</v>
      </c>
      <c r="L39" s="10">
        <f t="shared" si="3"/>
        <v>0.86986263751922333</v>
      </c>
    </row>
    <row r="40" spans="1:12" x14ac:dyDescent="0.25">
      <c r="A40" t="s">
        <v>17</v>
      </c>
      <c r="B40" t="s">
        <v>57</v>
      </c>
      <c r="C40" t="s">
        <v>19</v>
      </c>
      <c r="D40" s="94">
        <v>2593.1204941033698</v>
      </c>
      <c r="E40" s="94">
        <v>4216.0430308546338</v>
      </c>
      <c r="F40" s="94">
        <v>2530.6878020257777</v>
      </c>
      <c r="G40" s="94">
        <v>4048.7029549715739</v>
      </c>
      <c r="I40" s="10">
        <f t="shared" si="4"/>
        <v>1.0170990077992461</v>
      </c>
      <c r="J40" s="10">
        <f t="shared" si="5"/>
        <v>1.1819584703910921</v>
      </c>
      <c r="K40" s="10">
        <f t="shared" si="2"/>
        <v>1.4438427212088671</v>
      </c>
      <c r="L40" s="10">
        <f t="shared" si="3"/>
        <v>0.70738813398893741</v>
      </c>
    </row>
    <row r="41" spans="1:12" x14ac:dyDescent="0.25">
      <c r="A41" t="s">
        <v>17</v>
      </c>
      <c r="B41" t="s">
        <v>58</v>
      </c>
      <c r="C41" t="s">
        <v>19</v>
      </c>
      <c r="D41" s="94">
        <v>2864.0395430027402</v>
      </c>
      <c r="E41" s="94">
        <v>4658.8850626589438</v>
      </c>
      <c r="F41" s="94">
        <v>2795.0480385906271</v>
      </c>
      <c r="G41" s="94">
        <v>4473.7876638901016</v>
      </c>
      <c r="I41" s="10">
        <f t="shared" si="4"/>
        <v>1.1236974819075607</v>
      </c>
      <c r="J41" s="10">
        <f t="shared" si="5"/>
        <v>1.3058352694410786</v>
      </c>
      <c r="K41" s="10">
        <f t="shared" si="2"/>
        <v>1.5951666628832264</v>
      </c>
      <c r="L41" s="10">
        <f t="shared" si="3"/>
        <v>0.78152692982623728</v>
      </c>
    </row>
    <row r="42" spans="1:12" x14ac:dyDescent="0.25">
      <c r="A42" t="s">
        <v>17</v>
      </c>
      <c r="B42" t="s">
        <v>59</v>
      </c>
      <c r="C42" t="s">
        <v>19</v>
      </c>
      <c r="D42" s="94">
        <v>2500.892244474283</v>
      </c>
      <c r="E42" s="94">
        <v>4065.2880118461167</v>
      </c>
      <c r="F42" s="94">
        <v>2440.6919932393962</v>
      </c>
      <c r="G42" s="94">
        <v>3903.9932535519956</v>
      </c>
      <c r="I42" s="10">
        <f t="shared" si="4"/>
        <v>0.9808100424063626</v>
      </c>
      <c r="J42" s="10">
        <f t="shared" si="5"/>
        <v>1.1397875020793091</v>
      </c>
      <c r="K42" s="10">
        <f t="shared" si="2"/>
        <v>1.3923280130625222</v>
      </c>
      <c r="L42" s="10">
        <f t="shared" si="3"/>
        <v>0.68214930933487994</v>
      </c>
    </row>
    <row r="43" spans="1:12" x14ac:dyDescent="0.25">
      <c r="A43" t="s">
        <v>60</v>
      </c>
      <c r="B43" t="s">
        <v>61</v>
      </c>
      <c r="C43" t="s">
        <v>243</v>
      </c>
      <c r="D43" s="94">
        <v>2068.8703492489608</v>
      </c>
      <c r="E43" s="94">
        <v>3497.0647003510353</v>
      </c>
      <c r="F43" s="94">
        <v>2006.0324412058849</v>
      </c>
      <c r="G43" s="94">
        <v>3298.9123524936099</v>
      </c>
      <c r="I43" s="10">
        <f t="shared" si="4"/>
        <v>0.82583682074073295</v>
      </c>
      <c r="J43" s="10">
        <f t="shared" si="5"/>
        <v>0.95969499326069707</v>
      </c>
      <c r="K43" s="10">
        <f t="shared" ref="K43:K71" si="6">SUM(D43:G43)/SUM($D$62:$G$62)</f>
        <v>1.1723327556014385</v>
      </c>
      <c r="L43" s="10">
        <f t="shared" si="3"/>
        <v>0.57436607756326696</v>
      </c>
    </row>
    <row r="44" spans="1:12" x14ac:dyDescent="0.25">
      <c r="A44" t="s">
        <v>62</v>
      </c>
      <c r="B44" t="s">
        <v>63</v>
      </c>
      <c r="C44" t="s">
        <v>243</v>
      </c>
      <c r="D44" s="94">
        <v>2687.4412783160874</v>
      </c>
      <c r="E44" s="94">
        <v>2847.1407845675471</v>
      </c>
      <c r="F44" s="94">
        <v>2592.6605241266548</v>
      </c>
      <c r="G44" s="94">
        <v>4141.2504443324469</v>
      </c>
      <c r="I44" s="10">
        <f t="shared" si="4"/>
        <v>0.93201041924208805</v>
      </c>
      <c r="J44" s="10">
        <f t="shared" si="5"/>
        <v>1.0830780495003403</v>
      </c>
      <c r="K44" s="10">
        <f t="shared" si="6"/>
        <v>1.3230535568265165</v>
      </c>
      <c r="L44" s="10">
        <f t="shared" si="3"/>
        <v>0.64820937418123836</v>
      </c>
    </row>
    <row r="45" spans="1:12" x14ac:dyDescent="0.25">
      <c r="A45" t="s">
        <v>64</v>
      </c>
      <c r="B45" t="s">
        <v>65</v>
      </c>
      <c r="C45" t="s">
        <v>243</v>
      </c>
      <c r="D45" s="94">
        <v>2274.8764092651932</v>
      </c>
      <c r="E45" s="94">
        <v>1377.9916665258445</v>
      </c>
      <c r="F45" s="94">
        <v>2203.1896572226783</v>
      </c>
      <c r="G45" s="94">
        <v>3599.3750563072285</v>
      </c>
      <c r="I45" s="10">
        <f t="shared" si="4"/>
        <v>0.718308422687012</v>
      </c>
      <c r="J45" s="10">
        <f t="shared" si="5"/>
        <v>0.83473754082725016</v>
      </c>
      <c r="K45" s="10">
        <f t="shared" si="6"/>
        <v>1.0196887222648545</v>
      </c>
      <c r="L45" s="10">
        <f t="shared" si="3"/>
        <v>0.49958052348566939</v>
      </c>
    </row>
    <row r="46" spans="1:12" x14ac:dyDescent="0.25">
      <c r="A46" t="s">
        <v>66</v>
      </c>
      <c r="B46" t="s">
        <v>67</v>
      </c>
      <c r="C46" t="s">
        <v>243</v>
      </c>
      <c r="D46" s="94">
        <v>2274.8764092651932</v>
      </c>
      <c r="E46" s="94">
        <v>1377.9916665258445</v>
      </c>
      <c r="F46" s="94">
        <v>2203.1896572226783</v>
      </c>
      <c r="G46" s="94">
        <v>3599.3750563072285</v>
      </c>
      <c r="I46" s="10">
        <f t="shared" si="4"/>
        <v>0.718308422687012</v>
      </c>
      <c r="J46" s="10">
        <f t="shared" si="5"/>
        <v>0.83473754082725016</v>
      </c>
      <c r="K46" s="10">
        <f t="shared" si="6"/>
        <v>1.0196887222648545</v>
      </c>
      <c r="L46" s="10">
        <f t="shared" si="3"/>
        <v>0.49958052348566939</v>
      </c>
    </row>
    <row r="47" spans="1:12" x14ac:dyDescent="0.25">
      <c r="A47" t="s">
        <v>68</v>
      </c>
      <c r="B47" t="s">
        <v>69</v>
      </c>
      <c r="C47" t="s">
        <v>243</v>
      </c>
      <c r="D47" s="94">
        <v>3220.0646909579195</v>
      </c>
      <c r="E47" s="94">
        <v>5224.4411612042313</v>
      </c>
      <c r="F47" s="94">
        <v>3106.3145500635028</v>
      </c>
      <c r="G47" s="94">
        <v>4965.7922085563214</v>
      </c>
      <c r="I47" s="10">
        <f t="shared" si="4"/>
        <v>1.2547307158676599</v>
      </c>
      <c r="J47" s="10">
        <f t="shared" si="5"/>
        <v>1.4581074077425313</v>
      </c>
      <c r="K47" s="10">
        <f t="shared" si="6"/>
        <v>1.7811774441729573</v>
      </c>
      <c r="L47" s="10">
        <f t="shared" si="3"/>
        <v>0.87265999961669161</v>
      </c>
    </row>
    <row r="48" spans="1:12" x14ac:dyDescent="0.25">
      <c r="A48" t="s">
        <v>70</v>
      </c>
      <c r="B48" t="s">
        <v>71</v>
      </c>
      <c r="C48" t="s">
        <v>243</v>
      </c>
      <c r="D48" s="94">
        <v>3086.6597605450547</v>
      </c>
      <c r="E48" s="94">
        <v>5059.7335094743457</v>
      </c>
      <c r="F48" s="94">
        <v>2981.2630713883864</v>
      </c>
      <c r="G48" s="94">
        <v>4800.323057632304</v>
      </c>
      <c r="I48" s="10">
        <f t="shared" si="4"/>
        <v>1.210013546036466</v>
      </c>
      <c r="J48" s="10">
        <f t="shared" si="5"/>
        <v>1.4061421248658332</v>
      </c>
      <c r="K48" s="10">
        <f t="shared" si="6"/>
        <v>1.7176983141386728</v>
      </c>
      <c r="L48" s="10">
        <f t="shared" si="3"/>
        <v>0.84155939379405942</v>
      </c>
    </row>
    <row r="49" spans="1:12" x14ac:dyDescent="0.25">
      <c r="A49" t="s">
        <v>72</v>
      </c>
      <c r="B49" t="s">
        <v>73</v>
      </c>
      <c r="C49" t="s">
        <v>243</v>
      </c>
      <c r="D49" s="94">
        <v>1442.132827763867</v>
      </c>
      <c r="E49" s="94">
        <v>2430.7608625540161</v>
      </c>
      <c r="F49" s="94">
        <v>1398.5704337203201</v>
      </c>
      <c r="G49" s="94">
        <v>2293.7144751610349</v>
      </c>
      <c r="I49" s="10">
        <f t="shared" si="4"/>
        <v>0.57470997129541257</v>
      </c>
      <c r="J49" s="10">
        <f t="shared" si="5"/>
        <v>0.6678635151366803</v>
      </c>
      <c r="K49" s="10">
        <f t="shared" si="6"/>
        <v>0.8158407416565111</v>
      </c>
      <c r="L49" s="10">
        <f t="shared" si="3"/>
        <v>0.3997083971787147</v>
      </c>
    </row>
    <row r="50" spans="1:12" x14ac:dyDescent="0.25">
      <c r="A50" t="s">
        <v>74</v>
      </c>
      <c r="B50" t="s">
        <v>75</v>
      </c>
      <c r="C50" t="s">
        <v>243</v>
      </c>
      <c r="D50" s="94">
        <v>2829.8910236427714</v>
      </c>
      <c r="E50" s="94">
        <v>4743.7866150764148</v>
      </c>
      <c r="F50" s="94">
        <v>2740.4794623562802</v>
      </c>
      <c r="G50" s="94">
        <v>4482.2380554361316</v>
      </c>
      <c r="I50" s="10">
        <f t="shared" si="4"/>
        <v>1.1240495811393614</v>
      </c>
      <c r="J50" s="10">
        <f t="shared" si="5"/>
        <v>1.3062444397049897</v>
      </c>
      <c r="K50" s="10">
        <f t="shared" si="6"/>
        <v>1.5956664922106374</v>
      </c>
      <c r="L50" s="10">
        <f t="shared" si="3"/>
        <v>0.7817718133790208</v>
      </c>
    </row>
    <row r="51" spans="1:12" x14ac:dyDescent="0.25">
      <c r="A51" t="s">
        <v>76</v>
      </c>
      <c r="B51" t="s">
        <v>77</v>
      </c>
      <c r="C51" t="s">
        <v>243</v>
      </c>
      <c r="D51" s="94">
        <v>2403.1301667237012</v>
      </c>
      <c r="E51" s="94">
        <v>4007.283300031429</v>
      </c>
      <c r="F51" s="94">
        <v>2326.1416636170993</v>
      </c>
      <c r="G51" s="94">
        <v>3789.7570850658926</v>
      </c>
      <c r="I51" s="10">
        <f t="shared" si="4"/>
        <v>0.9515963753365746</v>
      </c>
      <c r="J51" s="10">
        <f t="shared" si="5"/>
        <v>1.1058386524790778</v>
      </c>
      <c r="K51" s="10">
        <f t="shared" si="6"/>
        <v>1.3508571825582236</v>
      </c>
      <c r="L51" s="10">
        <f t="shared" si="3"/>
        <v>0.66183132526744259</v>
      </c>
    </row>
    <row r="52" spans="1:12" x14ac:dyDescent="0.25">
      <c r="A52" t="s">
        <v>78</v>
      </c>
      <c r="B52" t="s">
        <v>79</v>
      </c>
      <c r="C52" t="s">
        <v>243</v>
      </c>
      <c r="D52" s="94">
        <v>2230.8834927894081</v>
      </c>
      <c r="E52" s="94">
        <v>3843.6322802204477</v>
      </c>
      <c r="F52" s="94">
        <v>2167.8836974073502</v>
      </c>
      <c r="G52" s="94">
        <v>3614.0364476241762</v>
      </c>
      <c r="I52" s="10">
        <f t="shared" si="4"/>
        <v>0.90070734706047983</v>
      </c>
      <c r="J52" s="10">
        <f t="shared" si="5"/>
        <v>1.04670112745971</v>
      </c>
      <c r="K52" s="10">
        <f t="shared" si="6"/>
        <v>1.2786166705702953</v>
      </c>
      <c r="L52" s="10">
        <f t="shared" si="3"/>
        <v>0.62643821753978046</v>
      </c>
    </row>
    <row r="53" spans="1:12" x14ac:dyDescent="0.25">
      <c r="A53" t="s">
        <v>80</v>
      </c>
      <c r="B53" t="s">
        <v>81</v>
      </c>
      <c r="C53" t="s">
        <v>243</v>
      </c>
      <c r="D53" s="94">
        <v>2943.4765938075175</v>
      </c>
      <c r="E53" s="94">
        <v>4773.8221586726941</v>
      </c>
      <c r="F53" s="94">
        <v>2839.6352703968014</v>
      </c>
      <c r="G53" s="94">
        <v>4537.6841917271195</v>
      </c>
      <c r="I53" s="10">
        <f t="shared" si="4"/>
        <v>1.1467049306342341</v>
      </c>
      <c r="J53" s="10">
        <f t="shared" si="5"/>
        <v>1.3325719476759943</v>
      </c>
      <c r="K53" s="10">
        <f t="shared" si="6"/>
        <v>1.6278273351706487</v>
      </c>
      <c r="L53" s="10">
        <f t="shared" si="3"/>
        <v>0.79752851482219866</v>
      </c>
    </row>
    <row r="54" spans="1:12" x14ac:dyDescent="0.25">
      <c r="A54" t="s">
        <v>82</v>
      </c>
      <c r="B54" t="s">
        <v>83</v>
      </c>
      <c r="C54" t="s">
        <v>243</v>
      </c>
      <c r="D54" s="94">
        <v>2457.0291196908606</v>
      </c>
      <c r="E54" s="94">
        <v>3929.7378610005239</v>
      </c>
      <c r="F54" s="94">
        <v>2367.0736287052368</v>
      </c>
      <c r="G54" s="94">
        <v>3744.5886532241393</v>
      </c>
      <c r="I54" s="10">
        <f t="shared" si="4"/>
        <v>0.94947816876640945</v>
      </c>
      <c r="J54" s="10">
        <f t="shared" si="5"/>
        <v>1.1033771102118584</v>
      </c>
      <c r="K54" s="10">
        <f t="shared" si="6"/>
        <v>1.3478502411347262</v>
      </c>
      <c r="L54" s="10">
        <f t="shared" si="3"/>
        <v>0.66035812139881001</v>
      </c>
    </row>
    <row r="55" spans="1:12" x14ac:dyDescent="0.25">
      <c r="A55" t="s">
        <v>82</v>
      </c>
      <c r="B55" t="s">
        <v>84</v>
      </c>
      <c r="C55" t="s">
        <v>243</v>
      </c>
      <c r="D55" s="94">
        <v>2851.3392327594192</v>
      </c>
      <c r="E55" s="94">
        <v>4983.7775981525119</v>
      </c>
      <c r="F55" s="94">
        <v>2649.6898123489163</v>
      </c>
      <c r="G55" s="94">
        <v>4466.1026589182056</v>
      </c>
      <c r="I55" s="10">
        <f t="shared" si="4"/>
        <v>1.1357876807832583</v>
      </c>
      <c r="J55" s="10">
        <f t="shared" si="5"/>
        <v>1.3198851435047296</v>
      </c>
      <c r="K55" s="10">
        <f t="shared" si="6"/>
        <v>1.6123295403521711</v>
      </c>
      <c r="L55" s="10">
        <f t="shared" si="3"/>
        <v>0.78993561291082748</v>
      </c>
    </row>
    <row r="56" spans="1:12" x14ac:dyDescent="0.25">
      <c r="A56" t="s">
        <v>85</v>
      </c>
      <c r="B56" t="s">
        <v>86</v>
      </c>
      <c r="C56" t="s">
        <v>243</v>
      </c>
      <c r="D56" s="94">
        <v>1690.4456159428794</v>
      </c>
      <c r="E56" s="94">
        <v>2965.3429344490896</v>
      </c>
      <c r="F56" s="94">
        <v>1569.6905605803831</v>
      </c>
      <c r="G56" s="94">
        <v>2655.3402286651681</v>
      </c>
      <c r="I56" s="10">
        <f t="shared" si="4"/>
        <v>0.67465630332945004</v>
      </c>
      <c r="J56" s="10">
        <f t="shared" si="5"/>
        <v>0.78400994024013293</v>
      </c>
      <c r="K56" s="10">
        <f t="shared" si="6"/>
        <v>0.9577215053897431</v>
      </c>
      <c r="L56" s="10">
        <f t="shared" si="3"/>
        <v>0.46922065584227968</v>
      </c>
    </row>
    <row r="57" spans="1:12" x14ac:dyDescent="0.25">
      <c r="A57" t="s">
        <v>85</v>
      </c>
      <c r="B57" t="s">
        <v>87</v>
      </c>
      <c r="C57" t="s">
        <v>243</v>
      </c>
      <c r="D57" s="94">
        <v>1690.4456159428794</v>
      </c>
      <c r="E57" s="94">
        <v>2965.3429344490896</v>
      </c>
      <c r="F57" s="94">
        <v>1569.6905605803831</v>
      </c>
      <c r="G57" s="94">
        <v>2655.3402286651681</v>
      </c>
      <c r="I57" s="10">
        <f t="shared" si="4"/>
        <v>0.67465630332945004</v>
      </c>
      <c r="J57" s="10">
        <f t="shared" si="5"/>
        <v>0.78400994024013293</v>
      </c>
      <c r="K57" s="10">
        <f t="shared" si="6"/>
        <v>0.9577215053897431</v>
      </c>
      <c r="L57" s="10">
        <f t="shared" si="3"/>
        <v>0.46922065584227968</v>
      </c>
    </row>
    <row r="58" spans="1:12" x14ac:dyDescent="0.25">
      <c r="A58" t="s">
        <v>85</v>
      </c>
      <c r="B58" t="s">
        <v>88</v>
      </c>
      <c r="C58" t="s">
        <v>243</v>
      </c>
      <c r="D58" s="94">
        <v>1715.715466110739</v>
      </c>
      <c r="E58" s="94">
        <v>3004.0071918562617</v>
      </c>
      <c r="F58" s="94">
        <v>1589.9451822434335</v>
      </c>
      <c r="G58" s="94">
        <v>2694.3072204227788</v>
      </c>
      <c r="I58" s="10">
        <f t="shared" si="4"/>
        <v>0.68401217245404577</v>
      </c>
      <c r="J58" s="10">
        <f t="shared" si="5"/>
        <v>0.79488228273077566</v>
      </c>
      <c r="K58" s="10">
        <f t="shared" si="6"/>
        <v>0.97100281176458569</v>
      </c>
      <c r="L58" s="10">
        <f t="shared" si="3"/>
        <v>0.47572762394582019</v>
      </c>
    </row>
    <row r="59" spans="1:12" x14ac:dyDescent="0.25">
      <c r="A59" t="s">
        <v>89</v>
      </c>
      <c r="B59" t="s">
        <v>90</v>
      </c>
      <c r="C59" t="s">
        <v>243</v>
      </c>
      <c r="D59" s="94">
        <v>1786.0242835138542</v>
      </c>
      <c r="E59" s="94">
        <v>2866.665782293479</v>
      </c>
      <c r="F59" s="94">
        <v>1720.7582540775777</v>
      </c>
      <c r="G59" s="94">
        <v>2730.0213188457751</v>
      </c>
      <c r="I59" s="10">
        <f t="shared" si="4"/>
        <v>0.69157055661810252</v>
      </c>
      <c r="J59" s="10">
        <f t="shared" si="5"/>
        <v>0.80366578966242352</v>
      </c>
      <c r="K59" s="10">
        <f t="shared" si="6"/>
        <v>0.9817324633281902</v>
      </c>
      <c r="L59" s="10">
        <f t="shared" si="3"/>
        <v>0.48098444872765989</v>
      </c>
    </row>
    <row r="60" spans="1:12" x14ac:dyDescent="0.25">
      <c r="A60" t="s">
        <v>91</v>
      </c>
      <c r="B60" t="s">
        <v>92</v>
      </c>
      <c r="C60" t="s">
        <v>243</v>
      </c>
      <c r="D60" s="94">
        <v>1609.2434841068032</v>
      </c>
      <c r="E60" s="94">
        <v>2572.4617519815229</v>
      </c>
      <c r="F60" s="94">
        <v>1547.9649784705268</v>
      </c>
      <c r="G60" s="94">
        <v>2452.2819029338189</v>
      </c>
      <c r="I60" s="10">
        <f t="shared" si="4"/>
        <v>0.62156489829366091</v>
      </c>
      <c r="J60" s="10">
        <f t="shared" si="5"/>
        <v>0.72231305979307114</v>
      </c>
      <c r="K60" s="10">
        <f t="shared" si="6"/>
        <v>0.88235456654517574</v>
      </c>
      <c r="L60" s="10">
        <f t="shared" si="3"/>
        <v>0.43229580422888536</v>
      </c>
    </row>
    <row r="61" spans="1:12" x14ac:dyDescent="0.25">
      <c r="A61" t="s">
        <v>93</v>
      </c>
      <c r="B61" t="s">
        <v>53</v>
      </c>
      <c r="C61" t="s">
        <v>243</v>
      </c>
      <c r="D61" s="94">
        <v>1624.0945537392663</v>
      </c>
      <c r="E61" s="94">
        <v>2561.2986336296958</v>
      </c>
      <c r="F61" s="94">
        <v>1558.074689137547</v>
      </c>
      <c r="G61" s="94">
        <v>2448.5883291082291</v>
      </c>
      <c r="I61" s="10">
        <f t="shared" si="4"/>
        <v>0.62233248363463545</v>
      </c>
      <c r="J61" s="10">
        <f t="shared" si="5"/>
        <v>0.72320506144537433</v>
      </c>
      <c r="K61" s="10">
        <f t="shared" si="6"/>
        <v>0.88344420727727191</v>
      </c>
      <c r="L61" s="10">
        <f t="shared" si="3"/>
        <v>0.43282965664429973</v>
      </c>
    </row>
    <row r="62" spans="1:12" x14ac:dyDescent="0.25">
      <c r="A62" t="s">
        <v>94</v>
      </c>
      <c r="B62" t="s">
        <v>95</v>
      </c>
      <c r="C62" t="s">
        <v>243</v>
      </c>
      <c r="D62" s="94">
        <v>1765.5035572191773</v>
      </c>
      <c r="E62" s="94">
        <v>3095.5818381570334</v>
      </c>
      <c r="F62" s="94">
        <v>1639.5480560170786</v>
      </c>
      <c r="G62" s="94">
        <v>2772.2285337027715</v>
      </c>
      <c r="I62" s="10">
        <f t="shared" si="4"/>
        <v>0.70443892043010958</v>
      </c>
      <c r="J62" s="10">
        <f t="shared" si="5"/>
        <v>0.8186199597983147</v>
      </c>
      <c r="K62" s="10">
        <f t="shared" si="6"/>
        <v>1</v>
      </c>
      <c r="L62" s="10">
        <f t="shared" si="3"/>
        <v>0.48993434229226285</v>
      </c>
    </row>
    <row r="63" spans="1:12" x14ac:dyDescent="0.25">
      <c r="A63" t="s">
        <v>94</v>
      </c>
      <c r="B63" t="s">
        <v>96</v>
      </c>
      <c r="C63" t="s">
        <v>243</v>
      </c>
      <c r="D63" s="94">
        <v>1765.5035572191773</v>
      </c>
      <c r="E63" s="94">
        <v>3095.5818381570334</v>
      </c>
      <c r="F63" s="94">
        <v>1639.5480560170786</v>
      </c>
      <c r="G63" s="94">
        <v>2772.2285337027715</v>
      </c>
      <c r="I63" s="10">
        <f t="shared" si="4"/>
        <v>0.70443892043010958</v>
      </c>
      <c r="J63" s="10">
        <f t="shared" si="5"/>
        <v>0.8186199597983147</v>
      </c>
      <c r="K63" s="10">
        <f t="shared" si="6"/>
        <v>1</v>
      </c>
      <c r="L63" s="10">
        <f t="shared" si="3"/>
        <v>0.48993434229226285</v>
      </c>
    </row>
    <row r="64" spans="1:12" x14ac:dyDescent="0.25">
      <c r="A64" t="s">
        <v>94</v>
      </c>
      <c r="B64" t="s">
        <v>97</v>
      </c>
      <c r="C64" t="s">
        <v>243</v>
      </c>
      <c r="D64" s="94">
        <v>1765.5035572191773</v>
      </c>
      <c r="E64" s="94">
        <v>3095.5818381570334</v>
      </c>
      <c r="F64" s="94">
        <v>1639.5480560170786</v>
      </c>
      <c r="G64" s="94">
        <v>2772.2285337027715</v>
      </c>
      <c r="I64" s="10">
        <f t="shared" si="4"/>
        <v>0.70443892043010958</v>
      </c>
      <c r="J64" s="10">
        <f t="shared" si="5"/>
        <v>0.8186199597983147</v>
      </c>
      <c r="K64" s="10">
        <f t="shared" si="6"/>
        <v>1</v>
      </c>
      <c r="L64" s="10">
        <f t="shared" si="3"/>
        <v>0.48993434229226285</v>
      </c>
    </row>
    <row r="65" spans="1:12" x14ac:dyDescent="0.25">
      <c r="A65" t="s">
        <v>94</v>
      </c>
      <c r="B65" t="s">
        <v>98</v>
      </c>
      <c r="C65" t="s">
        <v>243</v>
      </c>
      <c r="D65" s="94">
        <v>1765.5035572191773</v>
      </c>
      <c r="E65" s="94">
        <v>3095.5818381570334</v>
      </c>
      <c r="F65" s="94">
        <v>1639.5480560170786</v>
      </c>
      <c r="G65" s="94">
        <v>2772.2285337027715</v>
      </c>
      <c r="I65" s="10">
        <f t="shared" si="4"/>
        <v>0.70443892043010958</v>
      </c>
      <c r="J65" s="10">
        <f t="shared" si="5"/>
        <v>0.8186199597983147</v>
      </c>
      <c r="K65" s="10">
        <f t="shared" si="6"/>
        <v>1</v>
      </c>
      <c r="L65" s="10">
        <f t="shared" si="3"/>
        <v>0.48993434229226285</v>
      </c>
    </row>
    <row r="66" spans="1:12" x14ac:dyDescent="0.25">
      <c r="A66" t="s">
        <v>99</v>
      </c>
      <c r="B66" t="s">
        <v>100</v>
      </c>
      <c r="C66" t="s">
        <v>243</v>
      </c>
      <c r="D66" s="94">
        <v>2330.2467850419512</v>
      </c>
      <c r="E66" s="94">
        <v>3742.0007229265852</v>
      </c>
      <c r="F66" s="94">
        <v>2225.0735686917074</v>
      </c>
      <c r="G66" s="94">
        <v>3703.2237288660972</v>
      </c>
      <c r="I66" s="10">
        <f t="shared" si="4"/>
        <v>0.91165498213662466</v>
      </c>
      <c r="J66" s="10">
        <f t="shared" si="5"/>
        <v>1.0594232419340897</v>
      </c>
      <c r="K66" s="10">
        <f t="shared" si="6"/>
        <v>1.2941575993274124</v>
      </c>
      <c r="L66" s="10">
        <f t="shared" si="3"/>
        <v>0.63405225224900963</v>
      </c>
    </row>
    <row r="67" spans="1:12" x14ac:dyDescent="0.25">
      <c r="A67" s="126" t="s">
        <v>244</v>
      </c>
      <c r="B67" s="126" t="s">
        <v>245</v>
      </c>
      <c r="C67" s="126" t="s">
        <v>19</v>
      </c>
      <c r="D67" s="127">
        <v>2178.1287523359997</v>
      </c>
      <c r="E67" s="127">
        <v>4169.9801532560004</v>
      </c>
      <c r="F67" s="127">
        <v>2196.3309923359998</v>
      </c>
      <c r="G67" s="127">
        <v>3575.1282732560007</v>
      </c>
      <c r="H67" s="126"/>
      <c r="I67" s="128">
        <f t="shared" ref="I67:I70" si="7">SUM(D67:G67)/SUM($D$135:$G$135)</f>
        <v>0.92069692531927971</v>
      </c>
      <c r="J67" s="128">
        <f t="shared" ref="J67:J70" si="8">SUM(D67:G67)/SUM($D$130:$G$130)</f>
        <v>1.0699307748798337</v>
      </c>
      <c r="K67" s="128">
        <f>SUM(D67:G67)/SUM($D$62:$G$62)</f>
        <v>1.3069932660125159</v>
      </c>
      <c r="L67" s="10">
        <f t="shared" si="3"/>
        <v>0.64034088616425844</v>
      </c>
    </row>
    <row r="68" spans="1:12" x14ac:dyDescent="0.25">
      <c r="A68" s="126" t="s">
        <v>244</v>
      </c>
      <c r="B68" s="126" t="s">
        <v>246</v>
      </c>
      <c r="C68" s="126" t="s">
        <v>19</v>
      </c>
      <c r="D68" s="127">
        <v>1662.0348926556894</v>
      </c>
      <c r="E68" s="127">
        <v>2648.3433479687578</v>
      </c>
      <c r="F68" s="127">
        <v>1598.7004486188921</v>
      </c>
      <c r="G68" s="127">
        <v>2526.1997101398169</v>
      </c>
      <c r="H68" s="126"/>
      <c r="I68" s="128">
        <f t="shared" si="7"/>
        <v>0.64080953849410038</v>
      </c>
      <c r="J68" s="128">
        <f t="shared" si="8"/>
        <v>0.74467702369443789</v>
      </c>
      <c r="K68" s="128">
        <f>SUM(D68:G68)/SUM($D$62:$G$62)</f>
        <v>0.9096736706467623</v>
      </c>
      <c r="L68" s="10">
        <f t="shared" ref="L68:L131" si="9">SUM(D68:G68)/SUM($D$23:$G$23)</f>
        <v>0.44568037152891005</v>
      </c>
    </row>
    <row r="69" spans="1:12" x14ac:dyDescent="0.25">
      <c r="A69" s="126" t="s">
        <v>244</v>
      </c>
      <c r="B69" s="126" t="s">
        <v>247</v>
      </c>
      <c r="C69" s="126" t="s">
        <v>19</v>
      </c>
      <c r="D69" s="127">
        <v>1662.0348926556894</v>
      </c>
      <c r="E69" s="127">
        <v>2648.3433479687578</v>
      </c>
      <c r="F69" s="127">
        <v>1598.7004486188921</v>
      </c>
      <c r="G69" s="127">
        <v>2526.1997101398169</v>
      </c>
      <c r="H69" s="126"/>
      <c r="I69" s="128">
        <f t="shared" si="7"/>
        <v>0.64080953849410038</v>
      </c>
      <c r="J69" s="128">
        <f t="shared" si="8"/>
        <v>0.74467702369443789</v>
      </c>
      <c r="K69" s="128">
        <f>SUM(D69:G69)/SUM($D$62:$G$62)</f>
        <v>0.9096736706467623</v>
      </c>
      <c r="L69" s="10">
        <f t="shared" si="9"/>
        <v>0.44568037152891005</v>
      </c>
    </row>
    <row r="70" spans="1:12" x14ac:dyDescent="0.25">
      <c r="A70" s="126" t="s">
        <v>244</v>
      </c>
      <c r="B70" s="126" t="s">
        <v>248</v>
      </c>
      <c r="C70" s="126" t="s">
        <v>19</v>
      </c>
      <c r="D70" s="127">
        <v>1690.6906666669947</v>
      </c>
      <c r="E70" s="127">
        <v>2694.0044401751156</v>
      </c>
      <c r="F70" s="127">
        <v>1626.2642494571487</v>
      </c>
      <c r="G70" s="127">
        <v>2569.7548775560208</v>
      </c>
      <c r="H70" s="126"/>
      <c r="I70" s="128">
        <f t="shared" si="7"/>
        <v>0.65185797881296426</v>
      </c>
      <c r="J70" s="128">
        <f t="shared" si="8"/>
        <v>0.75751628272365246</v>
      </c>
      <c r="K70" s="128">
        <f>SUM(D70:G70)/SUM($D$62:$G$62)</f>
        <v>0.92535769945101687</v>
      </c>
      <c r="L70" s="10">
        <f t="shared" si="9"/>
        <v>0.45336451586561544</v>
      </c>
    </row>
    <row r="71" spans="1:12" x14ac:dyDescent="0.25">
      <c r="A71" t="s">
        <v>101</v>
      </c>
      <c r="B71" t="s">
        <v>102</v>
      </c>
      <c r="C71" t="s">
        <v>6</v>
      </c>
      <c r="D71" s="94">
        <v>1496.7162964563847</v>
      </c>
      <c r="E71" s="94">
        <v>2301.7012127509624</v>
      </c>
      <c r="F71" s="94">
        <v>1336.978477299991</v>
      </c>
      <c r="G71" s="94">
        <v>2133.6681327652659</v>
      </c>
      <c r="I71" s="10">
        <f t="shared" ref="I71:I102" si="10">SUM(D71:G71)/SUM($D$135:$G$135)</f>
        <v>0.55221480584395788</v>
      </c>
      <c r="J71" s="10">
        <f t="shared" ref="J71:J102" si="11">SUM(D71:G71)/SUM($D$130:$G$130)</f>
        <v>0.64172215510750608</v>
      </c>
      <c r="K71" s="10">
        <f t="shared" si="6"/>
        <v>0.78390729107754553</v>
      </c>
      <c r="L71" s="10">
        <f t="shared" si="9"/>
        <v>0.38406310307218672</v>
      </c>
    </row>
    <row r="72" spans="1:12" x14ac:dyDescent="0.25">
      <c r="A72" t="s">
        <v>103</v>
      </c>
      <c r="B72" t="s">
        <v>104</v>
      </c>
      <c r="C72" t="s">
        <v>6</v>
      </c>
      <c r="D72" s="94">
        <v>1588.3150753120103</v>
      </c>
      <c r="E72" s="94">
        <v>2625.4350198653528</v>
      </c>
      <c r="F72" s="94">
        <v>1523.3304615500851</v>
      </c>
      <c r="G72" s="94">
        <v>2623.2440761789676</v>
      </c>
      <c r="I72" s="10">
        <f t="shared" si="10"/>
        <v>0.6351154657877548</v>
      </c>
      <c r="J72" s="10">
        <f t="shared" si="11"/>
        <v>0.73806001058688386</v>
      </c>
      <c r="K72" s="10">
        <f t="shared" ref="K72:K130" si="12">SUM(D72:G72)/SUM($D$62:$G$62)</f>
        <v>0.90159053875099915</v>
      </c>
      <c r="L72" s="10">
        <f t="shared" si="9"/>
        <v>0.44172016761989769</v>
      </c>
    </row>
    <row r="73" spans="1:12" x14ac:dyDescent="0.25">
      <c r="A73" t="s">
        <v>105</v>
      </c>
      <c r="B73" t="s">
        <v>106</v>
      </c>
      <c r="C73" t="s">
        <v>6</v>
      </c>
      <c r="D73" s="94">
        <v>1373.1809085240961</v>
      </c>
      <c r="E73" s="94">
        <v>2491.8359303010152</v>
      </c>
      <c r="F73" s="94">
        <v>1373.6746527408043</v>
      </c>
      <c r="G73" s="94">
        <v>2364.5121090497237</v>
      </c>
      <c r="I73" s="10">
        <f t="shared" si="10"/>
        <v>0.57759864698045749</v>
      </c>
      <c r="J73" s="10">
        <f t="shared" si="11"/>
        <v>0.6712204102550221</v>
      </c>
      <c r="K73" s="10">
        <f t="shared" si="12"/>
        <v>0.81994141752956062</v>
      </c>
      <c r="L73" s="10">
        <f t="shared" si="9"/>
        <v>0.40171745911553097</v>
      </c>
    </row>
    <row r="74" spans="1:12" x14ac:dyDescent="0.25">
      <c r="A74" t="s">
        <v>107</v>
      </c>
      <c r="B74" t="s">
        <v>108</v>
      </c>
      <c r="C74" t="s">
        <v>6</v>
      </c>
      <c r="D74" s="94">
        <v>1529.5208558969975</v>
      </c>
      <c r="E74" s="94">
        <v>1669.9977506700195</v>
      </c>
      <c r="F74" s="94">
        <v>1495.4211711621731</v>
      </c>
      <c r="G74" s="94">
        <v>1737.736624734742</v>
      </c>
      <c r="I74" s="10">
        <f t="shared" si="10"/>
        <v>0.48867627143713938</v>
      </c>
      <c r="J74" s="10">
        <f t="shared" si="11"/>
        <v>0.56788479181986229</v>
      </c>
      <c r="K74" s="10">
        <f t="shared" si="12"/>
        <v>0.6937099261051165</v>
      </c>
      <c r="L74" s="10">
        <f t="shared" si="9"/>
        <v>0.33987231638792448</v>
      </c>
    </row>
    <row r="75" spans="1:12" x14ac:dyDescent="0.25">
      <c r="A75" t="s">
        <v>109</v>
      </c>
      <c r="B75" t="s">
        <v>110</v>
      </c>
      <c r="C75" t="s">
        <v>6</v>
      </c>
      <c r="D75" s="94">
        <v>1673.5277627686078</v>
      </c>
      <c r="E75" s="94">
        <v>1827.2259571717536</v>
      </c>
      <c r="F75" s="94">
        <v>1636.2187093336825</v>
      </c>
      <c r="G75" s="94">
        <v>1901.3402280735429</v>
      </c>
      <c r="I75" s="10">
        <f t="shared" si="10"/>
        <v>0.53468512504126819</v>
      </c>
      <c r="J75" s="10">
        <f t="shared" si="11"/>
        <v>0.62135112480552712</v>
      </c>
      <c r="K75" s="10">
        <f t="shared" si="12"/>
        <v>0.75902269101600073</v>
      </c>
      <c r="L75" s="10">
        <f t="shared" si="9"/>
        <v>0.37187128290782778</v>
      </c>
    </row>
    <row r="76" spans="1:12" x14ac:dyDescent="0.25">
      <c r="A76" t="s">
        <v>111</v>
      </c>
      <c r="B76" t="s">
        <v>112</v>
      </c>
      <c r="C76" t="s">
        <v>6</v>
      </c>
      <c r="D76" s="94">
        <v>830.47621132523682</v>
      </c>
      <c r="E76" s="94">
        <v>1681.7418605905254</v>
      </c>
      <c r="F76" s="94">
        <v>854.53758262523581</v>
      </c>
      <c r="G76" s="94">
        <v>1669.2354300422289</v>
      </c>
      <c r="I76" s="10">
        <f t="shared" si="10"/>
        <v>0.38257316119028978</v>
      </c>
      <c r="J76" s="10">
        <f t="shared" si="11"/>
        <v>0.44458364912928078</v>
      </c>
      <c r="K76" s="10">
        <f t="shared" si="12"/>
        <v>0.54308918785563676</v>
      </c>
      <c r="L76" s="10">
        <f t="shared" si="9"/>
        <v>0.2660780440580906</v>
      </c>
    </row>
    <row r="77" spans="1:12" x14ac:dyDescent="0.25">
      <c r="A77" t="s">
        <v>113</v>
      </c>
      <c r="B77" t="s">
        <v>114</v>
      </c>
      <c r="C77" t="s">
        <v>6</v>
      </c>
      <c r="D77" s="94">
        <v>2296.1618237599864</v>
      </c>
      <c r="E77" s="94">
        <v>4036.9874756827589</v>
      </c>
      <c r="F77" s="94">
        <v>2121.4854893512802</v>
      </c>
      <c r="G77" s="94">
        <v>3731.356962118326</v>
      </c>
      <c r="I77" s="10">
        <f t="shared" si="10"/>
        <v>0.92574297850869947</v>
      </c>
      <c r="J77" s="10">
        <f t="shared" si="11"/>
        <v>1.0757947323348545</v>
      </c>
      <c r="K77" s="10">
        <f t="shared" si="12"/>
        <v>1.3141564891722168</v>
      </c>
      <c r="L77" s="10">
        <f t="shared" si="9"/>
        <v>0.64385039519169929</v>
      </c>
    </row>
    <row r="78" spans="1:12" x14ac:dyDescent="0.25">
      <c r="A78" t="s">
        <v>115</v>
      </c>
      <c r="B78" t="s">
        <v>116</v>
      </c>
      <c r="C78" t="s">
        <v>6</v>
      </c>
      <c r="D78" s="94">
        <v>1319.6854318398953</v>
      </c>
      <c r="E78" s="94">
        <v>2606.9732929387942</v>
      </c>
      <c r="F78" s="94">
        <v>1507.6780767156515</v>
      </c>
      <c r="G78" s="94">
        <v>2676.1898293081349</v>
      </c>
      <c r="I78" s="10">
        <f t="shared" si="10"/>
        <v>0.61613886123885453</v>
      </c>
      <c r="J78" s="10">
        <f t="shared" si="11"/>
        <v>0.71600752767829567</v>
      </c>
      <c r="K78" s="10">
        <f t="shared" si="12"/>
        <v>0.87465192988294604</v>
      </c>
      <c r="L78" s="10">
        <f t="shared" si="9"/>
        <v>0.42852201800185957</v>
      </c>
    </row>
    <row r="79" spans="1:12" x14ac:dyDescent="0.25">
      <c r="A79" t="s">
        <v>117</v>
      </c>
      <c r="B79" t="s">
        <v>118</v>
      </c>
      <c r="C79" t="s">
        <v>6</v>
      </c>
      <c r="D79" s="94">
        <v>2015.7088253121826</v>
      </c>
      <c r="E79" s="94">
        <v>3543.9101888225946</v>
      </c>
      <c r="F79" s="94">
        <v>1862.3674426633547</v>
      </c>
      <c r="G79" s="94">
        <v>3275.6093586712973</v>
      </c>
      <c r="I79" s="10">
        <f t="shared" si="10"/>
        <v>0.81267281445134942</v>
      </c>
      <c r="J79" s="10">
        <f t="shared" si="11"/>
        <v>0.94439726057321283</v>
      </c>
      <c r="K79" s="10">
        <f t="shared" si="12"/>
        <v>1.1536455338883822</v>
      </c>
      <c r="L79" s="10">
        <f t="shared" si="9"/>
        <v>0.56521056588401097</v>
      </c>
    </row>
    <row r="80" spans="1:12" x14ac:dyDescent="0.25">
      <c r="A80" t="s">
        <v>119</v>
      </c>
      <c r="B80" t="s">
        <v>120</v>
      </c>
      <c r="C80" t="s">
        <v>6</v>
      </c>
      <c r="D80" s="94">
        <v>2152.3287312738958</v>
      </c>
      <c r="E80" s="94">
        <v>3784.1079151279869</v>
      </c>
      <c r="F80" s="94">
        <v>1988.5942377677607</v>
      </c>
      <c r="G80" s="94">
        <v>3497.6222986998109</v>
      </c>
      <c r="I80" s="10">
        <f t="shared" si="10"/>
        <v>0.86775382719176275</v>
      </c>
      <c r="J80" s="10">
        <f t="shared" si="11"/>
        <v>1.0084062400993252</v>
      </c>
      <c r="K80" s="10">
        <f t="shared" si="12"/>
        <v>1.2318368591302962</v>
      </c>
      <c r="L80" s="10">
        <f t="shared" si="9"/>
        <v>0.60351918138936844</v>
      </c>
    </row>
    <row r="81" spans="1:12" x14ac:dyDescent="0.25">
      <c r="A81" t="s">
        <v>122</v>
      </c>
      <c r="B81" t="s">
        <v>124</v>
      </c>
      <c r="C81" t="s">
        <v>6</v>
      </c>
      <c r="D81" s="94">
        <v>2119.3114200654982</v>
      </c>
      <c r="E81" s="94">
        <v>2947.1558577277037</v>
      </c>
      <c r="F81" s="94">
        <v>1868.4801104088097</v>
      </c>
      <c r="G81" s="94">
        <v>2821.3141077339201</v>
      </c>
      <c r="I81" s="10">
        <f t="shared" si="10"/>
        <v>0.74116171756650584</v>
      </c>
      <c r="J81" s="10">
        <f t="shared" si="11"/>
        <v>0.86129507873853928</v>
      </c>
      <c r="K81" s="10">
        <f t="shared" si="12"/>
        <v>1.0521305624538382</v>
      </c>
      <c r="L81" s="10">
        <f t="shared" si="9"/>
        <v>0.51547489512140976</v>
      </c>
    </row>
    <row r="82" spans="1:12" x14ac:dyDescent="0.25">
      <c r="A82" t="s">
        <v>129</v>
      </c>
      <c r="B82" t="s">
        <v>130</v>
      </c>
      <c r="C82" t="s">
        <v>6</v>
      </c>
      <c r="D82" s="94">
        <v>1520.0547451952586</v>
      </c>
      <c r="E82" s="94">
        <v>2746.0446510084712</v>
      </c>
      <c r="F82" s="94">
        <v>1463.2700999218296</v>
      </c>
      <c r="G82" s="94">
        <v>2551.9867235358893</v>
      </c>
      <c r="I82" s="10">
        <f t="shared" si="10"/>
        <v>0.62911640920050338</v>
      </c>
      <c r="J82" s="10">
        <f t="shared" si="11"/>
        <v>0.73108857939553928</v>
      </c>
      <c r="K82" s="10">
        <f t="shared" si="12"/>
        <v>0.89307446104253219</v>
      </c>
      <c r="L82" s="10">
        <f t="shared" si="9"/>
        <v>0.43754784868889013</v>
      </c>
    </row>
    <row r="83" spans="1:12" x14ac:dyDescent="0.25">
      <c r="A83" t="s">
        <v>131</v>
      </c>
      <c r="B83" t="s">
        <v>132</v>
      </c>
      <c r="C83" t="s">
        <v>6</v>
      </c>
      <c r="D83" s="94">
        <v>1643.0368234005637</v>
      </c>
      <c r="E83" s="94">
        <v>2336.2254669816803</v>
      </c>
      <c r="F83" s="94">
        <v>1576.4353021772642</v>
      </c>
      <c r="G83" s="94">
        <v>2189.740907473069</v>
      </c>
      <c r="I83" s="10">
        <f t="shared" si="10"/>
        <v>0.58840391930671376</v>
      </c>
      <c r="J83" s="10">
        <f t="shared" si="11"/>
        <v>0.68377708669750059</v>
      </c>
      <c r="K83" s="10">
        <f t="shared" si="12"/>
        <v>0.83528025247022364</v>
      </c>
      <c r="L83" s="10">
        <f t="shared" si="9"/>
        <v>0.4092324811237143</v>
      </c>
    </row>
    <row r="84" spans="1:12" x14ac:dyDescent="0.25">
      <c r="A84" t="s">
        <v>133</v>
      </c>
      <c r="B84" t="s">
        <v>134</v>
      </c>
      <c r="C84" t="s">
        <v>6</v>
      </c>
      <c r="D84" s="94">
        <v>1734.3497013420633</v>
      </c>
      <c r="E84" s="94">
        <v>2824.3765765326593</v>
      </c>
      <c r="F84" s="94">
        <v>1684.0600771300585</v>
      </c>
      <c r="G84" s="94">
        <v>2806.4043482024717</v>
      </c>
      <c r="I84" s="10">
        <f t="shared" si="10"/>
        <v>0.68744710532510578</v>
      </c>
      <c r="J84" s="10">
        <f t="shared" si="11"/>
        <v>0.7988739767261902</v>
      </c>
      <c r="K84" s="10">
        <f t="shared" si="12"/>
        <v>0.97587893767336265</v>
      </c>
      <c r="L84" s="10">
        <f t="shared" si="9"/>
        <v>0.47811660548587109</v>
      </c>
    </row>
    <row r="85" spans="1:12" x14ac:dyDescent="0.25">
      <c r="A85" t="s">
        <v>135</v>
      </c>
      <c r="B85" t="s">
        <v>136</v>
      </c>
      <c r="C85" t="s">
        <v>6</v>
      </c>
      <c r="D85" s="94">
        <v>1894.215607500764</v>
      </c>
      <c r="E85" s="94">
        <v>2068.506845677302</v>
      </c>
      <c r="F85" s="94">
        <v>1852.2178959398857</v>
      </c>
      <c r="G85" s="94">
        <v>2151.9351153681223</v>
      </c>
      <c r="I85" s="10">
        <f t="shared" si="10"/>
        <v>0.60522599823268686</v>
      </c>
      <c r="J85" s="10">
        <f t="shared" si="11"/>
        <v>0.70332582140638933</v>
      </c>
      <c r="K85" s="10">
        <f t="shared" si="12"/>
        <v>0.85916036249552152</v>
      </c>
      <c r="L85" s="10">
        <f t="shared" si="9"/>
        <v>0.4209321671228255</v>
      </c>
    </row>
    <row r="86" spans="1:12" x14ac:dyDescent="0.25">
      <c r="A86" t="s">
        <v>137</v>
      </c>
      <c r="B86" t="s">
        <v>138</v>
      </c>
      <c r="C86" t="s">
        <v>6</v>
      </c>
      <c r="D86" s="94">
        <v>1114.0972701198125</v>
      </c>
      <c r="E86" s="94">
        <v>2335.8251789783631</v>
      </c>
      <c r="F86" s="94">
        <v>1082.1503576150756</v>
      </c>
      <c r="G86" s="94">
        <v>1924.5308877875939</v>
      </c>
      <c r="I86" s="10">
        <f t="shared" si="10"/>
        <v>0.49049397516209403</v>
      </c>
      <c r="J86" s="10">
        <f t="shared" si="11"/>
        <v>0.56999712336074182</v>
      </c>
      <c r="K86" s="10">
        <f t="shared" si="12"/>
        <v>0.69629028285747308</v>
      </c>
      <c r="L86" s="10">
        <f t="shared" si="9"/>
        <v>0.34113652177626974</v>
      </c>
    </row>
    <row r="87" spans="1:12" x14ac:dyDescent="0.25">
      <c r="A87" t="s">
        <v>139</v>
      </c>
      <c r="B87" t="s">
        <v>140</v>
      </c>
      <c r="C87" t="s">
        <v>6</v>
      </c>
      <c r="D87" s="94">
        <v>1188.3430626122133</v>
      </c>
      <c r="E87" s="94">
        <v>2134.6152349080344</v>
      </c>
      <c r="F87" s="94">
        <v>1144.2567512609858</v>
      </c>
      <c r="G87" s="94">
        <v>1985.7212686894673</v>
      </c>
      <c r="I87" s="10">
        <f t="shared" si="10"/>
        <v>0.49021537259903658</v>
      </c>
      <c r="J87" s="10">
        <f t="shared" si="11"/>
        <v>0.56967336268773627</v>
      </c>
      <c r="K87" s="10">
        <f t="shared" si="12"/>
        <v>0.69589478715872988</v>
      </c>
      <c r="L87" s="10">
        <f t="shared" si="9"/>
        <v>0.34094275485122655</v>
      </c>
    </row>
    <row r="88" spans="1:12" x14ac:dyDescent="0.25">
      <c r="A88" t="s">
        <v>141</v>
      </c>
      <c r="B88" t="s">
        <v>141</v>
      </c>
      <c r="C88" t="s">
        <v>6</v>
      </c>
      <c r="D88" s="94">
        <v>1693.2149324821337</v>
      </c>
      <c r="E88" s="94">
        <v>2653.6680039972612</v>
      </c>
      <c r="F88" s="94">
        <v>1610.7371756362538</v>
      </c>
      <c r="G88" s="94">
        <v>2637.3838737655965</v>
      </c>
      <c r="I88" s="10">
        <f t="shared" si="10"/>
        <v>0.65294353983032472</v>
      </c>
      <c r="J88" s="10">
        <f t="shared" si="11"/>
        <v>0.75877780006833251</v>
      </c>
      <c r="K88" s="10">
        <f t="shared" si="12"/>
        <v>0.92689872875231916</v>
      </c>
      <c r="L88" s="10">
        <f t="shared" si="9"/>
        <v>0.45411951904280201</v>
      </c>
    </row>
    <row r="89" spans="1:12" x14ac:dyDescent="0.25">
      <c r="A89" t="s">
        <v>142</v>
      </c>
      <c r="B89" t="s">
        <v>143</v>
      </c>
      <c r="C89" t="s">
        <v>6</v>
      </c>
      <c r="D89" s="94">
        <v>1966.0459740896945</v>
      </c>
      <c r="E89" s="94">
        <v>3458.5235453255482</v>
      </c>
      <c r="F89" s="94">
        <v>1816.2519311923984</v>
      </c>
      <c r="G89" s="94">
        <v>3196.4294819564725</v>
      </c>
      <c r="I89" s="10">
        <f t="shared" si="10"/>
        <v>0.79289498657597612</v>
      </c>
      <c r="J89" s="10">
        <f t="shared" si="11"/>
        <v>0.92141368571572102</v>
      </c>
      <c r="K89" s="10">
        <f t="shared" si="12"/>
        <v>1.1255695328302671</v>
      </c>
      <c r="L89" s="10">
        <f t="shared" si="9"/>
        <v>0.55145516877140643</v>
      </c>
    </row>
    <row r="90" spans="1:12" x14ac:dyDescent="0.25">
      <c r="A90" t="s">
        <v>144</v>
      </c>
      <c r="B90" t="s">
        <v>145</v>
      </c>
      <c r="C90" t="s">
        <v>6</v>
      </c>
      <c r="D90" s="94">
        <v>1215.97718580319</v>
      </c>
      <c r="E90" s="94">
        <v>2084.4792600783703</v>
      </c>
      <c r="F90" s="94">
        <v>1219.6884707685394</v>
      </c>
      <c r="G90" s="94">
        <v>1906.7676931541969</v>
      </c>
      <c r="I90" s="10">
        <f t="shared" si="10"/>
        <v>0.48823840879179187</v>
      </c>
      <c r="J90" s="10">
        <f t="shared" si="11"/>
        <v>0.56737595692909171</v>
      </c>
      <c r="K90" s="10">
        <f t="shared" si="12"/>
        <v>0.69308834965235577</v>
      </c>
      <c r="L90" s="10">
        <f t="shared" si="9"/>
        <v>0.33956778473735683</v>
      </c>
    </row>
    <row r="91" spans="1:12" x14ac:dyDescent="0.25">
      <c r="A91" t="s">
        <v>146</v>
      </c>
      <c r="B91" t="s">
        <v>147</v>
      </c>
      <c r="C91" t="s">
        <v>6</v>
      </c>
      <c r="D91" s="94">
        <v>1534.1326976613793</v>
      </c>
      <c r="E91" s="94">
        <v>2869.1798522368226</v>
      </c>
      <c r="F91" s="94">
        <v>1472.1523805788572</v>
      </c>
      <c r="G91" s="94">
        <v>2661.3449624351565</v>
      </c>
      <c r="I91" s="10">
        <f t="shared" si="10"/>
        <v>0.64852266264134018</v>
      </c>
      <c r="J91" s="10">
        <f t="shared" si="11"/>
        <v>0.75364035209128133</v>
      </c>
      <c r="K91" s="10">
        <f t="shared" si="12"/>
        <v>0.92062298636959383</v>
      </c>
      <c r="L91" s="10">
        <f t="shared" si="9"/>
        <v>0.45104481732612584</v>
      </c>
    </row>
    <row r="92" spans="1:12" x14ac:dyDescent="0.25">
      <c r="A92" t="s">
        <v>148</v>
      </c>
      <c r="B92" t="s">
        <v>149</v>
      </c>
      <c r="C92" t="s">
        <v>6</v>
      </c>
      <c r="D92" s="94">
        <v>2034.9204684813353</v>
      </c>
      <c r="E92" s="94">
        <v>3577.6870603212042</v>
      </c>
      <c r="F92" s="94">
        <v>1880.1175950211759</v>
      </c>
      <c r="G92" s="94">
        <v>3306.8290652926553</v>
      </c>
      <c r="I92" s="10">
        <f t="shared" si="10"/>
        <v>0.82041836774181154</v>
      </c>
      <c r="J92" s="10">
        <f t="shared" si="11"/>
        <v>0.95339827448565007</v>
      </c>
      <c r="K92" s="10">
        <f t="shared" si="12"/>
        <v>1.1646408850335643</v>
      </c>
      <c r="L92" s="10">
        <f t="shared" si="9"/>
        <v>0.5705975660155983</v>
      </c>
    </row>
    <row r="93" spans="1:12" x14ac:dyDescent="0.25">
      <c r="A93" t="s">
        <v>150</v>
      </c>
      <c r="B93" t="s">
        <v>151</v>
      </c>
      <c r="C93" t="s">
        <v>6</v>
      </c>
      <c r="D93" s="94">
        <v>1577.5702224997879</v>
      </c>
      <c r="E93" s="94">
        <v>2449.1521636030348</v>
      </c>
      <c r="F93" s="94">
        <v>1485.9443550005528</v>
      </c>
      <c r="G93" s="94">
        <v>2348.6630603431813</v>
      </c>
      <c r="I93" s="10">
        <f t="shared" si="10"/>
        <v>0.59720792646076382</v>
      </c>
      <c r="J93" s="10">
        <f t="shared" si="11"/>
        <v>0.69400811705867382</v>
      </c>
      <c r="K93" s="10">
        <f t="shared" si="12"/>
        <v>0.84777815242821375</v>
      </c>
      <c r="L93" s="10">
        <f t="shared" si="9"/>
        <v>0.41535563151966665</v>
      </c>
    </row>
    <row r="94" spans="1:12" x14ac:dyDescent="0.25">
      <c r="A94" t="s">
        <v>152</v>
      </c>
      <c r="B94" t="s">
        <v>153</v>
      </c>
      <c r="C94" t="s">
        <v>6</v>
      </c>
      <c r="D94" s="94">
        <v>1295.6001312216631</v>
      </c>
      <c r="E94" s="94">
        <v>2490.5615815081237</v>
      </c>
      <c r="F94" s="94">
        <v>1230.6172419225322</v>
      </c>
      <c r="G94" s="94">
        <v>2412.1794767134561</v>
      </c>
      <c r="I94" s="10">
        <f t="shared" si="10"/>
        <v>0.56436162489236641</v>
      </c>
      <c r="J94" s="10">
        <f t="shared" si="11"/>
        <v>0.65583782678989178</v>
      </c>
      <c r="K94" s="10">
        <f t="shared" si="12"/>
        <v>0.80115054481626868</v>
      </c>
      <c r="L94" s="10">
        <f t="shared" si="9"/>
        <v>0.39251116525164664</v>
      </c>
    </row>
    <row r="95" spans="1:12" x14ac:dyDescent="0.25">
      <c r="A95" t="s">
        <v>154</v>
      </c>
      <c r="B95" t="s">
        <v>155</v>
      </c>
      <c r="C95" t="s">
        <v>6</v>
      </c>
      <c r="D95" s="94">
        <v>1314.8010207553957</v>
      </c>
      <c r="E95" s="94">
        <v>2468.3622857612522</v>
      </c>
      <c r="F95" s="94">
        <v>1333.1977469862436</v>
      </c>
      <c r="G95" s="94">
        <v>2365.7859156820491</v>
      </c>
      <c r="I95" s="10">
        <f t="shared" si="10"/>
        <v>0.56840224107114812</v>
      </c>
      <c r="J95" s="10">
        <f t="shared" si="11"/>
        <v>0.66053337804054535</v>
      </c>
      <c r="K95" s="10">
        <f t="shared" si="12"/>
        <v>0.80688648027013954</v>
      </c>
      <c r="L95" s="10">
        <f t="shared" si="9"/>
        <v>0.39532139701566976</v>
      </c>
    </row>
    <row r="96" spans="1:12" x14ac:dyDescent="0.25">
      <c r="A96" t="s">
        <v>156</v>
      </c>
      <c r="B96" t="s">
        <v>157</v>
      </c>
      <c r="C96" t="s">
        <v>6</v>
      </c>
      <c r="D96" s="94">
        <v>1530.0700764233372</v>
      </c>
      <c r="E96" s="94">
        <v>3022.5777374556583</v>
      </c>
      <c r="F96" s="94">
        <v>1498.046001071996</v>
      </c>
      <c r="G96" s="94">
        <v>2854.5042755373988</v>
      </c>
      <c r="I96" s="10">
        <f t="shared" si="10"/>
        <v>0.67650830338708301</v>
      </c>
      <c r="J96" s="10">
        <f t="shared" si="11"/>
        <v>0.78616212713491762</v>
      </c>
      <c r="K96" s="10">
        <f t="shared" si="12"/>
        <v>0.96035054816963694</v>
      </c>
      <c r="L96" s="10">
        <f t="shared" si="9"/>
        <v>0.47050871418750517</v>
      </c>
    </row>
    <row r="97" spans="1:12" x14ac:dyDescent="0.25">
      <c r="A97" t="s">
        <v>158</v>
      </c>
      <c r="B97" t="s">
        <v>159</v>
      </c>
      <c r="C97" t="s">
        <v>6</v>
      </c>
      <c r="D97" s="94">
        <v>1463.9299451555016</v>
      </c>
      <c r="E97" s="94">
        <v>1598.3824743562766</v>
      </c>
      <c r="F97" s="94">
        <v>1431.2926287843352</v>
      </c>
      <c r="G97" s="94">
        <v>1663.2163600848196</v>
      </c>
      <c r="I97" s="10">
        <f t="shared" si="10"/>
        <v>0.46772017454500286</v>
      </c>
      <c r="J97" s="10">
        <f t="shared" si="11"/>
        <v>0.54353196477149879</v>
      </c>
      <c r="K97" s="10">
        <f t="shared" si="12"/>
        <v>0.66396129029813789</v>
      </c>
      <c r="L97" s="10">
        <f t="shared" si="9"/>
        <v>0.32529743806974037</v>
      </c>
    </row>
    <row r="98" spans="1:12" x14ac:dyDescent="0.25">
      <c r="A98" t="s">
        <v>160</v>
      </c>
      <c r="B98" t="s">
        <v>161</v>
      </c>
      <c r="C98" t="s">
        <v>6</v>
      </c>
      <c r="D98" s="94">
        <v>2404.2992766181596</v>
      </c>
      <c r="E98" s="94">
        <v>3053.807344274383</v>
      </c>
      <c r="F98" s="94">
        <v>2348.6984501773882</v>
      </c>
      <c r="G98" s="94">
        <v>3134.8650319503477</v>
      </c>
      <c r="I98" s="10">
        <f t="shared" si="10"/>
        <v>0.83121460100046607</v>
      </c>
      <c r="J98" s="10">
        <f t="shared" si="11"/>
        <v>0.96594444673686075</v>
      </c>
      <c r="K98" s="10">
        <f t="shared" si="12"/>
        <v>1.1799668883896293</v>
      </c>
      <c r="L98" s="10">
        <f t="shared" si="9"/>
        <v>0.57810630138982089</v>
      </c>
    </row>
    <row r="99" spans="1:12" x14ac:dyDescent="0.25">
      <c r="A99" t="s">
        <v>162</v>
      </c>
      <c r="B99" t="s">
        <v>163</v>
      </c>
      <c r="C99" t="s">
        <v>6</v>
      </c>
      <c r="D99" s="94">
        <v>1799.0835187324785</v>
      </c>
      <c r="E99" s="94">
        <v>1964.3228769334448</v>
      </c>
      <c r="F99" s="94">
        <v>1758.9729366360996</v>
      </c>
      <c r="G99" s="94">
        <v>2044.0023722255091</v>
      </c>
      <c r="I99" s="10">
        <f t="shared" si="10"/>
        <v>0.57480136855981601</v>
      </c>
      <c r="J99" s="10">
        <f t="shared" si="11"/>
        <v>0.66796972679356303</v>
      </c>
      <c r="K99" s="10">
        <f t="shared" si="12"/>
        <v>0.81597048642465586</v>
      </c>
      <c r="L99" s="10">
        <f t="shared" si="9"/>
        <v>0.39977196359636152</v>
      </c>
    </row>
    <row r="100" spans="1:12" x14ac:dyDescent="0.25">
      <c r="A100" t="s">
        <v>164</v>
      </c>
      <c r="B100" t="s">
        <v>165</v>
      </c>
      <c r="C100" t="s">
        <v>6</v>
      </c>
      <c r="D100" s="94">
        <v>1222.5621972396791</v>
      </c>
      <c r="E100" s="94">
        <v>2017.8276508288718</v>
      </c>
      <c r="F100" s="94">
        <v>1221.1425538295853</v>
      </c>
      <c r="G100" s="94">
        <v>2035.0220333043619</v>
      </c>
      <c r="I100" s="10">
        <f t="shared" si="10"/>
        <v>0.49352894502312383</v>
      </c>
      <c r="J100" s="10">
        <f t="shared" si="11"/>
        <v>0.57352402517375967</v>
      </c>
      <c r="K100" s="10">
        <f t="shared" si="12"/>
        <v>0.700598633479521</v>
      </c>
      <c r="L100" s="10">
        <f t="shared" si="9"/>
        <v>0.34324733070464725</v>
      </c>
    </row>
    <row r="101" spans="1:12" x14ac:dyDescent="0.25">
      <c r="A101" t="s">
        <v>166</v>
      </c>
      <c r="B101" t="s">
        <v>167</v>
      </c>
      <c r="C101" t="s">
        <v>6</v>
      </c>
      <c r="D101" s="94">
        <v>1131.9708417498223</v>
      </c>
      <c r="E101" s="94">
        <v>2386.4035245022337</v>
      </c>
      <c r="F101" s="94">
        <v>1101.7878520972577</v>
      </c>
      <c r="G101" s="94">
        <v>1954.9470787400253</v>
      </c>
      <c r="I101" s="10">
        <f t="shared" si="10"/>
        <v>0.49949658502370226</v>
      </c>
      <c r="J101" s="10">
        <f t="shared" si="11"/>
        <v>0.58045894752924443</v>
      </c>
      <c r="K101" s="10">
        <f t="shared" si="12"/>
        <v>0.709070113160023</v>
      </c>
      <c r="L101" s="10">
        <f t="shared" si="9"/>
        <v>0.34739779953015626</v>
      </c>
    </row>
    <row r="102" spans="1:12" x14ac:dyDescent="0.25">
      <c r="A102" t="s">
        <v>168</v>
      </c>
      <c r="B102" t="s">
        <v>169</v>
      </c>
      <c r="C102" t="s">
        <v>6</v>
      </c>
      <c r="D102" s="94">
        <v>1997.6044936253784</v>
      </c>
      <c r="E102" s="94">
        <v>3507.209324201905</v>
      </c>
      <c r="F102" s="94">
        <v>1846.2231541849594</v>
      </c>
      <c r="G102" s="94">
        <v>3242.3379741483109</v>
      </c>
      <c r="I102" s="10">
        <f t="shared" si="10"/>
        <v>0.80475538434398541</v>
      </c>
      <c r="J102" s="10">
        <f t="shared" si="11"/>
        <v>0.93519651068812837</v>
      </c>
      <c r="K102" s="10">
        <f t="shared" si="12"/>
        <v>1.1424061916576465</v>
      </c>
      <c r="L102" s="10">
        <f t="shared" si="9"/>
        <v>0.55970402614039783</v>
      </c>
    </row>
    <row r="103" spans="1:12" x14ac:dyDescent="0.25">
      <c r="A103" t="s">
        <v>170</v>
      </c>
      <c r="B103" t="s">
        <v>171</v>
      </c>
      <c r="C103" t="s">
        <v>6</v>
      </c>
      <c r="D103" s="94">
        <v>2296.0924695170288</v>
      </c>
      <c r="E103" s="94">
        <v>3663.0120596745392</v>
      </c>
      <c r="F103" s="94">
        <v>2108.0354384536954</v>
      </c>
      <c r="G103" s="94">
        <v>3403.5698217151935</v>
      </c>
      <c r="I103" s="10">
        <f t="shared" ref="I103:I131" si="13">SUM(D103:G103)/SUM($D$135:$G$135)</f>
        <v>0.87140458184016234</v>
      </c>
      <c r="J103" s="10">
        <f t="shared" ref="J103:J130" si="14">SUM(D103:G103)/SUM($D$130:$G$130)</f>
        <v>1.0126487379750553</v>
      </c>
      <c r="K103" s="10">
        <f t="shared" si="12"/>
        <v>1.2370193590497647</v>
      </c>
      <c r="L103" s="10">
        <f t="shared" si="9"/>
        <v>0.60605826607884294</v>
      </c>
    </row>
    <row r="104" spans="1:12" x14ac:dyDescent="0.25">
      <c r="A104" t="s">
        <v>170</v>
      </c>
      <c r="B104" t="s">
        <v>172</v>
      </c>
      <c r="C104" t="s">
        <v>6</v>
      </c>
      <c r="D104" s="94">
        <v>3544.5099337708607</v>
      </c>
      <c r="E104" s="94">
        <v>6238.7277692203243</v>
      </c>
      <c r="F104" s="94">
        <v>3274.0347654379552</v>
      </c>
      <c r="G104" s="94">
        <v>5765.4784027057276</v>
      </c>
      <c r="I104" s="10">
        <f t="shared" si="13"/>
        <v>1.4299229649377545</v>
      </c>
      <c r="J104" s="10">
        <f t="shared" si="14"/>
        <v>1.6616962040616952</v>
      </c>
      <c r="K104" s="10">
        <f t="shared" si="12"/>
        <v>2.0298750160832761</v>
      </c>
      <c r="L104" s="10">
        <f t="shared" si="9"/>
        <v>0.99450548094025648</v>
      </c>
    </row>
    <row r="105" spans="1:12" x14ac:dyDescent="0.25">
      <c r="A105" t="s">
        <v>173</v>
      </c>
      <c r="B105" t="s">
        <v>174</v>
      </c>
      <c r="C105" t="s">
        <v>6</v>
      </c>
      <c r="D105" s="94">
        <v>1781.4764075893925</v>
      </c>
      <c r="E105" s="94">
        <v>3058.6922783251762</v>
      </c>
      <c r="F105" s="94">
        <v>1654.7364699426671</v>
      </c>
      <c r="G105" s="94">
        <v>2836.9358946501002</v>
      </c>
      <c r="I105" s="10">
        <f t="shared" si="13"/>
        <v>0.70891943024822968</v>
      </c>
      <c r="J105" s="10">
        <f t="shared" si="14"/>
        <v>0.82382670613332121</v>
      </c>
      <c r="K105" s="10">
        <f t="shared" si="12"/>
        <v>1.0063603950437383</v>
      </c>
      <c r="L105" s="10">
        <f t="shared" si="9"/>
        <v>0.49305051825473578</v>
      </c>
    </row>
    <row r="106" spans="1:12" x14ac:dyDescent="0.25">
      <c r="A106" t="s">
        <v>175</v>
      </c>
      <c r="B106" t="s">
        <v>176</v>
      </c>
      <c r="C106" t="s">
        <v>6</v>
      </c>
      <c r="D106" s="94">
        <v>2190.1018448012728</v>
      </c>
      <c r="E106" s="94">
        <v>3839.856329409361</v>
      </c>
      <c r="F106" s="94">
        <v>2028.3566102431946</v>
      </c>
      <c r="G106" s="94">
        <v>3435.688127491439</v>
      </c>
      <c r="I106" s="10">
        <f t="shared" si="13"/>
        <v>0.87317410910730642</v>
      </c>
      <c r="J106" s="10">
        <f t="shared" si="14"/>
        <v>1.0147050842362855</v>
      </c>
      <c r="K106" s="10">
        <f t="shared" si="12"/>
        <v>1.2395313259724094</v>
      </c>
      <c r="L106" s="10">
        <f t="shared" si="9"/>
        <v>0.60728896494094886</v>
      </c>
    </row>
    <row r="107" spans="1:12" x14ac:dyDescent="0.25">
      <c r="A107" t="s">
        <v>175</v>
      </c>
      <c r="B107" t="s">
        <v>177</v>
      </c>
      <c r="C107" t="s">
        <v>6</v>
      </c>
      <c r="D107" s="94">
        <v>2190.1018448012728</v>
      </c>
      <c r="E107" s="94">
        <v>3839.856329409361</v>
      </c>
      <c r="F107" s="94">
        <v>2028.3566102431946</v>
      </c>
      <c r="G107" s="94">
        <v>3435.688127491439</v>
      </c>
      <c r="I107" s="10">
        <f t="shared" si="13"/>
        <v>0.87317410910730642</v>
      </c>
      <c r="J107" s="10">
        <f t="shared" si="14"/>
        <v>1.0147050842362855</v>
      </c>
      <c r="K107" s="10">
        <f t="shared" si="12"/>
        <v>1.2395313259724094</v>
      </c>
      <c r="L107" s="10">
        <f t="shared" si="9"/>
        <v>0.60728896494094886</v>
      </c>
    </row>
    <row r="108" spans="1:12" x14ac:dyDescent="0.25">
      <c r="A108" t="s">
        <v>178</v>
      </c>
      <c r="B108" t="s">
        <v>179</v>
      </c>
      <c r="C108" t="s">
        <v>6</v>
      </c>
      <c r="D108" s="94">
        <v>1506.1627302319719</v>
      </c>
      <c r="E108" s="94">
        <v>2975.3499598287158</v>
      </c>
      <c r="F108" s="94">
        <v>1457.477088247058</v>
      </c>
      <c r="G108" s="94">
        <v>2792.7407013013853</v>
      </c>
      <c r="I108" s="10">
        <f t="shared" si="13"/>
        <v>0.66333035069741952</v>
      </c>
      <c r="J108" s="10">
        <f t="shared" si="14"/>
        <v>0.77084818750414064</v>
      </c>
      <c r="K108" s="10">
        <f t="shared" si="12"/>
        <v>0.94164352857222811</v>
      </c>
      <c r="L108" s="10">
        <f t="shared" si="9"/>
        <v>0.46134350284480019</v>
      </c>
    </row>
    <row r="109" spans="1:12" x14ac:dyDescent="0.25">
      <c r="A109" t="s">
        <v>180</v>
      </c>
      <c r="B109" t="s">
        <v>181</v>
      </c>
      <c r="C109" t="s">
        <v>8</v>
      </c>
      <c r="D109" s="94">
        <v>1468.0912200381902</v>
      </c>
      <c r="E109" s="94">
        <v>2616.883051055594</v>
      </c>
      <c r="F109" s="94">
        <v>1425.7413971689709</v>
      </c>
      <c r="G109" s="94">
        <v>2607.9499478482348</v>
      </c>
      <c r="I109" s="10">
        <f t="shared" si="13"/>
        <v>0.61675716204321696</v>
      </c>
      <c r="J109" s="10">
        <f t="shared" si="14"/>
        <v>0.71672604757396152</v>
      </c>
      <c r="K109" s="10">
        <f t="shared" si="12"/>
        <v>0.87552965084132939</v>
      </c>
      <c r="L109" s="10">
        <f t="shared" si="9"/>
        <v>0.42895204364232126</v>
      </c>
    </row>
    <row r="110" spans="1:12" x14ac:dyDescent="0.25">
      <c r="A110" t="s">
        <v>182</v>
      </c>
      <c r="B110" t="s">
        <v>183</v>
      </c>
      <c r="C110" t="s">
        <v>8</v>
      </c>
      <c r="D110" s="94">
        <v>1928.275794367227</v>
      </c>
      <c r="E110" s="94">
        <v>3165.0262771161115</v>
      </c>
      <c r="F110" s="94">
        <v>1774.3505185747733</v>
      </c>
      <c r="G110" s="94">
        <v>3010.5880724723706</v>
      </c>
      <c r="I110" s="10">
        <f t="shared" si="13"/>
        <v>0.75042820644220964</v>
      </c>
      <c r="J110" s="10">
        <f t="shared" si="14"/>
        <v>0.87206355352165965</v>
      </c>
      <c r="K110" s="10">
        <f t="shared" si="12"/>
        <v>1.0652849873542198</v>
      </c>
      <c r="L110" s="10">
        <f t="shared" si="9"/>
        <v>0.52191969963321128</v>
      </c>
    </row>
    <row r="111" spans="1:12" x14ac:dyDescent="0.25">
      <c r="A111" t="s">
        <v>182</v>
      </c>
      <c r="B111" t="s">
        <v>184</v>
      </c>
      <c r="C111" t="s">
        <v>8</v>
      </c>
      <c r="D111" s="94">
        <v>1966.8413102545715</v>
      </c>
      <c r="E111" s="94">
        <v>3228.3268026584346</v>
      </c>
      <c r="F111" s="94">
        <v>1809.837528946269</v>
      </c>
      <c r="G111" s="94">
        <v>3070.7998339218179</v>
      </c>
      <c r="I111" s="10">
        <f t="shared" si="13"/>
        <v>0.76543677057105386</v>
      </c>
      <c r="J111" s="10">
        <f t="shared" si="14"/>
        <v>0.8895048245920929</v>
      </c>
      <c r="K111" s="10">
        <f t="shared" si="12"/>
        <v>1.0865906871013042</v>
      </c>
      <c r="L111" s="10">
        <f t="shared" si="9"/>
        <v>0.53235809362587549</v>
      </c>
    </row>
    <row r="112" spans="1:12" x14ac:dyDescent="0.25">
      <c r="A112" t="s">
        <v>182</v>
      </c>
      <c r="B112" t="s">
        <v>185</v>
      </c>
      <c r="C112" t="s">
        <v>8</v>
      </c>
      <c r="D112" s="94">
        <v>2005.4068261419163</v>
      </c>
      <c r="E112" s="94">
        <v>3291.627328200756</v>
      </c>
      <c r="F112" s="94">
        <v>1845.3245393177642</v>
      </c>
      <c r="G112" s="94">
        <v>3131.0115953712652</v>
      </c>
      <c r="I112" s="10">
        <f t="shared" si="13"/>
        <v>0.78044533469989796</v>
      </c>
      <c r="J112" s="10">
        <f t="shared" si="14"/>
        <v>0.90694609566252604</v>
      </c>
      <c r="K112" s="10">
        <f t="shared" si="12"/>
        <v>1.1078963868483886</v>
      </c>
      <c r="L112" s="10">
        <f t="shared" si="9"/>
        <v>0.54279648761853971</v>
      </c>
    </row>
    <row r="113" spans="1:12" x14ac:dyDescent="0.25">
      <c r="A113" t="s">
        <v>182</v>
      </c>
      <c r="B113" t="s">
        <v>186</v>
      </c>
      <c r="C113" t="s">
        <v>8</v>
      </c>
      <c r="D113" s="94">
        <v>1986.1240681982438</v>
      </c>
      <c r="E113" s="94">
        <v>3259.9770654295953</v>
      </c>
      <c r="F113" s="94">
        <v>1827.5810341320166</v>
      </c>
      <c r="G113" s="94">
        <v>3100.9057146465416</v>
      </c>
      <c r="I113" s="10">
        <f t="shared" si="13"/>
        <v>0.77294105263547586</v>
      </c>
      <c r="J113" s="10">
        <f t="shared" si="14"/>
        <v>0.89822546012730942</v>
      </c>
      <c r="K113" s="10">
        <f t="shared" si="12"/>
        <v>1.0972435369748463</v>
      </c>
      <c r="L113" s="10">
        <f t="shared" si="9"/>
        <v>0.5375772906222076</v>
      </c>
    </row>
    <row r="114" spans="1:12" x14ac:dyDescent="0.25">
      <c r="A114" t="s">
        <v>180</v>
      </c>
      <c r="B114" t="s">
        <v>187</v>
      </c>
      <c r="C114" t="s">
        <v>8</v>
      </c>
      <c r="D114" s="94">
        <v>1264.3511569439829</v>
      </c>
      <c r="E114" s="94">
        <v>2311.4656230883143</v>
      </c>
      <c r="F114" s="94">
        <v>1266.0720716790649</v>
      </c>
      <c r="G114" s="94">
        <v>2375.1487311703627</v>
      </c>
      <c r="I114" s="10">
        <f t="shared" si="13"/>
        <v>0.54826246435674342</v>
      </c>
      <c r="J114" s="10">
        <f t="shared" si="14"/>
        <v>0.6371291868095631</v>
      </c>
      <c r="K114" s="10">
        <f>SUM(D114:G114)/SUM($D$62:$G$62)</f>
        <v>0.77829666768268646</v>
      </c>
      <c r="L114" s="10">
        <f t="shared" si="9"/>
        <v>0.38131426598937684</v>
      </c>
    </row>
    <row r="115" spans="1:12" x14ac:dyDescent="0.25">
      <c r="A115" t="s">
        <v>180</v>
      </c>
      <c r="B115" t="s">
        <v>188</v>
      </c>
      <c r="C115" t="s">
        <v>8</v>
      </c>
      <c r="D115" s="94">
        <v>1210.7079319686227</v>
      </c>
      <c r="E115" s="94">
        <v>2211.0851594325704</v>
      </c>
      <c r="F115" s="94">
        <v>1224.190615070562</v>
      </c>
      <c r="G115" s="94">
        <v>2285.1756669653901</v>
      </c>
      <c r="I115" s="10">
        <f t="shared" si="13"/>
        <v>0.52654492584928925</v>
      </c>
      <c r="J115" s="10">
        <f t="shared" si="14"/>
        <v>0.61189149765826578</v>
      </c>
      <c r="K115" s="10">
        <f t="shared" si="12"/>
        <v>0.74746711258911758</v>
      </c>
      <c r="L115" s="10">
        <f t="shared" si="9"/>
        <v>0.36620980819144611</v>
      </c>
    </row>
    <row r="116" spans="1:12" x14ac:dyDescent="0.25">
      <c r="A116" t="s">
        <v>180</v>
      </c>
      <c r="B116" t="s">
        <v>189</v>
      </c>
      <c r="C116" t="s">
        <v>8</v>
      </c>
      <c r="D116" s="94">
        <v>1253.2727254931378</v>
      </c>
      <c r="E116" s="94">
        <v>2299.9510360582799</v>
      </c>
      <c r="F116" s="94">
        <v>1242.6002907691195</v>
      </c>
      <c r="G116" s="94">
        <v>2228.6852446696666</v>
      </c>
      <c r="I116" s="10">
        <f t="shared" si="13"/>
        <v>0.53363651412868363</v>
      </c>
      <c r="J116" s="10">
        <f t="shared" si="14"/>
        <v>0.62013254673124929</v>
      </c>
      <c r="K116" s="10">
        <f t="shared" si="12"/>
        <v>0.75753411495614253</v>
      </c>
      <c r="L116" s="10">
        <f t="shared" si="9"/>
        <v>0.37114197837498913</v>
      </c>
    </row>
    <row r="117" spans="1:12" x14ac:dyDescent="0.25">
      <c r="A117" t="s">
        <v>190</v>
      </c>
      <c r="B117" t="s">
        <v>191</v>
      </c>
      <c r="C117" t="s">
        <v>8</v>
      </c>
      <c r="D117" s="94">
        <v>681.54336644376383</v>
      </c>
      <c r="E117" s="94">
        <v>1066.6499358458871</v>
      </c>
      <c r="F117" s="94">
        <v>627.5251286889154</v>
      </c>
      <c r="G117" s="94">
        <v>1004.3722466067026</v>
      </c>
      <c r="I117" s="10">
        <f t="shared" si="13"/>
        <v>0.25677805101607776</v>
      </c>
      <c r="J117" s="10">
        <f t="shared" si="14"/>
        <v>0.29839867120278796</v>
      </c>
      <c r="K117" s="10">
        <f t="shared" si="12"/>
        <v>0.36451428728454793</v>
      </c>
      <c r="L117" s="10">
        <f t="shared" si="9"/>
        <v>0.17858806759688794</v>
      </c>
    </row>
    <row r="118" spans="1:12" x14ac:dyDescent="0.25">
      <c r="A118" t="s">
        <v>190</v>
      </c>
      <c r="B118" t="s">
        <v>192</v>
      </c>
      <c r="C118" t="s">
        <v>8</v>
      </c>
      <c r="D118" s="94">
        <v>674.79541232055817</v>
      </c>
      <c r="E118" s="94">
        <v>1056.0890453919674</v>
      </c>
      <c r="F118" s="94">
        <v>621.31200860288664</v>
      </c>
      <c r="G118" s="94">
        <v>994.42796693732907</v>
      </c>
      <c r="I118" s="10">
        <f t="shared" si="13"/>
        <v>0.25423569407532454</v>
      </c>
      <c r="J118" s="10">
        <f t="shared" si="14"/>
        <v>0.29544422891365141</v>
      </c>
      <c r="K118" s="10">
        <f t="shared" si="12"/>
        <v>0.36090523493519594</v>
      </c>
      <c r="L118" s="10">
        <f t="shared" si="9"/>
        <v>0.17681986890780985</v>
      </c>
    </row>
    <row r="119" spans="1:12" x14ac:dyDescent="0.25">
      <c r="A119" t="s">
        <v>190</v>
      </c>
      <c r="B119" t="s">
        <v>193</v>
      </c>
      <c r="C119" t="s">
        <v>8</v>
      </c>
      <c r="D119" s="94">
        <v>674.79541232055817</v>
      </c>
      <c r="E119" s="94">
        <v>1056.0890453919674</v>
      </c>
      <c r="F119" s="94">
        <v>621.31200860288664</v>
      </c>
      <c r="G119" s="94">
        <v>994.42796693732907</v>
      </c>
      <c r="I119" s="10">
        <f t="shared" si="13"/>
        <v>0.25423569407532454</v>
      </c>
      <c r="J119" s="10">
        <f t="shared" si="14"/>
        <v>0.29544422891365141</v>
      </c>
      <c r="K119" s="10">
        <f t="shared" si="12"/>
        <v>0.36090523493519594</v>
      </c>
      <c r="L119" s="10">
        <f t="shared" si="9"/>
        <v>0.17681986890780985</v>
      </c>
    </row>
    <row r="120" spans="1:12" x14ac:dyDescent="0.25">
      <c r="A120" t="s">
        <v>190</v>
      </c>
      <c r="B120" t="s">
        <v>194</v>
      </c>
      <c r="C120" t="s">
        <v>8</v>
      </c>
      <c r="D120" s="94">
        <v>668.1797710232978</v>
      </c>
      <c r="E120" s="94">
        <v>1045.735231221458</v>
      </c>
      <c r="F120" s="94">
        <v>615.22071440089758</v>
      </c>
      <c r="G120" s="94">
        <v>984.67867314382602</v>
      </c>
      <c r="I120" s="10">
        <f t="shared" si="13"/>
        <v>0.25174318727066447</v>
      </c>
      <c r="J120" s="10">
        <f t="shared" si="14"/>
        <v>0.29254771686547837</v>
      </c>
      <c r="K120" s="10">
        <f t="shared" si="12"/>
        <v>0.35736694831818427</v>
      </c>
      <c r="L120" s="10">
        <f t="shared" si="9"/>
        <v>0.1750863407812627</v>
      </c>
    </row>
    <row r="121" spans="1:12" x14ac:dyDescent="0.25">
      <c r="A121" t="s">
        <v>190</v>
      </c>
      <c r="B121" t="s">
        <v>195</v>
      </c>
      <c r="C121" t="s">
        <v>8</v>
      </c>
      <c r="D121" s="94">
        <v>736.0668357592649</v>
      </c>
      <c r="E121" s="94">
        <v>1151.9819307135581</v>
      </c>
      <c r="F121" s="94">
        <v>677.7271389840289</v>
      </c>
      <c r="G121" s="94">
        <v>1084.7220263352388</v>
      </c>
      <c r="I121" s="10">
        <f t="shared" si="13"/>
        <v>0.27732029509736406</v>
      </c>
      <c r="J121" s="10">
        <f t="shared" si="14"/>
        <v>0.32227056489901101</v>
      </c>
      <c r="K121" s="10">
        <f t="shared" si="12"/>
        <v>0.39367543026731183</v>
      </c>
      <c r="L121" s="10">
        <f t="shared" si="9"/>
        <v>0.192875113004639</v>
      </c>
    </row>
    <row r="122" spans="1:12" x14ac:dyDescent="0.25">
      <c r="A122" t="s">
        <v>190</v>
      </c>
      <c r="B122" t="s">
        <v>196</v>
      </c>
      <c r="C122" t="s">
        <v>8</v>
      </c>
      <c r="D122" s="94">
        <v>715.62053476595202</v>
      </c>
      <c r="E122" s="94">
        <v>1119.9824326381813</v>
      </c>
      <c r="F122" s="94">
        <v>658.90138512336125</v>
      </c>
      <c r="G122" s="94">
        <v>1054.5908589370376</v>
      </c>
      <c r="I122" s="10">
        <f t="shared" si="13"/>
        <v>0.2696169535668817</v>
      </c>
      <c r="J122" s="10">
        <f t="shared" si="14"/>
        <v>0.31331860476292739</v>
      </c>
      <c r="K122" s="10">
        <f t="shared" si="12"/>
        <v>0.38274000164877536</v>
      </c>
      <c r="L122" s="10">
        <f t="shared" si="9"/>
        <v>0.18751747097673235</v>
      </c>
    </row>
    <row r="123" spans="1:12" x14ac:dyDescent="0.25">
      <c r="A123" t="s">
        <v>190</v>
      </c>
      <c r="B123" t="s">
        <v>197</v>
      </c>
      <c r="C123" t="s">
        <v>8</v>
      </c>
      <c r="D123" s="94">
        <v>674.79541232055817</v>
      </c>
      <c r="E123" s="94">
        <v>1056.0890453919674</v>
      </c>
      <c r="F123" s="94">
        <v>621.31200860288664</v>
      </c>
      <c r="G123" s="94">
        <v>994.42796693732907</v>
      </c>
      <c r="I123" s="10">
        <f t="shared" si="13"/>
        <v>0.25423569407532454</v>
      </c>
      <c r="J123" s="10">
        <f t="shared" si="14"/>
        <v>0.29544422891365141</v>
      </c>
      <c r="K123" s="10">
        <f t="shared" si="12"/>
        <v>0.36090523493519594</v>
      </c>
      <c r="L123" s="10">
        <f t="shared" si="9"/>
        <v>0.17681986890780985</v>
      </c>
    </row>
    <row r="124" spans="1:12" x14ac:dyDescent="0.25">
      <c r="A124" t="s">
        <v>198</v>
      </c>
      <c r="B124" t="s">
        <v>199</v>
      </c>
      <c r="C124" t="s">
        <v>8</v>
      </c>
      <c r="D124" s="94">
        <v>1126.0199272935515</v>
      </c>
      <c r="E124" s="94">
        <v>1704.2876286656592</v>
      </c>
      <c r="F124" s="94">
        <v>1021.2996859610915</v>
      </c>
      <c r="G124" s="94">
        <v>1516.7610628506163</v>
      </c>
      <c r="I124" s="10">
        <f t="shared" si="13"/>
        <v>0.40782312722460601</v>
      </c>
      <c r="J124" s="10">
        <f t="shared" si="14"/>
        <v>0.47392632963776288</v>
      </c>
      <c r="K124" s="10">
        <f t="shared" si="12"/>
        <v>0.57893326929693389</v>
      </c>
      <c r="L124" s="10">
        <f t="shared" si="9"/>
        <v>0.28363929052410281</v>
      </c>
    </row>
    <row r="125" spans="1:12" x14ac:dyDescent="0.25">
      <c r="A125" t="s">
        <v>200</v>
      </c>
      <c r="B125" t="s">
        <v>201</v>
      </c>
      <c r="C125" t="s">
        <v>8</v>
      </c>
      <c r="D125" s="94">
        <v>2925.6407403911717</v>
      </c>
      <c r="E125" s="94">
        <v>4267.6906951950514</v>
      </c>
      <c r="F125" s="94">
        <v>2603.1504699597876</v>
      </c>
      <c r="G125" s="94">
        <v>3886.7269783484239</v>
      </c>
      <c r="I125" s="10">
        <f t="shared" si="13"/>
        <v>1.0394832695323921</v>
      </c>
      <c r="J125" s="10">
        <f t="shared" si="14"/>
        <v>1.2079709505489384</v>
      </c>
      <c r="K125" s="10">
        <f t="shared" si="12"/>
        <v>1.4756187362528383</v>
      </c>
      <c r="L125" s="10">
        <f t="shared" si="9"/>
        <v>0.72295629502017444</v>
      </c>
    </row>
    <row r="126" spans="1:12" x14ac:dyDescent="0.25">
      <c r="A126" t="s">
        <v>202</v>
      </c>
      <c r="B126" t="s">
        <v>203</v>
      </c>
      <c r="C126" t="s">
        <v>8</v>
      </c>
      <c r="D126" s="94">
        <v>1092.1712369512024</v>
      </c>
      <c r="E126" s="94">
        <v>1914.2065602265798</v>
      </c>
      <c r="F126" s="94">
        <v>981.51870050392063</v>
      </c>
      <c r="G126" s="94">
        <v>1584.7029250458281</v>
      </c>
      <c r="I126" s="10">
        <f t="shared" si="13"/>
        <v>0.42333811585301712</v>
      </c>
      <c r="J126" s="10">
        <f t="shared" si="14"/>
        <v>0.49195611050152666</v>
      </c>
      <c r="K126" s="10">
        <f t="shared" si="12"/>
        <v>0.6009578738133029</v>
      </c>
      <c r="L126" s="10">
        <f t="shared" si="9"/>
        <v>0.29442990065207725</v>
      </c>
    </row>
    <row r="127" spans="1:12" x14ac:dyDescent="0.25">
      <c r="A127" t="s">
        <v>204</v>
      </c>
      <c r="B127" t="s">
        <v>205</v>
      </c>
      <c r="C127" t="s">
        <v>8</v>
      </c>
      <c r="D127" s="94">
        <v>1582.3774957978869</v>
      </c>
      <c r="E127" s="94">
        <v>2655.204021092788</v>
      </c>
      <c r="F127" s="94">
        <v>1201.9307138224774</v>
      </c>
      <c r="G127" s="94">
        <v>2024.5998809174469</v>
      </c>
      <c r="I127" s="10">
        <f t="shared" si="13"/>
        <v>0.56703217262775818</v>
      </c>
      <c r="J127" s="10">
        <f t="shared" si="14"/>
        <v>0.6589412380529307</v>
      </c>
      <c r="K127" s="10">
        <f t="shared" si="12"/>
        <v>0.80494157290676815</v>
      </c>
      <c r="L127" s="10">
        <f t="shared" si="9"/>
        <v>0.394368520105777</v>
      </c>
    </row>
    <row r="128" spans="1:12" x14ac:dyDescent="0.25">
      <c r="A128" t="s">
        <v>206</v>
      </c>
      <c r="B128" t="s">
        <v>207</v>
      </c>
      <c r="C128" t="s">
        <v>8</v>
      </c>
      <c r="D128" s="94">
        <v>1008.7100685175284</v>
      </c>
      <c r="E128" s="94">
        <v>1164.4929575963451</v>
      </c>
      <c r="F128" s="94">
        <v>956.42794279960219</v>
      </c>
      <c r="G128" s="94">
        <v>1109.7981623980609</v>
      </c>
      <c r="I128" s="10">
        <f t="shared" si="13"/>
        <v>0.32206010240430843</v>
      </c>
      <c r="J128" s="10">
        <f t="shared" si="14"/>
        <v>0.37426215451281758</v>
      </c>
      <c r="K128" s="10">
        <f t="shared" si="12"/>
        <v>0.45718669577153409</v>
      </c>
      <c r="L128" s="10">
        <f t="shared" si="9"/>
        <v>0.22399146309759943</v>
      </c>
    </row>
    <row r="129" spans="1:12" x14ac:dyDescent="0.25">
      <c r="A129" t="s">
        <v>208</v>
      </c>
      <c r="B129" t="s">
        <v>209</v>
      </c>
      <c r="C129" t="s">
        <v>8</v>
      </c>
      <c r="D129" s="94">
        <v>1202.5460603760118</v>
      </c>
      <c r="E129" s="94">
        <v>2060.655875555251</v>
      </c>
      <c r="F129" s="94">
        <v>1204.640134712163</v>
      </c>
      <c r="G129" s="94">
        <v>1767.4161729769316</v>
      </c>
      <c r="I129" s="10">
        <f t="shared" si="13"/>
        <v>0.47367884832089024</v>
      </c>
      <c r="J129" s="10">
        <f t="shared" si="14"/>
        <v>0.5504564675855822</v>
      </c>
      <c r="K129" s="10">
        <f t="shared" si="12"/>
        <v>0.67242004179961534</v>
      </c>
      <c r="L129" s="10">
        <f t="shared" si="9"/>
        <v>0.32944167092323046</v>
      </c>
    </row>
    <row r="130" spans="1:12" x14ac:dyDescent="0.25">
      <c r="A130" t="s">
        <v>210</v>
      </c>
      <c r="B130" t="s">
        <v>210</v>
      </c>
      <c r="C130" t="s">
        <v>8</v>
      </c>
      <c r="D130" s="94">
        <v>2200.4539356443561</v>
      </c>
      <c r="E130" s="94">
        <v>3657.7028544837394</v>
      </c>
      <c r="F130" s="94">
        <v>2031.672179781601</v>
      </c>
      <c r="G130" s="94">
        <v>3437.6030992773744</v>
      </c>
      <c r="I130" s="10">
        <f t="shared" si="13"/>
        <v>0.86052008871572583</v>
      </c>
      <c r="J130" s="10">
        <f t="shared" si="14"/>
        <v>1</v>
      </c>
      <c r="K130" s="10">
        <f t="shared" si="12"/>
        <v>1.2215680646809202</v>
      </c>
      <c r="L130" s="10">
        <f t="shared" si="9"/>
        <v>0.59848814633467906</v>
      </c>
    </row>
    <row r="131" spans="1:12" x14ac:dyDescent="0.25">
      <c r="A131" t="s">
        <v>211</v>
      </c>
      <c r="B131" t="s">
        <v>212</v>
      </c>
      <c r="C131" t="s">
        <v>8</v>
      </c>
      <c r="D131" s="94">
        <v>1266.0896776861664</v>
      </c>
      <c r="E131" s="94">
        <v>2160.0289785429736</v>
      </c>
      <c r="F131" s="94">
        <v>1290.4512597376827</v>
      </c>
      <c r="G131" s="94">
        <v>1871.4742502277477</v>
      </c>
      <c r="I131" s="10">
        <f t="shared" si="13"/>
        <v>0.50047921856694266</v>
      </c>
      <c r="J131" s="10">
        <f t="shared" ref="J131:J136" si="15">SUM(D131:G131)/SUM($D$130:$G$130)</f>
        <v>0.58160085409961504</v>
      </c>
      <c r="K131" s="10">
        <f t="shared" ref="K131:K136" si="16">SUM(D131:G131)/SUM($D$62:$G$62)</f>
        <v>0.71046502975923709</v>
      </c>
      <c r="L131" s="10">
        <f t="shared" si="9"/>
        <v>0.34808121707674478</v>
      </c>
    </row>
    <row r="132" spans="1:12" x14ac:dyDescent="0.25">
      <c r="A132" t="s">
        <v>213</v>
      </c>
      <c r="B132" t="s">
        <v>214</v>
      </c>
      <c r="C132" t="s">
        <v>8</v>
      </c>
      <c r="D132" s="94">
        <v>1248.9630597387975</v>
      </c>
      <c r="E132" s="94">
        <v>2335.3162615467281</v>
      </c>
      <c r="F132" s="94">
        <v>1195.6467434054309</v>
      </c>
      <c r="G132" s="94">
        <v>2087.223590110229</v>
      </c>
      <c r="I132" s="10">
        <f t="shared" ref="I132:I136" si="17">SUM(D132:G132)/SUM($D$135:$G$135)</f>
        <v>0.52168224837544952</v>
      </c>
      <c r="J132" s="10">
        <f t="shared" si="15"/>
        <v>0.60624063890713897</v>
      </c>
      <c r="K132" s="10">
        <f t="shared" si="16"/>
        <v>0.74056420400071843</v>
      </c>
      <c r="L132" s="10">
        <f t="shared" ref="L132:L136" si="18">SUM(D132:G132)/SUM($D$23:$G$23)</f>
        <v>0.36282783621228515</v>
      </c>
    </row>
    <row r="133" spans="1:12" x14ac:dyDescent="0.25">
      <c r="A133" t="s">
        <v>215</v>
      </c>
      <c r="B133" t="s">
        <v>216</v>
      </c>
      <c r="C133" t="s">
        <v>8</v>
      </c>
      <c r="D133" s="94">
        <v>738.3110414632672</v>
      </c>
      <c r="E133" s="94">
        <v>1480.8654689329819</v>
      </c>
      <c r="F133" s="94">
        <v>713.05780179796693</v>
      </c>
      <c r="G133" s="94">
        <v>1214.7382696749621</v>
      </c>
      <c r="I133" s="10">
        <f t="shared" si="17"/>
        <v>0.31503638179026833</v>
      </c>
      <c r="J133" s="10">
        <f t="shared" si="15"/>
        <v>0.36609997363389979</v>
      </c>
      <c r="K133" s="10">
        <f t="shared" si="16"/>
        <v>0.44721603627169892</v>
      </c>
      <c r="L133" s="10">
        <f t="shared" si="18"/>
        <v>0.21910649459332757</v>
      </c>
    </row>
    <row r="134" spans="1:12" x14ac:dyDescent="0.25">
      <c r="A134" t="s">
        <v>217</v>
      </c>
      <c r="B134" t="s">
        <v>218</v>
      </c>
      <c r="C134" t="s">
        <v>8</v>
      </c>
      <c r="D134" s="94">
        <v>916.76831720519408</v>
      </c>
      <c r="E134" s="94">
        <v>1391.5976812484359</v>
      </c>
      <c r="F134" s="94">
        <v>839.63510801880273</v>
      </c>
      <c r="G134" s="94">
        <v>1253.9845034931639</v>
      </c>
      <c r="I134" s="10">
        <f t="shared" si="17"/>
        <v>0.33440916038835217</v>
      </c>
      <c r="J134" s="10">
        <f t="shared" si="15"/>
        <v>0.38861284561925524</v>
      </c>
      <c r="K134" s="10">
        <f t="shared" si="16"/>
        <v>0.4747170417332589</v>
      </c>
      <c r="L134" s="10">
        <f t="shared" si="18"/>
        <v>0.23258018161651289</v>
      </c>
    </row>
    <row r="135" spans="1:12" x14ac:dyDescent="0.25">
      <c r="A135" t="s">
        <v>219</v>
      </c>
      <c r="B135" t="s">
        <v>220</v>
      </c>
      <c r="C135" t="s">
        <v>6</v>
      </c>
      <c r="D135" s="94">
        <v>2481.6419968135256</v>
      </c>
      <c r="E135" s="94">
        <v>4358.9689107729982</v>
      </c>
      <c r="F135" s="94">
        <v>2293.3485233376427</v>
      </c>
      <c r="G135" s="94">
        <v>4029.5125411161107</v>
      </c>
      <c r="I135" s="10">
        <f t="shared" si="17"/>
        <v>1</v>
      </c>
      <c r="J135" s="10">
        <f t="shared" si="15"/>
        <v>1.1620879199838781</v>
      </c>
      <c r="K135" s="10">
        <f t="shared" si="16"/>
        <v>1.419569491403782</v>
      </c>
      <c r="L135" s="10">
        <f t="shared" si="18"/>
        <v>0.69549584510907403</v>
      </c>
    </row>
    <row r="136" spans="1:12" x14ac:dyDescent="0.25">
      <c r="A136" t="s">
        <v>221</v>
      </c>
      <c r="B136" t="s">
        <v>222</v>
      </c>
      <c r="C136" t="s">
        <v>6</v>
      </c>
      <c r="D136" s="94">
        <v>1504.4852363558532</v>
      </c>
      <c r="E136" s="94">
        <v>2973.4672348131426</v>
      </c>
      <c r="F136" s="94">
        <v>1487.7563153310589</v>
      </c>
      <c r="G136" s="94">
        <v>2822.8146964672146</v>
      </c>
      <c r="I136" s="10">
        <f t="shared" si="17"/>
        <v>0.66764479019170853</v>
      </c>
      <c r="J136" s="10">
        <f t="shared" si="15"/>
        <v>0.77586194552195531</v>
      </c>
      <c r="K136" s="10">
        <f t="shared" si="16"/>
        <v>0.94776817525082846</v>
      </c>
      <c r="L136" s="10">
        <f t="shared" si="18"/>
        <v>0.46434417758705276</v>
      </c>
    </row>
  </sheetData>
  <autoFilter ref="A2:K2" xr:uid="{22000435-894C-411C-A512-733D46E76B44}">
    <filterColumn colId="3" showButton="0"/>
    <filterColumn colId="5" showButton="0"/>
  </autoFilter>
  <mergeCells count="2">
    <mergeCell ref="D2:E2"/>
    <mergeCell ref="F2:G2"/>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8CA1-AB34-4FED-94EF-576A966952B2}">
  <sheetPr>
    <tabColor rgb="FF7030A0"/>
  </sheetPr>
  <dimension ref="B1:F73"/>
  <sheetViews>
    <sheetView showGridLines="0" view="pageBreakPreview" topLeftCell="A15" zoomScale="85" zoomScaleNormal="50" zoomScaleSheetLayoutView="85" workbookViewId="0">
      <selection activeCell="B15" sqref="B15"/>
    </sheetView>
  </sheetViews>
  <sheetFormatPr defaultColWidth="8" defaultRowHeight="13.5" x14ac:dyDescent="0.25"/>
  <cols>
    <col min="1" max="1" width="3" customWidth="1"/>
    <col min="2" max="2" width="26.58203125" customWidth="1"/>
    <col min="3" max="3" width="18.5" customWidth="1"/>
    <col min="4" max="4" width="8.5" bestFit="1" customWidth="1"/>
    <col min="5" max="5" width="10.08203125" bestFit="1" customWidth="1"/>
    <col min="6" max="6" width="17.5" style="93" bestFit="1" customWidth="1"/>
    <col min="7" max="7" width="13.08203125" bestFit="1" customWidth="1"/>
    <col min="8" max="9" width="7.58203125" customWidth="1"/>
    <col min="10" max="10" width="9" bestFit="1" customWidth="1"/>
    <col min="11" max="11" width="16.5" bestFit="1" customWidth="1"/>
    <col min="12" max="12" width="8.5" bestFit="1" customWidth="1"/>
    <col min="13" max="13" width="13.08203125" bestFit="1" customWidth="1"/>
    <col min="14" max="14" width="9" bestFit="1" customWidth="1"/>
    <col min="15" max="15" width="10.08203125" bestFit="1" customWidth="1"/>
    <col min="16" max="16" width="8.5" bestFit="1" customWidth="1"/>
    <col min="17" max="17" width="13.08203125" bestFit="1" customWidth="1"/>
    <col min="18" max="18" width="9" bestFit="1" customWidth="1"/>
    <col min="19" max="19" width="27.33203125" customWidth="1"/>
    <col min="20" max="20" width="10.5" customWidth="1"/>
    <col min="21" max="21" width="8.5" customWidth="1"/>
    <col min="22" max="22" width="9.5" customWidth="1"/>
    <col min="23" max="23" width="8" customWidth="1"/>
    <col min="24" max="24" width="4.08203125" customWidth="1"/>
    <col min="25" max="25" width="6.08203125" customWidth="1"/>
    <col min="26" max="26" width="6.58203125" customWidth="1"/>
  </cols>
  <sheetData>
    <row r="1" spans="2:6" x14ac:dyDescent="0.25">
      <c r="B1" s="91" t="s">
        <v>262</v>
      </c>
      <c r="C1" s="91" t="s">
        <v>263</v>
      </c>
      <c r="D1" s="91" t="s">
        <v>348</v>
      </c>
      <c r="F1"/>
    </row>
    <row r="2" spans="2:6" x14ac:dyDescent="0.25">
      <c r="B2" t="s">
        <v>17</v>
      </c>
      <c r="C2" t="s">
        <v>19</v>
      </c>
      <c r="D2" s="92">
        <f>AVERAGEIF(Sheet!A:A,'Table 5 Global Radar Graph'!B2,Sheet!I:I)</f>
        <v>1.1573274576084609</v>
      </c>
      <c r="F2"/>
    </row>
    <row r="3" spans="2:6" x14ac:dyDescent="0.25">
      <c r="B3" t="s">
        <v>60</v>
      </c>
      <c r="C3" t="s">
        <v>243</v>
      </c>
      <c r="D3" s="92">
        <f>AVERAGEIF(Sheet!A:A,'Table 5 Global Radar Graph'!B3,Sheet!I:I)</f>
        <v>0.82583682074073295</v>
      </c>
      <c r="F3"/>
    </row>
    <row r="4" spans="2:6" x14ac:dyDescent="0.25">
      <c r="B4" t="s">
        <v>62</v>
      </c>
      <c r="C4" t="s">
        <v>243</v>
      </c>
      <c r="D4" s="92">
        <f>AVERAGEIF(Sheet!A:A,'Table 5 Global Radar Graph'!B4,Sheet!I:I)</f>
        <v>0.93201041924208805</v>
      </c>
      <c r="F4"/>
    </row>
    <row r="5" spans="2:6" x14ac:dyDescent="0.25">
      <c r="B5" t="s">
        <v>64</v>
      </c>
      <c r="C5" t="s">
        <v>243</v>
      </c>
      <c r="D5" s="92">
        <f>AVERAGEIF(Sheet!A:A,'Table 5 Global Radar Graph'!B5,Sheet!I:I)</f>
        <v>0.718308422687012</v>
      </c>
      <c r="F5"/>
    </row>
    <row r="6" spans="2:6" x14ac:dyDescent="0.25">
      <c r="B6" t="s">
        <v>66</v>
      </c>
      <c r="C6" t="s">
        <v>243</v>
      </c>
      <c r="D6" s="92">
        <f>AVERAGEIF(Sheet!A:A,'Table 5 Global Radar Graph'!B6,Sheet!I:I)</f>
        <v>0.718308422687012</v>
      </c>
      <c r="F6"/>
    </row>
    <row r="7" spans="2:6" x14ac:dyDescent="0.25">
      <c r="B7" t="s">
        <v>68</v>
      </c>
      <c r="C7" t="s">
        <v>243</v>
      </c>
      <c r="D7" s="92">
        <f>AVERAGEIF(Sheet!A:A,'Table 5 Global Radar Graph'!B7,Sheet!I:I)</f>
        <v>1.2547307158676599</v>
      </c>
      <c r="F7"/>
    </row>
    <row r="8" spans="2:6" x14ac:dyDescent="0.25">
      <c r="B8" t="s">
        <v>70</v>
      </c>
      <c r="C8" t="s">
        <v>243</v>
      </c>
      <c r="D8" s="92">
        <f>AVERAGEIF(Sheet!A:A,'Table 5 Global Radar Graph'!B8,Sheet!I:I)</f>
        <v>1.210013546036466</v>
      </c>
      <c r="F8"/>
    </row>
    <row r="9" spans="2:6" x14ac:dyDescent="0.25">
      <c r="B9" t="s">
        <v>72</v>
      </c>
      <c r="C9" t="s">
        <v>243</v>
      </c>
      <c r="D9" s="92">
        <f>AVERAGEIF(Sheet!A:A,'Table 5 Global Radar Graph'!B9,Sheet!I:I)</f>
        <v>0.57470997129541257</v>
      </c>
      <c r="F9"/>
    </row>
    <row r="10" spans="2:6" x14ac:dyDescent="0.25">
      <c r="B10" t="s">
        <v>74</v>
      </c>
      <c r="C10" t="s">
        <v>243</v>
      </c>
      <c r="D10" s="92">
        <f>AVERAGEIF(Sheet!A:A,'Table 5 Global Radar Graph'!B10,Sheet!I:I)</f>
        <v>1.1240495811393614</v>
      </c>
      <c r="F10"/>
    </row>
    <row r="11" spans="2:6" x14ac:dyDescent="0.25">
      <c r="B11" t="s">
        <v>76</v>
      </c>
      <c r="C11" t="s">
        <v>243</v>
      </c>
      <c r="D11" s="92">
        <f>AVERAGEIF(Sheet!A:A,'Table 5 Global Radar Graph'!B11,Sheet!I:I)</f>
        <v>0.9515963753365746</v>
      </c>
      <c r="F11"/>
    </row>
    <row r="12" spans="2:6" x14ac:dyDescent="0.25">
      <c r="B12" t="s">
        <v>78</v>
      </c>
      <c r="C12" t="s">
        <v>243</v>
      </c>
      <c r="D12" s="92">
        <f>AVERAGEIF(Sheet!A:A,'Table 5 Global Radar Graph'!B12,Sheet!I:I)</f>
        <v>0.90070734706047983</v>
      </c>
      <c r="F12"/>
    </row>
    <row r="13" spans="2:6" x14ac:dyDescent="0.25">
      <c r="B13" t="s">
        <v>80</v>
      </c>
      <c r="C13" t="s">
        <v>243</v>
      </c>
      <c r="D13" s="92">
        <f>AVERAGEIF(Sheet!A:A,'Table 5 Global Radar Graph'!B13,Sheet!I:I)</f>
        <v>1.1467049306342341</v>
      </c>
      <c r="F13"/>
    </row>
    <row r="14" spans="2:6" x14ac:dyDescent="0.25">
      <c r="B14" t="s">
        <v>82</v>
      </c>
      <c r="C14" t="s">
        <v>243</v>
      </c>
      <c r="D14" s="92">
        <f>AVERAGEIF(Sheet!A:A,'Table 5 Global Radar Graph'!B14,Sheet!I:I)</f>
        <v>1.0426329247748338</v>
      </c>
      <c r="F14"/>
    </row>
    <row r="15" spans="2:6" x14ac:dyDescent="0.25">
      <c r="B15" t="s">
        <v>85</v>
      </c>
      <c r="C15" t="s">
        <v>243</v>
      </c>
      <c r="D15" s="92">
        <f>AVERAGEIF(Sheet!A:A,'Table 5 Global Radar Graph'!B15,Sheet!I:I)</f>
        <v>0.67777492637098202</v>
      </c>
      <c r="F15"/>
    </row>
    <row r="16" spans="2:6" x14ac:dyDescent="0.25">
      <c r="B16" t="s">
        <v>89</v>
      </c>
      <c r="C16" t="s">
        <v>243</v>
      </c>
      <c r="D16" s="92">
        <f>AVERAGEIF(Sheet!A:A,'Table 5 Global Radar Graph'!B16,Sheet!I:I)</f>
        <v>0.69157055661810252</v>
      </c>
      <c r="F16"/>
    </row>
    <row r="17" spans="2:6" x14ac:dyDescent="0.25">
      <c r="B17" t="s">
        <v>91</v>
      </c>
      <c r="C17" t="s">
        <v>243</v>
      </c>
      <c r="D17" s="92">
        <f>AVERAGEIF(Sheet!A:A,'Table 5 Global Radar Graph'!B17,Sheet!I:I)</f>
        <v>0.62156489829366091</v>
      </c>
      <c r="F17"/>
    </row>
    <row r="18" spans="2:6" x14ac:dyDescent="0.25">
      <c r="B18" t="s">
        <v>93</v>
      </c>
      <c r="C18" t="s">
        <v>243</v>
      </c>
      <c r="D18" s="92">
        <f>AVERAGEIF(Sheet!A:A,'Table 5 Global Radar Graph'!B18,Sheet!I:I)</f>
        <v>0.62233248363463545</v>
      </c>
      <c r="F18"/>
    </row>
    <row r="19" spans="2:6" x14ac:dyDescent="0.25">
      <c r="B19" t="s">
        <v>94</v>
      </c>
      <c r="C19" t="s">
        <v>243</v>
      </c>
      <c r="D19" s="92">
        <f>AVERAGEIF(Sheet!A:A,'Table 5 Global Radar Graph'!B19,Sheet!I:I)</f>
        <v>0.70443892043010958</v>
      </c>
      <c r="F19"/>
    </row>
    <row r="20" spans="2:6" x14ac:dyDescent="0.25">
      <c r="B20" t="s">
        <v>99</v>
      </c>
      <c r="C20" t="s">
        <v>243</v>
      </c>
      <c r="D20" s="92">
        <f>AVERAGEIF(Sheet!A:A,'Table 5 Global Radar Graph'!B20,Sheet!I:I)</f>
        <v>0.91165498213662466</v>
      </c>
      <c r="F20"/>
    </row>
    <row r="21" spans="2:6" x14ac:dyDescent="0.25">
      <c r="B21" t="s">
        <v>244</v>
      </c>
      <c r="C21" t="s">
        <v>19</v>
      </c>
      <c r="D21" s="129">
        <f>AVERAGEIF(Sheet!A:A,'Table 5 Global Radar Graph'!B21,Sheet!I:I)</f>
        <v>0.71354349528011118</v>
      </c>
      <c r="F21"/>
    </row>
    <row r="22" spans="2:6" x14ac:dyDescent="0.25">
      <c r="B22" t="s">
        <v>101</v>
      </c>
      <c r="C22" t="s">
        <v>6</v>
      </c>
      <c r="D22" s="92">
        <f>AVERAGEIF(Sheet!A:A,'Table 5 Global Radar Graph'!B22,Sheet!I:I)</f>
        <v>0.55221480584395788</v>
      </c>
      <c r="F22"/>
    </row>
    <row r="23" spans="2:6" x14ac:dyDescent="0.25">
      <c r="B23" t="s">
        <v>103</v>
      </c>
      <c r="C23" t="s">
        <v>6</v>
      </c>
      <c r="D23" s="92">
        <f>AVERAGEIF(Sheet!A:A,'Table 5 Global Radar Graph'!B23,Sheet!I:I)</f>
        <v>0.6351154657877548</v>
      </c>
      <c r="F23"/>
    </row>
    <row r="24" spans="2:6" x14ac:dyDescent="0.25">
      <c r="B24" t="s">
        <v>105</v>
      </c>
      <c r="C24" t="s">
        <v>6</v>
      </c>
      <c r="D24" s="92">
        <f>AVERAGEIF(Sheet!A:A,'Table 5 Global Radar Graph'!B24,Sheet!I:I)</f>
        <v>0.57759864698045749</v>
      </c>
      <c r="F24"/>
    </row>
    <row r="25" spans="2:6" x14ac:dyDescent="0.25">
      <c r="B25" t="s">
        <v>107</v>
      </c>
      <c r="C25" t="s">
        <v>6</v>
      </c>
      <c r="D25" s="92">
        <f>AVERAGEIF(Sheet!A:A,'Table 5 Global Radar Graph'!B25,Sheet!I:I)</f>
        <v>0.48867627143713938</v>
      </c>
      <c r="F25"/>
    </row>
    <row r="26" spans="2:6" x14ac:dyDescent="0.25">
      <c r="B26" t="s">
        <v>109</v>
      </c>
      <c r="C26" t="s">
        <v>6</v>
      </c>
      <c r="D26" s="92">
        <f>AVERAGEIF(Sheet!A:A,'Table 5 Global Radar Graph'!B26,Sheet!I:I)</f>
        <v>0.53468512504126819</v>
      </c>
      <c r="F26"/>
    </row>
    <row r="27" spans="2:6" x14ac:dyDescent="0.25">
      <c r="B27" t="s">
        <v>111</v>
      </c>
      <c r="C27" t="s">
        <v>6</v>
      </c>
      <c r="D27" s="92">
        <f>AVERAGEIF(Sheet!A:A,'Table 5 Global Radar Graph'!B27,Sheet!I:I)</f>
        <v>0.38257316119028978</v>
      </c>
      <c r="F27"/>
    </row>
    <row r="28" spans="2:6" x14ac:dyDescent="0.25">
      <c r="B28" t="s">
        <v>113</v>
      </c>
      <c r="C28" t="s">
        <v>6</v>
      </c>
      <c r="D28" s="92">
        <f>AVERAGEIF(Sheet!A:A,'Table 5 Global Radar Graph'!B28,Sheet!I:I)</f>
        <v>0.92574297850869947</v>
      </c>
      <c r="F28"/>
    </row>
    <row r="29" spans="2:6" x14ac:dyDescent="0.25">
      <c r="B29" t="s">
        <v>115</v>
      </c>
      <c r="C29" t="s">
        <v>6</v>
      </c>
      <c r="D29" s="92">
        <f>AVERAGEIF(Sheet!A:A,'Table 5 Global Radar Graph'!B29,Sheet!I:I)</f>
        <v>0.61613886123885453</v>
      </c>
      <c r="F29"/>
    </row>
    <row r="30" spans="2:6" x14ac:dyDescent="0.25">
      <c r="B30" t="s">
        <v>117</v>
      </c>
      <c r="C30" t="s">
        <v>6</v>
      </c>
      <c r="D30" s="92">
        <f>AVERAGEIF(Sheet!A:A,'Table 5 Global Radar Graph'!B30,Sheet!I:I)</f>
        <v>0.81267281445134942</v>
      </c>
      <c r="F30"/>
    </row>
    <row r="31" spans="2:6" x14ac:dyDescent="0.25">
      <c r="B31" t="s">
        <v>119</v>
      </c>
      <c r="C31" t="s">
        <v>6</v>
      </c>
      <c r="D31" s="92">
        <f>AVERAGEIF(Sheet!A:A,'Table 5 Global Radar Graph'!B31,Sheet!I:I)</f>
        <v>0.86775382719176275</v>
      </c>
      <c r="F31"/>
    </row>
    <row r="32" spans="2:6" x14ac:dyDescent="0.25">
      <c r="B32" t="s">
        <v>122</v>
      </c>
      <c r="C32" t="s">
        <v>6</v>
      </c>
      <c r="D32" s="92">
        <f>AVERAGEIF(Sheet!A:A,'Table 5 Global Radar Graph'!B32,Sheet!I:I)</f>
        <v>0.74116171756650584</v>
      </c>
      <c r="F32"/>
    </row>
    <row r="33" spans="2:6" x14ac:dyDescent="0.25">
      <c r="B33" t="s">
        <v>129</v>
      </c>
      <c r="C33" t="s">
        <v>6</v>
      </c>
      <c r="D33" s="92">
        <f>AVERAGEIF(Sheet!A:A,'Table 5 Global Radar Graph'!B33,Sheet!I:I)</f>
        <v>0.62911640920050338</v>
      </c>
      <c r="F33"/>
    </row>
    <row r="34" spans="2:6" x14ac:dyDescent="0.25">
      <c r="B34" t="s">
        <v>131</v>
      </c>
      <c r="C34" t="s">
        <v>6</v>
      </c>
      <c r="D34" s="92">
        <f>AVERAGEIF(Sheet!A:A,'Table 5 Global Radar Graph'!B34,Sheet!I:I)</f>
        <v>0.58840391930671376</v>
      </c>
      <c r="F34"/>
    </row>
    <row r="35" spans="2:6" x14ac:dyDescent="0.25">
      <c r="B35" t="s">
        <v>133</v>
      </c>
      <c r="C35" t="s">
        <v>6</v>
      </c>
      <c r="D35" s="92">
        <f>AVERAGEIF(Sheet!A:A,'Table 5 Global Radar Graph'!B35,Sheet!I:I)</f>
        <v>0.68744710532510578</v>
      </c>
      <c r="F35"/>
    </row>
    <row r="36" spans="2:6" x14ac:dyDescent="0.25">
      <c r="B36" t="s">
        <v>135</v>
      </c>
      <c r="C36" t="s">
        <v>6</v>
      </c>
      <c r="D36" s="92">
        <f>AVERAGEIF(Sheet!A:A,'Table 5 Global Radar Graph'!B36,Sheet!I:I)</f>
        <v>0.60522599823268686</v>
      </c>
      <c r="F36"/>
    </row>
    <row r="37" spans="2:6" x14ac:dyDescent="0.25">
      <c r="B37" t="s">
        <v>137</v>
      </c>
      <c r="C37" t="s">
        <v>6</v>
      </c>
      <c r="D37" s="92">
        <f>AVERAGEIF(Sheet!A:A,'Table 5 Global Radar Graph'!B37,Sheet!I:I)</f>
        <v>0.49049397516209403</v>
      </c>
      <c r="F37"/>
    </row>
    <row r="38" spans="2:6" x14ac:dyDescent="0.25">
      <c r="B38" t="s">
        <v>139</v>
      </c>
      <c r="C38" t="s">
        <v>6</v>
      </c>
      <c r="D38" s="92">
        <f>AVERAGEIF(Sheet!A:A,'Table 5 Global Radar Graph'!B38,Sheet!I:I)</f>
        <v>0.49021537259903658</v>
      </c>
      <c r="F38"/>
    </row>
    <row r="39" spans="2:6" x14ac:dyDescent="0.25">
      <c r="B39" t="s">
        <v>141</v>
      </c>
      <c r="C39" t="s">
        <v>6</v>
      </c>
      <c r="D39" s="92">
        <f>AVERAGEIF(Sheet!A:A,'Table 5 Global Radar Graph'!B39,Sheet!I:I)</f>
        <v>0.65294353983032472</v>
      </c>
      <c r="F39"/>
    </row>
    <row r="40" spans="2:6" x14ac:dyDescent="0.25">
      <c r="B40" t="s">
        <v>142</v>
      </c>
      <c r="C40" t="s">
        <v>6</v>
      </c>
      <c r="D40" s="92">
        <f>AVERAGEIF(Sheet!A:A,'Table 5 Global Radar Graph'!B40,Sheet!I:I)</f>
        <v>0.79289498657597612</v>
      </c>
      <c r="F40"/>
    </row>
    <row r="41" spans="2:6" x14ac:dyDescent="0.25">
      <c r="B41" t="s">
        <v>144</v>
      </c>
      <c r="C41" t="s">
        <v>6</v>
      </c>
      <c r="D41" s="92">
        <f>AVERAGEIF(Sheet!A:A,'Table 5 Global Radar Graph'!B41,Sheet!I:I)</f>
        <v>0.48823840879179187</v>
      </c>
      <c r="F41"/>
    </row>
    <row r="42" spans="2:6" x14ac:dyDescent="0.25">
      <c r="B42" t="s">
        <v>146</v>
      </c>
      <c r="C42" t="s">
        <v>6</v>
      </c>
      <c r="D42" s="92">
        <f>AVERAGEIF(Sheet!A:A,'Table 5 Global Radar Graph'!B42,Sheet!I:I)</f>
        <v>0.64852266264134018</v>
      </c>
      <c r="F42"/>
    </row>
    <row r="43" spans="2:6" x14ac:dyDescent="0.25">
      <c r="B43" t="s">
        <v>148</v>
      </c>
      <c r="C43" t="s">
        <v>6</v>
      </c>
      <c r="D43" s="92">
        <f>AVERAGEIF(Sheet!A:A,'Table 5 Global Radar Graph'!B43,Sheet!I:I)</f>
        <v>0.82041836774181154</v>
      </c>
      <c r="F43"/>
    </row>
    <row r="44" spans="2:6" x14ac:dyDescent="0.25">
      <c r="B44" t="s">
        <v>150</v>
      </c>
      <c r="C44" t="s">
        <v>6</v>
      </c>
      <c r="D44" s="92">
        <f>AVERAGEIF(Sheet!A:A,'Table 5 Global Radar Graph'!B44,Sheet!I:I)</f>
        <v>0.59720792646076382</v>
      </c>
      <c r="F44"/>
    </row>
    <row r="45" spans="2:6" x14ac:dyDescent="0.25">
      <c r="B45" t="s">
        <v>152</v>
      </c>
      <c r="C45" t="s">
        <v>6</v>
      </c>
      <c r="D45" s="92">
        <f>AVERAGEIF(Sheet!A:A,'Table 5 Global Radar Graph'!B45,Sheet!I:I)</f>
        <v>0.56436162489236641</v>
      </c>
      <c r="F45"/>
    </row>
    <row r="46" spans="2:6" x14ac:dyDescent="0.25">
      <c r="B46" t="s">
        <v>154</v>
      </c>
      <c r="C46" t="s">
        <v>6</v>
      </c>
      <c r="D46" s="92">
        <f>AVERAGEIF(Sheet!A:A,'Table 5 Global Radar Graph'!B46,Sheet!I:I)</f>
        <v>0.56840224107114812</v>
      </c>
      <c r="F46"/>
    </row>
    <row r="47" spans="2:6" x14ac:dyDescent="0.25">
      <c r="B47" t="s">
        <v>156</v>
      </c>
      <c r="C47" t="s">
        <v>6</v>
      </c>
      <c r="D47" s="92">
        <f>AVERAGEIF(Sheet!A:A,'Table 5 Global Radar Graph'!B47,Sheet!I:I)</f>
        <v>0.67650830338708301</v>
      </c>
      <c r="F47"/>
    </row>
    <row r="48" spans="2:6" x14ac:dyDescent="0.25">
      <c r="B48" t="s">
        <v>158</v>
      </c>
      <c r="C48" t="s">
        <v>6</v>
      </c>
      <c r="D48" s="92">
        <f>AVERAGEIF(Sheet!A:A,'Table 5 Global Radar Graph'!B48,Sheet!I:I)</f>
        <v>0.46772017454500286</v>
      </c>
      <c r="F48"/>
    </row>
    <row r="49" spans="2:6" x14ac:dyDescent="0.25">
      <c r="B49" t="s">
        <v>160</v>
      </c>
      <c r="C49" t="s">
        <v>6</v>
      </c>
      <c r="D49" s="92">
        <f>AVERAGEIF(Sheet!A:A,'Table 5 Global Radar Graph'!B49,Sheet!I:I)</f>
        <v>0.83121460100046607</v>
      </c>
      <c r="F49"/>
    </row>
    <row r="50" spans="2:6" x14ac:dyDescent="0.25">
      <c r="B50" t="s">
        <v>162</v>
      </c>
      <c r="C50" t="s">
        <v>6</v>
      </c>
      <c r="D50" s="92">
        <f>AVERAGEIF(Sheet!A:A,'Table 5 Global Radar Graph'!B50,Sheet!I:I)</f>
        <v>0.57480136855981601</v>
      </c>
      <c r="F50"/>
    </row>
    <row r="51" spans="2:6" x14ac:dyDescent="0.25">
      <c r="B51" t="s">
        <v>164</v>
      </c>
      <c r="C51" t="s">
        <v>6</v>
      </c>
      <c r="D51" s="92">
        <f>AVERAGEIF(Sheet!A:A,'Table 5 Global Radar Graph'!B51,Sheet!I:I)</f>
        <v>0.49352894502312383</v>
      </c>
      <c r="F51"/>
    </row>
    <row r="52" spans="2:6" x14ac:dyDescent="0.25">
      <c r="B52" t="s">
        <v>166</v>
      </c>
      <c r="C52" t="s">
        <v>6</v>
      </c>
      <c r="D52" s="92">
        <f>AVERAGEIF(Sheet!A:A,'Table 5 Global Radar Graph'!B52,Sheet!I:I)</f>
        <v>0.49949658502370226</v>
      </c>
      <c r="F52"/>
    </row>
    <row r="53" spans="2:6" x14ac:dyDescent="0.25">
      <c r="B53" t="s">
        <v>168</v>
      </c>
      <c r="C53" t="s">
        <v>6</v>
      </c>
      <c r="D53" s="92">
        <f>AVERAGEIF(Sheet!A:A,'Table 5 Global Radar Graph'!B53,Sheet!I:I)</f>
        <v>0.80475538434398541</v>
      </c>
      <c r="F53"/>
    </row>
    <row r="54" spans="2:6" x14ac:dyDescent="0.25">
      <c r="B54" t="s">
        <v>170</v>
      </c>
      <c r="C54" t="s">
        <v>6</v>
      </c>
      <c r="D54" s="92">
        <f>AVERAGEIF(Sheet!A:A,'Table 5 Global Radar Graph'!B54,Sheet!I:I)</f>
        <v>1.1506637733889584</v>
      </c>
      <c r="F54"/>
    </row>
    <row r="55" spans="2:6" x14ac:dyDescent="0.25">
      <c r="B55" t="s">
        <v>173</v>
      </c>
      <c r="C55" t="s">
        <v>6</v>
      </c>
      <c r="D55" s="92">
        <f>AVERAGEIF(Sheet!A:A,'Table 5 Global Radar Graph'!B55,Sheet!I:I)</f>
        <v>0.70891943024822968</v>
      </c>
      <c r="F55"/>
    </row>
    <row r="56" spans="2:6" x14ac:dyDescent="0.25">
      <c r="B56" t="s">
        <v>175</v>
      </c>
      <c r="C56" t="s">
        <v>6</v>
      </c>
      <c r="D56" s="92">
        <f>AVERAGEIF(Sheet!A:A,'Table 5 Global Radar Graph'!B56,Sheet!I:I)</f>
        <v>0.87317410910730642</v>
      </c>
      <c r="F56"/>
    </row>
    <row r="57" spans="2:6" x14ac:dyDescent="0.25">
      <c r="B57" t="s">
        <v>178</v>
      </c>
      <c r="C57" t="s">
        <v>6</v>
      </c>
      <c r="D57" s="92">
        <f>AVERAGEIF(Sheet!A:A,'Table 5 Global Radar Graph'!B57,Sheet!I:I)</f>
        <v>0.66333035069741952</v>
      </c>
      <c r="F57"/>
    </row>
    <row r="58" spans="2:6" x14ac:dyDescent="0.25">
      <c r="B58" t="s">
        <v>180</v>
      </c>
      <c r="C58" t="s">
        <v>8</v>
      </c>
      <c r="D58" s="92">
        <f>AVERAGEIF(Sheet!A:A,'Table 5 Global Radar Graph'!B58,Sheet!I:I)</f>
        <v>0.55630026659448328</v>
      </c>
      <c r="F58"/>
    </row>
    <row r="59" spans="2:6" x14ac:dyDescent="0.25">
      <c r="B59" t="s">
        <v>182</v>
      </c>
      <c r="C59" t="s">
        <v>8</v>
      </c>
      <c r="D59" s="92">
        <f>AVERAGEIF(Sheet!A:A,'Table 5 Global Radar Graph'!B59,Sheet!I:I)</f>
        <v>0.76731284108715936</v>
      </c>
      <c r="F59"/>
    </row>
    <row r="60" spans="2:6" x14ac:dyDescent="0.25">
      <c r="B60" t="s">
        <v>190</v>
      </c>
      <c r="C60" t="s">
        <v>8</v>
      </c>
      <c r="D60" s="92">
        <f>AVERAGEIF(Sheet!A:A,'Table 5 Global Radar Graph'!B60,Sheet!I:I)</f>
        <v>0.25973793845385168</v>
      </c>
      <c r="F60"/>
    </row>
    <row r="61" spans="2:6" x14ac:dyDescent="0.25">
      <c r="B61" t="s">
        <v>198</v>
      </c>
      <c r="C61" t="s">
        <v>8</v>
      </c>
      <c r="D61" s="92">
        <f>AVERAGEIF(Sheet!A:A,'Table 5 Global Radar Graph'!B61,Sheet!I:I)</f>
        <v>0.40782312722460601</v>
      </c>
      <c r="F61"/>
    </row>
    <row r="62" spans="2:6" x14ac:dyDescent="0.25">
      <c r="B62" t="s">
        <v>200</v>
      </c>
      <c r="C62" t="s">
        <v>8</v>
      </c>
      <c r="D62" s="92">
        <f>AVERAGEIF(Sheet!A:A,'Table 5 Global Radar Graph'!B62,Sheet!I:I)</f>
        <v>1.0394832695323921</v>
      </c>
      <c r="F62"/>
    </row>
    <row r="63" spans="2:6" x14ac:dyDescent="0.25">
      <c r="B63" t="s">
        <v>202</v>
      </c>
      <c r="C63" t="s">
        <v>8</v>
      </c>
      <c r="D63" s="92">
        <f>AVERAGEIF(Sheet!A:A,'Table 5 Global Radar Graph'!B63,Sheet!I:I)</f>
        <v>0.42333811585301712</v>
      </c>
      <c r="F63"/>
    </row>
    <row r="64" spans="2:6" x14ac:dyDescent="0.25">
      <c r="B64" t="s">
        <v>204</v>
      </c>
      <c r="C64" t="s">
        <v>8</v>
      </c>
      <c r="D64" s="92">
        <f>AVERAGEIF(Sheet!A:A,'Table 5 Global Radar Graph'!B64,Sheet!I:I)</f>
        <v>0.56703217262775818</v>
      </c>
      <c r="F64"/>
    </row>
    <row r="65" spans="2:6" x14ac:dyDescent="0.25">
      <c r="B65" t="s">
        <v>206</v>
      </c>
      <c r="C65" t="s">
        <v>8</v>
      </c>
      <c r="D65" s="92">
        <f>AVERAGEIF(Sheet!A:A,'Table 5 Global Radar Graph'!B65,Sheet!I:I)</f>
        <v>0.32206010240430843</v>
      </c>
      <c r="F65"/>
    </row>
    <row r="66" spans="2:6" x14ac:dyDescent="0.25">
      <c r="B66" t="s">
        <v>208</v>
      </c>
      <c r="C66" t="s">
        <v>8</v>
      </c>
      <c r="D66" s="92">
        <f>AVERAGEIF(Sheet!A:A,'Table 5 Global Radar Graph'!B66,Sheet!I:I)</f>
        <v>0.47367884832089024</v>
      </c>
      <c r="F66"/>
    </row>
    <row r="67" spans="2:6" x14ac:dyDescent="0.25">
      <c r="B67" t="s">
        <v>210</v>
      </c>
      <c r="C67" t="s">
        <v>8</v>
      </c>
      <c r="D67" s="92">
        <f>AVERAGEIF(Sheet!A:A,'Table 5 Global Radar Graph'!B67,Sheet!I:I)</f>
        <v>0.86052008871572583</v>
      </c>
      <c r="F67"/>
    </row>
    <row r="68" spans="2:6" x14ac:dyDescent="0.25">
      <c r="B68" t="s">
        <v>211</v>
      </c>
      <c r="C68" t="s">
        <v>8</v>
      </c>
      <c r="D68" s="92">
        <f>AVERAGEIF(Sheet!A:A,'Table 5 Global Radar Graph'!B68,Sheet!I:I)</f>
        <v>0.50047921856694266</v>
      </c>
      <c r="F68"/>
    </row>
    <row r="69" spans="2:6" x14ac:dyDescent="0.25">
      <c r="B69" t="s">
        <v>213</v>
      </c>
      <c r="C69" t="s">
        <v>8</v>
      </c>
      <c r="D69" s="92">
        <f>AVERAGEIF(Sheet!A:A,'Table 5 Global Radar Graph'!B69,Sheet!I:I)</f>
        <v>0.52168224837544952</v>
      </c>
      <c r="F69"/>
    </row>
    <row r="70" spans="2:6" x14ac:dyDescent="0.25">
      <c r="B70" t="s">
        <v>215</v>
      </c>
      <c r="C70" t="s">
        <v>8</v>
      </c>
      <c r="D70" s="92">
        <f>AVERAGEIF(Sheet!A:A,'Table 5 Global Radar Graph'!B70,Sheet!I:I)</f>
        <v>0.31503638179026833</v>
      </c>
      <c r="F70"/>
    </row>
    <row r="71" spans="2:6" x14ac:dyDescent="0.25">
      <c r="B71" t="s">
        <v>217</v>
      </c>
      <c r="C71" t="s">
        <v>8</v>
      </c>
      <c r="D71" s="92">
        <f>AVERAGEIF(Sheet!A:A,'Table 5 Global Radar Graph'!B71,Sheet!I:I)</f>
        <v>0.33440916038835217</v>
      </c>
      <c r="F71"/>
    </row>
    <row r="72" spans="2:6" x14ac:dyDescent="0.25">
      <c r="B72" t="s">
        <v>219</v>
      </c>
      <c r="C72" t="s">
        <v>6</v>
      </c>
      <c r="D72" s="92">
        <f>AVERAGEIF(Sheet!A:A,'Table 5 Global Radar Graph'!B72,Sheet!I:I)</f>
        <v>1</v>
      </c>
      <c r="F72"/>
    </row>
    <row r="73" spans="2:6" x14ac:dyDescent="0.25">
      <c r="B73" t="s">
        <v>221</v>
      </c>
      <c r="C73" t="s">
        <v>6</v>
      </c>
      <c r="D73" s="92">
        <f>AVERAGEIF(Sheet!A:A,'Table 5 Global Radar Graph'!B73,Sheet!I:I)</f>
        <v>0.66764479019170853</v>
      </c>
      <c r="F73"/>
    </row>
  </sheetData>
  <autoFilter ref="B1:D73" xr:uid="{00000000-0009-0000-0000-000008000000}">
    <sortState xmlns:xlrd2="http://schemas.microsoft.com/office/spreadsheetml/2017/richdata2" ref="B2:D73">
      <sortCondition ref="D1:D73"/>
    </sortState>
  </autoFilter>
  <pageMargins left="0.70866141732283472" right="0.70866141732283472" top="0.74803149606299213" bottom="0.74803149606299213" header="0.31496062992125984" footer="0.31496062992125984"/>
  <pageSetup scale="5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6E43-EC76-4511-A756-2B2457FC3157}">
  <sheetPr>
    <tabColor rgb="FF7030A0"/>
  </sheetPr>
  <dimension ref="B1:W39"/>
  <sheetViews>
    <sheetView showGridLines="0" view="pageBreakPreview" topLeftCell="B5" zoomScale="85" zoomScaleNormal="50" zoomScaleSheetLayoutView="85" workbookViewId="0">
      <selection activeCell="D40" sqref="D40"/>
    </sheetView>
  </sheetViews>
  <sheetFormatPr defaultColWidth="8" defaultRowHeight="13.5" x14ac:dyDescent="0.25"/>
  <cols>
    <col min="1" max="1" width="3" customWidth="1"/>
    <col min="2" max="2" width="26.58203125" customWidth="1"/>
    <col min="3" max="3" width="13.5" customWidth="1"/>
    <col min="4" max="4" width="8.5" bestFit="1" customWidth="1"/>
    <col min="5" max="5" width="10.08203125" bestFit="1" customWidth="1"/>
    <col min="6" max="6" width="17.5" style="93" bestFit="1" customWidth="1"/>
    <col min="7" max="7" width="13.08203125" bestFit="1" customWidth="1"/>
    <col min="8" max="9" width="7.58203125" customWidth="1"/>
    <col min="10" max="10" width="9" bestFit="1" customWidth="1"/>
    <col min="11" max="11" width="16.5" bestFit="1" customWidth="1"/>
    <col min="12" max="12" width="8.5" bestFit="1" customWidth="1"/>
    <col min="13" max="13" width="13.08203125" bestFit="1" customWidth="1"/>
    <col min="14" max="14" width="9" bestFit="1" customWidth="1"/>
    <col min="15" max="15" width="10.08203125" bestFit="1" customWidth="1"/>
    <col min="16" max="16" width="8.5" bestFit="1" customWidth="1"/>
    <col min="17" max="17" width="13.08203125" bestFit="1" customWidth="1"/>
    <col min="18" max="18" width="9" bestFit="1" customWidth="1"/>
    <col min="19" max="19" width="26" bestFit="1" customWidth="1"/>
    <col min="20" max="20" width="13.58203125" hidden="1" customWidth="1"/>
    <col min="21" max="21" width="0" hidden="1" customWidth="1"/>
    <col min="22" max="23" width="13.58203125" hidden="1" customWidth="1"/>
    <col min="24" max="26" width="0" hidden="1" customWidth="1"/>
  </cols>
  <sheetData>
    <row r="1" spans="2:6" x14ac:dyDescent="0.25">
      <c r="B1" s="91" t="s">
        <v>262</v>
      </c>
      <c r="C1" s="91" t="s">
        <v>263</v>
      </c>
      <c r="D1" s="91" t="s">
        <v>348</v>
      </c>
      <c r="F1"/>
    </row>
    <row r="2" spans="2:6" x14ac:dyDescent="0.25">
      <c r="B2" t="s">
        <v>101</v>
      </c>
      <c r="C2" t="s">
        <v>6</v>
      </c>
      <c r="D2" s="92">
        <f>AVERAGEIF(Sheet!A:A,'Table 6 EMEA Radar Graph'!B2,Sheet!I:I)</f>
        <v>0.55221480584395788</v>
      </c>
      <c r="F2"/>
    </row>
    <row r="3" spans="2:6" x14ac:dyDescent="0.25">
      <c r="B3" t="s">
        <v>103</v>
      </c>
      <c r="C3" t="s">
        <v>6</v>
      </c>
      <c r="D3" s="92">
        <f>AVERAGEIF(Sheet!A:A,'Table 6 EMEA Radar Graph'!B3,Sheet!I:I)</f>
        <v>0.6351154657877548</v>
      </c>
      <c r="F3"/>
    </row>
    <row r="4" spans="2:6" x14ac:dyDescent="0.25">
      <c r="B4" t="s">
        <v>105</v>
      </c>
      <c r="C4" t="s">
        <v>6</v>
      </c>
      <c r="D4" s="92">
        <f>AVERAGEIF(Sheet!A:A,'Table 6 EMEA Radar Graph'!B4,Sheet!I:I)</f>
        <v>0.57759864698045749</v>
      </c>
      <c r="F4"/>
    </row>
    <row r="5" spans="2:6" x14ac:dyDescent="0.25">
      <c r="B5" t="s">
        <v>107</v>
      </c>
      <c r="C5" t="s">
        <v>6</v>
      </c>
      <c r="D5" s="92">
        <f>AVERAGEIF(Sheet!A:A,'Table 6 EMEA Radar Graph'!B5,Sheet!I:I)</f>
        <v>0.48867627143713938</v>
      </c>
      <c r="F5"/>
    </row>
    <row r="6" spans="2:6" x14ac:dyDescent="0.25">
      <c r="B6" t="s">
        <v>109</v>
      </c>
      <c r="C6" t="s">
        <v>6</v>
      </c>
      <c r="D6" s="92">
        <f>AVERAGEIF(Sheet!A:A,'Table 6 EMEA Radar Graph'!B6,Sheet!I:I)</f>
        <v>0.53468512504126819</v>
      </c>
      <c r="F6"/>
    </row>
    <row r="7" spans="2:6" x14ac:dyDescent="0.25">
      <c r="B7" t="s">
        <v>111</v>
      </c>
      <c r="C7" t="s">
        <v>6</v>
      </c>
      <c r="D7" s="92">
        <f>AVERAGEIF(Sheet!A:A,'Table 6 EMEA Radar Graph'!B7,Sheet!I:I)</f>
        <v>0.38257316119028978</v>
      </c>
      <c r="F7"/>
    </row>
    <row r="8" spans="2:6" x14ac:dyDescent="0.25">
      <c r="B8" t="s">
        <v>113</v>
      </c>
      <c r="C8" t="s">
        <v>6</v>
      </c>
      <c r="D8" s="92">
        <f>AVERAGEIF(Sheet!A:A,'Table 6 EMEA Radar Graph'!B8,Sheet!I:I)</f>
        <v>0.92574297850869947</v>
      </c>
      <c r="F8"/>
    </row>
    <row r="9" spans="2:6" x14ac:dyDescent="0.25">
      <c r="B9" t="s">
        <v>115</v>
      </c>
      <c r="C9" t="s">
        <v>6</v>
      </c>
      <c r="D9" s="92">
        <f>AVERAGEIF(Sheet!A:A,'Table 6 EMEA Radar Graph'!B9,Sheet!I:I)</f>
        <v>0.61613886123885453</v>
      </c>
      <c r="F9"/>
    </row>
    <row r="10" spans="2:6" x14ac:dyDescent="0.25">
      <c r="B10" t="s">
        <v>117</v>
      </c>
      <c r="C10" t="s">
        <v>6</v>
      </c>
      <c r="D10" s="92">
        <f>AVERAGEIF(Sheet!A:A,'Table 6 EMEA Radar Graph'!B10,Sheet!I:I)</f>
        <v>0.81267281445134942</v>
      </c>
      <c r="F10"/>
    </row>
    <row r="11" spans="2:6" x14ac:dyDescent="0.25">
      <c r="B11" t="s">
        <v>119</v>
      </c>
      <c r="C11" t="s">
        <v>6</v>
      </c>
      <c r="D11" s="92">
        <f>AVERAGEIF(Sheet!A:A,'Table 6 EMEA Radar Graph'!B11,Sheet!I:I)</f>
        <v>0.86775382719176275</v>
      </c>
      <c r="F11"/>
    </row>
    <row r="12" spans="2:6" x14ac:dyDescent="0.25">
      <c r="B12" t="s">
        <v>122</v>
      </c>
      <c r="C12" t="s">
        <v>6</v>
      </c>
      <c r="D12" s="92">
        <f>AVERAGEIF(Sheet!A:A,'Table 6 EMEA Radar Graph'!B12,Sheet!I:I)</f>
        <v>0.74116171756650584</v>
      </c>
      <c r="F12"/>
    </row>
    <row r="13" spans="2:6" x14ac:dyDescent="0.25">
      <c r="B13" t="s">
        <v>129</v>
      </c>
      <c r="C13" t="s">
        <v>6</v>
      </c>
      <c r="D13" s="92">
        <f>AVERAGEIF(Sheet!A:A,'Table 6 EMEA Radar Graph'!B13,Sheet!I:I)</f>
        <v>0.62911640920050338</v>
      </c>
      <c r="F13"/>
    </row>
    <row r="14" spans="2:6" x14ac:dyDescent="0.25">
      <c r="B14" t="s">
        <v>131</v>
      </c>
      <c r="C14" t="s">
        <v>6</v>
      </c>
      <c r="D14" s="92">
        <f>AVERAGEIF(Sheet!A:A,'Table 6 EMEA Radar Graph'!B14,Sheet!I:I)</f>
        <v>0.58840391930671376</v>
      </c>
      <c r="F14"/>
    </row>
    <row r="15" spans="2:6" x14ac:dyDescent="0.25">
      <c r="B15" t="s">
        <v>133</v>
      </c>
      <c r="C15" t="s">
        <v>6</v>
      </c>
      <c r="D15" s="92">
        <f>AVERAGEIF(Sheet!A:A,'Table 6 EMEA Radar Graph'!B15,Sheet!I:I)</f>
        <v>0.68744710532510578</v>
      </c>
      <c r="F15"/>
    </row>
    <row r="16" spans="2:6" x14ac:dyDescent="0.25">
      <c r="B16" t="s">
        <v>135</v>
      </c>
      <c r="C16" t="s">
        <v>6</v>
      </c>
      <c r="D16" s="92">
        <f>AVERAGEIF(Sheet!A:A,'Table 6 EMEA Radar Graph'!B16,Sheet!I:I)</f>
        <v>0.60522599823268686</v>
      </c>
      <c r="F16"/>
    </row>
    <row r="17" spans="2:6" x14ac:dyDescent="0.25">
      <c r="B17" t="s">
        <v>137</v>
      </c>
      <c r="C17" t="s">
        <v>6</v>
      </c>
      <c r="D17" s="92">
        <f>AVERAGEIF(Sheet!A:A,'Table 6 EMEA Radar Graph'!B17,Sheet!I:I)</f>
        <v>0.49049397516209403</v>
      </c>
      <c r="F17"/>
    </row>
    <row r="18" spans="2:6" x14ac:dyDescent="0.25">
      <c r="B18" t="s">
        <v>139</v>
      </c>
      <c r="C18" t="s">
        <v>6</v>
      </c>
      <c r="D18" s="92">
        <f>AVERAGEIF(Sheet!A:A,'Table 6 EMEA Radar Graph'!B18,Sheet!I:I)</f>
        <v>0.49021537259903658</v>
      </c>
      <c r="F18"/>
    </row>
    <row r="19" spans="2:6" x14ac:dyDescent="0.25">
      <c r="B19" t="s">
        <v>141</v>
      </c>
      <c r="C19" t="s">
        <v>6</v>
      </c>
      <c r="D19" s="92">
        <f>AVERAGEIF(Sheet!A:A,'Table 6 EMEA Radar Graph'!B19,Sheet!I:I)</f>
        <v>0.65294353983032472</v>
      </c>
      <c r="F19"/>
    </row>
    <row r="20" spans="2:6" x14ac:dyDescent="0.25">
      <c r="B20" t="s">
        <v>142</v>
      </c>
      <c r="C20" t="s">
        <v>6</v>
      </c>
      <c r="D20" s="92">
        <f>AVERAGEIF(Sheet!A:A,'Table 6 EMEA Radar Graph'!B20,Sheet!I:I)</f>
        <v>0.79289498657597612</v>
      </c>
      <c r="F20"/>
    </row>
    <row r="21" spans="2:6" x14ac:dyDescent="0.25">
      <c r="B21" t="s">
        <v>144</v>
      </c>
      <c r="C21" t="s">
        <v>6</v>
      </c>
      <c r="D21" s="92">
        <f>AVERAGEIF(Sheet!A:A,'Table 6 EMEA Radar Graph'!B21,Sheet!I:I)</f>
        <v>0.48823840879179187</v>
      </c>
      <c r="F21"/>
    </row>
    <row r="22" spans="2:6" x14ac:dyDescent="0.25">
      <c r="B22" t="s">
        <v>146</v>
      </c>
      <c r="C22" t="s">
        <v>6</v>
      </c>
      <c r="D22" s="92">
        <f>AVERAGEIF(Sheet!A:A,'Table 6 EMEA Radar Graph'!B22,Sheet!I:I)</f>
        <v>0.64852266264134018</v>
      </c>
      <c r="F22"/>
    </row>
    <row r="23" spans="2:6" x14ac:dyDescent="0.25">
      <c r="B23" t="s">
        <v>148</v>
      </c>
      <c r="C23" t="s">
        <v>6</v>
      </c>
      <c r="D23" s="92">
        <f>AVERAGEIF(Sheet!A:A,'Table 6 EMEA Radar Graph'!B23,Sheet!I:I)</f>
        <v>0.82041836774181154</v>
      </c>
      <c r="F23"/>
    </row>
    <row r="24" spans="2:6" x14ac:dyDescent="0.25">
      <c r="B24" t="s">
        <v>150</v>
      </c>
      <c r="C24" t="s">
        <v>6</v>
      </c>
      <c r="D24" s="92">
        <f>AVERAGEIF(Sheet!A:A,'Table 6 EMEA Radar Graph'!B24,Sheet!I:I)</f>
        <v>0.59720792646076382</v>
      </c>
      <c r="F24"/>
    </row>
    <row r="25" spans="2:6" x14ac:dyDescent="0.25">
      <c r="B25" t="s">
        <v>152</v>
      </c>
      <c r="C25" t="s">
        <v>6</v>
      </c>
      <c r="D25" s="92">
        <f>AVERAGEIF(Sheet!A:A,'Table 6 EMEA Radar Graph'!B25,Sheet!I:I)</f>
        <v>0.56436162489236641</v>
      </c>
      <c r="F25"/>
    </row>
    <row r="26" spans="2:6" x14ac:dyDescent="0.25">
      <c r="B26" t="s">
        <v>154</v>
      </c>
      <c r="C26" t="s">
        <v>6</v>
      </c>
      <c r="D26" s="92">
        <f>AVERAGEIF(Sheet!A:A,'Table 6 EMEA Radar Graph'!B26,Sheet!I:I)</f>
        <v>0.56840224107114812</v>
      </c>
      <c r="F26"/>
    </row>
    <row r="27" spans="2:6" x14ac:dyDescent="0.25">
      <c r="B27" t="s">
        <v>156</v>
      </c>
      <c r="C27" t="s">
        <v>6</v>
      </c>
      <c r="D27" s="92">
        <f>AVERAGEIF(Sheet!A:A,'Table 6 EMEA Radar Graph'!B27,Sheet!I:I)</f>
        <v>0.67650830338708301</v>
      </c>
      <c r="F27"/>
    </row>
    <row r="28" spans="2:6" x14ac:dyDescent="0.25">
      <c r="B28" t="s">
        <v>158</v>
      </c>
      <c r="C28" t="s">
        <v>6</v>
      </c>
      <c r="D28" s="92">
        <f>AVERAGEIF(Sheet!A:A,'Table 6 EMEA Radar Graph'!B28,Sheet!I:I)</f>
        <v>0.46772017454500286</v>
      </c>
      <c r="F28"/>
    </row>
    <row r="29" spans="2:6" x14ac:dyDescent="0.25">
      <c r="B29" t="s">
        <v>160</v>
      </c>
      <c r="C29" t="s">
        <v>6</v>
      </c>
      <c r="D29" s="92">
        <f>AVERAGEIF(Sheet!A:A,'Table 6 EMEA Radar Graph'!B29,Sheet!I:I)</f>
        <v>0.83121460100046607</v>
      </c>
      <c r="F29"/>
    </row>
    <row r="30" spans="2:6" x14ac:dyDescent="0.25">
      <c r="B30" t="s">
        <v>162</v>
      </c>
      <c r="C30" t="s">
        <v>6</v>
      </c>
      <c r="D30" s="92">
        <f>AVERAGEIF(Sheet!A:A,'Table 6 EMEA Radar Graph'!B30,Sheet!I:I)</f>
        <v>0.57480136855981601</v>
      </c>
      <c r="F30"/>
    </row>
    <row r="31" spans="2:6" x14ac:dyDescent="0.25">
      <c r="B31" t="s">
        <v>164</v>
      </c>
      <c r="C31" t="s">
        <v>6</v>
      </c>
      <c r="D31" s="92">
        <f>AVERAGEIF(Sheet!A:A,'Table 6 EMEA Radar Graph'!B31,Sheet!I:I)</f>
        <v>0.49352894502312383</v>
      </c>
      <c r="F31"/>
    </row>
    <row r="32" spans="2:6" x14ac:dyDescent="0.25">
      <c r="B32" t="s">
        <v>166</v>
      </c>
      <c r="C32" t="s">
        <v>6</v>
      </c>
      <c r="D32" s="92">
        <f>AVERAGEIF(Sheet!A:A,'Table 6 EMEA Radar Graph'!B32,Sheet!I:I)</f>
        <v>0.49949658502370226</v>
      </c>
      <c r="F32"/>
    </row>
    <row r="33" spans="2:6" x14ac:dyDescent="0.25">
      <c r="B33" t="s">
        <v>168</v>
      </c>
      <c r="C33" t="s">
        <v>6</v>
      </c>
      <c r="D33" s="92">
        <f>AVERAGEIF(Sheet!A:A,'Table 6 EMEA Radar Graph'!B33,Sheet!I:I)</f>
        <v>0.80475538434398541</v>
      </c>
      <c r="F33"/>
    </row>
    <row r="34" spans="2:6" x14ac:dyDescent="0.25">
      <c r="B34" t="s">
        <v>170</v>
      </c>
      <c r="C34" t="s">
        <v>6</v>
      </c>
      <c r="D34" s="92">
        <f>AVERAGEIF(Sheet!A:A,'Table 6 EMEA Radar Graph'!B34,Sheet!I:I)</f>
        <v>1.1506637733889584</v>
      </c>
      <c r="F34"/>
    </row>
    <row r="35" spans="2:6" x14ac:dyDescent="0.25">
      <c r="B35" t="s">
        <v>173</v>
      </c>
      <c r="C35" t="s">
        <v>6</v>
      </c>
      <c r="D35" s="92">
        <f>AVERAGEIF(Sheet!A:A,'Table 6 EMEA Radar Graph'!B35,Sheet!I:I)</f>
        <v>0.70891943024822968</v>
      </c>
      <c r="F35"/>
    </row>
    <row r="36" spans="2:6" x14ac:dyDescent="0.25">
      <c r="B36" t="s">
        <v>175</v>
      </c>
      <c r="C36" t="s">
        <v>6</v>
      </c>
      <c r="D36" s="92">
        <f>AVERAGEIF(Sheet!A:A,'Table 6 EMEA Radar Graph'!B36,Sheet!I:I)</f>
        <v>0.87317410910730642</v>
      </c>
      <c r="F36"/>
    </row>
    <row r="37" spans="2:6" x14ac:dyDescent="0.25">
      <c r="B37" t="s">
        <v>178</v>
      </c>
      <c r="C37" t="s">
        <v>6</v>
      </c>
      <c r="D37" s="92">
        <f>AVERAGEIF(Sheet!A:A,'Table 6 EMEA Radar Graph'!B37,Sheet!I:I)</f>
        <v>0.66333035069741952</v>
      </c>
      <c r="F37"/>
    </row>
    <row r="38" spans="2:6" x14ac:dyDescent="0.25">
      <c r="B38" t="s">
        <v>220</v>
      </c>
      <c r="C38" t="s">
        <v>6</v>
      </c>
      <c r="D38" s="92">
        <v>1</v>
      </c>
    </row>
    <row r="39" spans="2:6" x14ac:dyDescent="0.25">
      <c r="B39" t="s">
        <v>222</v>
      </c>
      <c r="C39" t="s">
        <v>6</v>
      </c>
      <c r="D39" s="92">
        <v>0.67</v>
      </c>
    </row>
  </sheetData>
  <autoFilter ref="B1:D37" xr:uid="{00000000-0009-0000-0000-000008000000}">
    <sortState xmlns:xlrd2="http://schemas.microsoft.com/office/spreadsheetml/2017/richdata2" ref="B2:D37">
      <sortCondition ref="D1:D37"/>
    </sortState>
  </autoFilter>
  <pageMargins left="0.70866141732283472" right="0.70866141732283472" top="0.74803149606299213" bottom="0.74803149606299213" header="0.31496062992125984" footer="0.31496062992125984"/>
  <pageSetup scale="6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79B95-4473-4695-B9F7-1A097DD4246E}">
  <sheetPr>
    <tabColor rgb="FF7030A0"/>
  </sheetPr>
  <dimension ref="B1:W27"/>
  <sheetViews>
    <sheetView showGridLines="0" view="pageBreakPreview" topLeftCell="A14" zoomScale="85" zoomScaleNormal="50" zoomScaleSheetLayoutView="85" workbookViewId="0">
      <selection activeCell="E28" sqref="E28"/>
    </sheetView>
  </sheetViews>
  <sheetFormatPr defaultColWidth="8" defaultRowHeight="13.5" x14ac:dyDescent="0.25"/>
  <cols>
    <col min="1" max="1" width="3" customWidth="1"/>
    <col min="2" max="2" width="26.58203125" customWidth="1"/>
    <col min="3" max="3" width="10" bestFit="1" customWidth="1"/>
    <col min="4" max="4" width="8.5" bestFit="1" customWidth="1"/>
    <col min="5" max="5" width="10.08203125" bestFit="1" customWidth="1"/>
    <col min="6" max="6" width="7.58203125" customWidth="1"/>
    <col min="7" max="7" width="9" bestFit="1" customWidth="1"/>
    <col min="8" max="8" width="16.5" bestFit="1" customWidth="1"/>
    <col min="9" max="9" width="8.5" bestFit="1" customWidth="1"/>
    <col min="10" max="10" width="13.08203125" bestFit="1" customWidth="1"/>
    <col min="11" max="11" width="9" bestFit="1" customWidth="1"/>
    <col min="12" max="12" width="10.08203125" bestFit="1" customWidth="1"/>
    <col min="13" max="13" width="8.5" bestFit="1" customWidth="1"/>
    <col min="14" max="14" width="13.08203125" bestFit="1" customWidth="1"/>
    <col min="15" max="15" width="9" bestFit="1" customWidth="1"/>
    <col min="16" max="16" width="26" bestFit="1" customWidth="1"/>
    <col min="17" max="17" width="13.58203125" hidden="1" customWidth="1"/>
    <col min="18" max="18" width="0" hidden="1" customWidth="1"/>
    <col min="19" max="23" width="13.58203125" hidden="1" customWidth="1"/>
  </cols>
  <sheetData>
    <row r="1" spans="2:4" x14ac:dyDescent="0.25">
      <c r="B1" s="91" t="s">
        <v>262</v>
      </c>
      <c r="C1" s="91" t="s">
        <v>263</v>
      </c>
      <c r="D1" s="91" t="s">
        <v>348</v>
      </c>
    </row>
    <row r="2" spans="2:4" x14ac:dyDescent="0.25">
      <c r="B2" t="s">
        <v>181</v>
      </c>
      <c r="C2" t="s">
        <v>8</v>
      </c>
      <c r="D2" s="92">
        <f>AVERAGEIF(Sheet!B:B,'Table 7 APAC Radar Graph'!B2,Sheet!J:J)</f>
        <v>0.71672604757396152</v>
      </c>
    </row>
    <row r="3" spans="2:4" x14ac:dyDescent="0.25">
      <c r="B3" t="s">
        <v>183</v>
      </c>
      <c r="C3" t="s">
        <v>8</v>
      </c>
      <c r="D3" s="92">
        <f>AVERAGEIF(Sheet!B:B,'Table 7 APAC Radar Graph'!B3,Sheet!J:J)</f>
        <v>0.87206355352165965</v>
      </c>
    </row>
    <row r="4" spans="2:4" x14ac:dyDescent="0.25">
      <c r="B4" t="s">
        <v>184</v>
      </c>
      <c r="C4" t="s">
        <v>8</v>
      </c>
      <c r="D4" s="92">
        <f>AVERAGEIF(Sheet!B:B,'Table 7 APAC Radar Graph'!B4,Sheet!J:J)</f>
        <v>0.8895048245920929</v>
      </c>
    </row>
    <row r="5" spans="2:4" x14ac:dyDescent="0.25">
      <c r="B5" t="s">
        <v>185</v>
      </c>
      <c r="C5" t="s">
        <v>8</v>
      </c>
      <c r="D5" s="92">
        <f>AVERAGEIF(Sheet!B:B,'Table 7 APAC Radar Graph'!B5,Sheet!J:J)</f>
        <v>0.90694609566252604</v>
      </c>
    </row>
    <row r="6" spans="2:4" x14ac:dyDescent="0.25">
      <c r="B6" t="s">
        <v>186</v>
      </c>
      <c r="C6" t="s">
        <v>8</v>
      </c>
      <c r="D6" s="92">
        <f>AVERAGEIF(Sheet!B:B,'Table 7 APAC Radar Graph'!B6,Sheet!J:J)</f>
        <v>0.89822546012730942</v>
      </c>
    </row>
    <row r="7" spans="2:4" x14ac:dyDescent="0.25">
      <c r="B7" t="s">
        <v>187</v>
      </c>
      <c r="C7" t="s">
        <v>8</v>
      </c>
      <c r="D7" s="92">
        <f>AVERAGEIF(Sheet!B:B,'Table 7 APAC Radar Graph'!B7,Sheet!J:J)</f>
        <v>0.6371291868095631</v>
      </c>
    </row>
    <row r="8" spans="2:4" x14ac:dyDescent="0.25">
      <c r="B8" t="s">
        <v>188</v>
      </c>
      <c r="C8" t="s">
        <v>8</v>
      </c>
      <c r="D8" s="92">
        <f>AVERAGEIF(Sheet!B:B,'Table 7 APAC Radar Graph'!B8,Sheet!J:J)</f>
        <v>0.61189149765826578</v>
      </c>
    </row>
    <row r="9" spans="2:4" x14ac:dyDescent="0.25">
      <c r="B9" t="s">
        <v>189</v>
      </c>
      <c r="C9" t="s">
        <v>8</v>
      </c>
      <c r="D9" s="92">
        <f>AVERAGEIF(Sheet!B:B,'Table 7 APAC Radar Graph'!B9,Sheet!J:J)</f>
        <v>0.62013254673124929</v>
      </c>
    </row>
    <row r="10" spans="2:4" x14ac:dyDescent="0.25">
      <c r="B10" t="s">
        <v>191</v>
      </c>
      <c r="C10" t="s">
        <v>8</v>
      </c>
      <c r="D10" s="92">
        <f>AVERAGEIF(Sheet!B:B,'Table 7 APAC Radar Graph'!B10,Sheet!J:J)</f>
        <v>0.29839867120278796</v>
      </c>
    </row>
    <row r="11" spans="2:4" x14ac:dyDescent="0.25">
      <c r="B11" t="s">
        <v>192</v>
      </c>
      <c r="C11" t="s">
        <v>8</v>
      </c>
      <c r="D11" s="92">
        <f>AVERAGEIF(Sheet!B:B,'Table 7 APAC Radar Graph'!B11,Sheet!J:J)</f>
        <v>0.29544422891365141</v>
      </c>
    </row>
    <row r="12" spans="2:4" x14ac:dyDescent="0.25">
      <c r="B12" t="s">
        <v>193</v>
      </c>
      <c r="C12" t="s">
        <v>8</v>
      </c>
      <c r="D12" s="92">
        <f>AVERAGEIF(Sheet!B:B,'Table 7 APAC Radar Graph'!B12,Sheet!J:J)</f>
        <v>0.29544422891365141</v>
      </c>
    </row>
    <row r="13" spans="2:4" x14ac:dyDescent="0.25">
      <c r="B13" t="s">
        <v>194</v>
      </c>
      <c r="C13" t="s">
        <v>8</v>
      </c>
      <c r="D13" s="92">
        <f>AVERAGEIF(Sheet!B:B,'Table 7 APAC Radar Graph'!B13,Sheet!J:J)</f>
        <v>0.29254771686547837</v>
      </c>
    </row>
    <row r="14" spans="2:4" x14ac:dyDescent="0.25">
      <c r="B14" t="s">
        <v>195</v>
      </c>
      <c r="C14" t="s">
        <v>8</v>
      </c>
      <c r="D14" s="92">
        <f>AVERAGEIF(Sheet!B:B,'Table 7 APAC Radar Graph'!B14,Sheet!J:J)</f>
        <v>0.32227056489901101</v>
      </c>
    </row>
    <row r="15" spans="2:4" x14ac:dyDescent="0.25">
      <c r="B15" t="s">
        <v>196</v>
      </c>
      <c r="C15" t="s">
        <v>8</v>
      </c>
      <c r="D15" s="92">
        <f>AVERAGEIF(Sheet!B:B,'Table 7 APAC Radar Graph'!B15,Sheet!J:J)</f>
        <v>0.31331860476292739</v>
      </c>
    </row>
    <row r="16" spans="2:4" x14ac:dyDescent="0.25">
      <c r="B16" t="s">
        <v>197</v>
      </c>
      <c r="C16" t="s">
        <v>8</v>
      </c>
      <c r="D16" s="92">
        <f>AVERAGEIF(Sheet!B:B,'Table 7 APAC Radar Graph'!B16,Sheet!J:J)</f>
        <v>0.29544422891365141</v>
      </c>
    </row>
    <row r="17" spans="2:4" x14ac:dyDescent="0.25">
      <c r="B17" t="s">
        <v>199</v>
      </c>
      <c r="C17" t="s">
        <v>8</v>
      </c>
      <c r="D17" s="92">
        <f>AVERAGEIF(Sheet!B:B,'Table 7 APAC Radar Graph'!B17,Sheet!J:J)</f>
        <v>0.47392632963776288</v>
      </c>
    </row>
    <row r="18" spans="2:4" x14ac:dyDescent="0.25">
      <c r="B18" t="s">
        <v>201</v>
      </c>
      <c r="C18" t="s">
        <v>8</v>
      </c>
      <c r="D18" s="92">
        <f>AVERAGEIF(Sheet!B:B,'Table 7 APAC Radar Graph'!B18,Sheet!J:J)</f>
        <v>1.2079709505489384</v>
      </c>
    </row>
    <row r="19" spans="2:4" x14ac:dyDescent="0.25">
      <c r="B19" t="s">
        <v>203</v>
      </c>
      <c r="C19" t="s">
        <v>8</v>
      </c>
      <c r="D19" s="92">
        <f>AVERAGEIF(Sheet!B:B,'Table 7 APAC Radar Graph'!B19,Sheet!J:J)</f>
        <v>0.49195611050152666</v>
      </c>
    </row>
    <row r="20" spans="2:4" x14ac:dyDescent="0.25">
      <c r="B20" t="s">
        <v>205</v>
      </c>
      <c r="C20" t="s">
        <v>8</v>
      </c>
      <c r="D20" s="92">
        <f>AVERAGEIF(Sheet!B:B,'Table 7 APAC Radar Graph'!B20,Sheet!J:J)</f>
        <v>0.6589412380529307</v>
      </c>
    </row>
    <row r="21" spans="2:4" x14ac:dyDescent="0.25">
      <c r="B21" t="s">
        <v>207</v>
      </c>
      <c r="C21" t="s">
        <v>8</v>
      </c>
      <c r="D21" s="92">
        <f>AVERAGEIF(Sheet!B:B,'Table 7 APAC Radar Graph'!B21,Sheet!J:J)</f>
        <v>0.37426215451281758</v>
      </c>
    </row>
    <row r="22" spans="2:4" x14ac:dyDescent="0.25">
      <c r="B22" t="s">
        <v>209</v>
      </c>
      <c r="C22" t="s">
        <v>8</v>
      </c>
      <c r="D22" s="92">
        <f>AVERAGEIF(Sheet!B:B,'Table 7 APAC Radar Graph'!B22,Sheet!J:J)</f>
        <v>0.5504564675855822</v>
      </c>
    </row>
    <row r="23" spans="2:4" x14ac:dyDescent="0.25">
      <c r="B23" t="s">
        <v>210</v>
      </c>
      <c r="C23" t="s">
        <v>8</v>
      </c>
      <c r="D23" s="92">
        <f>AVERAGEIF(Sheet!B:B,'Table 7 APAC Radar Graph'!B23,Sheet!J:J)</f>
        <v>1</v>
      </c>
    </row>
    <row r="24" spans="2:4" x14ac:dyDescent="0.25">
      <c r="B24" t="s">
        <v>212</v>
      </c>
      <c r="C24" t="s">
        <v>8</v>
      </c>
      <c r="D24" s="92">
        <f>AVERAGEIF(Sheet!B:B,'Table 7 APAC Radar Graph'!B24,Sheet!J:J)</f>
        <v>0.58160085409961504</v>
      </c>
    </row>
    <row r="25" spans="2:4" x14ac:dyDescent="0.25">
      <c r="B25" t="s">
        <v>214</v>
      </c>
      <c r="C25" t="s">
        <v>8</v>
      </c>
      <c r="D25" s="92">
        <f>AVERAGEIF(Sheet!B:B,'Table 7 APAC Radar Graph'!B25,Sheet!J:J)</f>
        <v>0.60624063890713897</v>
      </c>
    </row>
    <row r="26" spans="2:4" x14ac:dyDescent="0.25">
      <c r="B26" t="s">
        <v>216</v>
      </c>
      <c r="C26" t="s">
        <v>8</v>
      </c>
      <c r="D26" s="92">
        <f>AVERAGEIF(Sheet!B:B,'Table 7 APAC Radar Graph'!B26,Sheet!J:J)</f>
        <v>0.36609997363389979</v>
      </c>
    </row>
    <row r="27" spans="2:4" x14ac:dyDescent="0.25">
      <c r="B27" t="s">
        <v>218</v>
      </c>
      <c r="C27" t="s">
        <v>8</v>
      </c>
      <c r="D27" s="92">
        <f>AVERAGEIF(Sheet!B:B,'Table 7 APAC Radar Graph'!B27,Sheet!J:J)</f>
        <v>0.38861284561925524</v>
      </c>
    </row>
  </sheetData>
  <autoFilter ref="B1:D1" xr:uid="{00000000-0009-0000-0000-000008000000}"/>
  <pageMargins left="0.70866141732283472" right="0.70866141732283472" top="0.74803149606299213" bottom="0.74803149606299213" header="0.31496062992125984" footer="0.31496062992125984"/>
  <pageSetup scale="6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F09B-7A77-4AC1-8B88-D2D8ED3288B0}">
  <sheetPr>
    <tabColor rgb="FF7030A0"/>
  </sheetPr>
  <dimension ref="B1:W64"/>
  <sheetViews>
    <sheetView showGridLines="0" view="pageBreakPreview" topLeftCell="A17" zoomScale="70" zoomScaleNormal="50" zoomScaleSheetLayoutView="70" workbookViewId="0">
      <selection activeCell="A31" sqref="A31"/>
    </sheetView>
  </sheetViews>
  <sheetFormatPr defaultColWidth="8" defaultRowHeight="13.5" x14ac:dyDescent="0.25"/>
  <cols>
    <col min="1" max="1" width="3" customWidth="1"/>
    <col min="2" max="2" width="26.58203125" customWidth="1"/>
    <col min="3" max="3" width="18.5" customWidth="1"/>
    <col min="4" max="4" width="8.5" bestFit="1" customWidth="1"/>
    <col min="5" max="5" width="10.08203125" bestFit="1" customWidth="1"/>
    <col min="6" max="6" width="17.5" style="93" bestFit="1" customWidth="1"/>
    <col min="7" max="7" width="13.08203125" bestFit="1" customWidth="1"/>
    <col min="8" max="9" width="7.58203125" customWidth="1"/>
    <col min="10" max="10" width="9" bestFit="1" customWidth="1"/>
    <col min="11" max="11" width="16.5" bestFit="1" customWidth="1"/>
    <col min="12" max="12" width="8.5" bestFit="1" customWidth="1"/>
    <col min="13" max="13" width="13.08203125" bestFit="1" customWidth="1"/>
    <col min="14" max="14" width="9" bestFit="1" customWidth="1"/>
    <col min="15" max="15" width="10.08203125" bestFit="1" customWidth="1"/>
    <col min="16" max="16" width="8.5" bestFit="1" customWidth="1"/>
    <col min="17" max="17" width="13.08203125" bestFit="1" customWidth="1"/>
    <col min="18" max="18" width="9" bestFit="1" customWidth="1"/>
    <col min="19" max="19" width="26" bestFit="1" customWidth="1"/>
    <col min="20" max="20" width="13.58203125" hidden="1" customWidth="1"/>
    <col min="21" max="21" width="0" hidden="1" customWidth="1"/>
    <col min="22" max="23" width="13.58203125" hidden="1" customWidth="1"/>
    <col min="24" max="26" width="0" hidden="1" customWidth="1"/>
  </cols>
  <sheetData>
    <row r="1" spans="2:6" x14ac:dyDescent="0.25">
      <c r="B1" s="91" t="s">
        <v>262</v>
      </c>
      <c r="C1" s="91" t="s">
        <v>263</v>
      </c>
      <c r="D1" s="91" t="s">
        <v>348</v>
      </c>
      <c r="F1"/>
    </row>
    <row r="2" spans="2:6" x14ac:dyDescent="0.25">
      <c r="B2" t="s">
        <v>61</v>
      </c>
      <c r="C2" t="s">
        <v>243</v>
      </c>
      <c r="D2" s="92">
        <f>AVERAGEIF(Sheet!B:B,'Table 8 LATAM Radar Graph'!B2,Sheet!K:K)</f>
        <v>1.1723327556014385</v>
      </c>
      <c r="F2"/>
    </row>
    <row r="3" spans="2:6" x14ac:dyDescent="0.25">
      <c r="B3" t="s">
        <v>63</v>
      </c>
      <c r="C3" t="s">
        <v>243</v>
      </c>
      <c r="D3" s="92">
        <f>AVERAGEIF(Sheet!B:B,'Table 8 LATAM Radar Graph'!B3,Sheet!K:K)</f>
        <v>1.3230535568265165</v>
      </c>
      <c r="F3"/>
    </row>
    <row r="4" spans="2:6" x14ac:dyDescent="0.25">
      <c r="B4" t="s">
        <v>65</v>
      </c>
      <c r="C4" t="s">
        <v>243</v>
      </c>
      <c r="D4" s="92">
        <f>AVERAGEIF(Sheet!B:B,'Table 8 LATAM Radar Graph'!B4,Sheet!K:K)</f>
        <v>1.0196887222648545</v>
      </c>
      <c r="F4"/>
    </row>
    <row r="5" spans="2:6" x14ac:dyDescent="0.25">
      <c r="B5" t="s">
        <v>67</v>
      </c>
      <c r="C5" t="s">
        <v>243</v>
      </c>
      <c r="D5" s="92">
        <f>AVERAGEIF(Sheet!B:B,'Table 8 LATAM Radar Graph'!B5,Sheet!K:K)</f>
        <v>1.0196887222648545</v>
      </c>
      <c r="F5"/>
    </row>
    <row r="6" spans="2:6" x14ac:dyDescent="0.25">
      <c r="B6" t="s">
        <v>69</v>
      </c>
      <c r="C6" t="s">
        <v>243</v>
      </c>
      <c r="D6" s="92">
        <f>AVERAGEIF(Sheet!B:B,'Table 8 LATAM Radar Graph'!B6,Sheet!K:K)</f>
        <v>1.7811774441729573</v>
      </c>
      <c r="F6"/>
    </row>
    <row r="7" spans="2:6" x14ac:dyDescent="0.25">
      <c r="B7" t="s">
        <v>71</v>
      </c>
      <c r="C7" t="s">
        <v>243</v>
      </c>
      <c r="D7" s="92">
        <f>AVERAGEIF(Sheet!B:B,'Table 8 LATAM Radar Graph'!B7,Sheet!K:K)</f>
        <v>1.7176983141386728</v>
      </c>
      <c r="F7"/>
    </row>
    <row r="8" spans="2:6" x14ac:dyDescent="0.25">
      <c r="B8" t="s">
        <v>73</v>
      </c>
      <c r="C8" t="s">
        <v>243</v>
      </c>
      <c r="D8" s="92">
        <f>AVERAGEIF(Sheet!B:B,'Table 8 LATAM Radar Graph'!B8,Sheet!K:K)</f>
        <v>0.8158407416565111</v>
      </c>
      <c r="F8"/>
    </row>
    <row r="9" spans="2:6" x14ac:dyDescent="0.25">
      <c r="B9" t="s">
        <v>75</v>
      </c>
      <c r="C9" t="s">
        <v>243</v>
      </c>
      <c r="D9" s="92">
        <f>AVERAGEIF(Sheet!B:B,'Table 8 LATAM Radar Graph'!B9,Sheet!K:K)</f>
        <v>1.5956664922106374</v>
      </c>
      <c r="F9"/>
    </row>
    <row r="10" spans="2:6" x14ac:dyDescent="0.25">
      <c r="B10" t="s">
        <v>77</v>
      </c>
      <c r="C10" t="s">
        <v>243</v>
      </c>
      <c r="D10" s="92">
        <f>AVERAGEIF(Sheet!B:B,'Table 8 LATAM Radar Graph'!B10,Sheet!K:K)</f>
        <v>1.3508571825582236</v>
      </c>
      <c r="F10"/>
    </row>
    <row r="11" spans="2:6" x14ac:dyDescent="0.25">
      <c r="B11" t="s">
        <v>79</v>
      </c>
      <c r="C11" t="s">
        <v>243</v>
      </c>
      <c r="D11" s="92">
        <f>AVERAGEIF(Sheet!B:B,'Table 8 LATAM Radar Graph'!B11,Sheet!K:K)</f>
        <v>1.2786166705702953</v>
      </c>
      <c r="F11"/>
    </row>
    <row r="12" spans="2:6" x14ac:dyDescent="0.25">
      <c r="B12" t="s">
        <v>81</v>
      </c>
      <c r="C12" t="s">
        <v>243</v>
      </c>
      <c r="D12" s="92">
        <f>AVERAGEIF(Sheet!B:B,'Table 8 LATAM Radar Graph'!B12,Sheet!K:K)</f>
        <v>1.6278273351706487</v>
      </c>
      <c r="F12"/>
    </row>
    <row r="13" spans="2:6" x14ac:dyDescent="0.25">
      <c r="B13" t="s">
        <v>83</v>
      </c>
      <c r="C13" t="s">
        <v>243</v>
      </c>
      <c r="D13" s="92">
        <f>AVERAGEIF(Sheet!B:B,'Table 8 LATAM Radar Graph'!B13,Sheet!K:K)</f>
        <v>1.3478502411347262</v>
      </c>
      <c r="F13"/>
    </row>
    <row r="14" spans="2:6" x14ac:dyDescent="0.25">
      <c r="B14" t="s">
        <v>84</v>
      </c>
      <c r="C14" t="s">
        <v>243</v>
      </c>
      <c r="D14" s="92">
        <f>AVERAGEIF(Sheet!B:B,'Table 8 LATAM Radar Graph'!B14,Sheet!K:K)</f>
        <v>1.6123295403521711</v>
      </c>
      <c r="F14"/>
    </row>
    <row r="15" spans="2:6" x14ac:dyDescent="0.25">
      <c r="B15" t="s">
        <v>86</v>
      </c>
      <c r="C15" t="s">
        <v>243</v>
      </c>
      <c r="D15" s="92">
        <f>AVERAGEIF(Sheet!B:B,'Table 8 LATAM Radar Graph'!B15,Sheet!K:K)</f>
        <v>0.9577215053897431</v>
      </c>
      <c r="F15"/>
    </row>
    <row r="16" spans="2:6" x14ac:dyDescent="0.25">
      <c r="B16" t="s">
        <v>87</v>
      </c>
      <c r="C16" t="s">
        <v>243</v>
      </c>
      <c r="D16" s="92">
        <f>AVERAGEIF(Sheet!B:B,'Table 8 LATAM Radar Graph'!B16,Sheet!K:K)</f>
        <v>0.9577215053897431</v>
      </c>
      <c r="F16"/>
    </row>
    <row r="17" spans="2:6" x14ac:dyDescent="0.25">
      <c r="B17" t="s">
        <v>88</v>
      </c>
      <c r="C17" t="s">
        <v>243</v>
      </c>
      <c r="D17" s="92">
        <f>AVERAGEIF(Sheet!B:B,'Table 8 LATAM Radar Graph'!B17,Sheet!K:K)</f>
        <v>0.97100281176458569</v>
      </c>
      <c r="F17"/>
    </row>
    <row r="18" spans="2:6" x14ac:dyDescent="0.25">
      <c r="B18" t="s">
        <v>90</v>
      </c>
      <c r="C18" t="s">
        <v>243</v>
      </c>
      <c r="D18" s="92">
        <f>AVERAGEIF(Sheet!B:B,'Table 8 LATAM Radar Graph'!B18,Sheet!K:K)</f>
        <v>0.9817324633281902</v>
      </c>
      <c r="F18"/>
    </row>
    <row r="19" spans="2:6" x14ac:dyDescent="0.25">
      <c r="B19" t="s">
        <v>92</v>
      </c>
      <c r="C19" t="s">
        <v>243</v>
      </c>
      <c r="D19" s="92">
        <f>AVERAGEIF(Sheet!B:B,'Table 8 LATAM Radar Graph'!B19,Sheet!K:K)</f>
        <v>0.88235456654517574</v>
      </c>
      <c r="F19"/>
    </row>
    <row r="20" spans="2:6" x14ac:dyDescent="0.25">
      <c r="B20" t="s">
        <v>95</v>
      </c>
      <c r="C20" t="s">
        <v>243</v>
      </c>
      <c r="D20" s="92">
        <f>AVERAGEIF(Sheet!B:B,'Table 8 LATAM Radar Graph'!B20,Sheet!K:K)</f>
        <v>1</v>
      </c>
      <c r="F20"/>
    </row>
    <row r="21" spans="2:6" x14ac:dyDescent="0.25">
      <c r="B21" t="s">
        <v>96</v>
      </c>
      <c r="C21" t="s">
        <v>243</v>
      </c>
      <c r="D21" s="92">
        <f>AVERAGEIF(Sheet!B:B,'Table 8 LATAM Radar Graph'!B21,Sheet!K:K)</f>
        <v>1</v>
      </c>
      <c r="F21"/>
    </row>
    <row r="22" spans="2:6" x14ac:dyDescent="0.25">
      <c r="B22" t="s">
        <v>97</v>
      </c>
      <c r="C22" t="s">
        <v>243</v>
      </c>
      <c r="D22" s="92">
        <f>AVERAGEIF(Sheet!B:B,'Table 8 LATAM Radar Graph'!B22,Sheet!K:K)</f>
        <v>1</v>
      </c>
      <c r="F22"/>
    </row>
    <row r="23" spans="2:6" x14ac:dyDescent="0.25">
      <c r="B23" t="s">
        <v>98</v>
      </c>
      <c r="C23" t="s">
        <v>243</v>
      </c>
      <c r="D23" s="92">
        <f>AVERAGEIF(Sheet!B:B,'Table 8 LATAM Radar Graph'!B23,Sheet!K:K)</f>
        <v>1</v>
      </c>
      <c r="F23"/>
    </row>
    <row r="24" spans="2:6" x14ac:dyDescent="0.25">
      <c r="B24" t="s">
        <v>100</v>
      </c>
      <c r="C24" t="s">
        <v>243</v>
      </c>
      <c r="D24" s="92">
        <f>AVERAGEIF(Sheet!B:B,'Table 8 LATAM Radar Graph'!B24,Sheet!K:K)</f>
        <v>1.2941575993274124</v>
      </c>
      <c r="F24"/>
    </row>
    <row r="25" spans="2:6" x14ac:dyDescent="0.25">
      <c r="F25"/>
    </row>
    <row r="26" spans="2:6" x14ac:dyDescent="0.25">
      <c r="F26"/>
    </row>
    <row r="27" spans="2:6" x14ac:dyDescent="0.25">
      <c r="F27"/>
    </row>
    <row r="28" spans="2:6" x14ac:dyDescent="0.25">
      <c r="F28"/>
    </row>
    <row r="29" spans="2:6" x14ac:dyDescent="0.25">
      <c r="F29"/>
    </row>
    <row r="30" spans="2:6" x14ac:dyDescent="0.25">
      <c r="F30"/>
    </row>
    <row r="31" spans="2:6" x14ac:dyDescent="0.25">
      <c r="F31"/>
    </row>
    <row r="32" spans="2:6" x14ac:dyDescent="0.25">
      <c r="F32"/>
    </row>
    <row r="33" spans="6:6" x14ac:dyDescent="0.25">
      <c r="F33"/>
    </row>
    <row r="34" spans="6:6" x14ac:dyDescent="0.25">
      <c r="F34"/>
    </row>
    <row r="35" spans="6:6" x14ac:dyDescent="0.25">
      <c r="F35"/>
    </row>
    <row r="36" spans="6:6" x14ac:dyDescent="0.25">
      <c r="F36"/>
    </row>
    <row r="37" spans="6:6" x14ac:dyDescent="0.25">
      <c r="F37"/>
    </row>
    <row r="38" spans="6:6" x14ac:dyDescent="0.25">
      <c r="F38"/>
    </row>
    <row r="39" spans="6:6" x14ac:dyDescent="0.25">
      <c r="F39"/>
    </row>
    <row r="40" spans="6:6" x14ac:dyDescent="0.25">
      <c r="F40"/>
    </row>
    <row r="41" spans="6:6" x14ac:dyDescent="0.25">
      <c r="F41"/>
    </row>
    <row r="42" spans="6:6" x14ac:dyDescent="0.25">
      <c r="F42"/>
    </row>
    <row r="43" spans="6:6" x14ac:dyDescent="0.25">
      <c r="F43"/>
    </row>
    <row r="44" spans="6:6" x14ac:dyDescent="0.25">
      <c r="F44"/>
    </row>
    <row r="45" spans="6:6" x14ac:dyDescent="0.25">
      <c r="F45"/>
    </row>
    <row r="46" spans="6:6" x14ac:dyDescent="0.25">
      <c r="F46"/>
    </row>
    <row r="47" spans="6:6" x14ac:dyDescent="0.25">
      <c r="F47"/>
    </row>
    <row r="48" spans="6:6" x14ac:dyDescent="0.25">
      <c r="F48"/>
    </row>
    <row r="49" spans="6:6" x14ac:dyDescent="0.25">
      <c r="F49"/>
    </row>
    <row r="50" spans="6:6" x14ac:dyDescent="0.25">
      <c r="F50"/>
    </row>
    <row r="51" spans="6:6" x14ac:dyDescent="0.25">
      <c r="F51"/>
    </row>
    <row r="52" spans="6:6" x14ac:dyDescent="0.25">
      <c r="F52"/>
    </row>
    <row r="53" spans="6:6" x14ac:dyDescent="0.25">
      <c r="F53"/>
    </row>
    <row r="54" spans="6:6" x14ac:dyDescent="0.25">
      <c r="F54"/>
    </row>
    <row r="55" spans="6:6" x14ac:dyDescent="0.25">
      <c r="F55"/>
    </row>
    <row r="56" spans="6:6" x14ac:dyDescent="0.25">
      <c r="F56"/>
    </row>
    <row r="57" spans="6:6" x14ac:dyDescent="0.25">
      <c r="F57"/>
    </row>
    <row r="58" spans="6:6" x14ac:dyDescent="0.25">
      <c r="F58"/>
    </row>
    <row r="59" spans="6:6" x14ac:dyDescent="0.25">
      <c r="F59"/>
    </row>
    <row r="60" spans="6:6" x14ac:dyDescent="0.25">
      <c r="F60"/>
    </row>
    <row r="61" spans="6:6" x14ac:dyDescent="0.25">
      <c r="F61"/>
    </row>
    <row r="62" spans="6:6" x14ac:dyDescent="0.25">
      <c r="F62"/>
    </row>
    <row r="63" spans="6:6" x14ac:dyDescent="0.25">
      <c r="F63"/>
    </row>
    <row r="64" spans="6:6" x14ac:dyDescent="0.25">
      <c r="F64"/>
    </row>
  </sheetData>
  <autoFilter ref="B1:D64" xr:uid="{00000000-0009-0000-0000-000008000000}">
    <sortState xmlns:xlrd2="http://schemas.microsoft.com/office/spreadsheetml/2017/richdata2" ref="B2:D64">
      <sortCondition ref="D1:D64"/>
    </sortState>
  </autoFilter>
  <pageMargins left="0.70866141732283472" right="0.70866141732283472" top="0.74803149606299213" bottom="0.74803149606299213" header="0.31496062992125984" footer="0.31496062992125984"/>
  <pageSetup scale="5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35EE7-7980-4885-98F4-20DE0DE0DA9D}">
  <dimension ref="A1:AB159"/>
  <sheetViews>
    <sheetView view="pageBreakPreview" topLeftCell="I1" zoomScaleNormal="100" zoomScaleSheetLayoutView="100" workbookViewId="0">
      <selection activeCell="L17" sqref="L17"/>
    </sheetView>
  </sheetViews>
  <sheetFormatPr defaultColWidth="8.83203125" defaultRowHeight="13.5" x14ac:dyDescent="0.25"/>
  <cols>
    <col min="1" max="1" width="4.58203125" customWidth="1"/>
    <col min="2" max="2" width="21" customWidth="1"/>
    <col min="3" max="3" width="14.58203125" customWidth="1"/>
    <col min="4" max="4" width="10.08203125" bestFit="1" customWidth="1"/>
    <col min="5" max="5" width="14" style="4" customWidth="1"/>
    <col min="6" max="13" width="14" customWidth="1"/>
    <col min="14" max="14" width="6" customWidth="1"/>
    <col min="24" max="24" width="6" customWidth="1"/>
    <col min="25" max="27" width="8.5" style="24"/>
    <col min="28" max="28" width="6" customWidth="1"/>
  </cols>
  <sheetData>
    <row r="1" spans="1:28" ht="17.5" customHeight="1" x14ac:dyDescent="0.25">
      <c r="A1" s="20"/>
      <c r="B1" s="15"/>
      <c r="C1" s="2"/>
      <c r="D1" s="2"/>
      <c r="E1" s="132" t="s">
        <v>0</v>
      </c>
      <c r="F1" s="132"/>
      <c r="G1" s="132"/>
      <c r="H1" s="132"/>
      <c r="I1" s="132"/>
      <c r="J1" s="132"/>
      <c r="K1" s="132"/>
      <c r="L1" s="132"/>
      <c r="M1" s="132"/>
      <c r="N1" s="22"/>
      <c r="O1" s="132" t="s">
        <v>1</v>
      </c>
      <c r="P1" s="132"/>
      <c r="Q1" s="132"/>
      <c r="R1" s="132"/>
      <c r="S1" s="132"/>
      <c r="T1" s="132"/>
      <c r="U1" s="132"/>
      <c r="V1" s="132"/>
      <c r="W1" s="132"/>
      <c r="X1" s="22"/>
      <c r="Y1" s="131" t="s">
        <v>2</v>
      </c>
      <c r="Z1" s="131"/>
      <c r="AA1" s="131"/>
      <c r="AB1" s="22"/>
    </row>
    <row r="2" spans="1:28" x14ac:dyDescent="0.25">
      <c r="A2" s="16"/>
      <c r="B2" s="16"/>
      <c r="C2" s="1"/>
      <c r="D2" s="1"/>
      <c r="E2" s="133" t="s">
        <v>3</v>
      </c>
      <c r="F2" s="133"/>
      <c r="G2" s="133"/>
      <c r="H2" s="133" t="s">
        <v>4</v>
      </c>
      <c r="I2" s="133"/>
      <c r="J2" s="133"/>
      <c r="K2" s="133" t="s">
        <v>5</v>
      </c>
      <c r="L2" s="133"/>
      <c r="M2" s="133"/>
      <c r="N2" s="22"/>
      <c r="O2" s="133" t="s">
        <v>3</v>
      </c>
      <c r="P2" s="133"/>
      <c r="Q2" s="133"/>
      <c r="R2" s="133" t="s">
        <v>4</v>
      </c>
      <c r="S2" s="133"/>
      <c r="T2" s="133"/>
      <c r="U2" s="133" t="s">
        <v>5</v>
      </c>
      <c r="V2" s="133"/>
      <c r="W2" s="133"/>
      <c r="X2" s="22"/>
      <c r="Y2" s="24" t="s">
        <v>6</v>
      </c>
      <c r="Z2" s="24" t="s">
        <v>7</v>
      </c>
      <c r="AA2" s="24" t="s">
        <v>8</v>
      </c>
      <c r="AB2" s="22"/>
    </row>
    <row r="3" spans="1:28" x14ac:dyDescent="0.25">
      <c r="A3" s="16"/>
      <c r="B3" s="16"/>
      <c r="C3" s="1"/>
      <c r="D3" s="1"/>
      <c r="E3" s="5" t="s">
        <v>9</v>
      </c>
      <c r="F3" s="6" t="s">
        <v>10</v>
      </c>
      <c r="G3" s="6" t="s">
        <v>11</v>
      </c>
      <c r="H3" s="6" t="s">
        <v>9</v>
      </c>
      <c r="I3" s="6" t="s">
        <v>10</v>
      </c>
      <c r="J3" s="6" t="s">
        <v>12</v>
      </c>
      <c r="K3" s="6" t="s">
        <v>13</v>
      </c>
      <c r="L3" s="6" t="s">
        <v>10</v>
      </c>
      <c r="M3" s="6" t="s">
        <v>11</v>
      </c>
      <c r="N3" s="22"/>
      <c r="O3" s="5" t="s">
        <v>9</v>
      </c>
      <c r="P3" s="6" t="s">
        <v>10</v>
      </c>
      <c r="Q3" s="6" t="s">
        <v>11</v>
      </c>
      <c r="R3" s="6" t="s">
        <v>9</v>
      </c>
      <c r="S3" s="6" t="s">
        <v>10</v>
      </c>
      <c r="T3" s="6" t="s">
        <v>12</v>
      </c>
      <c r="U3" s="6" t="s">
        <v>13</v>
      </c>
      <c r="V3" s="6" t="s">
        <v>10</v>
      </c>
      <c r="W3" s="6" t="s">
        <v>11</v>
      </c>
      <c r="X3" s="22"/>
      <c r="Y3" s="24">
        <f>O138</f>
        <v>145.4238732537512</v>
      </c>
      <c r="Z3" s="24">
        <f>O25</f>
        <v>213.86533880922462</v>
      </c>
      <c r="AA3" s="24">
        <f>O133</f>
        <v>153.65409583117747</v>
      </c>
      <c r="AB3" s="22"/>
    </row>
    <row r="4" spans="1:28" x14ac:dyDescent="0.25">
      <c r="A4" s="16"/>
      <c r="B4" s="12" t="s">
        <v>14</v>
      </c>
      <c r="C4" s="12" t="s">
        <v>15</v>
      </c>
      <c r="D4" s="13" t="s">
        <v>16</v>
      </c>
      <c r="E4" s="14"/>
      <c r="F4" s="14"/>
      <c r="G4" s="14"/>
      <c r="H4" s="14"/>
      <c r="I4" s="14"/>
      <c r="J4" s="14"/>
      <c r="K4" s="14"/>
      <c r="L4" s="14"/>
      <c r="M4" s="14"/>
      <c r="N4" s="22"/>
      <c r="O4" s="14"/>
      <c r="P4" s="14"/>
      <c r="Q4" s="14"/>
      <c r="R4" s="14"/>
      <c r="S4" s="14"/>
      <c r="T4" s="14"/>
      <c r="U4" s="14"/>
      <c r="V4" s="14"/>
      <c r="W4" s="14"/>
      <c r="X4" s="22"/>
      <c r="AB4" s="22"/>
    </row>
    <row r="5" spans="1:28" x14ac:dyDescent="0.25">
      <c r="A5" s="16"/>
      <c r="B5" s="3" t="s">
        <v>17</v>
      </c>
      <c r="C5" s="3" t="s">
        <v>18</v>
      </c>
      <c r="D5" s="11" t="s">
        <v>19</v>
      </c>
      <c r="E5" s="7">
        <v>1812.7573346593736</v>
      </c>
      <c r="F5" s="7">
        <v>2640.9278965688713</v>
      </c>
      <c r="G5" s="7">
        <v>3159.8935852809545</v>
      </c>
      <c r="H5" s="7">
        <v>1744.1546494281451</v>
      </c>
      <c r="I5" s="7">
        <v>2478.8513177523619</v>
      </c>
      <c r="J5" s="7">
        <v>2933.1367478866237</v>
      </c>
      <c r="K5" s="7">
        <v>1826.7707608155147</v>
      </c>
      <c r="L5" s="7">
        <v>2431.3083043262059</v>
      </c>
      <c r="M5" s="7">
        <v>2969.2192938836401</v>
      </c>
      <c r="N5" s="22"/>
      <c r="O5" s="7">
        <v>168.4092966959864</v>
      </c>
      <c r="P5" s="7">
        <v>245.3482334244955</v>
      </c>
      <c r="Q5" s="7">
        <v>293.56133121442826</v>
      </c>
      <c r="R5" s="7">
        <v>162.03595055066893</v>
      </c>
      <c r="S5" s="7">
        <v>230.29094907236305</v>
      </c>
      <c r="T5" s="7">
        <v>272.49510311183383</v>
      </c>
      <c r="U5" s="7">
        <v>169.7111759923128</v>
      </c>
      <c r="V5" s="7">
        <v>225.87409453765983</v>
      </c>
      <c r="W5" s="7">
        <v>275.8472540468623</v>
      </c>
      <c r="X5" s="22"/>
      <c r="Y5"/>
      <c r="Z5" s="10">
        <f>O5/$Z$3</f>
        <v>0.78745484253628117</v>
      </c>
      <c r="AA5"/>
      <c r="AB5" s="22"/>
    </row>
    <row r="6" spans="1:28" x14ac:dyDescent="0.25">
      <c r="A6" s="16"/>
      <c r="B6" s="3" t="s">
        <v>17</v>
      </c>
      <c r="C6" s="3" t="s">
        <v>20</v>
      </c>
      <c r="D6" s="11" t="s">
        <v>19</v>
      </c>
      <c r="E6" s="8">
        <v>1693.3112879164594</v>
      </c>
      <c r="F6" s="8">
        <v>2466.1541521631029</v>
      </c>
      <c r="G6" s="8">
        <v>2950.4485330681255</v>
      </c>
      <c r="H6" s="8">
        <v>1671.2386872202885</v>
      </c>
      <c r="I6" s="8">
        <v>2376.9915464942815</v>
      </c>
      <c r="J6" s="8">
        <v>2805.8960716061661</v>
      </c>
      <c r="K6" s="8">
        <v>1972.5798110392839</v>
      </c>
      <c r="L6" s="8">
        <v>2620.9930382894081</v>
      </c>
      <c r="M6" s="8">
        <v>3225.4336151168573</v>
      </c>
      <c r="N6" s="22"/>
      <c r="O6" s="8">
        <v>157.31248614088253</v>
      </c>
      <c r="P6" s="8">
        <v>229.11135338901616</v>
      </c>
      <c r="Q6" s="8">
        <v>274.10340749501069</v>
      </c>
      <c r="R6" s="8">
        <v>155.26189112277328</v>
      </c>
      <c r="S6" s="8">
        <v>220.82794367654665</v>
      </c>
      <c r="T6" s="8">
        <v>260.67415366989428</v>
      </c>
      <c r="U6" s="8">
        <v>183.25716978342817</v>
      </c>
      <c r="V6" s="8">
        <v>243.49623955946484</v>
      </c>
      <c r="W6" s="8">
        <v>299.65014967846844</v>
      </c>
      <c r="X6" s="22"/>
      <c r="Y6"/>
      <c r="Z6" s="10">
        <f t="shared" ref="Z6:Z67" si="0">O6/$Z$3</f>
        <v>0.73556793736085857</v>
      </c>
      <c r="AA6"/>
      <c r="AB6" s="22"/>
    </row>
    <row r="7" spans="1:28" x14ac:dyDescent="0.25">
      <c r="A7" s="16"/>
      <c r="B7" s="3" t="s">
        <v>17</v>
      </c>
      <c r="C7" s="3" t="s">
        <v>21</v>
      </c>
      <c r="D7" s="11" t="s">
        <v>19</v>
      </c>
      <c r="E7" s="8">
        <v>1693.3112879164594</v>
      </c>
      <c r="F7" s="8">
        <v>2466.1541521631029</v>
      </c>
      <c r="G7" s="8">
        <v>2950.4485330681255</v>
      </c>
      <c r="H7" s="8">
        <v>1671.2386872202885</v>
      </c>
      <c r="I7" s="8">
        <v>2376.9915464942815</v>
      </c>
      <c r="J7" s="8">
        <v>2805.8960716061661</v>
      </c>
      <c r="K7" s="8">
        <v>1972.5798110392839</v>
      </c>
      <c r="L7" s="8">
        <v>2620.9930382894081</v>
      </c>
      <c r="M7" s="8">
        <v>3225.4336151168573</v>
      </c>
      <c r="N7" s="22"/>
      <c r="O7" s="8">
        <v>157.31248614088253</v>
      </c>
      <c r="P7" s="8">
        <v>229.11135338901616</v>
      </c>
      <c r="Q7" s="8">
        <v>274.10340749501069</v>
      </c>
      <c r="R7" s="8">
        <v>155.26189112277328</v>
      </c>
      <c r="S7" s="8">
        <v>220.82794367654665</v>
      </c>
      <c r="T7" s="8">
        <v>260.67415366989428</v>
      </c>
      <c r="U7" s="8">
        <v>183.25716978342817</v>
      </c>
      <c r="V7" s="8">
        <v>243.49623955946484</v>
      </c>
      <c r="W7" s="8">
        <v>299.65014967846844</v>
      </c>
      <c r="X7" s="22"/>
      <c r="Y7"/>
      <c r="Z7" s="10">
        <f t="shared" si="0"/>
        <v>0.73556793736085857</v>
      </c>
      <c r="AA7"/>
      <c r="AB7" s="22"/>
    </row>
    <row r="8" spans="1:28" x14ac:dyDescent="0.25">
      <c r="A8" s="16"/>
      <c r="B8" s="3" t="s">
        <v>17</v>
      </c>
      <c r="C8" s="3" t="s">
        <v>22</v>
      </c>
      <c r="D8" s="11" t="s">
        <v>19</v>
      </c>
      <c r="E8" s="8">
        <v>2218.492789656887</v>
      </c>
      <c r="F8" s="8">
        <v>3234.6056688214817</v>
      </c>
      <c r="G8" s="8">
        <v>3871.3426156141222</v>
      </c>
      <c r="H8" s="8">
        <v>2189.4728990551962</v>
      </c>
      <c r="I8" s="8">
        <v>3117.3779214321235</v>
      </c>
      <c r="J8" s="8">
        <v>3681.2884137245151</v>
      </c>
      <c r="K8" s="8">
        <v>2585.6683242168074</v>
      </c>
      <c r="L8" s="8">
        <v>3438.1829935355545</v>
      </c>
      <c r="M8" s="8">
        <v>4232.8861263053204</v>
      </c>
      <c r="N8" s="22"/>
      <c r="O8" s="8">
        <v>206.10304715795698</v>
      </c>
      <c r="P8" s="8">
        <v>300.50225441643875</v>
      </c>
      <c r="Q8" s="8">
        <v>359.65657106955427</v>
      </c>
      <c r="R8" s="8">
        <v>203.40703304013599</v>
      </c>
      <c r="S8" s="8">
        <v>289.61152893783719</v>
      </c>
      <c r="T8" s="8">
        <v>342.00010163352795</v>
      </c>
      <c r="U8" s="8">
        <v>240.2144929410895</v>
      </c>
      <c r="V8" s="8">
        <v>319.41505284943452</v>
      </c>
      <c r="W8" s="8">
        <v>393.24478897183826</v>
      </c>
      <c r="X8" s="22"/>
      <c r="Y8"/>
      <c r="Z8" s="10">
        <f t="shared" si="0"/>
        <v>0.9637047700460154</v>
      </c>
      <c r="AA8"/>
      <c r="AB8" s="22"/>
    </row>
    <row r="9" spans="1:28" x14ac:dyDescent="0.25">
      <c r="A9" s="16"/>
      <c r="B9" s="3" t="s">
        <v>17</v>
      </c>
      <c r="C9" s="3" t="s">
        <v>23</v>
      </c>
      <c r="D9" s="11" t="s">
        <v>19</v>
      </c>
      <c r="E9" s="8">
        <v>1758.2913973147688</v>
      </c>
      <c r="F9" s="8">
        <v>2556.5693684733965</v>
      </c>
      <c r="G9" s="8">
        <v>3071.177026355047</v>
      </c>
      <c r="H9" s="8">
        <v>1711.5121829935356</v>
      </c>
      <c r="I9" s="8">
        <v>2430.6210840377921</v>
      </c>
      <c r="J9" s="8">
        <v>2880.7702635504725</v>
      </c>
      <c r="K9" s="8">
        <v>1940.2859273993038</v>
      </c>
      <c r="L9" s="8">
        <v>2568.7384385877672</v>
      </c>
      <c r="M9" s="8">
        <v>3179.7702635504725</v>
      </c>
      <c r="N9" s="22"/>
      <c r="O9" s="8">
        <v>163.34928671742182</v>
      </c>
      <c r="P9" s="8">
        <v>237.51113349101928</v>
      </c>
      <c r="Q9" s="8">
        <v>285.31936026313844</v>
      </c>
      <c r="R9" s="8">
        <v>159.00339086406976</v>
      </c>
      <c r="S9" s="8">
        <v>225.81025020326703</v>
      </c>
      <c r="T9" s="8">
        <v>267.63013711286862</v>
      </c>
      <c r="U9" s="8">
        <v>180.25699423460713</v>
      </c>
      <c r="V9" s="8">
        <v>238.6416678985882</v>
      </c>
      <c r="W9" s="8">
        <v>295.40792002365288</v>
      </c>
      <c r="X9" s="22"/>
      <c r="Y9"/>
      <c r="Z9" s="10">
        <f t="shared" si="0"/>
        <v>0.76379504798173536</v>
      </c>
      <c r="AA9"/>
      <c r="AB9" s="22"/>
    </row>
    <row r="10" spans="1:28" x14ac:dyDescent="0.25">
      <c r="A10" s="16"/>
      <c r="B10" s="3" t="s">
        <v>17</v>
      </c>
      <c r="C10" s="3" t="s">
        <v>24</v>
      </c>
      <c r="D10" s="11" t="s">
        <v>19</v>
      </c>
      <c r="E10" s="8">
        <v>2159.7180507210342</v>
      </c>
      <c r="F10" s="8">
        <v>3148.6056688214817</v>
      </c>
      <c r="G10" s="8">
        <v>3768.2819492789658</v>
      </c>
      <c r="H10" s="8">
        <v>2131.4758826454499</v>
      </c>
      <c r="I10" s="8">
        <v>3034.5181501740426</v>
      </c>
      <c r="J10" s="8">
        <v>3583.3207359522626</v>
      </c>
      <c r="K10" s="8">
        <v>2506.1422178020885</v>
      </c>
      <c r="L10" s="8">
        <v>3309.3117851815018</v>
      </c>
      <c r="M10" s="8">
        <v>4058.2222774738934</v>
      </c>
      <c r="N10" s="22"/>
      <c r="O10" s="8">
        <v>200.64273967033779</v>
      </c>
      <c r="P10" s="8">
        <v>292.51265799393894</v>
      </c>
      <c r="Q10" s="8">
        <v>350.0819997782541</v>
      </c>
      <c r="R10" s="8">
        <v>198.01897775149678</v>
      </c>
      <c r="S10" s="8">
        <v>281.91366693768941</v>
      </c>
      <c r="T10" s="8">
        <v>332.89868061201861</v>
      </c>
      <c r="U10" s="8">
        <v>232.82633601892229</v>
      </c>
      <c r="V10" s="8">
        <v>307.44262325375121</v>
      </c>
      <c r="W10" s="8">
        <v>377.01811848621475</v>
      </c>
      <c r="X10" s="22"/>
      <c r="Y10"/>
      <c r="Z10" s="10">
        <f t="shared" si="0"/>
        <v>0.93817324858479356</v>
      </c>
      <c r="AA10"/>
      <c r="AB10" s="22"/>
    </row>
    <row r="11" spans="1:28" x14ac:dyDescent="0.25">
      <c r="A11" s="16"/>
      <c r="B11" s="3" t="s">
        <v>17</v>
      </c>
      <c r="C11" s="3" t="s">
        <v>25</v>
      </c>
      <c r="D11" s="11" t="s">
        <v>19</v>
      </c>
      <c r="E11" s="8">
        <v>1765.8120338140229</v>
      </c>
      <c r="F11" s="8">
        <v>2572.788165091994</v>
      </c>
      <c r="G11" s="8">
        <v>3092.4574838388862</v>
      </c>
      <c r="H11" s="8">
        <v>1745.531576330184</v>
      </c>
      <c r="I11" s="8">
        <v>2479.1447041273</v>
      </c>
      <c r="J11" s="8">
        <v>2938.3734460467431</v>
      </c>
      <c r="K11" s="8">
        <v>2151.858776727996</v>
      </c>
      <c r="L11" s="8">
        <v>2859.9547488811536</v>
      </c>
      <c r="M11" s="8">
        <v>3520.0318249627053</v>
      </c>
      <c r="N11" s="22"/>
      <c r="O11" s="8">
        <v>164.0479710252051</v>
      </c>
      <c r="P11" s="8">
        <v>239.01789674033557</v>
      </c>
      <c r="Q11" s="8">
        <v>287.29636336758074</v>
      </c>
      <c r="R11" s="8">
        <v>162.16387020474536</v>
      </c>
      <c r="S11" s="8">
        <v>230.31820533668414</v>
      </c>
      <c r="T11" s="8">
        <v>272.98160433143613</v>
      </c>
      <c r="U11" s="8">
        <v>199.91259516593982</v>
      </c>
      <c r="V11" s="8">
        <v>265.6963282578165</v>
      </c>
      <c r="W11" s="8">
        <v>327.01899623032006</v>
      </c>
      <c r="X11" s="22"/>
      <c r="Y11"/>
      <c r="Z11" s="10">
        <f t="shared" si="0"/>
        <v>0.7670619836697411</v>
      </c>
      <c r="AA11"/>
      <c r="AB11" s="22"/>
    </row>
    <row r="12" spans="1:28" x14ac:dyDescent="0.25">
      <c r="A12" s="16"/>
      <c r="B12" s="3" t="s">
        <v>17</v>
      </c>
      <c r="C12" s="3" t="s">
        <v>26</v>
      </c>
      <c r="D12" s="11" t="s">
        <v>19</v>
      </c>
      <c r="E12" s="8">
        <v>1717.8080556936848</v>
      </c>
      <c r="F12" s="8">
        <v>2497.442565887618</v>
      </c>
      <c r="G12" s="8">
        <v>3000.0318249627053</v>
      </c>
      <c r="H12" s="8">
        <v>1672.120835405271</v>
      </c>
      <c r="I12" s="8">
        <v>2374.4356041770266</v>
      </c>
      <c r="J12" s="8">
        <v>2814.0716061660864</v>
      </c>
      <c r="K12" s="8">
        <v>1895.551964196917</v>
      </c>
      <c r="L12" s="8">
        <v>2509.3276976628545</v>
      </c>
      <c r="M12" s="8">
        <v>3106.0885131775235</v>
      </c>
      <c r="N12" s="22"/>
      <c r="O12" s="8">
        <v>159.58829181757704</v>
      </c>
      <c r="P12" s="8">
        <v>232.01811848621477</v>
      </c>
      <c r="Q12" s="8">
        <v>278.70980855939092</v>
      </c>
      <c r="R12" s="8">
        <v>155.34384470396924</v>
      </c>
      <c r="S12" s="8">
        <v>220.59049079754601</v>
      </c>
      <c r="T12" s="8">
        <v>261.43367950328923</v>
      </c>
      <c r="U12" s="8">
        <v>176.10110688151377</v>
      </c>
      <c r="V12" s="8">
        <v>233.12227437356788</v>
      </c>
      <c r="W12" s="8">
        <v>288.56271712617337</v>
      </c>
      <c r="X12" s="22"/>
      <c r="Y12"/>
      <c r="Z12" s="10">
        <f t="shared" si="0"/>
        <v>0.7462092394501354</v>
      </c>
      <c r="AA12"/>
      <c r="AB12" s="22"/>
    </row>
    <row r="13" spans="1:28" x14ac:dyDescent="0.25">
      <c r="A13" s="16"/>
      <c r="B13" s="3" t="s">
        <v>17</v>
      </c>
      <c r="C13" s="3" t="s">
        <v>27</v>
      </c>
      <c r="D13" s="11" t="s">
        <v>19</v>
      </c>
      <c r="E13" s="8">
        <v>1612.2665340626554</v>
      </c>
      <c r="F13" s="8">
        <v>2322.8329189457982</v>
      </c>
      <c r="G13" s="8">
        <v>2795.9229239184488</v>
      </c>
      <c r="H13" s="8">
        <v>1649.2710094480358</v>
      </c>
      <c r="I13" s="8">
        <v>2341.8428642466433</v>
      </c>
      <c r="J13" s="8">
        <v>2775.3809050223767</v>
      </c>
      <c r="K13" s="8">
        <v>1784.6752859273993</v>
      </c>
      <c r="L13" s="8">
        <v>2384.5977125808054</v>
      </c>
      <c r="M13" s="8">
        <v>2928.0397812033816</v>
      </c>
      <c r="N13" s="22"/>
      <c r="O13" s="8">
        <v>149.78324340306008</v>
      </c>
      <c r="P13" s="8">
        <v>215.79648347993199</v>
      </c>
      <c r="Q13" s="8">
        <v>259.74762547120997</v>
      </c>
      <c r="R13" s="8">
        <v>153.22104368393821</v>
      </c>
      <c r="S13" s="8">
        <v>217.56255081676397</v>
      </c>
      <c r="T13" s="8">
        <v>257.83922499815208</v>
      </c>
      <c r="U13" s="8">
        <v>165.80041022987655</v>
      </c>
      <c r="V13" s="8">
        <v>221.53457387833541</v>
      </c>
      <c r="W13" s="8">
        <v>272.02158326557765</v>
      </c>
      <c r="X13" s="22"/>
      <c r="Y13"/>
      <c r="Z13" s="10">
        <f t="shared" si="0"/>
        <v>0.70036240672300798</v>
      </c>
      <c r="AA13"/>
      <c r="AB13" s="22"/>
    </row>
    <row r="14" spans="1:28" x14ac:dyDescent="0.25">
      <c r="A14" s="16"/>
      <c r="B14" s="3" t="s">
        <v>17</v>
      </c>
      <c r="C14" s="3" t="s">
        <v>28</v>
      </c>
      <c r="D14" s="11" t="s">
        <v>19</v>
      </c>
      <c r="E14" s="8">
        <v>1701.2466434609646</v>
      </c>
      <c r="F14" s="8">
        <v>2518.8100447538536</v>
      </c>
      <c r="G14" s="8">
        <v>3020.0353058180008</v>
      </c>
      <c r="H14" s="8">
        <v>1412.245151665838</v>
      </c>
      <c r="I14" s="8">
        <v>2014.3615116857286</v>
      </c>
      <c r="J14" s="8">
        <v>2391.2754848334162</v>
      </c>
      <c r="K14" s="8">
        <v>1877.2511188463452</v>
      </c>
      <c r="L14" s="8">
        <v>2485.0228741919441</v>
      </c>
      <c r="M14" s="8">
        <v>3075.9457981103928</v>
      </c>
      <c r="N14" s="22"/>
      <c r="O14" s="8">
        <v>158.04969879518072</v>
      </c>
      <c r="P14" s="8">
        <v>234.00320607583708</v>
      </c>
      <c r="Q14" s="8">
        <v>280.56817761844923</v>
      </c>
      <c r="R14" s="8">
        <v>131.20080013304752</v>
      </c>
      <c r="S14" s="8">
        <v>187.13878520215832</v>
      </c>
      <c r="T14" s="8">
        <v>222.15495417251827</v>
      </c>
      <c r="U14" s="8">
        <v>174.4009165496341</v>
      </c>
      <c r="V14" s="8">
        <v>230.86430076132751</v>
      </c>
      <c r="W14" s="8">
        <v>285.76239005100155</v>
      </c>
      <c r="X14" s="22"/>
      <c r="Y14"/>
      <c r="Z14" s="10">
        <f t="shared" si="0"/>
        <v>0.73901502541356923</v>
      </c>
      <c r="AA14"/>
      <c r="AB14" s="22"/>
    </row>
    <row r="15" spans="1:28" x14ac:dyDescent="0.25">
      <c r="A15" s="16"/>
      <c r="B15" s="3" t="s">
        <v>17</v>
      </c>
      <c r="C15" s="3" t="s">
        <v>29</v>
      </c>
      <c r="D15" s="11" t="s">
        <v>19</v>
      </c>
      <c r="E15" s="8">
        <v>1620.2794629537543</v>
      </c>
      <c r="F15" s="8">
        <v>2355</v>
      </c>
      <c r="G15" s="8">
        <v>2828.6364992541025</v>
      </c>
      <c r="H15" s="8">
        <v>1577.2247637991049</v>
      </c>
      <c r="I15" s="8">
        <v>2239.0795624067628</v>
      </c>
      <c r="J15" s="8">
        <v>2653.3893585280953</v>
      </c>
      <c r="K15" s="8">
        <v>1787.7836897066136</v>
      </c>
      <c r="L15" s="8">
        <v>2366.2003978120338</v>
      </c>
      <c r="M15" s="8">
        <v>2928.5832918945798</v>
      </c>
      <c r="N15" s="22"/>
      <c r="O15" s="8">
        <v>150.527662798433</v>
      </c>
      <c r="P15" s="8">
        <v>218.78487877891934</v>
      </c>
      <c r="Q15" s="8">
        <v>262.78679133712762</v>
      </c>
      <c r="R15" s="8">
        <v>146.52778291078423</v>
      </c>
      <c r="S15" s="8">
        <v>208.01560536625027</v>
      </c>
      <c r="T15" s="8">
        <v>246.50593170226918</v>
      </c>
      <c r="U15" s="8">
        <v>166.08918804050558</v>
      </c>
      <c r="V15" s="8">
        <v>219.82542131717051</v>
      </c>
      <c r="W15" s="8">
        <v>272.07207665015892</v>
      </c>
      <c r="X15" s="22"/>
      <c r="Y15"/>
      <c r="Z15" s="10">
        <f t="shared" si="0"/>
        <v>0.70384319234033965</v>
      </c>
      <c r="AA15"/>
      <c r="AB15" s="22"/>
    </row>
    <row r="16" spans="1:28" x14ac:dyDescent="0.25">
      <c r="A16" s="16"/>
      <c r="B16" s="3" t="s">
        <v>17</v>
      </c>
      <c r="C16" s="3" t="s">
        <v>30</v>
      </c>
      <c r="D16" s="11" t="s">
        <v>19</v>
      </c>
      <c r="E16" s="8">
        <v>1730.6892093485828</v>
      </c>
      <c r="F16" s="8">
        <v>2516.2555942317254</v>
      </c>
      <c r="G16" s="8">
        <v>3022.66882148185</v>
      </c>
      <c r="H16" s="8">
        <v>1684.654400795624</v>
      </c>
      <c r="I16" s="8">
        <v>2392.3127797115862</v>
      </c>
      <c r="J16" s="8">
        <v>2835.2938836399803</v>
      </c>
      <c r="K16" s="8">
        <v>1909.7851815017405</v>
      </c>
      <c r="L16" s="8">
        <v>2528.2312282446542</v>
      </c>
      <c r="M16" s="8">
        <v>3129.5325708602686</v>
      </c>
      <c r="N16" s="22"/>
      <c r="O16" s="8">
        <v>160.78498041244731</v>
      </c>
      <c r="P16" s="8">
        <v>233.76589178801092</v>
      </c>
      <c r="Q16" s="8">
        <v>280.81283723852465</v>
      </c>
      <c r="R16" s="8">
        <v>156.50824155517776</v>
      </c>
      <c r="S16" s="8">
        <v>222.25132123586368</v>
      </c>
      <c r="T16" s="8">
        <v>263.40527755192545</v>
      </c>
      <c r="U16" s="8">
        <v>177.42340527755192</v>
      </c>
      <c r="V16" s="8">
        <v>234.8784555399512</v>
      </c>
      <c r="W16" s="8">
        <v>290.74072363071917</v>
      </c>
      <c r="X16" s="22"/>
      <c r="Y16"/>
      <c r="Z16" s="10">
        <f t="shared" si="0"/>
        <v>0.75180476325746803</v>
      </c>
      <c r="AA16"/>
      <c r="AB16" s="22"/>
    </row>
    <row r="17" spans="1:28" x14ac:dyDescent="0.25">
      <c r="A17" s="16"/>
      <c r="B17" s="3" t="s">
        <v>17</v>
      </c>
      <c r="C17" s="3" t="s">
        <v>32</v>
      </c>
      <c r="D17" s="11" t="s">
        <v>19</v>
      </c>
      <c r="E17" s="8">
        <v>1817.1770263550472</v>
      </c>
      <c r="F17" s="8">
        <v>2642.5723520636498</v>
      </c>
      <c r="G17" s="8">
        <v>3174.6613625062159</v>
      </c>
      <c r="H17" s="8">
        <v>1768.8080556936848</v>
      </c>
      <c r="I17" s="8">
        <v>2512.345599204376</v>
      </c>
      <c r="J17" s="8">
        <v>2977.7861760318251</v>
      </c>
      <c r="K17" s="8">
        <v>2005.3530581800098</v>
      </c>
      <c r="L17" s="8">
        <v>2655.1551466931874</v>
      </c>
      <c r="M17" s="8">
        <v>3286.9428145201391</v>
      </c>
      <c r="N17" s="22"/>
      <c r="O17" s="8">
        <v>168.81989614901323</v>
      </c>
      <c r="P17" s="8">
        <v>245.50100709586812</v>
      </c>
      <c r="Q17" s="8">
        <v>294.93329144800055</v>
      </c>
      <c r="R17" s="8">
        <v>164.3263083006874</v>
      </c>
      <c r="S17" s="8">
        <v>233.40264431960972</v>
      </c>
      <c r="T17" s="8">
        <v>276.64313696503802</v>
      </c>
      <c r="U17" s="8">
        <v>186.3018792963264</v>
      </c>
      <c r="V17" s="8">
        <v>246.66997745583561</v>
      </c>
      <c r="W17" s="8">
        <v>305.3644947889718</v>
      </c>
      <c r="X17" s="22"/>
      <c r="Y17"/>
      <c r="Z17" s="10">
        <f t="shared" si="0"/>
        <v>0.78937473967956295</v>
      </c>
      <c r="AA17"/>
      <c r="AB17" s="22"/>
    </row>
    <row r="18" spans="1:28" x14ac:dyDescent="0.25">
      <c r="A18" s="16"/>
      <c r="B18" s="3" t="s">
        <v>17</v>
      </c>
      <c r="C18" s="3" t="s">
        <v>33</v>
      </c>
      <c r="D18" s="11" t="s">
        <v>19</v>
      </c>
      <c r="E18" s="8">
        <v>1609.2391844853307</v>
      </c>
      <c r="F18" s="8">
        <v>2338.8751864743908</v>
      </c>
      <c r="G18" s="8">
        <v>2809.2327200397813</v>
      </c>
      <c r="H18" s="8">
        <v>1566.4818498259572</v>
      </c>
      <c r="I18" s="8">
        <v>2223.7563401292891</v>
      </c>
      <c r="J18" s="8">
        <v>2635.1989060169071</v>
      </c>
      <c r="K18" s="8">
        <v>1775.583789159622</v>
      </c>
      <c r="L18" s="8">
        <v>2349.9975136747885</v>
      </c>
      <c r="M18" s="8">
        <v>2908.4883142715066</v>
      </c>
      <c r="N18" s="22"/>
      <c r="O18" s="8">
        <v>149.50199571291299</v>
      </c>
      <c r="P18" s="8">
        <v>217.28684677359743</v>
      </c>
      <c r="Q18" s="8">
        <v>260.98413593022394</v>
      </c>
      <c r="R18" s="8">
        <v>145.52974166605068</v>
      </c>
      <c r="S18" s="8">
        <v>206.59204301870056</v>
      </c>
      <c r="T18" s="8">
        <v>244.81599711730357</v>
      </c>
      <c r="U18" s="8">
        <v>164.95578941533003</v>
      </c>
      <c r="V18" s="8">
        <v>218.32013637371571</v>
      </c>
      <c r="W18" s="8">
        <v>270.20520733239704</v>
      </c>
      <c r="X18" s="22"/>
      <c r="Y18"/>
      <c r="Z18" s="10">
        <f t="shared" si="0"/>
        <v>0.69904733766266824</v>
      </c>
      <c r="AA18"/>
      <c r="AB18" s="22"/>
    </row>
    <row r="19" spans="1:28" x14ac:dyDescent="0.25">
      <c r="A19" s="16"/>
      <c r="B19" s="3" t="s">
        <v>17</v>
      </c>
      <c r="C19" s="3" t="s">
        <v>34</v>
      </c>
      <c r="D19" s="11" t="s">
        <v>19</v>
      </c>
      <c r="E19" s="8">
        <v>1710.4475385380408</v>
      </c>
      <c r="F19" s="8">
        <v>2486.6921929388363</v>
      </c>
      <c r="G19" s="8">
        <v>2987.0964694181998</v>
      </c>
      <c r="H19" s="8">
        <v>1664.959224266534</v>
      </c>
      <c r="I19" s="8">
        <v>2364.2202884137246</v>
      </c>
      <c r="J19" s="8">
        <v>2801.9448035803084</v>
      </c>
      <c r="K19" s="8">
        <v>1887.4181999005471</v>
      </c>
      <c r="L19" s="8">
        <v>2498.5256091496767</v>
      </c>
      <c r="M19" s="8">
        <v>3092.6921929388363</v>
      </c>
      <c r="N19" s="22"/>
      <c r="O19" s="8">
        <v>158.90448296252492</v>
      </c>
      <c r="P19" s="8">
        <v>231.01938428560868</v>
      </c>
      <c r="Q19" s="8">
        <v>277.50808448517995</v>
      </c>
      <c r="R19" s="8">
        <v>154.67851467218566</v>
      </c>
      <c r="S19" s="8">
        <v>219.64146463153224</v>
      </c>
      <c r="T19" s="8">
        <v>260.30707184566484</v>
      </c>
      <c r="U19" s="8">
        <v>175.34546160100524</v>
      </c>
      <c r="V19" s="8">
        <v>232.11873567891195</v>
      </c>
      <c r="W19" s="8">
        <v>287.31816837903762</v>
      </c>
      <c r="X19" s="22"/>
      <c r="Y19"/>
      <c r="Z19" s="10">
        <f t="shared" si="0"/>
        <v>0.74301185899166811</v>
      </c>
      <c r="AA19"/>
      <c r="AB19" s="22"/>
    </row>
    <row r="20" spans="1:28" x14ac:dyDescent="0.25">
      <c r="A20" s="16"/>
      <c r="B20" s="3" t="s">
        <v>17</v>
      </c>
      <c r="C20" s="3" t="s">
        <v>35</v>
      </c>
      <c r="D20" s="11" t="s">
        <v>19</v>
      </c>
      <c r="E20" s="8">
        <v>1796.9353555445052</v>
      </c>
      <c r="F20" s="8">
        <v>2613.0084535057185</v>
      </c>
      <c r="G20" s="8">
        <v>3139.0890104425657</v>
      </c>
      <c r="H20" s="8">
        <v>1749.1123818995525</v>
      </c>
      <c r="I20" s="8">
        <v>2484.2521133764299</v>
      </c>
      <c r="J20" s="8">
        <v>2944.436598707111</v>
      </c>
      <c r="K20" s="8">
        <v>1982.9860765788164</v>
      </c>
      <c r="L20" s="8">
        <v>2625.4495275982099</v>
      </c>
      <c r="M20" s="8">
        <v>3250.1024365987073</v>
      </c>
      <c r="N20" s="22"/>
      <c r="O20" s="8">
        <v>166.93939869909084</v>
      </c>
      <c r="P20" s="8">
        <v>242.75445339640771</v>
      </c>
      <c r="Q20" s="8">
        <v>291.6285386946559</v>
      </c>
      <c r="R20" s="8">
        <v>162.49653522063713</v>
      </c>
      <c r="S20" s="8">
        <v>230.79269532116194</v>
      </c>
      <c r="T20" s="8">
        <v>273.54488506171924</v>
      </c>
      <c r="U20" s="8">
        <v>184.22393561977972</v>
      </c>
      <c r="V20" s="8">
        <v>243.91025759479635</v>
      </c>
      <c r="W20" s="8">
        <v>301.94193953729024</v>
      </c>
      <c r="X20" s="22"/>
      <c r="Y20"/>
      <c r="Z20" s="10">
        <f t="shared" si="0"/>
        <v>0.78058183541376303</v>
      </c>
      <c r="AA20"/>
      <c r="AB20" s="22"/>
    </row>
    <row r="21" spans="1:28" x14ac:dyDescent="0.25">
      <c r="A21" s="16"/>
      <c r="B21" s="3" t="s">
        <v>17</v>
      </c>
      <c r="C21" s="3" t="s">
        <v>36</v>
      </c>
      <c r="D21" s="11" t="s">
        <v>19</v>
      </c>
      <c r="E21" s="8">
        <v>2120.80258577822</v>
      </c>
      <c r="F21" s="8">
        <v>3086.0233714569868</v>
      </c>
      <c r="G21" s="8">
        <v>3708.2516161113872</v>
      </c>
      <c r="H21" s="8">
        <v>2064.2401790154154</v>
      </c>
      <c r="I21" s="8">
        <v>2933.7354549975139</v>
      </c>
      <c r="J21" s="8">
        <v>3478.0248632521134</v>
      </c>
      <c r="K21" s="8">
        <v>2340.8572849328693</v>
      </c>
      <c r="L21" s="8">
        <v>3100.737941322725</v>
      </c>
      <c r="M21" s="8">
        <v>3839.5539532570861</v>
      </c>
      <c r="N21" s="22"/>
      <c r="O21" s="8">
        <v>197.02740409490721</v>
      </c>
      <c r="P21" s="8">
        <v>286.69861963190181</v>
      </c>
      <c r="Q21" s="8">
        <v>344.50504471875229</v>
      </c>
      <c r="R21" s="8">
        <v>191.77262731909229</v>
      </c>
      <c r="S21" s="8">
        <v>272.55072436987211</v>
      </c>
      <c r="T21" s="8">
        <v>323.11645354423825</v>
      </c>
      <c r="U21" s="8">
        <v>217.4709882474684</v>
      </c>
      <c r="V21" s="8">
        <v>288.0656367802498</v>
      </c>
      <c r="W21" s="8">
        <v>356.70333173183531</v>
      </c>
      <c r="X21" s="22"/>
      <c r="Y21"/>
      <c r="Z21" s="10">
        <f t="shared" si="0"/>
        <v>0.92126851967659218</v>
      </c>
      <c r="AA21"/>
      <c r="AB21" s="22"/>
    </row>
    <row r="22" spans="1:28" x14ac:dyDescent="0.25">
      <c r="A22" s="16"/>
      <c r="B22" s="3" t="s">
        <v>17</v>
      </c>
      <c r="C22" s="3" t="s">
        <v>37</v>
      </c>
      <c r="D22" s="11" t="s">
        <v>19</v>
      </c>
      <c r="E22" s="8">
        <v>1660.7633018398806</v>
      </c>
      <c r="F22" s="8">
        <v>2414.126802585778</v>
      </c>
      <c r="G22" s="8">
        <v>2899.7817006464447</v>
      </c>
      <c r="H22" s="8">
        <v>1616.6156141223271</v>
      </c>
      <c r="I22" s="8">
        <v>2295.2645450024861</v>
      </c>
      <c r="J22" s="8">
        <v>2720.0875186474391</v>
      </c>
      <c r="K22" s="8">
        <v>1832.5176529090004</v>
      </c>
      <c r="L22" s="8">
        <v>2425.6121332670314</v>
      </c>
      <c r="M22" s="8">
        <v>3002.2645450024861</v>
      </c>
      <c r="N22" s="22"/>
      <c r="O22" s="8">
        <v>154.28870389533594</v>
      </c>
      <c r="P22" s="8">
        <v>224.27789378372384</v>
      </c>
      <c r="Q22" s="8">
        <v>269.39634304087514</v>
      </c>
      <c r="R22" s="8">
        <v>150.18728287382658</v>
      </c>
      <c r="S22" s="8">
        <v>213.23531857491312</v>
      </c>
      <c r="T22" s="8">
        <v>252.70234311479044</v>
      </c>
      <c r="U22" s="8">
        <v>170.24507539359894</v>
      </c>
      <c r="V22" s="8">
        <v>225.34490723630717</v>
      </c>
      <c r="W22" s="8">
        <v>278.9172333505802</v>
      </c>
      <c r="X22" s="22"/>
      <c r="Y22"/>
      <c r="Z22" s="10">
        <f t="shared" si="0"/>
        <v>0.72142921688196926</v>
      </c>
      <c r="AA22"/>
      <c r="AB22" s="22"/>
    </row>
    <row r="23" spans="1:28" x14ac:dyDescent="0.25">
      <c r="A23" s="16"/>
      <c r="B23" s="3" t="s">
        <v>17</v>
      </c>
      <c r="C23" s="3" t="s">
        <v>38</v>
      </c>
      <c r="D23" s="11" t="s">
        <v>19</v>
      </c>
      <c r="E23" s="8">
        <v>1951.5077076081552</v>
      </c>
      <c r="F23" s="8">
        <v>2838.7657881650921</v>
      </c>
      <c r="G23" s="8">
        <v>3410.7349577324712</v>
      </c>
      <c r="H23" s="8">
        <v>1899.5141720537047</v>
      </c>
      <c r="I23" s="8">
        <v>2698.7782197911488</v>
      </c>
      <c r="J23" s="8">
        <v>3199.1034311287917</v>
      </c>
      <c r="K23" s="8">
        <v>2153.788165091994</v>
      </c>
      <c r="L23" s="8">
        <v>2852.291894579811</v>
      </c>
      <c r="M23" s="8">
        <v>3531.4316260566884</v>
      </c>
      <c r="N23" s="22"/>
      <c r="O23" s="8">
        <v>181.29952324635966</v>
      </c>
      <c r="P23" s="8">
        <v>263.72782541207772</v>
      </c>
      <c r="Q23" s="8">
        <v>316.86506763249315</v>
      </c>
      <c r="R23" s="8">
        <v>176.46920504102297</v>
      </c>
      <c r="S23" s="8">
        <v>250.72266058097418</v>
      </c>
      <c r="T23" s="8">
        <v>297.20401544829622</v>
      </c>
      <c r="U23" s="8">
        <v>200.09183975164461</v>
      </c>
      <c r="V23" s="8">
        <v>264.98443159139623</v>
      </c>
      <c r="W23" s="8">
        <v>328.07806378889791</v>
      </c>
      <c r="X23" s="22"/>
      <c r="Y23"/>
      <c r="Z23" s="10">
        <f t="shared" si="0"/>
        <v>0.84772747307166585</v>
      </c>
      <c r="AA23"/>
      <c r="AB23" s="22"/>
    </row>
    <row r="24" spans="1:28" x14ac:dyDescent="0.25">
      <c r="A24" s="16"/>
      <c r="B24" s="3" t="s">
        <v>17</v>
      </c>
      <c r="C24" s="3" t="s">
        <v>39</v>
      </c>
      <c r="D24" s="11" t="s">
        <v>19</v>
      </c>
      <c r="E24" s="8">
        <v>1655.2431626056689</v>
      </c>
      <c r="F24" s="8">
        <v>2406.0641471904523</v>
      </c>
      <c r="G24" s="8">
        <v>2890.0805569368472</v>
      </c>
      <c r="H24" s="8">
        <v>1611.2446544007955</v>
      </c>
      <c r="I24" s="8">
        <v>2287.6031824962706</v>
      </c>
      <c r="J24" s="8">
        <v>2710.9925410243659</v>
      </c>
      <c r="K24" s="8">
        <v>1826.4177026355046</v>
      </c>
      <c r="L24" s="8">
        <v>2417.5106911984089</v>
      </c>
      <c r="M24" s="8">
        <v>2992.2173048234708</v>
      </c>
      <c r="N24" s="22"/>
      <c r="O24" s="8">
        <v>153.77587035257594</v>
      </c>
      <c r="P24" s="8">
        <v>223.52885468253379</v>
      </c>
      <c r="Q24" s="8">
        <v>268.49508463301055</v>
      </c>
      <c r="R24" s="8">
        <v>149.688308448518</v>
      </c>
      <c r="S24" s="8">
        <v>212.52356049966735</v>
      </c>
      <c r="T24" s="8">
        <v>251.85739892083672</v>
      </c>
      <c r="U24" s="8">
        <v>169.67837608101115</v>
      </c>
      <c r="V24" s="8">
        <v>224.59226476457977</v>
      </c>
      <c r="W24" s="8">
        <v>277.98382179022838</v>
      </c>
      <c r="X24" s="22"/>
      <c r="Y24"/>
      <c r="Z24" s="10">
        <f t="shared" si="0"/>
        <v>0.71903128954313345</v>
      </c>
      <c r="AA24"/>
      <c r="AB24" s="22"/>
    </row>
    <row r="25" spans="1:28" x14ac:dyDescent="0.25">
      <c r="A25" s="16"/>
      <c r="B25" s="3" t="s">
        <v>17</v>
      </c>
      <c r="C25" s="3" t="s">
        <v>40</v>
      </c>
      <c r="D25" s="11" t="s">
        <v>19</v>
      </c>
      <c r="E25" s="8">
        <v>2302.0460815514671</v>
      </c>
      <c r="F25" s="8">
        <v>3357.5815067130779</v>
      </c>
      <c r="G25" s="8">
        <v>4037.3143560417702</v>
      </c>
      <c r="H25" s="8">
        <v>2275.5186474390848</v>
      </c>
      <c r="I25" s="8">
        <v>3235.0939830929888</v>
      </c>
      <c r="J25" s="8">
        <v>3835.7707608155147</v>
      </c>
      <c r="K25" s="8">
        <v>2619.6762804574837</v>
      </c>
      <c r="L25" s="8">
        <v>3646.4286424664347</v>
      </c>
      <c r="M25" s="8">
        <v>4441.1790154152159</v>
      </c>
      <c r="N25" s="22"/>
      <c r="O25" s="8">
        <v>213.86533880922462</v>
      </c>
      <c r="P25" s="8">
        <v>311.92699063123661</v>
      </c>
      <c r="Q25" s="8">
        <v>375.07572483184271</v>
      </c>
      <c r="R25" s="8">
        <v>211.40087959198758</v>
      </c>
      <c r="S25" s="8">
        <v>300.54761992756301</v>
      </c>
      <c r="T25" s="8">
        <v>356.3518645132678</v>
      </c>
      <c r="U25" s="8">
        <v>243.37390974942713</v>
      </c>
      <c r="V25" s="8">
        <v>338.76154926454279</v>
      </c>
      <c r="W25" s="8">
        <v>412.5956741074728</v>
      </c>
      <c r="X25" s="22"/>
      <c r="Y25"/>
      <c r="Z25" s="10">
        <f t="shared" si="0"/>
        <v>1</v>
      </c>
      <c r="AA25"/>
      <c r="AB25" s="22"/>
    </row>
    <row r="26" spans="1:28" x14ac:dyDescent="0.25">
      <c r="A26" s="16"/>
      <c r="B26" s="3" t="s">
        <v>17</v>
      </c>
      <c r="C26" s="3" t="s">
        <v>41</v>
      </c>
      <c r="D26" s="11" t="s">
        <v>19</v>
      </c>
      <c r="E26" s="8">
        <v>2130.0034808552959</v>
      </c>
      <c r="F26" s="8">
        <v>3099.4619592242666</v>
      </c>
      <c r="G26" s="8">
        <v>3724.4206862257583</v>
      </c>
      <c r="H26" s="8">
        <v>2073.1924415713574</v>
      </c>
      <c r="I26" s="8">
        <v>2946.5052212829437</v>
      </c>
      <c r="J26" s="8">
        <v>3493.1829935355545</v>
      </c>
      <c r="K26" s="8">
        <v>2351.023868722029</v>
      </c>
      <c r="L26" s="8">
        <v>3114.2406762804576</v>
      </c>
      <c r="M26" s="8">
        <v>3856.2998508204873</v>
      </c>
      <c r="N26" s="22"/>
      <c r="O26" s="8">
        <v>197.88218826225145</v>
      </c>
      <c r="P26" s="8">
        <v>287.94709512898214</v>
      </c>
      <c r="Q26" s="8">
        <v>346.00718826225142</v>
      </c>
      <c r="R26" s="8">
        <v>192.60431295735086</v>
      </c>
      <c r="S26" s="8">
        <v>273.73706482371199</v>
      </c>
      <c r="T26" s="8">
        <v>324.52467846847509</v>
      </c>
      <c r="U26" s="8">
        <v>218.41548710178134</v>
      </c>
      <c r="V26" s="8">
        <v>289.32007169783424</v>
      </c>
      <c r="W26" s="8">
        <v>358.25906386281321</v>
      </c>
      <c r="X26" s="22"/>
      <c r="Y26"/>
      <c r="Z26" s="10">
        <f t="shared" si="0"/>
        <v>0.92526535325469117</v>
      </c>
      <c r="AA26"/>
      <c r="AB26" s="22"/>
    </row>
    <row r="27" spans="1:28" x14ac:dyDescent="0.25">
      <c r="A27" s="16"/>
      <c r="B27" s="3" t="s">
        <v>17</v>
      </c>
      <c r="C27" s="3" t="s">
        <v>42</v>
      </c>
      <c r="D27" s="11" t="s">
        <v>19</v>
      </c>
      <c r="E27" s="8">
        <v>2210.970164097464</v>
      </c>
      <c r="F27" s="8">
        <v>3217.7155643958231</v>
      </c>
      <c r="G27" s="8">
        <v>3866.7115862754849</v>
      </c>
      <c r="H27" s="8">
        <v>2151.9741422178022</v>
      </c>
      <c r="I27" s="8">
        <v>3058.8766782695175</v>
      </c>
      <c r="J27" s="8">
        <v>3626.5798110392839</v>
      </c>
      <c r="K27" s="8">
        <v>2440.4912978617604</v>
      </c>
      <c r="L27" s="8">
        <v>3233.0626553953257</v>
      </c>
      <c r="M27" s="8">
        <v>4003.6623570363004</v>
      </c>
      <c r="N27" s="22"/>
      <c r="O27" s="8">
        <v>205.404178061941</v>
      </c>
      <c r="P27" s="8">
        <v>298.93312513859115</v>
      </c>
      <c r="Q27" s="8">
        <v>359.22633786680461</v>
      </c>
      <c r="R27" s="8">
        <v>199.92331288343556</v>
      </c>
      <c r="S27" s="8">
        <v>284.17662983221226</v>
      </c>
      <c r="T27" s="8">
        <v>336.91754749057577</v>
      </c>
      <c r="U27" s="8">
        <v>226.72721561090989</v>
      </c>
      <c r="V27" s="8">
        <v>300.3589049449331</v>
      </c>
      <c r="W27" s="8">
        <v>371.94937726365583</v>
      </c>
      <c r="X27" s="22"/>
      <c r="Y27"/>
      <c r="Z27" s="10">
        <f t="shared" si="0"/>
        <v>0.9604369703178911</v>
      </c>
      <c r="AA27"/>
      <c r="AB27" s="22"/>
    </row>
    <row r="28" spans="1:28" x14ac:dyDescent="0.25">
      <c r="A28" s="16"/>
      <c r="B28" s="3" t="s">
        <v>17</v>
      </c>
      <c r="C28" s="3" t="s">
        <v>43</v>
      </c>
      <c r="D28" s="11" t="s">
        <v>19</v>
      </c>
      <c r="E28" s="8">
        <v>1662.6031824962706</v>
      </c>
      <c r="F28" s="8">
        <v>2416.8150174042767</v>
      </c>
      <c r="G28" s="8">
        <v>2903.0154152163104</v>
      </c>
      <c r="H28" s="8">
        <v>1618.4067628045748</v>
      </c>
      <c r="I28" s="8">
        <v>2297.8189955246148</v>
      </c>
      <c r="J28" s="8">
        <v>2723.1188463451022</v>
      </c>
      <c r="K28" s="8">
        <v>1834.5504724017901</v>
      </c>
      <c r="L28" s="8">
        <v>2428.3127797115862</v>
      </c>
      <c r="M28" s="8">
        <v>3005.613625062158</v>
      </c>
      <c r="N28" s="22"/>
      <c r="O28" s="8">
        <v>154.45963301056989</v>
      </c>
      <c r="P28" s="8">
        <v>224.52763508019808</v>
      </c>
      <c r="Q28" s="8">
        <v>269.69676251016335</v>
      </c>
      <c r="R28" s="8">
        <v>150.35368467735972</v>
      </c>
      <c r="S28" s="8">
        <v>213.47263286273929</v>
      </c>
      <c r="T28" s="8">
        <v>252.98396038140291</v>
      </c>
      <c r="U28" s="8">
        <v>170.43392896740335</v>
      </c>
      <c r="V28" s="8">
        <v>225.5958034592357</v>
      </c>
      <c r="W28" s="8">
        <v>279.22837053736419</v>
      </c>
      <c r="X28" s="22"/>
      <c r="Y28"/>
      <c r="Z28" s="10">
        <f t="shared" si="0"/>
        <v>0.72222845399157132</v>
      </c>
      <c r="AA28"/>
      <c r="AB28" s="22"/>
    </row>
    <row r="29" spans="1:28" x14ac:dyDescent="0.25">
      <c r="A29" s="16"/>
      <c r="B29" s="3" t="s">
        <v>17</v>
      </c>
      <c r="C29" s="3" t="s">
        <v>44</v>
      </c>
      <c r="D29" s="11" t="s">
        <v>19</v>
      </c>
      <c r="E29" s="8">
        <v>1653.4931277971157</v>
      </c>
      <c r="F29" s="8">
        <v>2408.4060517155644</v>
      </c>
      <c r="G29" s="8">
        <v>2894.548189955246</v>
      </c>
      <c r="H29" s="8">
        <v>1634.5206364992541</v>
      </c>
      <c r="I29" s="8">
        <v>2320.8040775733466</v>
      </c>
      <c r="J29" s="8">
        <v>2750.4047737444057</v>
      </c>
      <c r="K29" s="8">
        <v>1887.7409249129787</v>
      </c>
      <c r="L29" s="8">
        <v>2622.0696171059176</v>
      </c>
      <c r="M29" s="8">
        <v>3190.4704127299851</v>
      </c>
      <c r="N29" s="22"/>
      <c r="O29" s="8">
        <v>153.61328812181239</v>
      </c>
      <c r="P29" s="8">
        <v>223.74642296178578</v>
      </c>
      <c r="Q29" s="8">
        <v>268.91013794441568</v>
      </c>
      <c r="R29" s="8">
        <v>151.85070034740187</v>
      </c>
      <c r="S29" s="8">
        <v>215.60799948259293</v>
      </c>
      <c r="T29" s="8">
        <v>255.51888535738041</v>
      </c>
      <c r="U29" s="8">
        <v>175.37544349175843</v>
      </c>
      <c r="V29" s="8">
        <v>243.59625619040577</v>
      </c>
      <c r="W29" s="8">
        <v>296.40198832138367</v>
      </c>
      <c r="X29" s="22"/>
      <c r="Y29"/>
      <c r="Z29" s="10">
        <f t="shared" si="0"/>
        <v>0.71827108112568361</v>
      </c>
      <c r="AA29"/>
      <c r="AB29" s="22"/>
    </row>
    <row r="30" spans="1:28" x14ac:dyDescent="0.25">
      <c r="A30" s="16"/>
      <c r="B30" s="3" t="s">
        <v>17</v>
      </c>
      <c r="C30" s="3" t="s">
        <v>45</v>
      </c>
      <c r="D30" s="11" t="s">
        <v>19</v>
      </c>
      <c r="E30" s="8">
        <v>2086.4658677274988</v>
      </c>
      <c r="F30" s="8">
        <v>3042.0734510193934</v>
      </c>
      <c r="G30" s="8">
        <v>3657.4563053207357</v>
      </c>
      <c r="H30" s="8">
        <v>2062.4500248632521</v>
      </c>
      <c r="I30" s="8">
        <v>2931.1819990054701</v>
      </c>
      <c r="J30" s="8">
        <v>3474.9930382894081</v>
      </c>
      <c r="K30" s="8">
        <v>2376.3794132272501</v>
      </c>
      <c r="L30" s="8">
        <v>3305.929388363998</v>
      </c>
      <c r="M30" s="8">
        <v>4025.4410740924914</v>
      </c>
      <c r="N30" s="22"/>
      <c r="O30" s="8">
        <v>193.8374445635302</v>
      </c>
      <c r="P30" s="8">
        <v>282.61557164239781</v>
      </c>
      <c r="Q30" s="8">
        <v>339.786044330697</v>
      </c>
      <c r="R30" s="8">
        <v>191.60631790967551</v>
      </c>
      <c r="S30" s="8">
        <v>272.31350247616228</v>
      </c>
      <c r="T30" s="8">
        <v>322.83479008056764</v>
      </c>
      <c r="U30" s="8">
        <v>220.77107509793774</v>
      </c>
      <c r="V30" s="8">
        <v>307.12839086406973</v>
      </c>
      <c r="W30" s="8">
        <v>373.97266982038582</v>
      </c>
      <c r="X30" s="22"/>
      <c r="Y30"/>
      <c r="Z30" s="10">
        <f t="shared" si="0"/>
        <v>0.9063527808797478</v>
      </c>
      <c r="AA30"/>
      <c r="AB30" s="22"/>
    </row>
    <row r="31" spans="1:28" x14ac:dyDescent="0.25">
      <c r="A31" s="16"/>
      <c r="B31" s="3" t="s">
        <v>17</v>
      </c>
      <c r="C31" s="3" t="s">
        <v>46</v>
      </c>
      <c r="D31" s="11" t="s">
        <v>19</v>
      </c>
      <c r="E31" s="8">
        <v>1703.0870213823969</v>
      </c>
      <c r="F31" s="8">
        <v>2475.9413227250125</v>
      </c>
      <c r="G31" s="8">
        <v>2974.1611138736948</v>
      </c>
      <c r="H31" s="8">
        <v>1657.7971158627549</v>
      </c>
      <c r="I31" s="8">
        <v>2354.0044753853804</v>
      </c>
      <c r="J31" s="8">
        <v>2789.8180009945299</v>
      </c>
      <c r="K31" s="8">
        <v>1879.2849328692193</v>
      </c>
      <c r="L31" s="8">
        <v>2487.7235206364994</v>
      </c>
      <c r="M31" s="8">
        <v>3079.2948781700647</v>
      </c>
      <c r="N31" s="22"/>
      <c r="O31" s="8">
        <v>158.22067410747283</v>
      </c>
      <c r="P31" s="8">
        <v>230.02060388794439</v>
      </c>
      <c r="Q31" s="8">
        <v>276.30636041096903</v>
      </c>
      <c r="R31" s="8">
        <v>154.01313844334391</v>
      </c>
      <c r="S31" s="8">
        <v>218.69239226846034</v>
      </c>
      <c r="T31" s="8">
        <v>259.1804641880405</v>
      </c>
      <c r="U31" s="8">
        <v>174.58986251755488</v>
      </c>
      <c r="V31" s="8">
        <v>231.11519698425602</v>
      </c>
      <c r="W31" s="8">
        <v>286.07352723778547</v>
      </c>
      <c r="X31" s="22"/>
      <c r="Y31"/>
      <c r="Z31" s="10">
        <f t="shared" si="0"/>
        <v>0.73981447853320081</v>
      </c>
      <c r="AA31"/>
      <c r="AB31" s="22"/>
    </row>
    <row r="32" spans="1:28" x14ac:dyDescent="0.25">
      <c r="A32" s="16"/>
      <c r="B32" s="3" t="s">
        <v>17</v>
      </c>
      <c r="C32" s="3" t="s">
        <v>47</v>
      </c>
      <c r="D32" s="11" t="s">
        <v>19</v>
      </c>
      <c r="E32" s="8">
        <v>1791.1745748383889</v>
      </c>
      <c r="F32" s="8">
        <v>2609.9072998508204</v>
      </c>
      <c r="G32" s="8">
        <v>3137.1468622575831</v>
      </c>
      <c r="H32" s="8">
        <v>1770.59870711089</v>
      </c>
      <c r="I32" s="8">
        <v>2514.8990551964198</v>
      </c>
      <c r="J32" s="8">
        <v>2980.8180009945299</v>
      </c>
      <c r="K32" s="8">
        <v>2043.124316260567</v>
      </c>
      <c r="L32" s="8">
        <v>2839.5310790651415</v>
      </c>
      <c r="M32" s="8">
        <v>3455.9840875186474</v>
      </c>
      <c r="N32" s="22"/>
      <c r="O32" s="8">
        <v>166.40420901396999</v>
      </c>
      <c r="P32" s="8">
        <v>242.46634913888681</v>
      </c>
      <c r="Q32" s="8">
        <v>291.44810869243844</v>
      </c>
      <c r="R32" s="8">
        <v>164.49266390716238</v>
      </c>
      <c r="S32" s="8">
        <v>233.63986621331952</v>
      </c>
      <c r="T32" s="8">
        <v>276.92480042870869</v>
      </c>
      <c r="U32" s="8">
        <v>189.81091544090472</v>
      </c>
      <c r="V32" s="8">
        <v>263.79892268460344</v>
      </c>
      <c r="W32" s="8">
        <v>321.06881513785203</v>
      </c>
      <c r="X32" s="22"/>
      <c r="Y32"/>
      <c r="Z32" s="10">
        <f t="shared" si="0"/>
        <v>0.77807937434129226</v>
      </c>
      <c r="AA32"/>
      <c r="AB32" s="22"/>
    </row>
    <row r="33" spans="1:28" x14ac:dyDescent="0.25">
      <c r="A33" s="16"/>
      <c r="B33" s="3" t="s">
        <v>17</v>
      </c>
      <c r="C33" s="3" t="s">
        <v>48</v>
      </c>
      <c r="D33" s="11" t="s">
        <v>19</v>
      </c>
      <c r="E33" s="8">
        <v>2060.0770760815512</v>
      </c>
      <c r="F33" s="8">
        <v>2997.3336648433615</v>
      </c>
      <c r="G33" s="8">
        <v>3601.533565390353</v>
      </c>
      <c r="H33" s="8">
        <v>2005.1536548980607</v>
      </c>
      <c r="I33" s="8">
        <v>2849.4574838388862</v>
      </c>
      <c r="J33" s="8">
        <v>3377.9771258080559</v>
      </c>
      <c r="K33" s="8">
        <v>2273.7563401292891</v>
      </c>
      <c r="L33" s="8">
        <v>3011.6215813028343</v>
      </c>
      <c r="M33" s="8">
        <v>3729.0318249627053</v>
      </c>
      <c r="N33" s="22"/>
      <c r="O33" s="8">
        <v>191.38586554808188</v>
      </c>
      <c r="P33" s="8">
        <v>278.45914332175323</v>
      </c>
      <c r="Q33" s="8">
        <v>334.59069406460196</v>
      </c>
      <c r="R33" s="8">
        <v>186.2833542759997</v>
      </c>
      <c r="S33" s="8">
        <v>264.72110835981965</v>
      </c>
      <c r="T33" s="8">
        <v>313.82179022839824</v>
      </c>
      <c r="U33" s="8">
        <v>211.23715721782835</v>
      </c>
      <c r="V33" s="8">
        <v>279.78652339419023</v>
      </c>
      <c r="W33" s="8">
        <v>346.43557358267424</v>
      </c>
      <c r="X33" s="22"/>
      <c r="Y33"/>
      <c r="Z33" s="10">
        <f t="shared" si="0"/>
        <v>0.89488959086916264</v>
      </c>
      <c r="AA33"/>
      <c r="AB33" s="22"/>
    </row>
    <row r="34" spans="1:28" x14ac:dyDescent="0.25">
      <c r="A34" s="16"/>
      <c r="B34" s="3" t="s">
        <v>17</v>
      </c>
      <c r="C34" s="3" t="s">
        <v>49</v>
      </c>
      <c r="D34" s="11" t="s">
        <v>19</v>
      </c>
      <c r="E34" s="8">
        <v>2071.9733963202389</v>
      </c>
      <c r="F34" s="8">
        <v>3020.8626603679763</v>
      </c>
      <c r="G34" s="8">
        <v>3631.9197314768771</v>
      </c>
      <c r="H34" s="8">
        <v>2048.1253107906514</v>
      </c>
      <c r="I34" s="8">
        <v>2910.7508702138239</v>
      </c>
      <c r="J34" s="8">
        <v>3450.7389358528094</v>
      </c>
      <c r="K34" s="8">
        <v>2360.0228741919441</v>
      </c>
      <c r="L34" s="8">
        <v>3283.0387866732967</v>
      </c>
      <c r="M34" s="8">
        <v>3997.4922923918448</v>
      </c>
      <c r="N34" s="22"/>
      <c r="O34" s="8">
        <v>192.49106086924382</v>
      </c>
      <c r="P34" s="8">
        <v>280.64504074580532</v>
      </c>
      <c r="Q34" s="8">
        <v>337.41363829551329</v>
      </c>
      <c r="R34" s="8">
        <v>190.27551925493384</v>
      </c>
      <c r="S34" s="8">
        <v>270.41540394707664</v>
      </c>
      <c r="T34" s="8">
        <v>320.58152856826075</v>
      </c>
      <c r="U34" s="8">
        <v>219.251515263508</v>
      </c>
      <c r="V34" s="8">
        <v>305.00180168526867</v>
      </c>
      <c r="W34" s="8">
        <v>371.37616416586587</v>
      </c>
      <c r="X34" s="22"/>
      <c r="Y34"/>
      <c r="Z34" s="10">
        <f t="shared" si="0"/>
        <v>0.90005730681282858</v>
      </c>
      <c r="AA34"/>
      <c r="AB34" s="22"/>
    </row>
    <row r="35" spans="1:28" x14ac:dyDescent="0.25">
      <c r="A35" s="16"/>
      <c r="B35" s="3" t="s">
        <v>17</v>
      </c>
      <c r="C35" s="3" t="s">
        <v>50</v>
      </c>
      <c r="D35" s="11" t="s">
        <v>19</v>
      </c>
      <c r="E35" s="8">
        <v>1689.7252958727004</v>
      </c>
      <c r="F35" s="8">
        <v>2461.4327747389361</v>
      </c>
      <c r="G35" s="8">
        <v>2958.3898657384384</v>
      </c>
      <c r="H35" s="8">
        <v>1670.3311785181502</v>
      </c>
      <c r="I35" s="8">
        <v>2371.8816509199405</v>
      </c>
      <c r="J35" s="8">
        <v>2811.0397812033816</v>
      </c>
      <c r="K35" s="8">
        <v>1928.6315266036797</v>
      </c>
      <c r="L35" s="8">
        <v>2679.2963699651914</v>
      </c>
      <c r="M35" s="8">
        <v>3260.3431128791644</v>
      </c>
      <c r="N35" s="22"/>
      <c r="O35" s="8">
        <v>156.97933928967404</v>
      </c>
      <c r="P35" s="8">
        <v>228.6727266427674</v>
      </c>
      <c r="Q35" s="8">
        <v>274.8411754379481</v>
      </c>
      <c r="R35" s="8">
        <v>155.1775814916106</v>
      </c>
      <c r="S35" s="8">
        <v>220.35322270677801</v>
      </c>
      <c r="T35" s="8">
        <v>261.15201603961856</v>
      </c>
      <c r="U35" s="8">
        <v>179.17427378224554</v>
      </c>
      <c r="V35" s="8">
        <v>248.9127522359376</v>
      </c>
      <c r="W35" s="8">
        <v>302.89332175327075</v>
      </c>
      <c r="X35" s="22"/>
      <c r="Y35"/>
      <c r="Z35" s="10">
        <f t="shared" si="0"/>
        <v>0.7340101961529405</v>
      </c>
      <c r="AA35"/>
      <c r="AB35" s="22"/>
    </row>
    <row r="36" spans="1:28" x14ac:dyDescent="0.25">
      <c r="A36" s="16"/>
      <c r="B36" s="3" t="s">
        <v>17</v>
      </c>
      <c r="C36" s="3" t="s">
        <v>51</v>
      </c>
      <c r="D36" s="11" t="s">
        <v>19</v>
      </c>
      <c r="E36" s="8">
        <v>2054.5569368473398</v>
      </c>
      <c r="F36" s="8">
        <v>2989.2710094480358</v>
      </c>
      <c r="G36" s="8">
        <v>3591.8319244157137</v>
      </c>
      <c r="H36" s="8">
        <v>1999.7817006464445</v>
      </c>
      <c r="I36" s="8">
        <v>2841.7956240676281</v>
      </c>
      <c r="J36" s="8">
        <v>3368.8816509199405</v>
      </c>
      <c r="K36" s="8">
        <v>2267.6553953257085</v>
      </c>
      <c r="L36" s="8">
        <v>3003.5196419691697</v>
      </c>
      <c r="M36" s="8">
        <v>3718.9845847836896</v>
      </c>
      <c r="N36" s="22"/>
      <c r="O36" s="8">
        <v>190.87303200532187</v>
      </c>
      <c r="P36" s="8">
        <v>277.71010422056321</v>
      </c>
      <c r="Q36" s="8">
        <v>333.68938945967921</v>
      </c>
      <c r="R36" s="8">
        <v>185.78428745657476</v>
      </c>
      <c r="S36" s="8">
        <v>264.00930408751572</v>
      </c>
      <c r="T36" s="8">
        <v>312.97679983738635</v>
      </c>
      <c r="U36" s="8">
        <v>210.67036551112423</v>
      </c>
      <c r="V36" s="8">
        <v>279.03383472540469</v>
      </c>
      <c r="W36" s="8">
        <v>345.50216202232241</v>
      </c>
      <c r="X36" s="22"/>
      <c r="Y36"/>
      <c r="Z36" s="10">
        <f t="shared" si="0"/>
        <v>0.89249166353032694</v>
      </c>
      <c r="AA36"/>
      <c r="AB36" s="22"/>
    </row>
    <row r="37" spans="1:28" x14ac:dyDescent="0.25">
      <c r="A37" s="16"/>
      <c r="B37" s="3" t="s">
        <v>17</v>
      </c>
      <c r="C37" s="3" t="s">
        <v>52</v>
      </c>
      <c r="D37" s="11" t="s">
        <v>19</v>
      </c>
      <c r="E37" s="8">
        <v>2294.8003480855295</v>
      </c>
      <c r="F37" s="8">
        <v>3346.975867727499</v>
      </c>
      <c r="G37" s="8">
        <v>4024.5463202386873</v>
      </c>
      <c r="H37" s="8">
        <v>2268.3570363003482</v>
      </c>
      <c r="I37" s="8">
        <v>3224.8781700646446</v>
      </c>
      <c r="J37" s="8">
        <v>3823.6444554947789</v>
      </c>
      <c r="K37" s="8">
        <v>2611.4977623073096</v>
      </c>
      <c r="L37" s="8">
        <v>3634.9835902536051</v>
      </c>
      <c r="M37" s="8">
        <v>4427.2048731974146</v>
      </c>
      <c r="N37" s="22"/>
      <c r="O37" s="8">
        <v>213.19219362111019</v>
      </c>
      <c r="P37" s="8">
        <v>310.94170254638186</v>
      </c>
      <c r="Q37" s="8">
        <v>373.88954514376525</v>
      </c>
      <c r="R37" s="8">
        <v>210.73554956020399</v>
      </c>
      <c r="S37" s="8">
        <v>299.59854756449107</v>
      </c>
      <c r="T37" s="8">
        <v>355.22530305270158</v>
      </c>
      <c r="U37" s="8">
        <v>242.61410673368317</v>
      </c>
      <c r="V37" s="8">
        <v>337.69827777367135</v>
      </c>
      <c r="W37" s="8">
        <v>411.29744437874194</v>
      </c>
      <c r="X37" s="22"/>
      <c r="Y37"/>
      <c r="Z37" s="10">
        <f t="shared" si="0"/>
        <v>0.99685248113667024</v>
      </c>
      <c r="AA37"/>
      <c r="AB37" s="22"/>
    </row>
    <row r="38" spans="1:28" x14ac:dyDescent="0.25">
      <c r="A38" s="16"/>
      <c r="B38" s="3" t="s">
        <v>17</v>
      </c>
      <c r="C38" s="3" t="s">
        <v>53</v>
      </c>
      <c r="D38" s="11" t="s">
        <v>19</v>
      </c>
      <c r="E38" s="8">
        <v>2280.8965688712083</v>
      </c>
      <c r="F38" s="8">
        <v>3319.8438587767282</v>
      </c>
      <c r="G38" s="8">
        <v>3989.5992043759325</v>
      </c>
      <c r="H38" s="8">
        <v>2220.0134261561411</v>
      </c>
      <c r="I38" s="8">
        <v>3155.923421183491</v>
      </c>
      <c r="J38" s="8">
        <v>3741.7866732968673</v>
      </c>
      <c r="K38" s="8">
        <v>2517.7593237195424</v>
      </c>
      <c r="L38" s="8">
        <v>3335.6822476379912</v>
      </c>
      <c r="M38" s="8">
        <v>4130.9308801591251</v>
      </c>
      <c r="N38" s="22"/>
      <c r="O38" s="8">
        <v>211.90050077611056</v>
      </c>
      <c r="P38" s="8">
        <v>308.42107694582006</v>
      </c>
      <c r="Q38" s="8">
        <v>370.64287826151229</v>
      </c>
      <c r="R38" s="8">
        <v>206.24431776184491</v>
      </c>
      <c r="S38" s="8">
        <v>293.19249390198831</v>
      </c>
      <c r="T38" s="8">
        <v>347.62052812476901</v>
      </c>
      <c r="U38" s="8">
        <v>233.90559169192105</v>
      </c>
      <c r="V38" s="8">
        <v>309.89249944563528</v>
      </c>
      <c r="W38" s="8">
        <v>383.77291374085297</v>
      </c>
      <c r="X38" s="22"/>
      <c r="Y38"/>
      <c r="Z38" s="10">
        <f t="shared" si="0"/>
        <v>0.99081273270341963</v>
      </c>
      <c r="AA38"/>
      <c r="AB38" s="22"/>
    </row>
    <row r="39" spans="1:28" x14ac:dyDescent="0.25">
      <c r="A39" s="16"/>
      <c r="B39" s="3" t="s">
        <v>17</v>
      </c>
      <c r="C39" s="3" t="s">
        <v>54</v>
      </c>
      <c r="D39" s="11" t="s">
        <v>19</v>
      </c>
      <c r="E39" s="8">
        <v>1928.8565241173544</v>
      </c>
      <c r="F39" s="8">
        <v>2811.4080507210342</v>
      </c>
      <c r="G39" s="8">
        <v>3379.7445350571852</v>
      </c>
      <c r="H39" s="8">
        <v>1906.6762804574839</v>
      </c>
      <c r="I39" s="8">
        <v>2708.994032819493</v>
      </c>
      <c r="J39" s="8">
        <v>3211.230730979612</v>
      </c>
      <c r="K39" s="8">
        <v>2198.5067130780708</v>
      </c>
      <c r="L39" s="8">
        <v>3056.9930382894081</v>
      </c>
      <c r="M39" s="8">
        <v>3721.4977623073096</v>
      </c>
      <c r="N39" s="22"/>
      <c r="O39" s="8">
        <v>179.19517656515632</v>
      </c>
      <c r="P39" s="8">
        <v>261.1862291189297</v>
      </c>
      <c r="Q39" s="8">
        <v>313.9859865843743</v>
      </c>
      <c r="R39" s="8">
        <v>177.13458126986473</v>
      </c>
      <c r="S39" s="8">
        <v>251.67173294404611</v>
      </c>
      <c r="T39" s="8">
        <v>298.33066930297878</v>
      </c>
      <c r="U39" s="8">
        <v>204.24629499593465</v>
      </c>
      <c r="V39" s="8">
        <v>284.00163537585922</v>
      </c>
      <c r="W39" s="8">
        <v>345.73564195432033</v>
      </c>
      <c r="X39" s="22"/>
      <c r="Y39"/>
      <c r="Z39" s="10">
        <f>O39/$Z$3</f>
        <v>0.83788788572703077</v>
      </c>
      <c r="AA39"/>
      <c r="AB39" s="22"/>
    </row>
    <row r="40" spans="1:28" x14ac:dyDescent="0.25">
      <c r="A40" s="16"/>
      <c r="B40" s="3" t="s">
        <v>17</v>
      </c>
      <c r="C40" s="3" t="s">
        <v>55</v>
      </c>
      <c r="D40" s="11" t="s">
        <v>19</v>
      </c>
      <c r="E40" s="8">
        <v>1776.6821034311288</v>
      </c>
      <c r="F40" s="8">
        <v>2588.696509199403</v>
      </c>
      <c r="G40" s="8">
        <v>3111.6097911486822</v>
      </c>
      <c r="H40" s="8">
        <v>1756.2744903033317</v>
      </c>
      <c r="I40" s="8">
        <v>2494.4679264047736</v>
      </c>
      <c r="J40" s="8">
        <v>2956.5638985579312</v>
      </c>
      <c r="K40" s="8">
        <v>2026.7677772252612</v>
      </c>
      <c r="L40" s="8">
        <v>2816.6404773744407</v>
      </c>
      <c r="M40" s="8">
        <v>3428.0358030830434</v>
      </c>
      <c r="N40" s="22"/>
      <c r="O40" s="8">
        <v>165.05782531968362</v>
      </c>
      <c r="P40" s="8">
        <v>240.49581824229429</v>
      </c>
      <c r="Q40" s="8">
        <v>289.07565646019657</v>
      </c>
      <c r="R40" s="8">
        <v>163.16191144947888</v>
      </c>
      <c r="S40" s="8">
        <v>231.74176768423385</v>
      </c>
      <c r="T40" s="8">
        <v>274.6715389164018</v>
      </c>
      <c r="U40" s="8">
        <v>188.29135560647498</v>
      </c>
      <c r="V40" s="8">
        <v>261.67233350580233</v>
      </c>
      <c r="W40" s="8">
        <v>318.47235568039025</v>
      </c>
      <c r="X40" s="22"/>
      <c r="Y40"/>
      <c r="Z40" s="10">
        <f t="shared" si="0"/>
        <v>0.77178390027437305</v>
      </c>
      <c r="AA40"/>
      <c r="AB40" s="22"/>
    </row>
    <row r="41" spans="1:28" x14ac:dyDescent="0.25">
      <c r="A41" s="16"/>
      <c r="B41" s="3" t="s">
        <v>17</v>
      </c>
      <c r="C41" s="3" t="s">
        <v>56</v>
      </c>
      <c r="D41" s="11" t="s">
        <v>19</v>
      </c>
      <c r="E41" s="8">
        <v>2003.1321730482346</v>
      </c>
      <c r="F41" s="8">
        <v>2920.1122874191947</v>
      </c>
      <c r="G41" s="8">
        <v>3510.6203978120338</v>
      </c>
      <c r="H41" s="8">
        <v>1980.0865241173547</v>
      </c>
      <c r="I41" s="8">
        <v>2813.7031327697664</v>
      </c>
      <c r="J41" s="8">
        <v>3335.5325708602686</v>
      </c>
      <c r="K41" s="8">
        <v>2282.3321730482348</v>
      </c>
      <c r="L41" s="8">
        <v>3174.3078070611637</v>
      </c>
      <c r="M41" s="8">
        <v>3864.7349577324712</v>
      </c>
      <c r="N41" s="22"/>
      <c r="O41" s="8">
        <v>186.09555399512158</v>
      </c>
      <c r="P41" s="8">
        <v>271.28510098676918</v>
      </c>
      <c r="Q41" s="8">
        <v>326.14465315248725</v>
      </c>
      <c r="R41" s="8">
        <v>183.95456057358265</v>
      </c>
      <c r="S41" s="8">
        <v>261.39944748318425</v>
      </c>
      <c r="T41" s="8">
        <v>309.87859413112574</v>
      </c>
      <c r="U41" s="8">
        <v>212.03387168305122</v>
      </c>
      <c r="V41" s="8">
        <v>294.90044533964073</v>
      </c>
      <c r="W41" s="8">
        <v>359.04270456057355</v>
      </c>
      <c r="X41" s="22"/>
      <c r="Y41"/>
      <c r="Z41" s="10">
        <f t="shared" si="0"/>
        <v>0.87015294311494451</v>
      </c>
      <c r="AA41"/>
      <c r="AB41" s="22"/>
    </row>
    <row r="42" spans="1:28" x14ac:dyDescent="0.25">
      <c r="A42" s="16"/>
      <c r="B42" s="3" t="s">
        <v>17</v>
      </c>
      <c r="C42" s="3" t="s">
        <v>57</v>
      </c>
      <c r="D42" s="11" t="s">
        <v>19</v>
      </c>
      <c r="E42" s="8">
        <v>1629.9426106414719</v>
      </c>
      <c r="F42" s="8">
        <v>2373.9388314271509</v>
      </c>
      <c r="G42" s="8">
        <v>2853.0510740924915</v>
      </c>
      <c r="H42" s="8">
        <v>1611.2446544007955</v>
      </c>
      <c r="I42" s="8">
        <v>2287.6031824962706</v>
      </c>
      <c r="J42" s="8">
        <v>2710.9925410243659</v>
      </c>
      <c r="K42" s="8">
        <v>1861.1626056688215</v>
      </c>
      <c r="L42" s="8">
        <v>2584.8722028841371</v>
      </c>
      <c r="M42" s="8">
        <v>3145.0542018896072</v>
      </c>
      <c r="N42" s="22"/>
      <c r="O42" s="8">
        <v>151.42539128908268</v>
      </c>
      <c r="P42" s="8">
        <v>220.54433947446225</v>
      </c>
      <c r="Q42" s="8">
        <v>265.05496110207702</v>
      </c>
      <c r="R42" s="8">
        <v>149.688308448518</v>
      </c>
      <c r="S42" s="8">
        <v>212.52356049966735</v>
      </c>
      <c r="T42" s="8">
        <v>251.85739892083672</v>
      </c>
      <c r="U42" s="8">
        <v>172.90625692955871</v>
      </c>
      <c r="V42" s="8">
        <v>240.14053145095718</v>
      </c>
      <c r="W42" s="8">
        <v>292.18271860447925</v>
      </c>
      <c r="X42" s="22"/>
      <c r="Y42"/>
      <c r="Z42" s="10">
        <f t="shared" si="0"/>
        <v>0.70804082668187496</v>
      </c>
      <c r="AA42"/>
      <c r="AB42" s="22"/>
    </row>
    <row r="43" spans="1:28" x14ac:dyDescent="0.25">
      <c r="A43" s="16"/>
      <c r="B43" s="3" t="s">
        <v>17</v>
      </c>
      <c r="C43" s="3" t="s">
        <v>58</v>
      </c>
      <c r="D43" s="11" t="s">
        <v>19</v>
      </c>
      <c r="E43" s="8">
        <v>1800.2326156141223</v>
      </c>
      <c r="F43" s="8">
        <v>2623.1637294878169</v>
      </c>
      <c r="G43" s="8">
        <v>3153.1069070114372</v>
      </c>
      <c r="H43" s="8">
        <v>1779.5509696668323</v>
      </c>
      <c r="I43" s="8">
        <v>2527.6683242168074</v>
      </c>
      <c r="J43" s="8">
        <v>2995.9771258080559</v>
      </c>
      <c r="K43" s="8">
        <v>2053.3465937344604</v>
      </c>
      <c r="L43" s="8">
        <v>2853.8378915962207</v>
      </c>
      <c r="M43" s="8">
        <v>3473.4525111884636</v>
      </c>
      <c r="N43" s="22"/>
      <c r="O43" s="8">
        <v>167.24572169044274</v>
      </c>
      <c r="P43" s="8">
        <v>243.69790172961783</v>
      </c>
      <c r="Q43" s="8">
        <v>292.93083330253529</v>
      </c>
      <c r="R43" s="8">
        <v>165.32434954542094</v>
      </c>
      <c r="S43" s="8">
        <v>234.82616047010126</v>
      </c>
      <c r="T43" s="8">
        <v>278.33311774706186</v>
      </c>
      <c r="U43" s="8">
        <v>190.76058836573284</v>
      </c>
      <c r="V43" s="8">
        <v>265.12805824525094</v>
      </c>
      <c r="W43" s="8">
        <v>322.69167159435284</v>
      </c>
      <c r="X43" s="22"/>
      <c r="Y43"/>
      <c r="Z43" s="10">
        <f t="shared" si="0"/>
        <v>0.78201415255808138</v>
      </c>
      <c r="AA43"/>
      <c r="AB43" s="22"/>
    </row>
    <row r="44" spans="1:28" x14ac:dyDescent="0.25">
      <c r="A44" s="16"/>
      <c r="B44" s="3" t="s">
        <v>17</v>
      </c>
      <c r="C44" s="3" t="s">
        <v>59</v>
      </c>
      <c r="D44" s="11" t="s">
        <v>19</v>
      </c>
      <c r="E44" s="8">
        <v>1571.9712381899553</v>
      </c>
      <c r="F44" s="8">
        <v>2289.0961710591746</v>
      </c>
      <c r="G44" s="8">
        <v>2750.9042963699653</v>
      </c>
      <c r="H44" s="8">
        <v>1553.9482844356041</v>
      </c>
      <c r="I44" s="8">
        <v>2205.879164594729</v>
      </c>
      <c r="J44" s="8">
        <v>2613.9766285430132</v>
      </c>
      <c r="K44" s="8">
        <v>1795.737941322725</v>
      </c>
      <c r="L44" s="8">
        <v>2493.3092988562903</v>
      </c>
      <c r="M44" s="8">
        <v>3033.2590750870213</v>
      </c>
      <c r="N44" s="22"/>
      <c r="O44" s="8">
        <v>146.03971838273338</v>
      </c>
      <c r="P44" s="8">
        <v>212.662262547121</v>
      </c>
      <c r="Q44" s="8">
        <v>255.56529215019586</v>
      </c>
      <c r="R44" s="8">
        <v>144.36534481484219</v>
      </c>
      <c r="S44" s="8">
        <v>204.93121258038286</v>
      </c>
      <c r="T44" s="8">
        <v>242.84439906866729</v>
      </c>
      <c r="U44" s="8">
        <v>166.82815618301424</v>
      </c>
      <c r="V44" s="8">
        <v>231.63412853869465</v>
      </c>
      <c r="W44" s="8">
        <v>281.79669598639958</v>
      </c>
      <c r="X44" s="22"/>
      <c r="Y44"/>
      <c r="Z44" s="10">
        <f t="shared" si="0"/>
        <v>0.68285828454420994</v>
      </c>
      <c r="AA44"/>
      <c r="AB44" s="22"/>
    </row>
    <row r="45" spans="1:28" x14ac:dyDescent="0.25">
      <c r="A45" s="16"/>
      <c r="B45" s="3" t="s">
        <v>60</v>
      </c>
      <c r="C45" s="3" t="s">
        <v>61</v>
      </c>
      <c r="D45" s="11" t="s">
        <v>19</v>
      </c>
      <c r="E45" s="8">
        <v>567.55939333664844</v>
      </c>
      <c r="F45" s="8">
        <v>567.55939333664844</v>
      </c>
      <c r="G45" s="8">
        <v>567.55939333664844</v>
      </c>
      <c r="H45" s="8">
        <v>567.55939333664844</v>
      </c>
      <c r="I45" s="8">
        <v>567.55939333664844</v>
      </c>
      <c r="J45" s="8">
        <v>567.55939333664844</v>
      </c>
      <c r="K45" s="8">
        <v>567.55939333664844</v>
      </c>
      <c r="L45" s="8">
        <v>567.55939333664844</v>
      </c>
      <c r="M45" s="8">
        <v>567.55939333664844</v>
      </c>
      <c r="N45" s="22"/>
      <c r="O45" s="8">
        <v>52.728699999999996</v>
      </c>
      <c r="P45" s="8">
        <v>75.94619999999999</v>
      </c>
      <c r="Q45" s="8">
        <v>91.408500000000004</v>
      </c>
      <c r="R45" s="8">
        <v>53.938600000000001</v>
      </c>
      <c r="S45" s="8">
        <v>76.567799999999991</v>
      </c>
      <c r="T45" s="8">
        <v>90.735099999999989</v>
      </c>
      <c r="U45" s="8">
        <v>58.360099999999996</v>
      </c>
      <c r="V45" s="8">
        <v>79.117100000000008</v>
      </c>
      <c r="W45" s="8">
        <v>97.587500000000006</v>
      </c>
      <c r="X45" s="22"/>
      <c r="Y45"/>
      <c r="Z45" s="10">
        <f t="shared" si="0"/>
        <v>0.2465509385185406</v>
      </c>
      <c r="AA45"/>
      <c r="AB45" s="22"/>
    </row>
    <row r="46" spans="1:28" x14ac:dyDescent="0.25">
      <c r="A46" s="16"/>
      <c r="B46" s="3" t="s">
        <v>62</v>
      </c>
      <c r="C46" s="3" t="s">
        <v>63</v>
      </c>
      <c r="D46" s="11" t="s">
        <v>19</v>
      </c>
      <c r="E46" s="8">
        <v>1677.7454002983591</v>
      </c>
      <c r="F46" s="8">
        <v>1677.7454002983591</v>
      </c>
      <c r="G46" s="8">
        <v>1677.7454002983591</v>
      </c>
      <c r="H46" s="8">
        <v>1677.7454002983591</v>
      </c>
      <c r="I46" s="8">
        <v>1677.7454002983591</v>
      </c>
      <c r="J46" s="8">
        <v>1677.7454002983591</v>
      </c>
      <c r="K46" s="8">
        <v>1677.7454002983591</v>
      </c>
      <c r="L46" s="8">
        <v>1677.7454002983591</v>
      </c>
      <c r="M46" s="8">
        <v>1677.7454002983591</v>
      </c>
      <c r="N46" s="22"/>
      <c r="O46" s="8">
        <v>155.87</v>
      </c>
      <c r="P46" s="8">
        <v>224.6</v>
      </c>
      <c r="Q46" s="8">
        <v>270.37</v>
      </c>
      <c r="R46" s="8">
        <v>159.44999999999999</v>
      </c>
      <c r="S46" s="8">
        <v>226.44</v>
      </c>
      <c r="T46" s="8">
        <v>268.38</v>
      </c>
      <c r="U46" s="8">
        <v>172.54</v>
      </c>
      <c r="V46" s="8">
        <v>233.98</v>
      </c>
      <c r="W46" s="8">
        <v>288.66000000000003</v>
      </c>
      <c r="X46" s="22"/>
      <c r="Y46"/>
      <c r="Z46" s="10">
        <f t="shared" si="0"/>
        <v>0.72882310367759739</v>
      </c>
      <c r="AA46"/>
      <c r="AB46" s="22"/>
    </row>
    <row r="47" spans="1:28" x14ac:dyDescent="0.25">
      <c r="A47" s="16"/>
      <c r="B47" s="3" t="s">
        <v>64</v>
      </c>
      <c r="C47" s="3" t="s">
        <v>65</v>
      </c>
      <c r="D47" s="11" t="s">
        <v>19</v>
      </c>
      <c r="E47" s="8">
        <v>812.01317752362013</v>
      </c>
      <c r="F47" s="8">
        <v>812.01317752362013</v>
      </c>
      <c r="G47" s="8">
        <v>812.01317752362013</v>
      </c>
      <c r="H47" s="8">
        <v>812.01317752362013</v>
      </c>
      <c r="I47" s="8">
        <v>812.01317752362013</v>
      </c>
      <c r="J47" s="8">
        <v>812.01317752362013</v>
      </c>
      <c r="K47" s="8">
        <v>812.01317752362013</v>
      </c>
      <c r="L47" s="8">
        <v>812.01317752362013</v>
      </c>
      <c r="M47" s="8">
        <v>812.01317752362013</v>
      </c>
      <c r="N47" s="22"/>
      <c r="O47" s="8">
        <v>75.44</v>
      </c>
      <c r="P47" s="8">
        <v>108.69</v>
      </c>
      <c r="Q47" s="8">
        <v>130.82499999999999</v>
      </c>
      <c r="R47" s="8">
        <v>77.17</v>
      </c>
      <c r="S47" s="8">
        <v>109.58</v>
      </c>
      <c r="T47" s="8">
        <v>129.86500000000001</v>
      </c>
      <c r="U47" s="8">
        <v>83.504999999999995</v>
      </c>
      <c r="V47" s="8">
        <v>113.22499999999999</v>
      </c>
      <c r="W47" s="8">
        <v>139.67500000000001</v>
      </c>
      <c r="X47" s="22"/>
      <c r="Y47"/>
      <c r="Z47" s="10">
        <f t="shared" si="0"/>
        <v>0.35274533227329147</v>
      </c>
      <c r="AA47"/>
      <c r="AB47" s="22"/>
    </row>
    <row r="48" spans="1:28" x14ac:dyDescent="0.25">
      <c r="A48" s="16"/>
      <c r="B48" s="3" t="s">
        <v>66</v>
      </c>
      <c r="C48" s="3" t="s">
        <v>67</v>
      </c>
      <c r="D48" s="11" t="s">
        <v>19</v>
      </c>
      <c r="E48" s="8">
        <v>812.01317752362013</v>
      </c>
      <c r="F48" s="8">
        <v>812.01317752362013</v>
      </c>
      <c r="G48" s="8">
        <v>812.01317752362013</v>
      </c>
      <c r="H48" s="8">
        <v>812.01317752362013</v>
      </c>
      <c r="I48" s="8">
        <v>812.01317752362013</v>
      </c>
      <c r="J48" s="8">
        <v>812.01317752362013</v>
      </c>
      <c r="K48" s="8">
        <v>812.01317752362013</v>
      </c>
      <c r="L48" s="8">
        <v>812.01317752362013</v>
      </c>
      <c r="M48" s="8">
        <v>812.01317752362013</v>
      </c>
      <c r="N48" s="22"/>
      <c r="O48" s="8">
        <v>75.44</v>
      </c>
      <c r="P48" s="8">
        <v>108.69</v>
      </c>
      <c r="Q48" s="8">
        <v>130.82499999999999</v>
      </c>
      <c r="R48" s="8">
        <v>77.17</v>
      </c>
      <c r="S48" s="8">
        <v>109.58</v>
      </c>
      <c r="T48" s="8">
        <v>129.86500000000001</v>
      </c>
      <c r="U48" s="8">
        <v>83.504999999999995</v>
      </c>
      <c r="V48" s="8">
        <v>113.22499999999999</v>
      </c>
      <c r="W48" s="8">
        <v>139.67500000000001</v>
      </c>
      <c r="X48" s="22"/>
      <c r="Y48"/>
      <c r="Z48" s="10">
        <f t="shared" si="0"/>
        <v>0.35274533227329147</v>
      </c>
      <c r="AA48"/>
      <c r="AB48" s="22"/>
    </row>
    <row r="49" spans="1:28" x14ac:dyDescent="0.25">
      <c r="A49" s="16"/>
      <c r="B49" s="3" t="s">
        <v>68</v>
      </c>
      <c r="C49" s="3" t="s">
        <v>69</v>
      </c>
      <c r="D49" s="11" t="s">
        <v>19</v>
      </c>
      <c r="E49" s="8">
        <v>2009.9746394828444</v>
      </c>
      <c r="F49" s="8">
        <v>2009.9746394828444</v>
      </c>
      <c r="G49" s="8">
        <v>2009.9746394828444</v>
      </c>
      <c r="H49" s="8">
        <v>2009.9746394828444</v>
      </c>
      <c r="I49" s="8">
        <v>2009.9746394828444</v>
      </c>
      <c r="J49" s="8">
        <v>2009.9746394828444</v>
      </c>
      <c r="K49" s="8">
        <v>2009.9746394828444</v>
      </c>
      <c r="L49" s="8">
        <v>2009.9746394828444</v>
      </c>
      <c r="M49" s="8">
        <v>2009.9746394828444</v>
      </c>
      <c r="N49" s="22"/>
      <c r="O49" s="8">
        <v>186.73</v>
      </c>
      <c r="P49" s="8">
        <v>269.27999999999997</v>
      </c>
      <c r="Q49" s="8">
        <v>324.25</v>
      </c>
      <c r="R49" s="8">
        <v>191.03</v>
      </c>
      <c r="S49" s="8">
        <v>271.49</v>
      </c>
      <c r="T49" s="8">
        <v>321.86</v>
      </c>
      <c r="U49" s="8">
        <v>206.76</v>
      </c>
      <c r="V49" s="8">
        <v>280.55</v>
      </c>
      <c r="W49" s="8">
        <v>346.21</v>
      </c>
      <c r="X49" s="22"/>
      <c r="Y49"/>
      <c r="Z49" s="10">
        <f t="shared" si="0"/>
        <v>0.87311951080847983</v>
      </c>
      <c r="AA49"/>
      <c r="AB49" s="22"/>
    </row>
    <row r="50" spans="1:28" x14ac:dyDescent="0.25">
      <c r="A50" s="16"/>
      <c r="B50" s="3" t="s">
        <v>70</v>
      </c>
      <c r="C50" s="3" t="s">
        <v>71</v>
      </c>
      <c r="D50" s="11" t="s">
        <v>19</v>
      </c>
      <c r="E50" s="8">
        <v>1670.3368224763799</v>
      </c>
      <c r="F50" s="8">
        <v>1670.3368224763799</v>
      </c>
      <c r="G50" s="8">
        <v>1670.3368224763799</v>
      </c>
      <c r="H50" s="8">
        <v>1670.3368224763799</v>
      </c>
      <c r="I50" s="8">
        <v>1670.3368224763799</v>
      </c>
      <c r="J50" s="8">
        <v>1670.3368224763799</v>
      </c>
      <c r="K50" s="8">
        <v>1670.3368224763799</v>
      </c>
      <c r="L50" s="8">
        <v>1670.3368224763799</v>
      </c>
      <c r="M50" s="8">
        <v>1670.3368224763799</v>
      </c>
      <c r="N50" s="22"/>
      <c r="O50" s="8">
        <v>155.17679999999999</v>
      </c>
      <c r="P50" s="8">
        <v>223.78459999999998</v>
      </c>
      <c r="Q50" s="8">
        <v>269.45949999999999</v>
      </c>
      <c r="R50" s="8">
        <v>158.75409999999999</v>
      </c>
      <c r="S50" s="8">
        <v>225.61889999999997</v>
      </c>
      <c r="T50" s="8">
        <v>267.47579999999999</v>
      </c>
      <c r="U50" s="8">
        <v>171.82660000000001</v>
      </c>
      <c r="V50" s="8">
        <v>233.14699999999996</v>
      </c>
      <c r="W50" s="8">
        <v>287.71119999999996</v>
      </c>
      <c r="X50" s="22"/>
      <c r="Y50"/>
      <c r="Z50" s="10">
        <f t="shared" si="0"/>
        <v>0.7255818117325834</v>
      </c>
      <c r="AA50"/>
      <c r="AB50" s="22"/>
    </row>
    <row r="51" spans="1:28" x14ac:dyDescent="0.25">
      <c r="A51" s="16"/>
      <c r="B51" s="3" t="s">
        <v>72</v>
      </c>
      <c r="C51" s="3" t="s">
        <v>73</v>
      </c>
      <c r="D51" s="11" t="s">
        <v>19</v>
      </c>
      <c r="E51" s="8">
        <v>395.70938836399802</v>
      </c>
      <c r="F51" s="8">
        <v>395.70938836399802</v>
      </c>
      <c r="G51" s="8">
        <v>395.70938836399802</v>
      </c>
      <c r="H51" s="8">
        <v>395.70938836399802</v>
      </c>
      <c r="I51" s="8">
        <v>395.70938836399802</v>
      </c>
      <c r="J51" s="8">
        <v>395.70938836399802</v>
      </c>
      <c r="K51" s="8">
        <v>395.70938836399802</v>
      </c>
      <c r="L51" s="8">
        <v>395.70938836399802</v>
      </c>
      <c r="M51" s="8">
        <v>395.70938836399802</v>
      </c>
      <c r="N51" s="22"/>
      <c r="O51" s="4">
        <v>36.763199999999998</v>
      </c>
      <c r="P51" s="4">
        <v>52.836000000000006</v>
      </c>
      <c r="Q51" s="4">
        <v>63.5364</v>
      </c>
      <c r="R51" s="4">
        <v>37.599400000000003</v>
      </c>
      <c r="S51" s="4">
        <v>53.2652</v>
      </c>
      <c r="T51" s="4">
        <v>63.073900000000002</v>
      </c>
      <c r="U51" s="4">
        <v>40.663000000000004</v>
      </c>
      <c r="V51" s="4">
        <v>55.030099999999997</v>
      </c>
      <c r="W51" s="4">
        <v>67.813599999999994</v>
      </c>
      <c r="X51" s="22"/>
      <c r="Y51"/>
      <c r="Z51" s="10">
        <f t="shared" si="0"/>
        <v>0.17189882289805763</v>
      </c>
      <c r="AA51"/>
      <c r="AB51" s="22"/>
    </row>
    <row r="52" spans="1:28" x14ac:dyDescent="0.25">
      <c r="A52" s="16"/>
      <c r="B52" s="3" t="s">
        <v>74</v>
      </c>
      <c r="C52" s="3" t="s">
        <v>75</v>
      </c>
      <c r="D52" s="11" t="s">
        <v>19</v>
      </c>
      <c r="E52" s="8">
        <v>1009.9460467429139</v>
      </c>
      <c r="F52" s="8">
        <v>1009.9460467429139</v>
      </c>
      <c r="G52" s="8">
        <v>1009.9460467429139</v>
      </c>
      <c r="H52" s="8">
        <v>1009.9460467429139</v>
      </c>
      <c r="I52" s="8">
        <v>1009.9460467429139</v>
      </c>
      <c r="J52" s="8">
        <v>1009.9460467429139</v>
      </c>
      <c r="K52" s="8">
        <v>1009.9460467429139</v>
      </c>
      <c r="L52" s="8">
        <v>1009.9460467429139</v>
      </c>
      <c r="M52" s="8">
        <v>1009.9460467429139</v>
      </c>
      <c r="N52" s="22"/>
      <c r="O52" s="4">
        <v>93.825000000000003</v>
      </c>
      <c r="P52" s="4">
        <v>135.31</v>
      </c>
      <c r="Q52" s="4">
        <v>162.92500000000001</v>
      </c>
      <c r="R52" s="4">
        <v>95.984999999999999</v>
      </c>
      <c r="S52" s="4">
        <v>136.41999999999999</v>
      </c>
      <c r="T52" s="4">
        <v>161.72999999999999</v>
      </c>
      <c r="U52" s="4">
        <v>103.89</v>
      </c>
      <c r="V52" s="4">
        <v>140.97</v>
      </c>
      <c r="W52" s="4">
        <v>173.965</v>
      </c>
      <c r="X52" s="22"/>
      <c r="Y52"/>
      <c r="Z52" s="10">
        <f t="shared" si="0"/>
        <v>0.43871064157663803</v>
      </c>
      <c r="AA52"/>
      <c r="AB52" s="22"/>
    </row>
    <row r="53" spans="1:28" x14ac:dyDescent="0.25">
      <c r="A53" s="16"/>
      <c r="B53" s="3" t="s">
        <v>76</v>
      </c>
      <c r="C53" s="3" t="s">
        <v>77</v>
      </c>
      <c r="D53" s="11" t="s">
        <v>19</v>
      </c>
      <c r="E53" s="8">
        <v>944.16529090004985</v>
      </c>
      <c r="F53" s="8">
        <v>944.16529090004985</v>
      </c>
      <c r="G53" s="8">
        <v>944.16529090004985</v>
      </c>
      <c r="H53" s="8">
        <v>944.16529090004985</v>
      </c>
      <c r="I53" s="8">
        <v>944.16529090004985</v>
      </c>
      <c r="J53" s="8">
        <v>944.16529090004985</v>
      </c>
      <c r="K53" s="8">
        <v>944.16529090004985</v>
      </c>
      <c r="L53" s="8">
        <v>944.16529090004985</v>
      </c>
      <c r="M53" s="8">
        <v>944.16529090004985</v>
      </c>
      <c r="N53" s="22"/>
      <c r="O53" s="4">
        <v>87.712800000000001</v>
      </c>
      <c r="P53" s="4">
        <v>126.39760000000001</v>
      </c>
      <c r="Q53" s="4">
        <v>152.1576</v>
      </c>
      <c r="R53" s="4">
        <v>89.728800000000007</v>
      </c>
      <c r="S53" s="4">
        <v>127.43360000000001</v>
      </c>
      <c r="T53" s="4">
        <v>151.0376</v>
      </c>
      <c r="U53" s="4">
        <v>97.104000000000013</v>
      </c>
      <c r="V53" s="4">
        <v>131.67840000000001</v>
      </c>
      <c r="W53" s="4">
        <v>162.4504</v>
      </c>
      <c r="X53" s="22"/>
      <c r="Y53"/>
      <c r="Z53" s="10">
        <f t="shared" si="0"/>
        <v>0.41013097535287329</v>
      </c>
      <c r="AA53"/>
      <c r="AB53" s="22"/>
    </row>
    <row r="54" spans="1:28" x14ac:dyDescent="0.25">
      <c r="A54" s="16"/>
      <c r="B54" s="3" t="s">
        <v>78</v>
      </c>
      <c r="C54" s="3" t="s">
        <v>79</v>
      </c>
      <c r="D54" s="11" t="s">
        <v>19</v>
      </c>
      <c r="E54" s="8">
        <v>265.54594728990548</v>
      </c>
      <c r="F54" s="8">
        <v>265.54594728990548</v>
      </c>
      <c r="G54" s="8">
        <v>265.54594728990548</v>
      </c>
      <c r="H54" s="8">
        <v>265.54594728990548</v>
      </c>
      <c r="I54" s="8">
        <v>265.54594728990548</v>
      </c>
      <c r="J54" s="8">
        <v>265.54594728990548</v>
      </c>
      <c r="K54" s="8">
        <v>265.54594728990548</v>
      </c>
      <c r="L54" s="8">
        <v>265.54594728990548</v>
      </c>
      <c r="M54" s="8">
        <v>265.54594728990548</v>
      </c>
      <c r="N54" s="22"/>
      <c r="O54" s="4">
        <v>24.670500000000001</v>
      </c>
      <c r="P54" s="4">
        <v>35.557499999999997</v>
      </c>
      <c r="Q54" s="4">
        <v>42.806999999999995</v>
      </c>
      <c r="R54" s="4">
        <v>25.237500000000001</v>
      </c>
      <c r="S54" s="4">
        <v>35.848500000000001</v>
      </c>
      <c r="T54" s="4">
        <v>42.491999999999997</v>
      </c>
      <c r="U54" s="4">
        <v>27.312000000000001</v>
      </c>
      <c r="V54" s="4">
        <v>37.043999999999997</v>
      </c>
      <c r="W54" s="4">
        <v>45.703499999999998</v>
      </c>
      <c r="X54" s="22"/>
      <c r="Y54"/>
      <c r="Z54" s="10">
        <f t="shared" si="0"/>
        <v>0.11535529851336476</v>
      </c>
      <c r="AA54"/>
      <c r="AB54" s="22"/>
    </row>
    <row r="55" spans="1:28" x14ac:dyDescent="0.25">
      <c r="A55" s="16"/>
      <c r="B55" s="3" t="s">
        <v>80</v>
      </c>
      <c r="C55" s="3" t="s">
        <v>81</v>
      </c>
      <c r="D55" s="11" t="s">
        <v>19</v>
      </c>
      <c r="E55" s="8">
        <v>1837.2486325211337</v>
      </c>
      <c r="F55" s="8">
        <v>1837.2486325211337</v>
      </c>
      <c r="G55" s="8">
        <v>1837.2486325211337</v>
      </c>
      <c r="H55" s="8">
        <v>1837.2486325211337</v>
      </c>
      <c r="I55" s="8">
        <v>1837.2486325211337</v>
      </c>
      <c r="J55" s="8">
        <v>1837.2486325211337</v>
      </c>
      <c r="K55" s="8">
        <v>1837.2486325211337</v>
      </c>
      <c r="L55" s="8">
        <v>1837.2486325211337</v>
      </c>
      <c r="M55" s="8">
        <v>1837.2486325211337</v>
      </c>
      <c r="N55" s="22"/>
      <c r="O55" s="4">
        <v>170.68</v>
      </c>
      <c r="P55" s="4">
        <v>246.05</v>
      </c>
      <c r="Q55" s="4">
        <v>296.23</v>
      </c>
      <c r="R55" s="4">
        <v>174.61</v>
      </c>
      <c r="S55" s="4">
        <v>248.07</v>
      </c>
      <c r="T55" s="4">
        <v>294.06</v>
      </c>
      <c r="U55" s="4">
        <v>188.97</v>
      </c>
      <c r="V55" s="4">
        <v>256.33999999999997</v>
      </c>
      <c r="W55" s="4">
        <v>316.29000000000002</v>
      </c>
      <c r="X55" s="22"/>
      <c r="Y55"/>
      <c r="Z55" s="10">
        <f t="shared" si="0"/>
        <v>0.79807228674980635</v>
      </c>
      <c r="AA55"/>
      <c r="AB55" s="22"/>
    </row>
    <row r="56" spans="1:28" x14ac:dyDescent="0.25">
      <c r="A56" s="16"/>
      <c r="B56" s="3" t="s">
        <v>82</v>
      </c>
      <c r="C56" s="3" t="s">
        <v>83</v>
      </c>
      <c r="D56" s="11" t="s">
        <v>19</v>
      </c>
      <c r="E56" s="8">
        <v>1785.1517818146938</v>
      </c>
      <c r="F56" s="8">
        <v>2432.3803920661853</v>
      </c>
      <c r="G56" s="8">
        <v>3420.6233810476879</v>
      </c>
      <c r="H56" s="8">
        <v>1653.1489384465935</v>
      </c>
      <c r="I56" s="8">
        <v>2258.4410380955492</v>
      </c>
      <c r="J56" s="8">
        <v>2985.2047706226499</v>
      </c>
      <c r="K56" s="8">
        <v>1982.6374381107653</v>
      </c>
      <c r="L56" s="8">
        <v>2501.4945125720283</v>
      </c>
      <c r="M56" s="8">
        <v>3265.9440472153901</v>
      </c>
      <c r="N56" s="22"/>
      <c r="O56" s="8">
        <v>165.84467778611449</v>
      </c>
      <c r="P56" s="8">
        <v>225.97369393733365</v>
      </c>
      <c r="Q56" s="8">
        <v>317.78372474346304</v>
      </c>
      <c r="R56" s="8">
        <v>153.5813121450264</v>
      </c>
      <c r="S56" s="8">
        <v>209.81433067901125</v>
      </c>
      <c r="T56" s="8">
        <v>277.33234134646631</v>
      </c>
      <c r="U56" s="8">
        <v>184.19154630981362</v>
      </c>
      <c r="V56" s="8">
        <v>232.39455358777204</v>
      </c>
      <c r="W56" s="8">
        <v>303.41366134554232</v>
      </c>
      <c r="X56" s="22"/>
      <c r="Y56"/>
      <c r="Z56" s="10">
        <f t="shared" si="0"/>
        <v>0.77546309612168507</v>
      </c>
      <c r="AA56"/>
      <c r="AB56" s="22"/>
    </row>
    <row r="57" spans="1:28" x14ac:dyDescent="0.25">
      <c r="A57" s="16"/>
      <c r="B57" s="3" t="s">
        <v>82</v>
      </c>
      <c r="C57" s="3" t="s">
        <v>84</v>
      </c>
      <c r="D57" s="11" t="s">
        <v>19</v>
      </c>
      <c r="E57" s="8">
        <v>1785.1517818146938</v>
      </c>
      <c r="F57" s="8">
        <v>2432.3803920661853</v>
      </c>
      <c r="G57" s="8">
        <v>3420.6233810476879</v>
      </c>
      <c r="H57" s="8">
        <v>1653.1489384465935</v>
      </c>
      <c r="I57" s="8">
        <v>2258.4410380955492</v>
      </c>
      <c r="J57" s="8">
        <v>2985.2047706226499</v>
      </c>
      <c r="K57" s="8">
        <v>1982.6374381107653</v>
      </c>
      <c r="L57" s="8">
        <v>2501.4945125720283</v>
      </c>
      <c r="M57" s="8">
        <v>3265.9440472153901</v>
      </c>
      <c r="N57" s="22"/>
      <c r="O57" s="8">
        <v>165.84467778611449</v>
      </c>
      <c r="P57" s="8">
        <v>225.97369393733365</v>
      </c>
      <c r="Q57" s="8">
        <v>317.78372474346304</v>
      </c>
      <c r="R57" s="8">
        <v>153.5813121450264</v>
      </c>
      <c r="S57" s="8">
        <v>209.81433067901125</v>
      </c>
      <c r="T57" s="8">
        <v>277.33234134646631</v>
      </c>
      <c r="U57" s="8">
        <v>184.19154630981362</v>
      </c>
      <c r="V57" s="8">
        <v>232.39455358777204</v>
      </c>
      <c r="W57" s="8">
        <v>303.41366134554232</v>
      </c>
      <c r="X57" s="22"/>
      <c r="Y57"/>
      <c r="Z57" s="10">
        <f t="shared" si="0"/>
        <v>0.77546309612168507</v>
      </c>
      <c r="AA57"/>
      <c r="AB57" s="22"/>
    </row>
    <row r="58" spans="1:28" x14ac:dyDescent="0.25">
      <c r="A58" s="16"/>
      <c r="B58" s="3" t="s">
        <v>85</v>
      </c>
      <c r="C58" s="3" t="s">
        <v>86</v>
      </c>
      <c r="D58" s="11" t="s">
        <v>19</v>
      </c>
      <c r="E58" s="8">
        <v>1069.0142416708104</v>
      </c>
      <c r="F58" s="8">
        <v>1456.5984286424664</v>
      </c>
      <c r="G58" s="8">
        <v>2048.3945101939335</v>
      </c>
      <c r="H58" s="8">
        <v>989.96610641471898</v>
      </c>
      <c r="I58" s="8">
        <v>1352.4371755345601</v>
      </c>
      <c r="J58" s="8">
        <v>1787.6499055196418</v>
      </c>
      <c r="K58" s="8">
        <v>1187.2758826454499</v>
      </c>
      <c r="L58" s="8">
        <v>1497.986494281452</v>
      </c>
      <c r="M58" s="8">
        <v>1955.7668622575832</v>
      </c>
      <c r="N58" s="22"/>
      <c r="O58" s="8">
        <v>99.313864661098364</v>
      </c>
      <c r="P58" s="8">
        <v>135.32132086628721</v>
      </c>
      <c r="Q58" s="8">
        <v>190.30052849434549</v>
      </c>
      <c r="R58" s="8">
        <v>91.970112351245461</v>
      </c>
      <c r="S58" s="8">
        <v>125.6445025500776</v>
      </c>
      <c r="T58" s="8">
        <v>166.07675918397513</v>
      </c>
      <c r="U58" s="8">
        <v>110.30064121516742</v>
      </c>
      <c r="V58" s="8">
        <v>139.16636669376894</v>
      </c>
      <c r="W58" s="8">
        <v>181.69520844112645</v>
      </c>
      <c r="X58" s="22"/>
      <c r="Y58"/>
      <c r="Z58" s="10">
        <f t="shared" si="0"/>
        <v>0.464375691797771</v>
      </c>
      <c r="AA58"/>
      <c r="AB58" s="22"/>
    </row>
    <row r="59" spans="1:28" x14ac:dyDescent="0.25">
      <c r="A59" s="16"/>
      <c r="B59" s="3" t="s">
        <v>85</v>
      </c>
      <c r="C59" s="3" t="s">
        <v>87</v>
      </c>
      <c r="D59" s="11" t="s">
        <v>19</v>
      </c>
      <c r="E59" s="8">
        <v>1069.0142416708104</v>
      </c>
      <c r="F59" s="8">
        <v>1456.5984286424664</v>
      </c>
      <c r="G59" s="8">
        <v>2048.3945101939335</v>
      </c>
      <c r="H59" s="8">
        <v>989.96610641471898</v>
      </c>
      <c r="I59" s="8">
        <v>1352.4371755345601</v>
      </c>
      <c r="J59" s="8">
        <v>1787.6499055196418</v>
      </c>
      <c r="K59" s="8">
        <v>1187.2758826454499</v>
      </c>
      <c r="L59" s="8">
        <v>1497.986494281452</v>
      </c>
      <c r="M59" s="8">
        <v>1955.7668622575832</v>
      </c>
      <c r="N59" s="22"/>
      <c r="O59" s="8">
        <v>99.313864661098364</v>
      </c>
      <c r="P59" s="8">
        <v>135.32132086628721</v>
      </c>
      <c r="Q59" s="8">
        <v>190.30052849434549</v>
      </c>
      <c r="R59" s="8">
        <v>91.970112351245461</v>
      </c>
      <c r="S59" s="8">
        <v>125.6445025500776</v>
      </c>
      <c r="T59" s="8">
        <v>166.07675918397513</v>
      </c>
      <c r="U59" s="8">
        <v>110.30064121516742</v>
      </c>
      <c r="V59" s="8">
        <v>139.16636669376894</v>
      </c>
      <c r="W59" s="8">
        <v>181.69520844112645</v>
      </c>
      <c r="X59" s="22"/>
      <c r="Y59"/>
      <c r="Z59" s="10">
        <f t="shared" si="0"/>
        <v>0.464375691797771</v>
      </c>
      <c r="AA59"/>
      <c r="AB59" s="22"/>
    </row>
    <row r="60" spans="1:28" x14ac:dyDescent="0.25">
      <c r="A60" s="16"/>
      <c r="B60" s="3" t="s">
        <v>85</v>
      </c>
      <c r="C60" s="3" t="s">
        <v>88</v>
      </c>
      <c r="D60" s="11" t="s">
        <v>19</v>
      </c>
      <c r="E60" s="8">
        <v>1272.9257684803531</v>
      </c>
      <c r="F60" s="8">
        <v>1734.4405732603382</v>
      </c>
      <c r="G60" s="8">
        <v>2439.1201299285231</v>
      </c>
      <c r="H60" s="8">
        <v>1178.7994188065343</v>
      </c>
      <c r="I60" s="8">
        <v>1610.4108475655444</v>
      </c>
      <c r="J60" s="8">
        <v>2128.6392089602737</v>
      </c>
      <c r="K60" s="8">
        <v>1413.7454922513923</v>
      </c>
      <c r="L60" s="8">
        <v>1783.7232986027798</v>
      </c>
      <c r="M60" s="8">
        <v>2328.8240128743464</v>
      </c>
      <c r="N60" s="22"/>
      <c r="O60" s="8">
        <v>118.25771123207508</v>
      </c>
      <c r="P60" s="8">
        <v>161.13349068789915</v>
      </c>
      <c r="Q60" s="8">
        <v>226.59983097818855</v>
      </c>
      <c r="R60" s="8">
        <v>109.51315836443656</v>
      </c>
      <c r="S60" s="8">
        <v>149.61084588912291</v>
      </c>
      <c r="T60" s="8">
        <v>197.75544428723066</v>
      </c>
      <c r="U60" s="8">
        <v>131.34018520019728</v>
      </c>
      <c r="V60" s="8">
        <v>165.71196843309698</v>
      </c>
      <c r="W60" s="8">
        <v>216.35306978944811</v>
      </c>
      <c r="X60" s="22"/>
      <c r="Y60"/>
      <c r="Z60" s="10">
        <f t="shared" si="0"/>
        <v>0.55295407797504348</v>
      </c>
      <c r="AA60"/>
      <c r="AB60" s="22"/>
    </row>
    <row r="61" spans="1:28" x14ac:dyDescent="0.25">
      <c r="A61" s="16"/>
      <c r="B61" s="3" t="s">
        <v>91</v>
      </c>
      <c r="C61" s="3" t="s">
        <v>90</v>
      </c>
      <c r="D61" s="11" t="s">
        <v>19</v>
      </c>
      <c r="E61" s="8">
        <v>1272.9257684803531</v>
      </c>
      <c r="F61" s="8">
        <v>1734.4405732603382</v>
      </c>
      <c r="G61" s="8">
        <v>2439.1201299285231</v>
      </c>
      <c r="H61" s="8">
        <v>1178.7994188065343</v>
      </c>
      <c r="I61" s="8">
        <v>1610.4108475655444</v>
      </c>
      <c r="J61" s="8">
        <v>2128.6392089602737</v>
      </c>
      <c r="K61" s="8">
        <v>1413.7454922513923</v>
      </c>
      <c r="L61" s="8">
        <v>1783.7232986027798</v>
      </c>
      <c r="M61" s="8">
        <v>2328.8240128743464</v>
      </c>
      <c r="N61" s="22"/>
      <c r="O61" s="8">
        <v>118.25771123207508</v>
      </c>
      <c r="P61" s="8">
        <v>161.13349068789915</v>
      </c>
      <c r="Q61" s="8">
        <v>226.59983097818855</v>
      </c>
      <c r="R61" s="8">
        <v>109.51315836443656</v>
      </c>
      <c r="S61" s="8">
        <v>149.61084588912291</v>
      </c>
      <c r="T61" s="8">
        <v>197.75544428723066</v>
      </c>
      <c r="U61" s="8">
        <v>131.34018520019728</v>
      </c>
      <c r="V61" s="8">
        <v>165.71196843309698</v>
      </c>
      <c r="W61" s="8">
        <v>216.35306978944811</v>
      </c>
      <c r="X61" s="22"/>
      <c r="Y61"/>
      <c r="Z61" s="10">
        <f t="shared" si="0"/>
        <v>0.55295407797504348</v>
      </c>
      <c r="AA61"/>
      <c r="AB61" s="22"/>
    </row>
    <row r="62" spans="1:28" x14ac:dyDescent="0.25">
      <c r="A62" s="16"/>
      <c r="B62" s="3" t="s">
        <v>91</v>
      </c>
      <c r="C62" s="3" t="s">
        <v>92</v>
      </c>
      <c r="D62" s="11" t="s">
        <v>19</v>
      </c>
      <c r="E62" s="8">
        <v>1272.9257684803531</v>
      </c>
      <c r="F62" s="8">
        <v>1734.4405732603382</v>
      </c>
      <c r="G62" s="8">
        <v>2439.1201299285231</v>
      </c>
      <c r="H62" s="8">
        <v>1178.7994188065343</v>
      </c>
      <c r="I62" s="8">
        <v>1610.4108475655444</v>
      </c>
      <c r="J62" s="8">
        <v>2128.6392089602737</v>
      </c>
      <c r="K62" s="8">
        <v>1413.7454922513923</v>
      </c>
      <c r="L62" s="8">
        <v>1783.7232986027798</v>
      </c>
      <c r="M62" s="8">
        <v>2328.8240128743464</v>
      </c>
      <c r="N62" s="22"/>
      <c r="O62" s="8">
        <v>118.25771123207508</v>
      </c>
      <c r="P62" s="8">
        <v>161.13349068789915</v>
      </c>
      <c r="Q62" s="8">
        <v>226.59983097818855</v>
      </c>
      <c r="R62" s="8">
        <v>109.51315836443656</v>
      </c>
      <c r="S62" s="8">
        <v>149.61084588912291</v>
      </c>
      <c r="T62" s="8">
        <v>197.75544428723066</v>
      </c>
      <c r="U62" s="8">
        <v>131.34018520019728</v>
      </c>
      <c r="V62" s="8">
        <v>165.71196843309698</v>
      </c>
      <c r="W62" s="8">
        <v>216.35306978944811</v>
      </c>
      <c r="X62" s="22"/>
      <c r="Y62"/>
      <c r="Z62" s="10">
        <f t="shared" si="0"/>
        <v>0.55295407797504348</v>
      </c>
      <c r="AA62"/>
      <c r="AB62" s="22"/>
    </row>
    <row r="63" spans="1:28" x14ac:dyDescent="0.25">
      <c r="A63" s="16"/>
      <c r="B63" s="3" t="s">
        <v>93</v>
      </c>
      <c r="C63" s="3" t="s">
        <v>53</v>
      </c>
      <c r="D63" s="11" t="s">
        <v>19</v>
      </c>
      <c r="E63" s="8">
        <v>1538.9206537130081</v>
      </c>
      <c r="F63" s="8">
        <v>2096.8751571544303</v>
      </c>
      <c r="G63" s="8">
        <v>2948.8069436407955</v>
      </c>
      <c r="H63" s="8">
        <v>1425.1253428170858</v>
      </c>
      <c r="I63" s="8">
        <v>1946.9277593780901</v>
      </c>
      <c r="J63" s="8">
        <v>2573.4468765472598</v>
      </c>
      <c r="K63" s="8">
        <v>1709.1665445005963</v>
      </c>
      <c r="L63" s="8">
        <v>2156.4561679083336</v>
      </c>
      <c r="M63" s="8">
        <v>2815.4629759390054</v>
      </c>
      <c r="N63" s="22"/>
      <c r="O63" s="8">
        <v>142.96924359786661</v>
      </c>
      <c r="P63" s="8">
        <v>194.80449132592761</v>
      </c>
      <c r="Q63" s="8">
        <v>273.95090008785013</v>
      </c>
      <c r="R63" s="8">
        <v>132.39739930913035</v>
      </c>
      <c r="S63" s="8">
        <v>180.87403559526476</v>
      </c>
      <c r="T63" s="8">
        <v>239.07909253901522</v>
      </c>
      <c r="U63" s="8">
        <v>158.78547569067834</v>
      </c>
      <c r="V63" s="8">
        <v>200.3397033069545</v>
      </c>
      <c r="W63" s="8">
        <v>261.56294093305763</v>
      </c>
      <c r="X63" s="22"/>
      <c r="Y63"/>
      <c r="Z63" s="10">
        <f t="shared" si="0"/>
        <v>0.66850123724536858</v>
      </c>
      <c r="AA63"/>
      <c r="AB63" s="22"/>
    </row>
    <row r="64" spans="1:28" x14ac:dyDescent="0.25">
      <c r="A64" s="16"/>
      <c r="B64" s="3" t="s">
        <v>94</v>
      </c>
      <c r="C64" s="3" t="s">
        <v>95</v>
      </c>
      <c r="D64" s="11" t="s">
        <v>19</v>
      </c>
      <c r="E64" s="8">
        <v>1115.0524853607656</v>
      </c>
      <c r="F64" s="8">
        <v>1519.3284006131278</v>
      </c>
      <c r="G64" s="8">
        <v>2136.610814483839</v>
      </c>
      <c r="H64" s="8">
        <v>1032.6000574654399</v>
      </c>
      <c r="I64" s="8">
        <v>1410.6813315387865</v>
      </c>
      <c r="J64" s="8">
        <v>1864.6369640400296</v>
      </c>
      <c r="K64" s="8">
        <v>1238.407190612879</v>
      </c>
      <c r="L64" s="8">
        <v>1562.4988876432124</v>
      </c>
      <c r="M64" s="8">
        <v>2039.9940576452013</v>
      </c>
      <c r="N64" s="22"/>
      <c r="O64" s="8">
        <v>103.59092265044072</v>
      </c>
      <c r="P64" s="8">
        <v>141.14907853652338</v>
      </c>
      <c r="Q64" s="8">
        <v>198.49602464737785</v>
      </c>
      <c r="R64" s="8">
        <v>95.930903779057928</v>
      </c>
      <c r="S64" s="8">
        <v>131.05551767150655</v>
      </c>
      <c r="T64" s="8">
        <v>173.22903275761786</v>
      </c>
      <c r="U64" s="8">
        <v>115.05085650835703</v>
      </c>
      <c r="V64" s="8">
        <v>145.15971538225753</v>
      </c>
      <c r="W64" s="8">
        <v>189.52010726608117</v>
      </c>
      <c r="X64" s="22"/>
      <c r="Y64"/>
      <c r="Z64" s="10">
        <f t="shared" si="0"/>
        <v>0.48437452851042612</v>
      </c>
      <c r="AA64"/>
      <c r="AB64" s="22"/>
    </row>
    <row r="65" spans="1:28" x14ac:dyDescent="0.25">
      <c r="A65" s="16"/>
      <c r="B65" s="3" t="s">
        <v>94</v>
      </c>
      <c r="C65" s="3" t="s">
        <v>96</v>
      </c>
      <c r="D65" s="11" t="s">
        <v>19</v>
      </c>
      <c r="E65" s="8">
        <v>1115.0524853607656</v>
      </c>
      <c r="F65" s="8">
        <v>1519.3284006131278</v>
      </c>
      <c r="G65" s="8">
        <v>2136.610814483839</v>
      </c>
      <c r="H65" s="8">
        <v>1032.6000574654399</v>
      </c>
      <c r="I65" s="8">
        <v>1410.6813315387865</v>
      </c>
      <c r="J65" s="8">
        <v>1864.6369640400296</v>
      </c>
      <c r="K65" s="8">
        <v>1238.407190612879</v>
      </c>
      <c r="L65" s="8">
        <v>1562.4988876432124</v>
      </c>
      <c r="M65" s="8">
        <v>2039.9940576452013</v>
      </c>
      <c r="N65" s="22"/>
      <c r="O65" s="8">
        <v>103.59092265044072</v>
      </c>
      <c r="P65" s="8">
        <v>141.14907853652338</v>
      </c>
      <c r="Q65" s="8">
        <v>198.49602464737785</v>
      </c>
      <c r="R65" s="8">
        <v>95.930903779057928</v>
      </c>
      <c r="S65" s="8">
        <v>131.05551767150655</v>
      </c>
      <c r="T65" s="8">
        <v>173.22903275761786</v>
      </c>
      <c r="U65" s="8">
        <v>115.05085650835703</v>
      </c>
      <c r="V65" s="8">
        <v>145.15971538225753</v>
      </c>
      <c r="W65" s="8">
        <v>189.52010726608117</v>
      </c>
      <c r="X65" s="22"/>
      <c r="Y65"/>
      <c r="Z65" s="10">
        <f t="shared" si="0"/>
        <v>0.48437452851042612</v>
      </c>
      <c r="AA65"/>
      <c r="AB65" s="22"/>
    </row>
    <row r="66" spans="1:28" x14ac:dyDescent="0.25">
      <c r="A66" s="16"/>
      <c r="B66" s="3" t="s">
        <v>94</v>
      </c>
      <c r="C66" s="3" t="s">
        <v>97</v>
      </c>
      <c r="D66" s="11" t="s">
        <v>19</v>
      </c>
      <c r="E66" s="8">
        <v>1115.0524853607656</v>
      </c>
      <c r="F66" s="8">
        <v>1519.3284006131278</v>
      </c>
      <c r="G66" s="8">
        <v>2136.610814483839</v>
      </c>
      <c r="H66" s="8">
        <v>1032.6000574654399</v>
      </c>
      <c r="I66" s="8">
        <v>1410.6813315387865</v>
      </c>
      <c r="J66" s="8">
        <v>1864.6369640400296</v>
      </c>
      <c r="K66" s="8">
        <v>1238.407190612879</v>
      </c>
      <c r="L66" s="8">
        <v>1562.4988876432124</v>
      </c>
      <c r="M66" s="8">
        <v>2039.9940576452013</v>
      </c>
      <c r="N66" s="22"/>
      <c r="O66" s="8">
        <v>103.59092265044072</v>
      </c>
      <c r="P66" s="8">
        <v>141.14907853652338</v>
      </c>
      <c r="Q66" s="8">
        <v>198.49602464737785</v>
      </c>
      <c r="R66" s="8">
        <v>95.930903779057928</v>
      </c>
      <c r="S66" s="8">
        <v>131.05551767150655</v>
      </c>
      <c r="T66" s="8">
        <v>173.22903275761786</v>
      </c>
      <c r="U66" s="8">
        <v>115.05085650835703</v>
      </c>
      <c r="V66" s="8">
        <v>145.15971538225753</v>
      </c>
      <c r="W66" s="8">
        <v>189.52010726608117</v>
      </c>
      <c r="X66" s="22"/>
      <c r="Y66"/>
      <c r="Z66" s="10">
        <f t="shared" si="0"/>
        <v>0.48437452851042612</v>
      </c>
      <c r="AA66"/>
      <c r="AB66" s="22"/>
    </row>
    <row r="67" spans="1:28" x14ac:dyDescent="0.25">
      <c r="A67" s="16"/>
      <c r="B67" s="3" t="s">
        <v>94</v>
      </c>
      <c r="C67" s="3" t="s">
        <v>98</v>
      </c>
      <c r="D67" s="11" t="s">
        <v>19</v>
      </c>
      <c r="E67" s="9">
        <v>1115.0524853607656</v>
      </c>
      <c r="F67" s="9">
        <v>1519.3284006131278</v>
      </c>
      <c r="G67" s="9">
        <v>2136.610814483839</v>
      </c>
      <c r="H67" s="9">
        <v>1032.6000574654399</v>
      </c>
      <c r="I67" s="9">
        <v>1410.6813315387865</v>
      </c>
      <c r="J67" s="9">
        <v>1864.6369640400296</v>
      </c>
      <c r="K67" s="9">
        <v>1238.407190612879</v>
      </c>
      <c r="L67" s="9">
        <v>1562.4988876432124</v>
      </c>
      <c r="M67" s="9">
        <v>2039.9940576452013</v>
      </c>
      <c r="N67" s="22"/>
      <c r="O67" s="9">
        <v>103.59092265044072</v>
      </c>
      <c r="P67" s="9">
        <v>141.14907853652338</v>
      </c>
      <c r="Q67" s="9">
        <v>198.49602464737785</v>
      </c>
      <c r="R67" s="9">
        <v>95.930903779057928</v>
      </c>
      <c r="S67" s="9">
        <v>131.05551767150655</v>
      </c>
      <c r="T67" s="9">
        <v>173.22903275761786</v>
      </c>
      <c r="U67" s="9">
        <v>115.05085650835703</v>
      </c>
      <c r="V67" s="9">
        <v>145.15971538225753</v>
      </c>
      <c r="W67" s="9">
        <v>189.52010726608117</v>
      </c>
      <c r="X67" s="22"/>
      <c r="Y67"/>
      <c r="Z67" s="10">
        <f t="shared" si="0"/>
        <v>0.48437452851042612</v>
      </c>
      <c r="AA67"/>
      <c r="AB67" s="22"/>
    </row>
    <row r="68" spans="1:28" x14ac:dyDescent="0.25">
      <c r="A68" s="16"/>
      <c r="B68" s="3" t="s">
        <v>101</v>
      </c>
      <c r="C68" s="3" t="s">
        <v>102</v>
      </c>
      <c r="D68" s="11" t="s">
        <v>6</v>
      </c>
      <c r="E68" s="8">
        <v>873.74731476877184</v>
      </c>
      <c r="F68" s="8">
        <v>1173.3920089507708</v>
      </c>
      <c r="G68" s="8">
        <v>1411.0910989557435</v>
      </c>
      <c r="H68" s="8">
        <v>771.91800596718053</v>
      </c>
      <c r="I68" s="8">
        <v>1008.6306315266038</v>
      </c>
      <c r="J68" s="8">
        <v>1222.5923222277474</v>
      </c>
      <c r="K68" s="8">
        <v>941.60585280954751</v>
      </c>
      <c r="L68" s="8">
        <v>1144.7536797613127</v>
      </c>
      <c r="M68" s="8">
        <v>1626.1950452511189</v>
      </c>
      <c r="N68" s="22"/>
      <c r="O68" s="8">
        <v>81.173121165644176</v>
      </c>
      <c r="P68" s="8">
        <v>109.01079763840639</v>
      </c>
      <c r="Q68" s="8">
        <v>131.09358600044348</v>
      </c>
      <c r="R68" s="8">
        <v>71.712945801611355</v>
      </c>
      <c r="S68" s="8">
        <v>93.704089363589333</v>
      </c>
      <c r="T68" s="8">
        <v>113.5816191144948</v>
      </c>
      <c r="U68" s="8">
        <v>87.47733433734939</v>
      </c>
      <c r="V68" s="8">
        <v>106.35023144726144</v>
      </c>
      <c r="W68" s="8">
        <v>151.07723390494493</v>
      </c>
      <c r="X68" s="22"/>
      <c r="Y68" s="24">
        <f>O68/$Y$3</f>
        <v>0.55818291281517851</v>
      </c>
      <c r="AB68" s="22"/>
    </row>
    <row r="69" spans="1:28" x14ac:dyDescent="0.25">
      <c r="A69" s="16"/>
      <c r="B69" s="3" t="s">
        <v>103</v>
      </c>
      <c r="C69" s="3" t="s">
        <v>104</v>
      </c>
      <c r="D69" s="11" t="s">
        <v>6</v>
      </c>
      <c r="E69" s="8">
        <v>913.27346593734467</v>
      </c>
      <c r="F69" s="8">
        <v>1302.7311188463452</v>
      </c>
      <c r="G69" s="8">
        <v>1620.4620586772751</v>
      </c>
      <c r="H69" s="8">
        <v>889.69409249129785</v>
      </c>
      <c r="I69" s="8">
        <v>1329.3587419194432</v>
      </c>
      <c r="J69" s="8">
        <v>1563.1098458478371</v>
      </c>
      <c r="K69" s="8">
        <v>1140.8467165589259</v>
      </c>
      <c r="L69" s="8">
        <v>1500.9848264545003</v>
      </c>
      <c r="M69" s="8">
        <v>1928.0522078567878</v>
      </c>
      <c r="N69" s="22"/>
      <c r="O69" s="8">
        <v>84.845190886244367</v>
      </c>
      <c r="P69" s="8">
        <v>121.02669635597606</v>
      </c>
      <c r="Q69" s="8">
        <v>150.54462635819351</v>
      </c>
      <c r="R69" s="8">
        <v>82.65461323822899</v>
      </c>
      <c r="S69" s="8">
        <v>123.50046335649347</v>
      </c>
      <c r="T69" s="8">
        <v>145.21647479488507</v>
      </c>
      <c r="U69" s="8">
        <v>105.98726564232391</v>
      </c>
      <c r="V69" s="8">
        <v>139.4449186007835</v>
      </c>
      <c r="W69" s="8">
        <v>179.12045374750537</v>
      </c>
      <c r="X69" s="22"/>
      <c r="Y69" s="24">
        <f>O69/$Y$3</f>
        <v>0.58343371681620226</v>
      </c>
      <c r="AB69" s="22"/>
    </row>
    <row r="70" spans="1:28" x14ac:dyDescent="0.25">
      <c r="A70" s="16"/>
      <c r="B70" s="3" t="s">
        <v>105</v>
      </c>
      <c r="C70" s="3" t="s">
        <v>106</v>
      </c>
      <c r="D70" s="11" t="s">
        <v>6</v>
      </c>
      <c r="E70" s="8">
        <v>860.94069169567365</v>
      </c>
      <c r="F70" s="8">
        <v>1268.7336111387367</v>
      </c>
      <c r="G70" s="8">
        <v>1716.5761964196915</v>
      </c>
      <c r="H70" s="8">
        <v>887.75782794629538</v>
      </c>
      <c r="I70" s="8">
        <v>1222.5156086524119</v>
      </c>
      <c r="J70" s="8">
        <v>1554.3876931874688</v>
      </c>
      <c r="K70" s="8">
        <v>1150.2660094480357</v>
      </c>
      <c r="L70" s="8">
        <v>1432.9167821979115</v>
      </c>
      <c r="M70" s="8">
        <v>1944.1945887618099</v>
      </c>
      <c r="N70" s="22"/>
      <c r="O70" s="8">
        <v>79.983356632049663</v>
      </c>
      <c r="P70" s="8">
        <v>117.8682502402247</v>
      </c>
      <c r="Q70" s="8">
        <v>159.473849277478</v>
      </c>
      <c r="R70" s="8">
        <v>82.47472983960381</v>
      </c>
      <c r="S70" s="8">
        <v>113.57449224813362</v>
      </c>
      <c r="T70" s="8">
        <v>144.40616689149235</v>
      </c>
      <c r="U70" s="8">
        <v>106.86233946522285</v>
      </c>
      <c r="V70" s="8">
        <v>133.1212418231207</v>
      </c>
      <c r="W70" s="8">
        <v>180.62011780249833</v>
      </c>
      <c r="X70" s="22"/>
      <c r="Y70" s="24">
        <f t="shared" ref="Y70:Y79" si="1">O70/$Y$3</f>
        <v>0.55000155643280191</v>
      </c>
      <c r="AB70" s="22"/>
    </row>
    <row r="71" spans="1:28" x14ac:dyDescent="0.25">
      <c r="A71" s="16"/>
      <c r="B71" s="3" t="s">
        <v>107</v>
      </c>
      <c r="C71" s="3" t="s">
        <v>108</v>
      </c>
      <c r="D71" s="11" t="s">
        <v>6</v>
      </c>
      <c r="E71" s="8">
        <v>967.29903033316759</v>
      </c>
      <c r="F71" s="8">
        <v>967.29903033316759</v>
      </c>
      <c r="G71" s="8">
        <v>967.29903033316759</v>
      </c>
      <c r="H71" s="8">
        <v>967.29903033316759</v>
      </c>
      <c r="I71" s="8">
        <v>967.29903033316759</v>
      </c>
      <c r="J71" s="8">
        <v>967.29903033316759</v>
      </c>
      <c r="K71" s="8">
        <v>967.29903033316759</v>
      </c>
      <c r="L71" s="8">
        <v>967.29903033316759</v>
      </c>
      <c r="M71" s="8">
        <v>967.29903033316759</v>
      </c>
      <c r="N71" s="22"/>
      <c r="O71" s="8">
        <v>89.864500000000007</v>
      </c>
      <c r="P71" s="8">
        <v>150.76600000000002</v>
      </c>
      <c r="Q71" s="8">
        <v>188.79300000000001</v>
      </c>
      <c r="R71" s="8">
        <v>90.2</v>
      </c>
      <c r="S71" s="8">
        <v>151.11250000000001</v>
      </c>
      <c r="T71" s="8">
        <v>175.16400000000002</v>
      </c>
      <c r="U71" s="8">
        <v>97.476500000000001</v>
      </c>
      <c r="V71" s="8">
        <v>150.73850000000002</v>
      </c>
      <c r="W71" s="8">
        <v>172.86500000000001</v>
      </c>
      <c r="X71" s="22"/>
      <c r="Y71" s="24">
        <f t="shared" si="1"/>
        <v>0.61794874520495524</v>
      </c>
      <c r="AB71" s="22"/>
    </row>
    <row r="72" spans="1:28" x14ac:dyDescent="0.25">
      <c r="A72" s="16"/>
      <c r="B72" s="3" t="s">
        <v>109</v>
      </c>
      <c r="C72" s="3" t="s">
        <v>110</v>
      </c>
      <c r="D72" s="11" t="s">
        <v>6</v>
      </c>
      <c r="E72" s="8">
        <v>1058.3843013426156</v>
      </c>
      <c r="F72" s="8">
        <v>1058.3843013426156</v>
      </c>
      <c r="G72" s="8">
        <v>1058.3843013426156</v>
      </c>
      <c r="H72" s="8">
        <v>1058.3843013426156</v>
      </c>
      <c r="I72" s="8">
        <v>1058.3843013426156</v>
      </c>
      <c r="J72" s="8">
        <v>1058.3843013426156</v>
      </c>
      <c r="K72" s="8">
        <v>1058.3843013426156</v>
      </c>
      <c r="L72" s="8">
        <v>1058.3843013426156</v>
      </c>
      <c r="M72" s="8">
        <v>1058.3843013426156</v>
      </c>
      <c r="N72" s="22"/>
      <c r="O72" s="8">
        <v>98.322300000000013</v>
      </c>
      <c r="P72" s="8">
        <v>164.96189999999999</v>
      </c>
      <c r="Q72" s="8">
        <v>206.57420000000002</v>
      </c>
      <c r="R72" s="8">
        <v>98.68610000000001</v>
      </c>
      <c r="S72" s="8">
        <v>165.34710000000001</v>
      </c>
      <c r="T72" s="8">
        <v>191.65840000000003</v>
      </c>
      <c r="U72" s="8">
        <v>106.65760000000002</v>
      </c>
      <c r="V72" s="8">
        <v>164.9298</v>
      </c>
      <c r="W72" s="8">
        <v>191.7654</v>
      </c>
      <c r="X72" s="22"/>
      <c r="Y72" s="24">
        <f t="shared" si="1"/>
        <v>0.67610838440836118</v>
      </c>
      <c r="AB72" s="22"/>
    </row>
    <row r="73" spans="1:28" x14ac:dyDescent="0.25">
      <c r="A73" s="16"/>
      <c r="B73" s="3" t="s">
        <v>111</v>
      </c>
      <c r="C73" s="3" t="s">
        <v>112</v>
      </c>
      <c r="D73" s="11" t="s">
        <v>6</v>
      </c>
      <c r="E73" s="8">
        <v>504.76085629040273</v>
      </c>
      <c r="F73" s="8">
        <v>844.20454549975136</v>
      </c>
      <c r="G73" s="8">
        <v>1154.8402232720039</v>
      </c>
      <c r="H73" s="8">
        <v>540.41963799104917</v>
      </c>
      <c r="I73" s="8">
        <v>871.09930283441076</v>
      </c>
      <c r="J73" s="8">
        <v>1113.611070611636</v>
      </c>
      <c r="K73" s="8">
        <v>649.62988761810038</v>
      </c>
      <c r="L73" s="8">
        <v>927.69384584783677</v>
      </c>
      <c r="M73" s="8">
        <v>1298.2303838886126</v>
      </c>
      <c r="N73" s="22"/>
      <c r="O73" s="8">
        <v>46.89343641436912</v>
      </c>
      <c r="P73" s="8">
        <v>78.428530425382505</v>
      </c>
      <c r="Q73" s="8">
        <v>107.28729437689405</v>
      </c>
      <c r="R73" s="8">
        <v>50.206218678394549</v>
      </c>
      <c r="S73" s="8">
        <v>80.927114808928962</v>
      </c>
      <c r="T73" s="8">
        <v>103.45701192808041</v>
      </c>
      <c r="U73" s="8">
        <v>60.352100303052687</v>
      </c>
      <c r="V73" s="8">
        <v>86.184877115825245</v>
      </c>
      <c r="W73" s="8">
        <v>120.60856779880255</v>
      </c>
      <c r="X73" s="22"/>
      <c r="Y73" s="24">
        <f t="shared" si="1"/>
        <v>0.32246037301278874</v>
      </c>
      <c r="AB73" s="22"/>
    </row>
    <row r="74" spans="1:28" x14ac:dyDescent="0.25">
      <c r="A74" s="16"/>
      <c r="B74" s="3" t="s">
        <v>113</v>
      </c>
      <c r="C74" s="3" t="s">
        <v>114</v>
      </c>
      <c r="D74" s="11" t="s">
        <v>6</v>
      </c>
      <c r="E74" s="8">
        <v>1346.741596384883</v>
      </c>
      <c r="F74" s="8">
        <v>1835.0192323122824</v>
      </c>
      <c r="G74" s="8">
        <v>2580.5625268125318</v>
      </c>
      <c r="H74" s="8">
        <v>1247.156943799105</v>
      </c>
      <c r="I74" s="8">
        <v>1703.7971336499254</v>
      </c>
      <c r="J74" s="8">
        <v>2252.0770946643461</v>
      </c>
      <c r="K74" s="8">
        <v>1495.7273301093981</v>
      </c>
      <c r="L74" s="8">
        <v>1887.1598188612627</v>
      </c>
      <c r="M74" s="8">
        <v>2463.8704364843366</v>
      </c>
      <c r="N74" s="22"/>
      <c r="O74" s="8">
        <v>125.1153702384692</v>
      </c>
      <c r="P74" s="8">
        <v>170.47747783372756</v>
      </c>
      <c r="Q74" s="8">
        <v>239.74015270068003</v>
      </c>
      <c r="R74" s="8">
        <v>115.86372856364105</v>
      </c>
      <c r="S74" s="8">
        <v>158.28664515901028</v>
      </c>
      <c r="T74" s="8">
        <v>209.22310579911667</v>
      </c>
      <c r="U74" s="8">
        <v>138.95648518229359</v>
      </c>
      <c r="V74" s="8">
        <v>175.32145741231798</v>
      </c>
      <c r="W74" s="8">
        <v>228.89919098649193</v>
      </c>
      <c r="X74" s="22"/>
      <c r="Y74" s="24">
        <f t="shared" si="1"/>
        <v>0.86034959349593487</v>
      </c>
      <c r="AB74" s="22"/>
    </row>
    <row r="75" spans="1:28" x14ac:dyDescent="0.25">
      <c r="A75" s="16"/>
      <c r="B75" s="3" t="s">
        <v>115</v>
      </c>
      <c r="C75" s="3" t="s">
        <v>116</v>
      </c>
      <c r="D75" s="11" t="s">
        <v>6</v>
      </c>
      <c r="E75" s="8">
        <v>828.67683043262048</v>
      </c>
      <c r="F75" s="8">
        <v>1147.6344226752858</v>
      </c>
      <c r="G75" s="8">
        <v>1833.9745211337643</v>
      </c>
      <c r="H75" s="8">
        <v>1016.1419254102436</v>
      </c>
      <c r="I75" s="8">
        <v>1304.4877384385877</v>
      </c>
      <c r="J75" s="8">
        <v>1843.1820537046244</v>
      </c>
      <c r="K75" s="8">
        <v>1158.1098498259571</v>
      </c>
      <c r="L75" s="8">
        <v>1385.1916737941322</v>
      </c>
      <c r="M75" s="8">
        <v>2090.2599801093984</v>
      </c>
      <c r="N75" s="22"/>
      <c r="O75" s="8">
        <v>76.985970230615706</v>
      </c>
      <c r="P75" s="8">
        <v>106.6178590435361</v>
      </c>
      <c r="Q75" s="8">
        <v>170.3804217791411</v>
      </c>
      <c r="R75" s="8">
        <v>94.401905721043661</v>
      </c>
      <c r="S75" s="8">
        <v>121.18989032818388</v>
      </c>
      <c r="T75" s="8">
        <v>171.23582258481778</v>
      </c>
      <c r="U75" s="8">
        <v>107.59105015152635</v>
      </c>
      <c r="V75" s="8">
        <v>128.6874702490945</v>
      </c>
      <c r="W75" s="8">
        <v>194.18992626949515</v>
      </c>
      <c r="X75" s="22"/>
      <c r="Y75" s="24">
        <f t="shared" si="1"/>
        <v>0.529390178573241</v>
      </c>
      <c r="AB75" s="22"/>
    </row>
    <row r="76" spans="1:28" x14ac:dyDescent="0.25">
      <c r="A76" s="16"/>
      <c r="B76" s="3" t="s">
        <v>117</v>
      </c>
      <c r="C76" s="3" t="s">
        <v>118</v>
      </c>
      <c r="D76" s="11" t="s">
        <v>6</v>
      </c>
      <c r="E76" s="8">
        <v>1237.1230943535554</v>
      </c>
      <c r="F76" s="8">
        <v>1685.6572017752362</v>
      </c>
      <c r="G76" s="8">
        <v>2370.5167397463952</v>
      </c>
      <c r="H76" s="8">
        <v>1145.6441693038291</v>
      </c>
      <c r="I76" s="8">
        <v>1565.1159716086522</v>
      </c>
      <c r="J76" s="8">
        <v>2068.7684939358528</v>
      </c>
      <c r="K76" s="8">
        <v>1373.9820823097959</v>
      </c>
      <c r="L76" s="8">
        <v>1733.5537870934857</v>
      </c>
      <c r="M76" s="8">
        <v>2263.3228428170064</v>
      </c>
      <c r="N76" s="22"/>
      <c r="O76" s="8">
        <v>114.93156103301241</v>
      </c>
      <c r="P76" s="8">
        <v>156.60140405656367</v>
      </c>
      <c r="Q76" s="8">
        <v>220.22641934132233</v>
      </c>
      <c r="R76" s="8">
        <v>106.43295995962376</v>
      </c>
      <c r="S76" s="8">
        <v>145.40284846002109</v>
      </c>
      <c r="T76" s="8">
        <v>192.19331811779324</v>
      </c>
      <c r="U76" s="8">
        <v>127.6460735976883</v>
      </c>
      <c r="V76" s="8">
        <v>161.05110622759443</v>
      </c>
      <c r="W76" s="8">
        <v>210.26786148759149</v>
      </c>
      <c r="X76" s="22"/>
      <c r="Y76" s="24">
        <f t="shared" si="1"/>
        <v>0.79032113821138217</v>
      </c>
      <c r="AB76" s="22"/>
    </row>
    <row r="77" spans="1:28" x14ac:dyDescent="0.25">
      <c r="A77" s="16"/>
      <c r="B77" s="3" t="s">
        <v>119</v>
      </c>
      <c r="C77" s="3" t="s">
        <v>120</v>
      </c>
      <c r="D77" s="11" t="s">
        <v>6</v>
      </c>
      <c r="E77" s="8">
        <v>1315.4220243759321</v>
      </c>
      <c r="F77" s="8">
        <v>1792.3443664445549</v>
      </c>
      <c r="G77" s="8">
        <v>2520.5494447936353</v>
      </c>
      <c r="H77" s="8">
        <v>1218.1532939433118</v>
      </c>
      <c r="I77" s="8">
        <v>1664.1739444952757</v>
      </c>
      <c r="J77" s="8">
        <v>2199.7032087419193</v>
      </c>
      <c r="K77" s="8">
        <v>1460.942973595226</v>
      </c>
      <c r="L77" s="8">
        <v>1843.2723812133265</v>
      </c>
      <c r="M77" s="8">
        <v>2406.5711240079563</v>
      </c>
      <c r="N77" s="22"/>
      <c r="O77" s="8">
        <v>122.20571046548156</v>
      </c>
      <c r="P77" s="8">
        <v>166.51288532596644</v>
      </c>
      <c r="Q77" s="8">
        <v>234.16480031229207</v>
      </c>
      <c r="R77" s="8">
        <v>113.16922324820754</v>
      </c>
      <c r="S77" s="8">
        <v>154.6055603878705</v>
      </c>
      <c r="T77" s="8">
        <v>204.35745217588143</v>
      </c>
      <c r="U77" s="8">
        <v>135.72493901526352</v>
      </c>
      <c r="V77" s="8">
        <v>171.24421421668268</v>
      </c>
      <c r="W77" s="8">
        <v>223.5759539868061</v>
      </c>
      <c r="X77" s="22"/>
      <c r="Y77" s="24">
        <f t="shared" si="1"/>
        <v>0.84034146341463423</v>
      </c>
      <c r="AB77" s="22"/>
    </row>
    <row r="78" spans="1:28" x14ac:dyDescent="0.25">
      <c r="A78" s="21" t="s">
        <v>121</v>
      </c>
      <c r="B78" s="18" t="s">
        <v>122</v>
      </c>
      <c r="C78" s="18" t="s">
        <v>123</v>
      </c>
      <c r="D78" s="19" t="s">
        <v>6</v>
      </c>
      <c r="E78" s="8"/>
      <c r="F78" s="8"/>
      <c r="G78" s="8"/>
      <c r="H78" s="8"/>
      <c r="I78" s="8"/>
      <c r="J78" s="8"/>
      <c r="K78" s="8"/>
      <c r="L78" s="8"/>
      <c r="M78" s="8"/>
      <c r="N78" s="22"/>
      <c r="X78" s="22"/>
      <c r="AB78" s="22"/>
    </row>
    <row r="79" spans="1:28" x14ac:dyDescent="0.25">
      <c r="A79" s="16"/>
      <c r="B79" s="3" t="s">
        <v>122</v>
      </c>
      <c r="C79" s="3" t="s">
        <v>124</v>
      </c>
      <c r="D79" s="11" t="s">
        <v>6</v>
      </c>
      <c r="E79" s="8">
        <v>1218.5937891596222</v>
      </c>
      <c r="F79" s="8">
        <v>1429.124669318747</v>
      </c>
      <c r="G79" s="8">
        <v>1720.9361760318252</v>
      </c>
      <c r="H79" s="8">
        <v>1056.8764047737445</v>
      </c>
      <c r="I79" s="8">
        <v>1265.5226802585778</v>
      </c>
      <c r="J79" s="8">
        <v>1546.8560616608654</v>
      </c>
      <c r="K79" s="8">
        <v>1228.1855862754851</v>
      </c>
      <c r="L79" s="8">
        <v>1438.0752113376432</v>
      </c>
      <c r="M79" s="8">
        <v>1726.6877851815018</v>
      </c>
      <c r="N79" s="22"/>
      <c r="O79" s="8">
        <v>113.21014625988617</v>
      </c>
      <c r="P79" s="8">
        <v>132.76894587552664</v>
      </c>
      <c r="Q79" s="8">
        <v>159.87890134156257</v>
      </c>
      <c r="R79" s="8">
        <v>98.186231890753191</v>
      </c>
      <c r="S79" s="8">
        <v>117.56994742774779</v>
      </c>
      <c r="T79" s="8">
        <v>143.70646112055584</v>
      </c>
      <c r="U79" s="8">
        <v>114.10124611944713</v>
      </c>
      <c r="V79" s="8">
        <v>133.60047167196393</v>
      </c>
      <c r="W79" s="8">
        <v>160.41323896814251</v>
      </c>
      <c r="X79" s="22"/>
      <c r="Y79" s="24">
        <f t="shared" si="1"/>
        <v>0.77848391551464835</v>
      </c>
      <c r="AB79" s="22"/>
    </row>
    <row r="80" spans="1:28" x14ac:dyDescent="0.25">
      <c r="A80" s="21" t="s">
        <v>121</v>
      </c>
      <c r="B80" s="18" t="s">
        <v>122</v>
      </c>
      <c r="C80" s="18" t="s">
        <v>125</v>
      </c>
      <c r="D80" s="19" t="s">
        <v>6</v>
      </c>
      <c r="E80" s="8"/>
      <c r="F80" s="8"/>
      <c r="G80" s="8"/>
      <c r="H80" s="8"/>
      <c r="I80" s="8"/>
      <c r="J80" s="8"/>
      <c r="K80" s="8"/>
      <c r="L80" s="8"/>
      <c r="M80" s="8"/>
      <c r="N80" s="22"/>
      <c r="X80" s="22"/>
      <c r="AB80" s="22"/>
    </row>
    <row r="81" spans="1:28" x14ac:dyDescent="0.25">
      <c r="A81" s="21" t="s">
        <v>121</v>
      </c>
      <c r="B81" s="18" t="s">
        <v>122</v>
      </c>
      <c r="C81" s="18" t="s">
        <v>126</v>
      </c>
      <c r="D81" s="19" t="s">
        <v>6</v>
      </c>
      <c r="E81" s="8"/>
      <c r="F81" s="8"/>
      <c r="G81" s="8"/>
      <c r="H81" s="8"/>
      <c r="I81" s="8"/>
      <c r="J81" s="8"/>
      <c r="K81" s="8"/>
      <c r="L81" s="8"/>
      <c r="M81" s="8"/>
      <c r="N81" s="22"/>
      <c r="X81" s="22"/>
      <c r="AB81" s="22"/>
    </row>
    <row r="82" spans="1:28" x14ac:dyDescent="0.25">
      <c r="A82" s="21" t="s">
        <v>121</v>
      </c>
      <c r="B82" s="18" t="s">
        <v>122</v>
      </c>
      <c r="C82" s="18" t="s">
        <v>127</v>
      </c>
      <c r="D82" s="19" t="s">
        <v>6</v>
      </c>
      <c r="E82" s="8"/>
      <c r="F82" s="8"/>
      <c r="G82" s="8"/>
      <c r="H82" s="8"/>
      <c r="I82" s="8"/>
      <c r="J82" s="8"/>
      <c r="K82" s="8"/>
      <c r="L82" s="8"/>
      <c r="M82" s="8"/>
      <c r="N82" s="22"/>
      <c r="X82" s="22"/>
      <c r="AB82" s="22"/>
    </row>
    <row r="83" spans="1:28" x14ac:dyDescent="0.25">
      <c r="A83" s="21" t="s">
        <v>121</v>
      </c>
      <c r="B83" s="18" t="s">
        <v>122</v>
      </c>
      <c r="C83" s="18" t="s">
        <v>128</v>
      </c>
      <c r="D83" s="19" t="s">
        <v>6</v>
      </c>
      <c r="E83" s="8"/>
      <c r="F83" s="8"/>
      <c r="G83" s="8"/>
      <c r="H83" s="8"/>
      <c r="I83" s="8"/>
      <c r="J83" s="8"/>
      <c r="K83" s="8"/>
      <c r="L83" s="8"/>
      <c r="M83" s="8"/>
      <c r="N83" s="22"/>
      <c r="X83" s="22"/>
      <c r="AB83" s="22"/>
    </row>
    <row r="84" spans="1:28" x14ac:dyDescent="0.25">
      <c r="A84" s="21"/>
      <c r="B84" s="3" t="s">
        <v>129</v>
      </c>
      <c r="C84" s="3" t="s">
        <v>130</v>
      </c>
      <c r="D84" s="11" t="s">
        <v>6</v>
      </c>
      <c r="E84" s="8">
        <v>954.49575932371965</v>
      </c>
      <c r="F84" s="8">
        <v>1403.1196260566883</v>
      </c>
      <c r="G84" s="8">
        <v>1891.0941720537048</v>
      </c>
      <c r="H84" s="8">
        <v>934.80283441074096</v>
      </c>
      <c r="I84" s="8">
        <v>1306.9535355544506</v>
      </c>
      <c r="J84" s="8">
        <v>1665.6792739930384</v>
      </c>
      <c r="K84" s="8">
        <v>1264.8225022376928</v>
      </c>
      <c r="L84" s="8">
        <v>1580.0541183490802</v>
      </c>
      <c r="M84" s="8">
        <v>2164.7676340129287</v>
      </c>
      <c r="N84" s="22"/>
      <c r="O84" s="8">
        <v>88.674836092837609</v>
      </c>
      <c r="P84" s="8">
        <v>130.35301796141621</v>
      </c>
      <c r="Q84" s="8">
        <v>175.68696780988986</v>
      </c>
      <c r="R84" s="8">
        <v>86.845318390124916</v>
      </c>
      <c r="S84" s="8">
        <v>121.41896851208514</v>
      </c>
      <c r="T84" s="8">
        <v>154.74540893635893</v>
      </c>
      <c r="U84" s="8">
        <v>117.50489929041318</v>
      </c>
      <c r="V84" s="8">
        <v>146.79063641067339</v>
      </c>
      <c r="W84" s="8">
        <v>201.11185749131494</v>
      </c>
      <c r="X84" s="22"/>
      <c r="Y84" s="24">
        <f t="shared" ref="Y84:Y111" si="2">O84/$Y$3</f>
        <v>0.60976808077521238</v>
      </c>
      <c r="AB84" s="22"/>
    </row>
    <row r="85" spans="1:28" x14ac:dyDescent="0.25">
      <c r="A85" s="21"/>
      <c r="B85" s="3" t="s">
        <v>131</v>
      </c>
      <c r="C85" s="3" t="s">
        <v>132</v>
      </c>
      <c r="D85" s="11" t="s">
        <v>6</v>
      </c>
      <c r="E85" s="8">
        <v>971.50637056190953</v>
      </c>
      <c r="F85" s="8">
        <v>1262.3664107409249</v>
      </c>
      <c r="G85" s="8">
        <v>1412.3895224266535</v>
      </c>
      <c r="H85" s="8">
        <v>947.13959542516159</v>
      </c>
      <c r="I85" s="8">
        <v>1152.0544320238687</v>
      </c>
      <c r="J85" s="8">
        <v>1234.1369499751368</v>
      </c>
      <c r="K85" s="8">
        <v>1024.0751564395823</v>
      </c>
      <c r="L85" s="8">
        <v>1231.2371560815516</v>
      </c>
      <c r="M85" s="8">
        <v>1475.2084022476381</v>
      </c>
      <c r="N85" s="22"/>
      <c r="O85" s="8">
        <v>90.255160728804782</v>
      </c>
      <c r="P85" s="8">
        <v>117.27672278069331</v>
      </c>
      <c r="Q85" s="8">
        <v>131.21421250646756</v>
      </c>
      <c r="R85" s="8">
        <v>87.991431665311538</v>
      </c>
      <c r="S85" s="8">
        <v>107.02848800724368</v>
      </c>
      <c r="T85" s="8">
        <v>114.65414139995565</v>
      </c>
      <c r="U85" s="8">
        <v>95.138921003030518</v>
      </c>
      <c r="V85" s="8">
        <v>114.38474392416289</v>
      </c>
      <c r="W85" s="8">
        <v>137.05022991906273</v>
      </c>
      <c r="X85" s="22"/>
      <c r="Y85" s="24">
        <f t="shared" si="2"/>
        <v>0.62063510419171608</v>
      </c>
      <c r="AB85" s="22"/>
    </row>
    <row r="86" spans="1:28" x14ac:dyDescent="0.25">
      <c r="A86" s="21"/>
      <c r="B86" s="3" t="s">
        <v>133</v>
      </c>
      <c r="C86" s="3" t="s">
        <v>134</v>
      </c>
      <c r="D86" s="11" t="s">
        <v>6</v>
      </c>
      <c r="E86" s="8">
        <v>1152.6033615116858</v>
      </c>
      <c r="F86" s="8">
        <v>1576.4909646941821</v>
      </c>
      <c r="G86" s="8">
        <v>2005.5599005469915</v>
      </c>
      <c r="H86" s="8">
        <v>1141.8405768274492</v>
      </c>
      <c r="I86" s="8">
        <v>1532.6268175037296</v>
      </c>
      <c r="J86" s="8">
        <v>1918.8994778717058</v>
      </c>
      <c r="K86" s="8">
        <v>1355.8854838388861</v>
      </c>
      <c r="L86" s="8">
        <v>1678.3695967180511</v>
      </c>
      <c r="M86" s="8">
        <v>2447.6861884634513</v>
      </c>
      <c r="N86" s="22"/>
      <c r="O86" s="8">
        <v>107.07948481040727</v>
      </c>
      <c r="P86" s="8">
        <v>146.45961129795253</v>
      </c>
      <c r="Q86" s="8">
        <v>186.32109542464335</v>
      </c>
      <c r="R86" s="8">
        <v>106.07959753122921</v>
      </c>
      <c r="S86" s="8">
        <v>142.38453183901248</v>
      </c>
      <c r="T86" s="8">
        <v>178.27014422721561</v>
      </c>
      <c r="U86" s="8">
        <v>125.96485826742553</v>
      </c>
      <c r="V86" s="8">
        <v>155.92436890198832</v>
      </c>
      <c r="W86" s="8">
        <v>227.39563738081159</v>
      </c>
      <c r="X86" s="22"/>
      <c r="Y86" s="24">
        <f t="shared" si="2"/>
        <v>0.73632672830521761</v>
      </c>
      <c r="AB86" s="22"/>
    </row>
    <row r="87" spans="1:28" x14ac:dyDescent="0.25">
      <c r="A87" s="21"/>
      <c r="B87" s="3" t="s">
        <v>135</v>
      </c>
      <c r="C87" s="3" t="s">
        <v>136</v>
      </c>
      <c r="D87" s="11" t="s">
        <v>6</v>
      </c>
      <c r="E87" s="8">
        <v>1170.9677274987569</v>
      </c>
      <c r="F87" s="8">
        <v>1170.9677274987569</v>
      </c>
      <c r="G87" s="8">
        <v>1170.9677274987569</v>
      </c>
      <c r="H87" s="8">
        <v>1170.9677274987569</v>
      </c>
      <c r="I87" s="8">
        <v>1170.9677274987569</v>
      </c>
      <c r="J87" s="8">
        <v>1170.9677274987569</v>
      </c>
      <c r="K87" s="8">
        <v>1170.9677274987569</v>
      </c>
      <c r="L87" s="8">
        <v>1170.9677274987569</v>
      </c>
      <c r="M87" s="8">
        <v>1170.9677274987569</v>
      </c>
      <c r="N87" s="22"/>
      <c r="O87" s="8">
        <v>108.78660000000001</v>
      </c>
      <c r="P87" s="8">
        <v>146.8246</v>
      </c>
      <c r="Q87" s="8">
        <v>157.53919999999999</v>
      </c>
      <c r="R87" s="8">
        <v>98.378799999999998</v>
      </c>
      <c r="S87" s="8">
        <v>127.9902</v>
      </c>
      <c r="T87" s="8">
        <v>141.60380000000001</v>
      </c>
      <c r="U87" s="8">
        <v>107.3254</v>
      </c>
      <c r="V87" s="8">
        <v>131.8434</v>
      </c>
      <c r="W87" s="8">
        <v>145.06960000000001</v>
      </c>
      <c r="X87" s="22"/>
      <c r="Y87" s="24">
        <f t="shared" si="2"/>
        <v>0.74806562063009741</v>
      </c>
      <c r="AB87" s="22"/>
    </row>
    <row r="88" spans="1:28" x14ac:dyDescent="0.25">
      <c r="A88" s="21"/>
      <c r="B88" s="3" t="s">
        <v>137</v>
      </c>
      <c r="C88" s="3" t="s">
        <v>138</v>
      </c>
      <c r="D88" s="11" t="s">
        <v>6</v>
      </c>
      <c r="E88" s="8">
        <v>686.05941819990062</v>
      </c>
      <c r="F88" s="8">
        <v>1162.8963252113376</v>
      </c>
      <c r="G88" s="8">
        <v>1660.5452909000498</v>
      </c>
      <c r="H88" s="8">
        <v>681.51125310790655</v>
      </c>
      <c r="I88" s="8">
        <v>947.87421183490801</v>
      </c>
      <c r="J88" s="8">
        <v>1253.1269617105918</v>
      </c>
      <c r="K88" s="8">
        <v>858.10036051715565</v>
      </c>
      <c r="L88" s="8">
        <v>1039.1328677274989</v>
      </c>
      <c r="M88" s="8">
        <v>1443.1224082545996</v>
      </c>
      <c r="N88" s="22"/>
      <c r="O88" s="8">
        <v>71.145825633823634</v>
      </c>
      <c r="P88" s="8">
        <v>119.5462917621406</v>
      </c>
      <c r="Q88" s="8">
        <v>140.78529547638405</v>
      </c>
      <c r="R88" s="8">
        <v>71.661784869539503</v>
      </c>
      <c r="S88" s="8">
        <v>114.98585076502329</v>
      </c>
      <c r="T88" s="8">
        <v>128.94102067780324</v>
      </c>
      <c r="U88" s="8">
        <v>76.484921187818756</v>
      </c>
      <c r="V88" s="8">
        <v>105.58739970618672</v>
      </c>
      <c r="W88" s="8">
        <v>132.36847193990687</v>
      </c>
      <c r="X88" s="22"/>
      <c r="Y88" s="24">
        <f t="shared" si="2"/>
        <v>0.48923071598898177</v>
      </c>
      <c r="AB88" s="22"/>
    </row>
    <row r="89" spans="1:28" x14ac:dyDescent="0.25">
      <c r="A89" s="16"/>
      <c r="B89" s="3" t="s">
        <v>139</v>
      </c>
      <c r="C89" s="3" t="s">
        <v>140</v>
      </c>
      <c r="D89" s="11" t="s">
        <v>6</v>
      </c>
      <c r="E89" s="8">
        <v>746.2023440079563</v>
      </c>
      <c r="F89" s="8">
        <v>1095.9434756837395</v>
      </c>
      <c r="G89" s="8">
        <v>1467.9147628045748</v>
      </c>
      <c r="H89" s="8">
        <v>731.07117941322724</v>
      </c>
      <c r="I89" s="8">
        <v>1020.2901305818002</v>
      </c>
      <c r="J89" s="8">
        <v>1294.1182460467428</v>
      </c>
      <c r="K89" s="8">
        <v>1012.6319152660368</v>
      </c>
      <c r="L89" s="8">
        <v>1257.4741828940826</v>
      </c>
      <c r="M89" s="8">
        <v>1700.9926338140228</v>
      </c>
      <c r="N89" s="22"/>
      <c r="O89" s="4">
        <v>69.323902071476084</v>
      </c>
      <c r="P89" s="4">
        <v>101.81565200680021</v>
      </c>
      <c r="Q89" s="4">
        <v>136.37263415625694</v>
      </c>
      <c r="R89" s="4">
        <v>67.918182321309772</v>
      </c>
      <c r="S89" s="4">
        <v>94.787283455909531</v>
      </c>
      <c r="T89" s="4">
        <v>120.22654080124177</v>
      </c>
      <c r="U89" s="4">
        <v>94.075817761844917</v>
      </c>
      <c r="V89" s="4">
        <v>116.82222363995859</v>
      </c>
      <c r="W89" s="4">
        <v>158.02610071882623</v>
      </c>
      <c r="X89" s="22"/>
      <c r="Y89" s="24">
        <f t="shared" si="2"/>
        <v>0.47670234962393204</v>
      </c>
      <c r="AB89" s="22"/>
    </row>
    <row r="90" spans="1:28" x14ac:dyDescent="0.25">
      <c r="A90" s="16"/>
      <c r="B90" s="3" t="s">
        <v>141</v>
      </c>
      <c r="C90" s="3" t="s">
        <v>141</v>
      </c>
      <c r="D90" s="11" t="s">
        <v>6</v>
      </c>
      <c r="E90" s="8">
        <v>1009.3823968175037</v>
      </c>
      <c r="F90" s="8">
        <v>1402.8199900546992</v>
      </c>
      <c r="G90" s="8">
        <v>1669.17105917454</v>
      </c>
      <c r="H90" s="8">
        <v>972.71954251616114</v>
      </c>
      <c r="I90" s="8">
        <v>1430.9517652909001</v>
      </c>
      <c r="J90" s="8">
        <v>1594.3575335653904</v>
      </c>
      <c r="K90" s="8">
        <v>1228.1882645450025</v>
      </c>
      <c r="L90" s="8">
        <v>1659.8113376429637</v>
      </c>
      <c r="M90" s="8">
        <v>1947.8415713575334</v>
      </c>
      <c r="N90" s="22"/>
      <c r="O90" s="8">
        <v>93.773930076132743</v>
      </c>
      <c r="P90" s="8">
        <v>130.32518109246803</v>
      </c>
      <c r="Q90" s="8">
        <v>155.06980375489687</v>
      </c>
      <c r="R90" s="8">
        <v>90.367867174218333</v>
      </c>
      <c r="S90" s="8">
        <v>132.93868726439499</v>
      </c>
      <c r="T90" s="8">
        <v>148.11945635301942</v>
      </c>
      <c r="U90" s="8">
        <v>114.10149493680242</v>
      </c>
      <c r="V90" s="8">
        <v>154.20026424717273</v>
      </c>
      <c r="W90" s="8">
        <v>180.95893081528567</v>
      </c>
      <c r="X90" s="22"/>
      <c r="Y90" s="24">
        <f t="shared" si="2"/>
        <v>0.6448317458338213</v>
      </c>
      <c r="AB90" s="22"/>
    </row>
    <row r="91" spans="1:28" x14ac:dyDescent="0.25">
      <c r="A91" s="16"/>
      <c r="B91" s="3" t="s">
        <v>142</v>
      </c>
      <c r="C91" s="3" t="s">
        <v>143</v>
      </c>
      <c r="D91" s="11" t="s">
        <v>6</v>
      </c>
      <c r="E91" s="8">
        <v>1234.5493153031327</v>
      </c>
      <c r="F91" s="8">
        <v>1682.1502676537048</v>
      </c>
      <c r="G91" s="8">
        <v>2365.584986106614</v>
      </c>
      <c r="H91" s="8">
        <v>1143.2607080495277</v>
      </c>
      <c r="I91" s="8">
        <v>1561.859818104127</v>
      </c>
      <c r="J91" s="8">
        <v>2064.4645139728495</v>
      </c>
      <c r="K91" s="8">
        <v>1371.1235742799602</v>
      </c>
      <c r="L91" s="8">
        <v>1729.9472062767777</v>
      </c>
      <c r="M91" s="8">
        <v>2258.6141012667331</v>
      </c>
      <c r="N91" s="22"/>
      <c r="O91" s="8">
        <v>114.6924510807617</v>
      </c>
      <c r="P91" s="8">
        <v>156.27560186689703</v>
      </c>
      <c r="Q91" s="8">
        <v>219.76824816414737</v>
      </c>
      <c r="R91" s="8">
        <v>106.21153096531525</v>
      </c>
      <c r="S91" s="8">
        <v>145.10034436245289</v>
      </c>
      <c r="T91" s="8">
        <v>191.79346854901507</v>
      </c>
      <c r="U91" s="8">
        <v>127.38051167293408</v>
      </c>
      <c r="V91" s="8">
        <v>160.71604663235456</v>
      </c>
      <c r="W91" s="8">
        <v>209.83040864288751</v>
      </c>
      <c r="X91" s="22"/>
      <c r="Y91" s="24">
        <f t="shared" si="2"/>
        <v>0.78867691056910572</v>
      </c>
      <c r="AB91" s="22"/>
    </row>
    <row r="92" spans="1:28" x14ac:dyDescent="0.25">
      <c r="A92" s="16"/>
      <c r="B92" s="3" t="s">
        <v>144</v>
      </c>
      <c r="C92" s="3" t="s">
        <v>145</v>
      </c>
      <c r="D92" s="11" t="s">
        <v>6</v>
      </c>
      <c r="E92" s="8">
        <v>752.06740427647935</v>
      </c>
      <c r="F92" s="8">
        <v>1066.1323570363004</v>
      </c>
      <c r="G92" s="8">
        <v>1396.1472799602188</v>
      </c>
      <c r="H92" s="8">
        <v>778.28000994530089</v>
      </c>
      <c r="I92" s="8">
        <v>974.37520139234221</v>
      </c>
      <c r="J92" s="8">
        <v>1199.1065937344606</v>
      </c>
      <c r="K92" s="8">
        <v>742.82315763301847</v>
      </c>
      <c r="L92" s="8">
        <v>906.49325211337646</v>
      </c>
      <c r="M92" s="8">
        <v>1185.0784733963203</v>
      </c>
      <c r="N92" s="22"/>
      <c r="O92" s="8">
        <v>69.868779566117226</v>
      </c>
      <c r="P92" s="8">
        <v>99.046130996378139</v>
      </c>
      <c r="Q92" s="8">
        <v>129.70527108433734</v>
      </c>
      <c r="R92" s="8">
        <v>72.30399050188484</v>
      </c>
      <c r="S92" s="8">
        <v>90.521681665311561</v>
      </c>
      <c r="T92" s="8">
        <v>111.39974129647423</v>
      </c>
      <c r="U92" s="8">
        <v>69.009967939241633</v>
      </c>
      <c r="V92" s="8">
        <v>84.215293536107623</v>
      </c>
      <c r="W92" s="8">
        <v>110.09649687707886</v>
      </c>
      <c r="X92" s="22"/>
      <c r="Y92" s="24">
        <f t="shared" si="2"/>
        <v>0.48044917249730157</v>
      </c>
      <c r="AB92" s="22"/>
    </row>
    <row r="93" spans="1:28" x14ac:dyDescent="0.25">
      <c r="A93" s="16"/>
      <c r="B93" s="3" t="s">
        <v>146</v>
      </c>
      <c r="C93" s="3" t="s">
        <v>147</v>
      </c>
      <c r="D93" s="11" t="s">
        <v>6</v>
      </c>
      <c r="E93" s="8">
        <v>963.33580009945297</v>
      </c>
      <c r="F93" s="8">
        <v>1403.5290337145698</v>
      </c>
      <c r="G93" s="8">
        <v>1992.8350245648928</v>
      </c>
      <c r="H93" s="8">
        <v>939.43483262058669</v>
      </c>
      <c r="I93" s="8">
        <v>1316.8858406762804</v>
      </c>
      <c r="J93" s="8">
        <v>1755.0051246146195</v>
      </c>
      <c r="K93" s="8">
        <v>1212.2018458478367</v>
      </c>
      <c r="L93" s="8">
        <v>1535.4781294878167</v>
      </c>
      <c r="M93" s="8">
        <v>2170.2963180507209</v>
      </c>
      <c r="N93" s="22"/>
      <c r="O93" s="8">
        <v>89.496096071402164</v>
      </c>
      <c r="P93" s="8">
        <v>130.39105286791334</v>
      </c>
      <c r="Q93" s="8">
        <v>185.13892538251162</v>
      </c>
      <c r="R93" s="8">
        <v>87.275641603222695</v>
      </c>
      <c r="S93" s="8">
        <v>122.34170234311478</v>
      </c>
      <c r="T93" s="8">
        <v>163.04398447778843</v>
      </c>
      <c r="U93" s="8">
        <v>112.61632012713429</v>
      </c>
      <c r="V93" s="8">
        <v>142.64942523468102</v>
      </c>
      <c r="W93" s="8">
        <v>201.6254848658437</v>
      </c>
      <c r="X93" s="22"/>
      <c r="Y93" s="24">
        <f t="shared" si="2"/>
        <v>0.61541543399301268</v>
      </c>
      <c r="AB93" s="22"/>
    </row>
    <row r="94" spans="1:28" x14ac:dyDescent="0.25">
      <c r="A94" s="16"/>
      <c r="B94" s="3" t="s">
        <v>148</v>
      </c>
      <c r="C94" s="3" t="s">
        <v>149</v>
      </c>
      <c r="D94" s="11" t="s">
        <v>6</v>
      </c>
      <c r="E94" s="8">
        <v>1248.914066911984</v>
      </c>
      <c r="F94" s="8">
        <v>1701.723135634013</v>
      </c>
      <c r="G94" s="8">
        <v>2393.1100434808554</v>
      </c>
      <c r="H94" s="8">
        <v>1156.5632597513677</v>
      </c>
      <c r="I94" s="8">
        <v>1580.0330316459474</v>
      </c>
      <c r="J94" s="8">
        <v>2088.4858467628046</v>
      </c>
      <c r="K94" s="8">
        <v>1387.0774526106416</v>
      </c>
      <c r="L94" s="8">
        <v>1750.0762214619592</v>
      </c>
      <c r="M94" s="8">
        <v>2284.8944856489311</v>
      </c>
      <c r="N94" s="22"/>
      <c r="O94" s="8">
        <v>116.02696931406608</v>
      </c>
      <c r="P94" s="8">
        <v>158.09396600635671</v>
      </c>
      <c r="Q94" s="8">
        <v>222.32538886096532</v>
      </c>
      <c r="R94" s="8">
        <v>107.4473684012122</v>
      </c>
      <c r="S94" s="8">
        <v>146.78867740779069</v>
      </c>
      <c r="T94" s="8">
        <v>194.02510522950701</v>
      </c>
      <c r="U94" s="8">
        <v>128.86266340823417</v>
      </c>
      <c r="V94" s="8">
        <v>162.5860781173775</v>
      </c>
      <c r="W94" s="8">
        <v>212.27191637593316</v>
      </c>
      <c r="X94" s="22"/>
      <c r="Y94" s="24">
        <f t="shared" si="2"/>
        <v>0.79785365853658541</v>
      </c>
      <c r="AB94" s="22"/>
    </row>
    <row r="95" spans="1:28" x14ac:dyDescent="0.25">
      <c r="A95" s="16"/>
      <c r="B95" s="3" t="s">
        <v>99</v>
      </c>
      <c r="C95" s="3" t="s">
        <v>100</v>
      </c>
      <c r="D95" s="11" t="s">
        <v>6</v>
      </c>
      <c r="E95" s="4">
        <v>1754.455992342118</v>
      </c>
      <c r="F95" s="4">
        <v>2390.5554687220283</v>
      </c>
      <c r="G95" s="4">
        <v>3361.8055616111387</v>
      </c>
      <c r="H95" s="4">
        <v>1624.7229455992042</v>
      </c>
      <c r="I95" s="4">
        <v>2219.6070121332668</v>
      </c>
      <c r="J95" s="4">
        <v>2933.8739997016405</v>
      </c>
      <c r="K95" s="4">
        <v>1948.5458712083537</v>
      </c>
      <c r="L95" s="4">
        <v>2458.4811678766778</v>
      </c>
      <c r="M95" s="4">
        <v>3209.7859479860763</v>
      </c>
      <c r="N95" s="22"/>
      <c r="O95" s="8">
        <v>162.99296883546452</v>
      </c>
      <c r="P95" s="8">
        <v>222.08806303126613</v>
      </c>
      <c r="Q95" s="8">
        <v>312.31941497893411</v>
      </c>
      <c r="R95" s="8">
        <v>150.94047248503213</v>
      </c>
      <c r="S95" s="8">
        <v>206.20656097087735</v>
      </c>
      <c r="T95" s="8">
        <v>272.5635954893192</v>
      </c>
      <c r="U95" s="8">
        <v>181.02436188003546</v>
      </c>
      <c r="V95" s="8">
        <v>228.39851562384504</v>
      </c>
      <c r="W95" s="8">
        <v>298.19644566302009</v>
      </c>
      <c r="X95" s="22"/>
      <c r="Y95" s="24">
        <f t="shared" si="2"/>
        <v>1.1208130081300811</v>
      </c>
      <c r="AB95" s="22"/>
    </row>
    <row r="96" spans="1:28" x14ac:dyDescent="0.25">
      <c r="A96" s="16"/>
      <c r="B96" s="3" t="s">
        <v>150</v>
      </c>
      <c r="C96" s="3" t="s">
        <v>151</v>
      </c>
      <c r="D96" s="11" t="s">
        <v>6</v>
      </c>
      <c r="E96" s="8">
        <v>1002.5789358528094</v>
      </c>
      <c r="F96" s="8">
        <v>1381.4179214321232</v>
      </c>
      <c r="G96" s="8">
        <v>1639.8664147190452</v>
      </c>
      <c r="H96" s="8">
        <v>952.93867727498753</v>
      </c>
      <c r="I96" s="8">
        <v>1288.2369368473394</v>
      </c>
      <c r="J96" s="8">
        <v>1490.6664942814518</v>
      </c>
      <c r="K96" s="8">
        <v>935.20507608155151</v>
      </c>
      <c r="L96" s="8">
        <v>1167.1389159622076</v>
      </c>
      <c r="M96" s="8">
        <v>1435.5876877175535</v>
      </c>
      <c r="N96" s="22"/>
      <c r="O96" s="8">
        <v>93.141873013526478</v>
      </c>
      <c r="P96" s="8">
        <v>128.33688003547934</v>
      </c>
      <c r="Q96" s="8">
        <v>152.34733535368466</v>
      </c>
      <c r="R96" s="8">
        <v>88.530179614162165</v>
      </c>
      <c r="S96" s="8">
        <v>119.68015374380958</v>
      </c>
      <c r="T96" s="8">
        <v>138.48632197501661</v>
      </c>
      <c r="U96" s="8">
        <v>86.882687560056169</v>
      </c>
      <c r="V96" s="8">
        <v>108.42987101781358</v>
      </c>
      <c r="W96" s="8">
        <v>133.36937504619704</v>
      </c>
      <c r="X96" s="22"/>
      <c r="Y96" s="24">
        <f t="shared" si="2"/>
        <v>0.64048543701626304</v>
      </c>
      <c r="AB96" s="22"/>
    </row>
    <row r="97" spans="1:28" x14ac:dyDescent="0.25">
      <c r="A97" s="16"/>
      <c r="B97" s="3" t="s">
        <v>152</v>
      </c>
      <c r="C97" s="3" t="s">
        <v>153</v>
      </c>
      <c r="D97" s="11" t="s">
        <v>6</v>
      </c>
      <c r="E97" s="8">
        <v>791.21266036797613</v>
      </c>
      <c r="F97" s="8">
        <v>1361.37093983093</v>
      </c>
      <c r="G97" s="8">
        <v>1695.3626653406266</v>
      </c>
      <c r="H97" s="8">
        <v>760.85922426653406</v>
      </c>
      <c r="I97" s="8">
        <v>1340.9206762804574</v>
      </c>
      <c r="J97" s="8">
        <v>1581.3148184982595</v>
      </c>
      <c r="K97" s="8">
        <v>840.83376429636996</v>
      </c>
      <c r="L97" s="8">
        <v>1340.9766882148185</v>
      </c>
      <c r="M97" s="8">
        <v>1571.3847120835405</v>
      </c>
      <c r="N97" s="22"/>
      <c r="O97" s="8">
        <v>73.505463264099333</v>
      </c>
      <c r="P97" s="8">
        <v>126.47446965777219</v>
      </c>
      <c r="Q97" s="8">
        <v>157.50306378889789</v>
      </c>
      <c r="R97" s="8">
        <v>70.685559723556807</v>
      </c>
      <c r="S97" s="8">
        <v>124.5745934658881</v>
      </c>
      <c r="T97" s="8">
        <v>146.90775833394926</v>
      </c>
      <c r="U97" s="8">
        <v>78.115377152782912</v>
      </c>
      <c r="V97" s="8">
        <v>124.57979710252052</v>
      </c>
      <c r="W97" s="8">
        <v>145.98522876783204</v>
      </c>
      <c r="X97" s="22"/>
      <c r="Y97" s="24">
        <f t="shared" si="2"/>
        <v>0.50545664628144726</v>
      </c>
      <c r="AB97" s="22"/>
    </row>
    <row r="98" spans="1:28" x14ac:dyDescent="0.25">
      <c r="A98" s="16"/>
      <c r="B98" s="3" t="s">
        <v>154</v>
      </c>
      <c r="C98" s="3" t="s">
        <v>155</v>
      </c>
      <c r="D98" s="11" t="s">
        <v>6</v>
      </c>
      <c r="E98" s="8">
        <v>825.60973717056186</v>
      </c>
      <c r="F98" s="8">
        <v>1270.6612336051714</v>
      </c>
      <c r="G98" s="8">
        <v>1716.0124070810539</v>
      </c>
      <c r="H98" s="8">
        <v>866.77743454997506</v>
      </c>
      <c r="I98" s="8">
        <v>1236.1546660815513</v>
      </c>
      <c r="J98" s="8">
        <v>1577.309375743411</v>
      </c>
      <c r="K98" s="8">
        <v>1078.8648354152162</v>
      </c>
      <c r="L98" s="8">
        <v>1395.1896568523121</v>
      </c>
      <c r="M98" s="8">
        <v>1903.0768497165586</v>
      </c>
      <c r="N98" s="22"/>
      <c r="O98" s="8">
        <v>76.70103026138294</v>
      </c>
      <c r="P98" s="8">
        <v>118.04733077001255</v>
      </c>
      <c r="Q98" s="8">
        <v>159.42147196023353</v>
      </c>
      <c r="R98" s="8">
        <v>80.525603374233128</v>
      </c>
      <c r="S98" s="8">
        <v>114.84159183466994</v>
      </c>
      <c r="T98" s="8">
        <v>146.53564355366248</v>
      </c>
      <c r="U98" s="8">
        <v>100.22900731853795</v>
      </c>
      <c r="V98" s="8">
        <v>129.61630571041835</v>
      </c>
      <c r="W98" s="8">
        <v>176.80018593299576</v>
      </c>
      <c r="X98" s="22"/>
      <c r="Y98" s="24">
        <f t="shared" si="2"/>
        <v>0.52743080310855661</v>
      </c>
      <c r="AB98" s="22"/>
    </row>
    <row r="99" spans="1:28" x14ac:dyDescent="0.25">
      <c r="A99" s="16"/>
      <c r="B99" s="3" t="s">
        <v>156</v>
      </c>
      <c r="C99" s="3" t="s">
        <v>157</v>
      </c>
      <c r="D99" s="11" t="s">
        <v>6</v>
      </c>
      <c r="E99" s="8">
        <v>960.78473754351069</v>
      </c>
      <c r="F99" s="8">
        <v>1330.5906227747391</v>
      </c>
      <c r="G99" s="8">
        <v>2126.3472731974143</v>
      </c>
      <c r="H99" s="8">
        <v>962.629915464943</v>
      </c>
      <c r="I99" s="8">
        <v>1296.9146542018896</v>
      </c>
      <c r="J99" s="8">
        <v>1922.9498120338144</v>
      </c>
      <c r="K99" s="8">
        <v>1222.4189525609152</v>
      </c>
      <c r="L99" s="8">
        <v>1490.3509609149678</v>
      </c>
      <c r="M99" s="8">
        <v>2307.8214762804578</v>
      </c>
      <c r="N99" s="22"/>
      <c r="O99" s="8">
        <v>89.259096533372755</v>
      </c>
      <c r="P99" s="8">
        <v>123.61490790154483</v>
      </c>
      <c r="Q99" s="8">
        <v>197.54251822011975</v>
      </c>
      <c r="R99" s="8">
        <v>89.43051777662798</v>
      </c>
      <c r="S99" s="8">
        <v>120.48633350580235</v>
      </c>
      <c r="T99" s="8">
        <v>178.64642952176806</v>
      </c>
      <c r="U99" s="8">
        <v>113.56551267647276</v>
      </c>
      <c r="V99" s="8">
        <v>138.45700820459751</v>
      </c>
      <c r="W99" s="8">
        <v>214.40188617044865</v>
      </c>
      <c r="X99" s="22"/>
      <c r="Y99" s="24">
        <f t="shared" si="2"/>
        <v>0.61378571850870656</v>
      </c>
      <c r="AB99" s="22"/>
    </row>
    <row r="100" spans="1:28" x14ac:dyDescent="0.25">
      <c r="A100" s="16"/>
      <c r="B100" s="3" t="s">
        <v>158</v>
      </c>
      <c r="C100" s="3" t="s">
        <v>159</v>
      </c>
      <c r="D100" s="11" t="s">
        <v>6</v>
      </c>
      <c r="E100" s="8">
        <v>925.81870059671814</v>
      </c>
      <c r="F100" s="8">
        <v>925.81870059671814</v>
      </c>
      <c r="G100" s="8">
        <v>925.81870059671814</v>
      </c>
      <c r="H100" s="8">
        <v>925.81870059671814</v>
      </c>
      <c r="I100" s="8">
        <v>925.81870059671814</v>
      </c>
      <c r="J100" s="8">
        <v>925.81870059671814</v>
      </c>
      <c r="K100" s="8">
        <v>925.81870059671814</v>
      </c>
      <c r="L100" s="8">
        <v>925.81870059671814</v>
      </c>
      <c r="M100" s="8">
        <v>925.81870059671814</v>
      </c>
      <c r="N100" s="22"/>
      <c r="O100" s="8">
        <v>86.010651999999993</v>
      </c>
      <c r="P100" s="8">
        <v>146.28104400000001</v>
      </c>
      <c r="Q100" s="8">
        <v>182.81608800000001</v>
      </c>
      <c r="R100" s="8">
        <v>86.46601600000001</v>
      </c>
      <c r="S100" s="8">
        <v>152.11969500000001</v>
      </c>
      <c r="T100" s="8">
        <v>173.39877100000001</v>
      </c>
      <c r="U100" s="8">
        <v>93.311582000000016</v>
      </c>
      <c r="V100" s="8">
        <v>149.59726599999999</v>
      </c>
      <c r="W100" s="8">
        <v>167.76177600000003</v>
      </c>
      <c r="X100" s="22"/>
      <c r="Y100" s="24">
        <f t="shared" si="2"/>
        <v>0.59144795194609734</v>
      </c>
      <c r="AB100" s="22"/>
    </row>
    <row r="101" spans="1:28" x14ac:dyDescent="0.25">
      <c r="A101" s="16"/>
      <c r="B101" s="3" t="s">
        <v>160</v>
      </c>
      <c r="C101" s="3" t="s">
        <v>161</v>
      </c>
      <c r="D101" s="11" t="s">
        <v>6</v>
      </c>
      <c r="E101" s="8">
        <v>1442.5164296369965</v>
      </c>
      <c r="F101" s="8">
        <v>1664.3682396817503</v>
      </c>
      <c r="G101" s="8">
        <v>1801.1297762307311</v>
      </c>
      <c r="H101" s="8">
        <v>1440.09070611636</v>
      </c>
      <c r="I101" s="8">
        <v>1682.1240676280459</v>
      </c>
      <c r="J101" s="8">
        <v>1781.2898160119344</v>
      </c>
      <c r="K101" s="8">
        <v>1446.8076031824962</v>
      </c>
      <c r="L101" s="8">
        <v>1742.8634609646942</v>
      </c>
      <c r="M101" s="8">
        <v>1939.8408304326208</v>
      </c>
      <c r="N101" s="22"/>
      <c r="O101" s="8">
        <v>134.013070995639</v>
      </c>
      <c r="P101" s="8">
        <v>154.62361085446079</v>
      </c>
      <c r="Q101" s="8">
        <v>167.32906996082491</v>
      </c>
      <c r="R101" s="8">
        <v>133.78771574026166</v>
      </c>
      <c r="S101" s="8">
        <v>156.27316782467292</v>
      </c>
      <c r="T101" s="8">
        <v>165.48589234237565</v>
      </c>
      <c r="U101" s="8">
        <v>134.41173081898145</v>
      </c>
      <c r="V101" s="8">
        <v>161.91599619336242</v>
      </c>
      <c r="W101" s="8">
        <v>180.21564370980857</v>
      </c>
      <c r="X101" s="22"/>
      <c r="Y101" s="24">
        <f t="shared" si="2"/>
        <v>0.92153418828144262</v>
      </c>
      <c r="AB101" s="22"/>
    </row>
    <row r="102" spans="1:28" x14ac:dyDescent="0.25">
      <c r="A102" s="16"/>
      <c r="B102" s="3" t="s">
        <v>162</v>
      </c>
      <c r="C102" s="3" t="s">
        <v>163</v>
      </c>
      <c r="D102" s="11" t="s">
        <v>6</v>
      </c>
      <c r="E102" s="8">
        <v>1137.7632968672301</v>
      </c>
      <c r="F102" s="8">
        <v>1137.7632968672301</v>
      </c>
      <c r="G102" s="8">
        <v>1137.7632968672301</v>
      </c>
      <c r="H102" s="8">
        <v>1137.7632968672301</v>
      </c>
      <c r="I102" s="8">
        <v>1137.7632968672301</v>
      </c>
      <c r="J102" s="8">
        <v>1137.7632968672301</v>
      </c>
      <c r="K102" s="8">
        <v>1137.7632968672301</v>
      </c>
      <c r="L102" s="8">
        <v>1137.7632968672301</v>
      </c>
      <c r="M102" s="8">
        <v>1137.7632968672301</v>
      </c>
      <c r="N102" s="22"/>
      <c r="O102" s="8">
        <v>105.70530000000001</v>
      </c>
      <c r="P102" s="8">
        <v>177.33109999999999</v>
      </c>
      <c r="Q102" s="8">
        <v>222.06780000000001</v>
      </c>
      <c r="R102" s="8">
        <v>106.09050000000001</v>
      </c>
      <c r="S102" s="8">
        <v>177.73770000000002</v>
      </c>
      <c r="T102" s="8">
        <v>206.02850000000004</v>
      </c>
      <c r="U102" s="8">
        <v>114.65050000000001</v>
      </c>
      <c r="V102" s="8">
        <v>177.29900000000001</v>
      </c>
      <c r="W102" s="8">
        <v>205.69680000000002</v>
      </c>
      <c r="X102" s="22"/>
      <c r="Y102" s="24">
        <f t="shared" si="2"/>
        <v>0.72687721510177383</v>
      </c>
      <c r="AB102" s="22"/>
    </row>
    <row r="103" spans="1:28" x14ac:dyDescent="0.25">
      <c r="A103" s="16"/>
      <c r="B103" s="3" t="s">
        <v>164</v>
      </c>
      <c r="C103" s="3" t="s">
        <v>165</v>
      </c>
      <c r="D103" s="11" t="s">
        <v>6</v>
      </c>
      <c r="E103" s="8">
        <v>767.68974042764796</v>
      </c>
      <c r="F103" s="8">
        <v>1088.4362526106415</v>
      </c>
      <c r="G103" s="8">
        <v>1356.5160243659871</v>
      </c>
      <c r="H103" s="8">
        <v>789.99886623570353</v>
      </c>
      <c r="I103" s="8">
        <v>1107.3345609149676</v>
      </c>
      <c r="J103" s="8">
        <v>1324.5906534062653</v>
      </c>
      <c r="K103" s="8">
        <v>870.900401292889</v>
      </c>
      <c r="L103" s="8">
        <v>1128.3439085032321</v>
      </c>
      <c r="M103" s="8">
        <v>1448.0780706116359</v>
      </c>
      <c r="N103" s="22"/>
      <c r="O103" s="8">
        <v>71.320130275704031</v>
      </c>
      <c r="P103" s="8">
        <v>101.11821383694284</v>
      </c>
      <c r="Q103" s="8">
        <v>126.02343692253677</v>
      </c>
      <c r="R103" s="8">
        <v>73.392699016926599</v>
      </c>
      <c r="S103" s="8">
        <v>102.87390984182126</v>
      </c>
      <c r="T103" s="8">
        <v>123.05749704338827</v>
      </c>
      <c r="U103" s="8">
        <v>80.908636401433938</v>
      </c>
      <c r="V103" s="8">
        <v>104.82572621775444</v>
      </c>
      <c r="W103" s="8">
        <v>134.52976014487396</v>
      </c>
      <c r="X103" s="22"/>
      <c r="Y103" s="24">
        <f t="shared" si="2"/>
        <v>0.49042931315174781</v>
      </c>
      <c r="AB103" s="22"/>
    </row>
    <row r="104" spans="1:28" x14ac:dyDescent="0.25">
      <c r="A104" s="16"/>
      <c r="B104" s="3" t="s">
        <v>166</v>
      </c>
      <c r="C104" s="3" t="s">
        <v>167</v>
      </c>
      <c r="D104" s="11" t="s">
        <v>6</v>
      </c>
      <c r="E104" s="8">
        <v>686.05941819990062</v>
      </c>
      <c r="F104" s="8">
        <v>1162.8963252113376</v>
      </c>
      <c r="G104" s="8">
        <v>1660.5452909000498</v>
      </c>
      <c r="H104" s="8">
        <v>681.51125310790655</v>
      </c>
      <c r="I104" s="8">
        <v>947.87421183490801</v>
      </c>
      <c r="J104" s="8">
        <v>1253.1269617105918</v>
      </c>
      <c r="K104" s="8">
        <v>858.10036051715565</v>
      </c>
      <c r="L104" s="8">
        <v>1039.1328677274989</v>
      </c>
      <c r="M104" s="8">
        <v>1443.1224082545996</v>
      </c>
      <c r="N104" s="22"/>
      <c r="O104" s="8">
        <v>63.7364868985143</v>
      </c>
      <c r="P104" s="8">
        <v>108.03572464705447</v>
      </c>
      <c r="Q104" s="8">
        <v>154.26845018109245</v>
      </c>
      <c r="R104" s="8">
        <v>63.31395197353833</v>
      </c>
      <c r="S104" s="8">
        <v>88.059679207628051</v>
      </c>
      <c r="T104" s="8">
        <v>116.41835686303496</v>
      </c>
      <c r="U104" s="8">
        <v>79.719483378298463</v>
      </c>
      <c r="V104" s="8">
        <v>96.537816773227888</v>
      </c>
      <c r="W104" s="8">
        <v>134.06936779325892</v>
      </c>
      <c r="X104" s="22"/>
      <c r="Y104" s="24">
        <f t="shared" si="2"/>
        <v>0.43828076829792612</v>
      </c>
      <c r="AB104" s="22"/>
    </row>
    <row r="105" spans="1:28" x14ac:dyDescent="0.25">
      <c r="A105" s="16"/>
      <c r="B105" s="3" t="s">
        <v>168</v>
      </c>
      <c r="C105" s="3" t="s">
        <v>169</v>
      </c>
      <c r="D105" s="11" t="s">
        <v>6</v>
      </c>
      <c r="E105" s="8">
        <v>1247.6312498219791</v>
      </c>
      <c r="F105" s="8">
        <v>1699.975217519642</v>
      </c>
      <c r="G105" s="8">
        <v>2390.6519700686231</v>
      </c>
      <c r="H105" s="8">
        <v>1155.3753004236698</v>
      </c>
      <c r="I105" s="8">
        <v>1578.4101070353058</v>
      </c>
      <c r="J105" s="8">
        <v>2086.3406668761809</v>
      </c>
      <c r="K105" s="8">
        <v>1385.652721551467</v>
      </c>
      <c r="L105" s="8">
        <v>1748.2786376688214</v>
      </c>
      <c r="M105" s="8">
        <v>2282.5475654142224</v>
      </c>
      <c r="N105" s="22"/>
      <c r="O105" s="8">
        <v>115.90779267647275</v>
      </c>
      <c r="P105" s="8">
        <v>157.93158042131719</v>
      </c>
      <c r="Q105" s="8">
        <v>222.09702822677215</v>
      </c>
      <c r="R105" s="8">
        <v>107.33700426639071</v>
      </c>
      <c r="S105" s="8">
        <v>146.63790400473059</v>
      </c>
      <c r="T105" s="8">
        <v>193.82581311848622</v>
      </c>
      <c r="U105" s="8">
        <v>128.73030263877595</v>
      </c>
      <c r="V105" s="8">
        <v>162.41907847734495</v>
      </c>
      <c r="W105" s="8">
        <v>212.05388212580385</v>
      </c>
      <c r="X105" s="22"/>
      <c r="Y105" s="24">
        <f t="shared" si="2"/>
        <v>0.79703414634146341</v>
      </c>
      <c r="AB105" s="22"/>
    </row>
    <row r="106" spans="1:28" x14ac:dyDescent="0.25">
      <c r="A106" s="16"/>
      <c r="B106" s="3" t="s">
        <v>170</v>
      </c>
      <c r="C106" s="3" t="s">
        <v>171</v>
      </c>
      <c r="D106" s="11" t="s">
        <v>6</v>
      </c>
      <c r="E106" s="8">
        <v>1298.5023968175039</v>
      </c>
      <c r="F106" s="8">
        <v>1781.9915713575338</v>
      </c>
      <c r="G106" s="8">
        <v>2194.8238090502241</v>
      </c>
      <c r="H106" s="8">
        <v>1192.5263749378419</v>
      </c>
      <c r="I106" s="8">
        <v>1626.9779462953757</v>
      </c>
      <c r="J106" s="8">
        <v>1914.6340875186477</v>
      </c>
      <c r="K106" s="8">
        <v>1475.5609199403282</v>
      </c>
      <c r="L106" s="8">
        <v>1923.5797712580807</v>
      </c>
      <c r="M106" s="8">
        <v>2522.8467478866237</v>
      </c>
      <c r="N106" s="22"/>
      <c r="O106" s="8">
        <v>120.63383842116934</v>
      </c>
      <c r="P106" s="8">
        <v>165.55108701677878</v>
      </c>
      <c r="Q106" s="8">
        <v>203.90414480005916</v>
      </c>
      <c r="R106" s="8">
        <v>110.78842394116343</v>
      </c>
      <c r="S106" s="8">
        <v>151.1499672000887</v>
      </c>
      <c r="T106" s="8">
        <v>177.87387972133934</v>
      </c>
      <c r="U106" s="8">
        <v>137.08297961785794</v>
      </c>
      <c r="V106" s="8">
        <v>178.70495417251828</v>
      </c>
      <c r="W106" s="8">
        <v>234.37822501663095</v>
      </c>
      <c r="X106" s="22"/>
      <c r="Y106" s="24">
        <f t="shared" si="2"/>
        <v>0.82953256382240947</v>
      </c>
      <c r="AB106" s="22"/>
    </row>
    <row r="107" spans="1:28" x14ac:dyDescent="0.25">
      <c r="A107" s="16"/>
      <c r="B107" s="3" t="s">
        <v>170</v>
      </c>
      <c r="C107" s="23" t="s">
        <v>121</v>
      </c>
      <c r="D107" s="11" t="s">
        <v>6</v>
      </c>
      <c r="E107" s="8">
        <v>2004.5162403729491</v>
      </c>
      <c r="F107" s="8">
        <v>2731.2781178219798</v>
      </c>
      <c r="G107" s="8">
        <v>3840.959177454004</v>
      </c>
      <c r="H107" s="8">
        <v>1856.2925173247145</v>
      </c>
      <c r="I107" s="8">
        <v>2535.9646081103933</v>
      </c>
      <c r="J107" s="8">
        <v>3352.0351067677784</v>
      </c>
      <c r="K107" s="8">
        <v>2226.2694880905028</v>
      </c>
      <c r="L107" s="8">
        <v>2808.8851753306822</v>
      </c>
      <c r="M107" s="8">
        <v>3667.2724131824975</v>
      </c>
      <c r="N107" s="22"/>
      <c r="O107" s="8">
        <v>186.22413701077318</v>
      </c>
      <c r="P107" s="8">
        <v>253.74197533723856</v>
      </c>
      <c r="Q107" s="8">
        <v>356.83388026923654</v>
      </c>
      <c r="R107" s="8">
        <v>172.45381459919435</v>
      </c>
      <c r="S107" s="8">
        <v>235.59690419238308</v>
      </c>
      <c r="T107" s="8">
        <v>311.41171740843748</v>
      </c>
      <c r="U107" s="8">
        <v>206.82552020428341</v>
      </c>
      <c r="V107" s="8">
        <v>260.95184823296262</v>
      </c>
      <c r="W107" s="8">
        <v>340.69798317087367</v>
      </c>
      <c r="X107" s="22"/>
      <c r="Y107" s="24">
        <f t="shared" si="2"/>
        <v>1.2805609756097562</v>
      </c>
      <c r="AB107" s="22"/>
    </row>
    <row r="108" spans="1:28" x14ac:dyDescent="0.25">
      <c r="A108" s="16"/>
      <c r="B108" s="3" t="s">
        <v>173</v>
      </c>
      <c r="C108" s="3" t="s">
        <v>174</v>
      </c>
      <c r="D108" s="11" t="s">
        <v>6</v>
      </c>
      <c r="E108" s="8">
        <v>1091.5971675261062</v>
      </c>
      <c r="F108" s="8">
        <v>1487.3690704475384</v>
      </c>
      <c r="G108" s="8">
        <v>2091.6668442217801</v>
      </c>
      <c r="H108" s="8">
        <v>1010.8791404127301</v>
      </c>
      <c r="I108" s="8">
        <v>1381.0074108677277</v>
      </c>
      <c r="J108" s="8">
        <v>1825.4140097737445</v>
      </c>
      <c r="K108" s="8">
        <v>1212.3570856663353</v>
      </c>
      <c r="L108" s="8">
        <v>1529.6314589731476</v>
      </c>
      <c r="M108" s="8">
        <v>1997.0824372227748</v>
      </c>
      <c r="N108" s="22"/>
      <c r="O108" s="8">
        <v>101.41187005206409</v>
      </c>
      <c r="P108" s="8">
        <v>138.17998376958752</v>
      </c>
      <c r="Q108" s="8">
        <v>194.32062715878851</v>
      </c>
      <c r="R108" s="8">
        <v>93.912980974665516</v>
      </c>
      <c r="S108" s="8">
        <v>128.29874266644799</v>
      </c>
      <c r="T108" s="8">
        <v>169.58513072173662</v>
      </c>
      <c r="U108" s="8">
        <v>112.63074226083782</v>
      </c>
      <c r="V108" s="8">
        <v>142.1062561901748</v>
      </c>
      <c r="W108" s="8">
        <v>185.53351971944525</v>
      </c>
      <c r="X108" s="22"/>
      <c r="Y108" s="24">
        <f t="shared" si="2"/>
        <v>0.69735365853658537</v>
      </c>
      <c r="AB108" s="22"/>
    </row>
    <row r="109" spans="1:28" x14ac:dyDescent="0.25">
      <c r="A109" s="16"/>
      <c r="B109" s="3" t="s">
        <v>175</v>
      </c>
      <c r="C109" s="3" t="s">
        <v>176</v>
      </c>
      <c r="D109" s="11" t="s">
        <v>6</v>
      </c>
      <c r="E109" s="8">
        <v>1499.8651601442068</v>
      </c>
      <c r="F109" s="8">
        <v>2043.6596167578318</v>
      </c>
      <c r="G109" s="8">
        <v>2873.9706547488813</v>
      </c>
      <c r="H109" s="8">
        <v>1388.9578032322227</v>
      </c>
      <c r="I109" s="8">
        <v>1897.5176586026853</v>
      </c>
      <c r="J109" s="8">
        <v>2508.1366620835406</v>
      </c>
      <c r="K109" s="8">
        <v>1665.7904660616607</v>
      </c>
      <c r="L109" s="8">
        <v>2101.7285509945305</v>
      </c>
      <c r="M109" s="8">
        <v>2744.0107565638991</v>
      </c>
      <c r="N109" s="22"/>
      <c r="O109" s="8">
        <v>139.3408990432589</v>
      </c>
      <c r="P109" s="8">
        <v>189.86064607971764</v>
      </c>
      <c r="Q109" s="8">
        <v>266.99843792501292</v>
      </c>
      <c r="R109" s="8">
        <v>129.03735227566708</v>
      </c>
      <c r="S109" s="8">
        <v>176.28372438142139</v>
      </c>
      <c r="T109" s="8">
        <v>233.01162444794517</v>
      </c>
      <c r="U109" s="8">
        <v>154.75573893349471</v>
      </c>
      <c r="V109" s="8">
        <v>195.25538269873974</v>
      </c>
      <c r="W109" s="8">
        <v>254.92486655748763</v>
      </c>
      <c r="X109" s="22"/>
      <c r="Y109" s="24">
        <f t="shared" si="2"/>
        <v>0.95817073170731692</v>
      </c>
      <c r="AB109" s="22"/>
    </row>
    <row r="110" spans="1:28" x14ac:dyDescent="0.25">
      <c r="A110" s="16"/>
      <c r="B110" s="3" t="s">
        <v>175</v>
      </c>
      <c r="C110" s="3" t="s">
        <v>177</v>
      </c>
      <c r="D110" s="11" t="s">
        <v>6</v>
      </c>
      <c r="E110" s="8">
        <v>1499.8651601442068</v>
      </c>
      <c r="F110" s="8">
        <v>2043.6596167578318</v>
      </c>
      <c r="G110" s="8">
        <v>2873.9706547488813</v>
      </c>
      <c r="H110" s="8">
        <v>1388.9578032322227</v>
      </c>
      <c r="I110" s="8">
        <v>1897.5176586026853</v>
      </c>
      <c r="J110" s="8">
        <v>2508.1366620835406</v>
      </c>
      <c r="K110" s="8">
        <v>1665.7904660616607</v>
      </c>
      <c r="L110" s="8">
        <v>2101.7285509945305</v>
      </c>
      <c r="M110" s="8">
        <v>2744.0107565638991</v>
      </c>
      <c r="N110" s="22"/>
      <c r="O110" s="9">
        <v>139.3408990432589</v>
      </c>
      <c r="P110" s="9">
        <v>189.86064607971764</v>
      </c>
      <c r="Q110" s="9">
        <v>266.99843792501292</v>
      </c>
      <c r="R110" s="9">
        <v>129.03735227566708</v>
      </c>
      <c r="S110" s="9">
        <v>176.28372438142139</v>
      </c>
      <c r="T110" s="9">
        <v>233.01162444794517</v>
      </c>
      <c r="U110" s="9">
        <v>154.75573893349471</v>
      </c>
      <c r="V110" s="9">
        <v>195.25538269873974</v>
      </c>
      <c r="W110" s="9">
        <v>254.92486655748763</v>
      </c>
      <c r="X110" s="22"/>
      <c r="Y110" s="24">
        <f t="shared" si="2"/>
        <v>0.95817073170731692</v>
      </c>
      <c r="AB110" s="22"/>
    </row>
    <row r="111" spans="1:28" x14ac:dyDescent="0.25">
      <c r="A111" s="16"/>
      <c r="B111" s="3" t="s">
        <v>178</v>
      </c>
      <c r="C111" s="3" t="s">
        <v>179</v>
      </c>
      <c r="D111" s="11" t="s">
        <v>6</v>
      </c>
      <c r="E111" s="8">
        <v>945.77247523620088</v>
      </c>
      <c r="F111" s="8">
        <v>1309.8001442715067</v>
      </c>
      <c r="G111" s="8">
        <v>2093.1230970313277</v>
      </c>
      <c r="H111" s="8">
        <v>932.79404394331186</v>
      </c>
      <c r="I111" s="8">
        <v>1261.8555845101939</v>
      </c>
      <c r="J111" s="8">
        <v>1878.1089415464944</v>
      </c>
      <c r="K111" s="8">
        <v>1195.1703760367977</v>
      </c>
      <c r="L111" s="8">
        <v>1454.3398449577326</v>
      </c>
      <c r="M111" s="8">
        <v>2259.037383431129</v>
      </c>
      <c r="N111" s="22"/>
      <c r="O111" s="8">
        <v>87.864423077278431</v>
      </c>
      <c r="P111" s="8">
        <v>121.68342496350432</v>
      </c>
      <c r="Q111" s="8">
        <v>194.4559163708515</v>
      </c>
      <c r="R111" s="8">
        <v>86.65869716765836</v>
      </c>
      <c r="S111" s="8">
        <v>117.22926585714022</v>
      </c>
      <c r="T111" s="8">
        <v>174.48061023773005</v>
      </c>
      <c r="U111" s="8">
        <v>111.0340576821088</v>
      </c>
      <c r="V111" s="8">
        <v>135.11149328340971</v>
      </c>
      <c r="W111" s="8">
        <v>209.86973252272895</v>
      </c>
      <c r="X111" s="22"/>
      <c r="Y111" s="24">
        <f t="shared" si="2"/>
        <v>0.60419531615667499</v>
      </c>
      <c r="AB111" s="22"/>
    </row>
    <row r="112" spans="1:28" x14ac:dyDescent="0.25">
      <c r="A112" s="16"/>
      <c r="B112" s="3" t="s">
        <v>180</v>
      </c>
      <c r="C112" s="3" t="s">
        <v>181</v>
      </c>
      <c r="D112" s="11" t="s">
        <v>8</v>
      </c>
      <c r="E112" s="8">
        <v>858.66512680258586</v>
      </c>
      <c r="F112" s="8">
        <v>1293.1432918945798</v>
      </c>
      <c r="G112" s="8">
        <v>1676.0896767777226</v>
      </c>
      <c r="H112" s="8">
        <v>847.24645947289912</v>
      </c>
      <c r="I112" s="8">
        <v>1165.7534410740925</v>
      </c>
      <c r="J112" s="8">
        <v>1666.1783242168076</v>
      </c>
      <c r="K112" s="8">
        <v>859.0517006464446</v>
      </c>
      <c r="L112" s="8">
        <v>1159.5601143709598</v>
      </c>
      <c r="M112" s="8">
        <v>1643.2502287419195</v>
      </c>
      <c r="N112" s="22"/>
      <c r="O112" s="8">
        <v>79.771951456131276</v>
      </c>
      <c r="P112" s="8">
        <v>120.13596533372755</v>
      </c>
      <c r="Q112" s="8">
        <v>155.71255913223445</v>
      </c>
      <c r="R112" s="8">
        <v>78.71113118116638</v>
      </c>
      <c r="S112" s="8">
        <v>108.30115723630719</v>
      </c>
      <c r="T112" s="8">
        <v>154.79177184196911</v>
      </c>
      <c r="U112" s="8">
        <v>79.807865049153676</v>
      </c>
      <c r="V112" s="8">
        <v>107.72578304013599</v>
      </c>
      <c r="W112" s="8">
        <v>152.6616994049819</v>
      </c>
      <c r="X112" s="22"/>
      <c r="AA112" s="24">
        <f>O112/$AA$3</f>
        <v>0.51916579915824801</v>
      </c>
      <c r="AB112" s="22"/>
    </row>
    <row r="113" spans="1:28" x14ac:dyDescent="0.25">
      <c r="A113" s="16"/>
      <c r="B113" s="3" t="s">
        <v>182</v>
      </c>
      <c r="C113" s="3" t="s">
        <v>183</v>
      </c>
      <c r="D113" s="11" t="s">
        <v>8</v>
      </c>
      <c r="E113" s="8">
        <v>1240.5316360019892</v>
      </c>
      <c r="F113" s="8">
        <v>1794.1551864743908</v>
      </c>
      <c r="G113" s="8">
        <v>2201.2012332173049</v>
      </c>
      <c r="H113" s="8">
        <v>1138.3512282446543</v>
      </c>
      <c r="I113" s="8">
        <v>1628.4400596718051</v>
      </c>
      <c r="J113" s="8">
        <v>2066.7633615116856</v>
      </c>
      <c r="K113" s="8">
        <v>1029.7733664843361</v>
      </c>
      <c r="L113" s="8">
        <v>1365.7991447041275</v>
      </c>
      <c r="M113" s="8">
        <v>1931.4582595723521</v>
      </c>
      <c r="N113" s="22"/>
      <c r="O113" s="8">
        <v>115.24822233720155</v>
      </c>
      <c r="P113" s="8">
        <v>166.68111464261955</v>
      </c>
      <c r="Q113" s="8">
        <v>204.49662207110651</v>
      </c>
      <c r="R113" s="8">
        <v>105.75542907827628</v>
      </c>
      <c r="S113" s="8">
        <v>151.28580087220047</v>
      </c>
      <c r="T113" s="8">
        <v>192.00703673590067</v>
      </c>
      <c r="U113" s="8">
        <v>95.668297730800504</v>
      </c>
      <c r="V113" s="8">
        <v>126.88586000443492</v>
      </c>
      <c r="W113" s="8">
        <v>179.436883731244</v>
      </c>
      <c r="X113" s="22"/>
      <c r="AA113" s="24">
        <f>O113/$AA$3</f>
        <v>0.75004979017173001</v>
      </c>
      <c r="AB113" s="22"/>
    </row>
    <row r="114" spans="1:28" x14ac:dyDescent="0.25">
      <c r="A114" s="21">
        <v>0.02</v>
      </c>
      <c r="B114" s="18" t="s">
        <v>182</v>
      </c>
      <c r="C114" s="18" t="s">
        <v>184</v>
      </c>
      <c r="D114" s="19" t="s">
        <v>8</v>
      </c>
      <c r="E114" s="25">
        <f>E113*1.02</f>
        <v>1265.3422687220291</v>
      </c>
      <c r="F114" s="25">
        <f>F113*1.02</f>
        <v>1830.0382902038787</v>
      </c>
      <c r="G114" s="25">
        <f t="shared" ref="G114:W114" si="3">G113*1.02</f>
        <v>2245.225257881651</v>
      </c>
      <c r="H114" s="25">
        <f t="shared" si="3"/>
        <v>1161.1182528095474</v>
      </c>
      <c r="I114" s="25">
        <f t="shared" si="3"/>
        <v>1661.0088608652413</v>
      </c>
      <c r="J114" s="25">
        <f t="shared" si="3"/>
        <v>2108.0986287419196</v>
      </c>
      <c r="K114" s="25">
        <f t="shared" si="3"/>
        <v>1050.3688338140228</v>
      </c>
      <c r="L114" s="25">
        <f t="shared" si="3"/>
        <v>1393.1151275982099</v>
      </c>
      <c r="M114" s="25">
        <f t="shared" si="3"/>
        <v>1970.0874247637992</v>
      </c>
      <c r="N114" s="22"/>
      <c r="O114" s="25">
        <f t="shared" si="3"/>
        <v>117.55318678394559</v>
      </c>
      <c r="P114" s="25">
        <f t="shared" si="3"/>
        <v>170.01473693547194</v>
      </c>
      <c r="Q114" s="25">
        <f t="shared" si="3"/>
        <v>208.58655451252864</v>
      </c>
      <c r="R114" s="25">
        <f t="shared" si="3"/>
        <v>107.8705376598418</v>
      </c>
      <c r="S114" s="25">
        <f t="shared" si="3"/>
        <v>154.31151688964448</v>
      </c>
      <c r="T114" s="25">
        <f t="shared" si="3"/>
        <v>195.84717747061867</v>
      </c>
      <c r="U114" s="25">
        <f t="shared" si="3"/>
        <v>97.581663685416515</v>
      </c>
      <c r="V114" s="25">
        <f t="shared" si="3"/>
        <v>129.42357720452361</v>
      </c>
      <c r="W114" s="25">
        <f t="shared" si="3"/>
        <v>183.02562140586889</v>
      </c>
      <c r="X114" s="22"/>
      <c r="AA114" s="26">
        <f t="shared" ref="AA114:AA126" si="4">O114/$AA$3</f>
        <v>0.76505078597516463</v>
      </c>
      <c r="AB114" s="22"/>
    </row>
    <row r="115" spans="1:28" x14ac:dyDescent="0.25">
      <c r="A115" s="21">
        <v>0.04</v>
      </c>
      <c r="B115" s="18" t="s">
        <v>182</v>
      </c>
      <c r="C115" s="18" t="s">
        <v>185</v>
      </c>
      <c r="D115" s="19" t="s">
        <v>8</v>
      </c>
      <c r="E115" s="25">
        <f>E113*1.04</f>
        <v>1290.1529014420689</v>
      </c>
      <c r="F115" s="25">
        <f t="shared" ref="F115:M115" si="5">F113*1.04</f>
        <v>1865.9213939333665</v>
      </c>
      <c r="G115" s="25">
        <f t="shared" si="5"/>
        <v>2289.2492825459972</v>
      </c>
      <c r="H115" s="25">
        <f t="shared" si="5"/>
        <v>1183.8852773744404</v>
      </c>
      <c r="I115" s="25">
        <f t="shared" si="5"/>
        <v>1693.5776620586773</v>
      </c>
      <c r="J115" s="25">
        <f t="shared" si="5"/>
        <v>2149.4338959721531</v>
      </c>
      <c r="K115" s="25">
        <f t="shared" si="5"/>
        <v>1070.9643011437095</v>
      </c>
      <c r="L115" s="25">
        <f t="shared" si="5"/>
        <v>1420.4311104922926</v>
      </c>
      <c r="M115" s="25">
        <f t="shared" si="5"/>
        <v>2008.7165899552463</v>
      </c>
      <c r="N115" s="22"/>
      <c r="O115" s="25">
        <f t="shared" ref="O115:W115" si="6">O113*1.04</f>
        <v>119.85815123068961</v>
      </c>
      <c r="P115" s="25">
        <f t="shared" si="6"/>
        <v>173.34835922832434</v>
      </c>
      <c r="Q115" s="25">
        <f t="shared" si="6"/>
        <v>212.67648695395079</v>
      </c>
      <c r="R115" s="25">
        <f t="shared" si="6"/>
        <v>109.98564624140734</v>
      </c>
      <c r="S115" s="25">
        <f t="shared" si="6"/>
        <v>157.33723290708849</v>
      </c>
      <c r="T115" s="25">
        <f t="shared" si="6"/>
        <v>199.68731820533671</v>
      </c>
      <c r="U115" s="25">
        <f t="shared" si="6"/>
        <v>99.495029640032527</v>
      </c>
      <c r="V115" s="25">
        <f t="shared" si="6"/>
        <v>131.96129440461232</v>
      </c>
      <c r="W115" s="25">
        <f t="shared" si="6"/>
        <v>186.61435908049376</v>
      </c>
      <c r="X115" s="22"/>
      <c r="AA115" s="26">
        <f t="shared" si="4"/>
        <v>0.78005178177859913</v>
      </c>
      <c r="AB115" s="22"/>
    </row>
    <row r="116" spans="1:28" x14ac:dyDescent="0.25">
      <c r="A116" s="21">
        <v>0.03</v>
      </c>
      <c r="B116" s="18" t="s">
        <v>182</v>
      </c>
      <c r="C116" s="18" t="s">
        <v>186</v>
      </c>
      <c r="D116" s="19" t="s">
        <v>8</v>
      </c>
      <c r="E116" s="25">
        <f>E113*1.03</f>
        <v>1277.747585082049</v>
      </c>
      <c r="F116" s="25">
        <f t="shared" ref="F116:M116" si="7">F113*1.03</f>
        <v>1847.9798420686225</v>
      </c>
      <c r="G116" s="25">
        <f t="shared" si="7"/>
        <v>2267.2372702138241</v>
      </c>
      <c r="H116" s="25">
        <f t="shared" si="7"/>
        <v>1172.501765091994</v>
      </c>
      <c r="I116" s="25">
        <f t="shared" si="7"/>
        <v>1677.2932614619592</v>
      </c>
      <c r="J116" s="25">
        <f t="shared" si="7"/>
        <v>2128.7662623570363</v>
      </c>
      <c r="K116" s="25">
        <f t="shared" si="7"/>
        <v>1060.6665674788662</v>
      </c>
      <c r="L116" s="25">
        <f t="shared" si="7"/>
        <v>1406.7731190452514</v>
      </c>
      <c r="M116" s="25">
        <f t="shared" si="7"/>
        <v>1989.4020073595227</v>
      </c>
      <c r="N116" s="22"/>
      <c r="O116" s="25">
        <f t="shared" ref="O116:W116" si="8">O113*1.03</f>
        <v>118.70566900731761</v>
      </c>
      <c r="P116" s="25">
        <f t="shared" si="8"/>
        <v>171.68154808189814</v>
      </c>
      <c r="Q116" s="25">
        <f t="shared" si="8"/>
        <v>210.63152073323971</v>
      </c>
      <c r="R116" s="25">
        <f t="shared" si="8"/>
        <v>108.92809195062458</v>
      </c>
      <c r="S116" s="25">
        <f t="shared" si="8"/>
        <v>155.8243748983665</v>
      </c>
      <c r="T116" s="25">
        <f t="shared" si="8"/>
        <v>197.76724783797769</v>
      </c>
      <c r="U116" s="25">
        <f t="shared" si="8"/>
        <v>98.538346662724521</v>
      </c>
      <c r="V116" s="25">
        <f t="shared" si="8"/>
        <v>130.69243580456796</v>
      </c>
      <c r="W116" s="25">
        <f t="shared" si="8"/>
        <v>184.81999024318131</v>
      </c>
      <c r="X116" s="22"/>
      <c r="AA116" s="26">
        <f t="shared" si="4"/>
        <v>0.77255128387688199</v>
      </c>
      <c r="AB116" s="22"/>
    </row>
    <row r="117" spans="1:28" x14ac:dyDescent="0.25">
      <c r="A117" s="16"/>
      <c r="B117" s="3" t="s">
        <v>180</v>
      </c>
      <c r="C117" s="3" t="s">
        <v>187</v>
      </c>
      <c r="D117" s="11" t="s">
        <v>8</v>
      </c>
      <c r="E117" s="8">
        <v>706.31242143212341</v>
      </c>
      <c r="F117" s="8">
        <v>1060.3812488811539</v>
      </c>
      <c r="G117" s="8">
        <v>1441.8756722028845</v>
      </c>
      <c r="H117" s="8">
        <v>727.53454977623085</v>
      </c>
      <c r="I117" s="8">
        <v>1142.4971019393338</v>
      </c>
      <c r="J117" s="8">
        <v>1487.0748163102933</v>
      </c>
      <c r="K117" s="8">
        <v>781.90242128294392</v>
      </c>
      <c r="L117" s="8">
        <v>1110.1245977125809</v>
      </c>
      <c r="M117" s="8">
        <v>1687.5243240179016</v>
      </c>
      <c r="N117" s="22"/>
      <c r="O117" s="8">
        <v>65.618037156293894</v>
      </c>
      <c r="P117" s="8">
        <v>98.511839913334313</v>
      </c>
      <c r="Q117" s="8">
        <v>133.95354316653115</v>
      </c>
      <c r="R117" s="8">
        <v>67.589621350432409</v>
      </c>
      <c r="S117" s="8">
        <v>106.14059021361521</v>
      </c>
      <c r="T117" s="8">
        <v>138.15264688816617</v>
      </c>
      <c r="U117" s="8">
        <v>72.640520788676184</v>
      </c>
      <c r="V117" s="8">
        <v>103.13311063271492</v>
      </c>
      <c r="W117" s="8">
        <v>156.7748639773819</v>
      </c>
      <c r="X117" s="22"/>
      <c r="AA117" s="24">
        <f t="shared" si="4"/>
        <v>0.42705036140650371</v>
      </c>
      <c r="AB117" s="22"/>
    </row>
    <row r="118" spans="1:28" x14ac:dyDescent="0.25">
      <c r="A118" s="16"/>
      <c r="B118" s="3" t="s">
        <v>180</v>
      </c>
      <c r="C118" s="3" t="s">
        <v>188</v>
      </c>
      <c r="D118" s="11" t="s">
        <v>8</v>
      </c>
      <c r="E118" s="8">
        <v>671.2454696171061</v>
      </c>
      <c r="F118" s="8">
        <v>1009.3178845350573</v>
      </c>
      <c r="G118" s="8">
        <v>1372.9684881153657</v>
      </c>
      <c r="H118" s="8">
        <v>700.71857593237212</v>
      </c>
      <c r="I118" s="8">
        <v>1098.1012153157633</v>
      </c>
      <c r="J118" s="8">
        <v>1426.1324257583294</v>
      </c>
      <c r="K118" s="8">
        <v>749.91343978120346</v>
      </c>
      <c r="L118" s="8">
        <v>1063.5763485827947</v>
      </c>
      <c r="M118" s="8">
        <v>1614.5361900546993</v>
      </c>
      <c r="N118" s="22"/>
      <c r="O118" s="8">
        <v>62.360237240372541</v>
      </c>
      <c r="P118" s="8">
        <v>93.767936737748556</v>
      </c>
      <c r="Q118" s="8">
        <v>127.55190838199424</v>
      </c>
      <c r="R118" s="8">
        <v>65.098356133121442</v>
      </c>
      <c r="S118" s="8">
        <v>102.01611094685489</v>
      </c>
      <c r="T118" s="8">
        <v>132.49095961453173</v>
      </c>
      <c r="U118" s="8">
        <v>69.668671344888764</v>
      </c>
      <c r="V118" s="8">
        <v>98.808671973168757</v>
      </c>
      <c r="W118" s="8">
        <v>149.99409962857567</v>
      </c>
      <c r="X118" s="22"/>
      <c r="AA118" s="24">
        <f t="shared" si="4"/>
        <v>0.40584819365237657</v>
      </c>
      <c r="AB118" s="22"/>
    </row>
    <row r="119" spans="1:28" x14ac:dyDescent="0.25">
      <c r="A119" s="16"/>
      <c r="B119" s="3" t="s">
        <v>180</v>
      </c>
      <c r="C119" s="3" t="s">
        <v>189</v>
      </c>
      <c r="D119" s="11" t="s">
        <v>8</v>
      </c>
      <c r="E119" s="8">
        <v>703.81499303828957</v>
      </c>
      <c r="F119" s="8">
        <v>1057.9676116360022</v>
      </c>
      <c r="G119" s="8">
        <v>1439.7677692690208</v>
      </c>
      <c r="H119" s="8">
        <v>715.66596867230237</v>
      </c>
      <c r="I119" s="8">
        <v>1036.7676678269518</v>
      </c>
      <c r="J119" s="8">
        <v>1382.9261576330184</v>
      </c>
      <c r="K119" s="8">
        <v>597.48119890601697</v>
      </c>
      <c r="L119" s="8">
        <v>837.91658627548486</v>
      </c>
      <c r="M119" s="8">
        <v>1331.0062421680757</v>
      </c>
      <c r="N119" s="22"/>
      <c r="O119" s="8">
        <v>65.386020354423835</v>
      </c>
      <c r="P119" s="8">
        <v>98.287607500554373</v>
      </c>
      <c r="Q119" s="8">
        <v>133.75771416956169</v>
      </c>
      <c r="R119" s="8">
        <v>66.48700305824525</v>
      </c>
      <c r="S119" s="8">
        <v>96.318084300391746</v>
      </c>
      <c r="T119" s="8">
        <v>128.47699862332766</v>
      </c>
      <c r="U119" s="8">
        <v>55.507368015004815</v>
      </c>
      <c r="V119" s="8">
        <v>77.844364651858967</v>
      </c>
      <c r="W119" s="8">
        <v>123.65351989245325</v>
      </c>
      <c r="X119" s="22"/>
      <c r="AA119" s="24">
        <f t="shared" si="4"/>
        <v>0.42554036715210403</v>
      </c>
      <c r="AB119" s="22"/>
    </row>
    <row r="120" spans="1:28" x14ac:dyDescent="0.25">
      <c r="A120" s="16"/>
      <c r="B120" s="3" t="s">
        <v>190</v>
      </c>
      <c r="C120" s="3" t="s">
        <v>191</v>
      </c>
      <c r="D120" s="11" t="s">
        <v>8</v>
      </c>
      <c r="E120" s="8">
        <v>453.57549875683736</v>
      </c>
      <c r="F120" s="8">
        <v>562.75089010442571</v>
      </c>
      <c r="G120" s="8">
        <v>758.58851516658387</v>
      </c>
      <c r="H120" s="8">
        <v>416.57961810044759</v>
      </c>
      <c r="I120" s="8">
        <v>578.66105818000995</v>
      </c>
      <c r="J120" s="8">
        <v>702.95440278468425</v>
      </c>
      <c r="K120" s="8">
        <v>518.40874191944306</v>
      </c>
      <c r="L120" s="8">
        <v>638.70439184485326</v>
      </c>
      <c r="M120" s="8">
        <v>986.48250820487317</v>
      </c>
      <c r="N120" s="22"/>
      <c r="O120" s="8">
        <v>42.138199793037174</v>
      </c>
      <c r="P120" s="8">
        <v>52.280843003917504</v>
      </c>
      <c r="Q120" s="8">
        <v>70.474605661911454</v>
      </c>
      <c r="R120" s="8">
        <v>38.701197982112497</v>
      </c>
      <c r="S120" s="8">
        <v>53.758933956685631</v>
      </c>
      <c r="T120" s="8">
        <v>65.306069554290772</v>
      </c>
      <c r="U120" s="8">
        <v>48.161356160839674</v>
      </c>
      <c r="V120" s="8">
        <v>59.337096792076281</v>
      </c>
      <c r="W120" s="8">
        <v>91.646478121073244</v>
      </c>
      <c r="X120" s="22"/>
      <c r="AA120" s="24">
        <f t="shared" si="4"/>
        <v>0.27424065440686446</v>
      </c>
      <c r="AB120" s="22"/>
    </row>
    <row r="121" spans="1:28" x14ac:dyDescent="0.25">
      <c r="A121" s="21">
        <v>-0.01</v>
      </c>
      <c r="B121" s="18" t="s">
        <v>190</v>
      </c>
      <c r="C121" s="18" t="s">
        <v>192</v>
      </c>
      <c r="D121" s="19" t="s">
        <v>8</v>
      </c>
      <c r="E121" s="25">
        <f>E120/1.01</f>
        <v>449.08465223449241</v>
      </c>
      <c r="F121" s="25">
        <f t="shared" ref="F121:W121" si="9">F120/1.01</f>
        <v>557.17909911329275</v>
      </c>
      <c r="G121" s="25">
        <f t="shared" si="9"/>
        <v>751.07773778869694</v>
      </c>
      <c r="H121" s="25">
        <f t="shared" si="9"/>
        <v>412.45506742618574</v>
      </c>
      <c r="I121" s="25">
        <f t="shared" si="9"/>
        <v>572.93174077228707</v>
      </c>
      <c r="J121" s="25">
        <f t="shared" si="9"/>
        <v>695.99445820265771</v>
      </c>
      <c r="K121" s="25">
        <f t="shared" si="9"/>
        <v>513.27598209845848</v>
      </c>
      <c r="L121" s="25">
        <f t="shared" si="9"/>
        <v>632.38058598500322</v>
      </c>
      <c r="M121" s="25">
        <f t="shared" si="9"/>
        <v>976.71535465829027</v>
      </c>
      <c r="N121" s="22"/>
      <c r="O121" s="25">
        <f t="shared" si="9"/>
        <v>41.720989894096213</v>
      </c>
      <c r="P121" s="25">
        <f t="shared" si="9"/>
        <v>51.763210894967827</v>
      </c>
      <c r="Q121" s="25">
        <f t="shared" si="9"/>
        <v>69.776837289021245</v>
      </c>
      <c r="R121" s="25">
        <f t="shared" si="9"/>
        <v>38.318017804071779</v>
      </c>
      <c r="S121" s="25">
        <f t="shared" si="9"/>
        <v>53.226667283847156</v>
      </c>
      <c r="T121" s="25">
        <f t="shared" si="9"/>
        <v>64.659474806228488</v>
      </c>
      <c r="U121" s="25">
        <f t="shared" si="9"/>
        <v>47.684511050336312</v>
      </c>
      <c r="V121" s="25">
        <f t="shared" si="9"/>
        <v>58.749600784233941</v>
      </c>
      <c r="W121" s="25">
        <f t="shared" si="9"/>
        <v>90.739087248587367</v>
      </c>
      <c r="X121" s="22"/>
      <c r="AA121" s="26">
        <f t="shared" si="4"/>
        <v>0.27152540040283613</v>
      </c>
      <c r="AB121" s="22"/>
    </row>
    <row r="122" spans="1:28" x14ac:dyDescent="0.25">
      <c r="A122" s="21">
        <v>-0.01</v>
      </c>
      <c r="B122" s="18" t="s">
        <v>190</v>
      </c>
      <c r="C122" s="18" t="s">
        <v>193</v>
      </c>
      <c r="D122" s="19" t="s">
        <v>8</v>
      </c>
      <c r="E122" s="25">
        <f>E120/1.01</f>
        <v>449.08465223449241</v>
      </c>
      <c r="F122" s="25">
        <f t="shared" ref="F122:M122" si="10">F120/1.01</f>
        <v>557.17909911329275</v>
      </c>
      <c r="G122" s="25">
        <f t="shared" si="10"/>
        <v>751.07773778869694</v>
      </c>
      <c r="H122" s="25">
        <f t="shared" si="10"/>
        <v>412.45506742618574</v>
      </c>
      <c r="I122" s="25">
        <f t="shared" si="10"/>
        <v>572.93174077228707</v>
      </c>
      <c r="J122" s="25">
        <f t="shared" si="10"/>
        <v>695.99445820265771</v>
      </c>
      <c r="K122" s="25">
        <f t="shared" si="10"/>
        <v>513.27598209845848</v>
      </c>
      <c r="L122" s="25">
        <f t="shared" si="10"/>
        <v>632.38058598500322</v>
      </c>
      <c r="M122" s="25">
        <f t="shared" si="10"/>
        <v>976.71535465829027</v>
      </c>
      <c r="N122" s="22"/>
      <c r="O122" s="25">
        <f t="shared" ref="O122:W122" si="11">O120/1.01</f>
        <v>41.720989894096213</v>
      </c>
      <c r="P122" s="25">
        <f t="shared" si="11"/>
        <v>51.763210894967827</v>
      </c>
      <c r="Q122" s="25">
        <f t="shared" si="11"/>
        <v>69.776837289021245</v>
      </c>
      <c r="R122" s="25">
        <f t="shared" si="11"/>
        <v>38.318017804071779</v>
      </c>
      <c r="S122" s="25">
        <f t="shared" si="11"/>
        <v>53.226667283847156</v>
      </c>
      <c r="T122" s="25">
        <f t="shared" si="11"/>
        <v>64.659474806228488</v>
      </c>
      <c r="U122" s="25">
        <f t="shared" si="11"/>
        <v>47.684511050336312</v>
      </c>
      <c r="V122" s="25">
        <f t="shared" si="11"/>
        <v>58.749600784233941</v>
      </c>
      <c r="W122" s="25">
        <f t="shared" si="11"/>
        <v>90.739087248587367</v>
      </c>
      <c r="X122" s="22"/>
      <c r="AA122" s="26">
        <f t="shared" si="4"/>
        <v>0.27152540040283613</v>
      </c>
      <c r="AB122" s="22"/>
    </row>
    <row r="123" spans="1:28" x14ac:dyDescent="0.25">
      <c r="A123" s="21">
        <v>-0.02</v>
      </c>
      <c r="B123" s="18" t="s">
        <v>190</v>
      </c>
      <c r="C123" s="18" t="s">
        <v>194</v>
      </c>
      <c r="D123" s="19" t="s">
        <v>8</v>
      </c>
      <c r="E123" s="25">
        <f>E120/1.02</f>
        <v>444.68186152631114</v>
      </c>
      <c r="F123" s="25">
        <f t="shared" ref="F123:M123" si="12">F120/1.02</f>
        <v>551.71655892590752</v>
      </c>
      <c r="G123" s="25">
        <f t="shared" si="12"/>
        <v>743.71423055547439</v>
      </c>
      <c r="H123" s="25">
        <f t="shared" si="12"/>
        <v>408.41139029455644</v>
      </c>
      <c r="I123" s="25">
        <f t="shared" si="12"/>
        <v>567.31476292157834</v>
      </c>
      <c r="J123" s="25">
        <f t="shared" si="12"/>
        <v>689.17098312223948</v>
      </c>
      <c r="K123" s="25">
        <f t="shared" si="12"/>
        <v>508.24386462690495</v>
      </c>
      <c r="L123" s="25">
        <f t="shared" si="12"/>
        <v>626.18077631848359</v>
      </c>
      <c r="M123" s="25">
        <f t="shared" si="12"/>
        <v>967.13971392634619</v>
      </c>
      <c r="N123" s="22"/>
      <c r="O123" s="25">
        <f t="shared" ref="O123:W123" si="13">O120/1.02</f>
        <v>41.311960581408997</v>
      </c>
      <c r="P123" s="25">
        <f t="shared" si="13"/>
        <v>51.255728435213236</v>
      </c>
      <c r="Q123" s="25">
        <f t="shared" si="13"/>
        <v>69.092750648932793</v>
      </c>
      <c r="R123" s="25">
        <f t="shared" si="13"/>
        <v>37.942350962855386</v>
      </c>
      <c r="S123" s="25">
        <f t="shared" si="13"/>
        <v>52.704837212436892</v>
      </c>
      <c r="T123" s="25">
        <f t="shared" si="13"/>
        <v>64.025558386559581</v>
      </c>
      <c r="U123" s="25">
        <f t="shared" si="13"/>
        <v>47.217015843960461</v>
      </c>
      <c r="V123" s="25">
        <f t="shared" si="13"/>
        <v>58.173624305957134</v>
      </c>
      <c r="W123" s="25">
        <f t="shared" si="13"/>
        <v>89.84948835399338</v>
      </c>
      <c r="X123" s="22"/>
      <c r="AA123" s="26">
        <f t="shared" si="4"/>
        <v>0.26886338667339654</v>
      </c>
      <c r="AB123" s="22"/>
    </row>
    <row r="124" spans="1:28" x14ac:dyDescent="0.25">
      <c r="A124" s="21">
        <v>0.08</v>
      </c>
      <c r="B124" s="18" t="s">
        <v>190</v>
      </c>
      <c r="C124" s="18" t="s">
        <v>195</v>
      </c>
      <c r="D124" s="19" t="s">
        <v>8</v>
      </c>
      <c r="E124" s="25">
        <f>E120*1.08</f>
        <v>489.86153865738436</v>
      </c>
      <c r="F124" s="25">
        <f t="shared" ref="F124:M124" si="14">F120*1.08</f>
        <v>607.77096131277983</v>
      </c>
      <c r="G124" s="25">
        <f t="shared" si="14"/>
        <v>819.27559637991067</v>
      </c>
      <c r="H124" s="25">
        <f t="shared" si="14"/>
        <v>449.90598754848344</v>
      </c>
      <c r="I124" s="25">
        <f t="shared" si="14"/>
        <v>624.95394283441078</v>
      </c>
      <c r="J124" s="25">
        <f t="shared" si="14"/>
        <v>759.19075500745907</v>
      </c>
      <c r="K124" s="25">
        <f t="shared" si="14"/>
        <v>559.88144127299859</v>
      </c>
      <c r="L124" s="25">
        <f t="shared" si="14"/>
        <v>689.80074319244159</v>
      </c>
      <c r="M124" s="25">
        <f t="shared" si="14"/>
        <v>1065.4011088612631</v>
      </c>
      <c r="N124" s="22"/>
      <c r="O124" s="25">
        <f t="shared" ref="O124:W124" si="15">O120*1.08</f>
        <v>45.509255776480153</v>
      </c>
      <c r="P124" s="25">
        <f t="shared" si="15"/>
        <v>56.463310444230906</v>
      </c>
      <c r="Q124" s="25">
        <f t="shared" si="15"/>
        <v>76.112574114864373</v>
      </c>
      <c r="R124" s="25">
        <f t="shared" si="15"/>
        <v>41.797293820681496</v>
      </c>
      <c r="S124" s="25">
        <f t="shared" si="15"/>
        <v>58.059648673220487</v>
      </c>
      <c r="T124" s="25">
        <f t="shared" si="15"/>
        <v>70.530555118634041</v>
      </c>
      <c r="U124" s="25">
        <f t="shared" si="15"/>
        <v>52.014264653706853</v>
      </c>
      <c r="V124" s="25">
        <f t="shared" si="15"/>
        <v>64.084064535442394</v>
      </c>
      <c r="W124" s="25">
        <f t="shared" si="15"/>
        <v>98.978196370759107</v>
      </c>
      <c r="X124" s="22"/>
      <c r="AA124" s="26">
        <f t="shared" si="4"/>
        <v>0.29617990675941364</v>
      </c>
      <c r="AB124" s="22"/>
    </row>
    <row r="125" spans="1:28" x14ac:dyDescent="0.25">
      <c r="A125" s="21">
        <v>0.05</v>
      </c>
      <c r="B125" s="18" t="s">
        <v>190</v>
      </c>
      <c r="C125" s="18" t="s">
        <v>196</v>
      </c>
      <c r="D125" s="19" t="s">
        <v>8</v>
      </c>
      <c r="E125" s="25">
        <f>E120*1.05</f>
        <v>476.25427369467923</v>
      </c>
      <c r="F125" s="25">
        <f t="shared" ref="F125:M125" si="16">F120*1.05</f>
        <v>590.88843460964699</v>
      </c>
      <c r="G125" s="25">
        <f t="shared" si="16"/>
        <v>796.51794092491309</v>
      </c>
      <c r="H125" s="25">
        <f t="shared" si="16"/>
        <v>437.40859900546997</v>
      </c>
      <c r="I125" s="25">
        <f t="shared" si="16"/>
        <v>607.59411108901043</v>
      </c>
      <c r="J125" s="25">
        <f t="shared" si="16"/>
        <v>738.1021229239185</v>
      </c>
      <c r="K125" s="25">
        <f t="shared" si="16"/>
        <v>544.32917901541521</v>
      </c>
      <c r="L125" s="25">
        <f t="shared" si="16"/>
        <v>670.63961143709594</v>
      </c>
      <c r="M125" s="25">
        <f t="shared" si="16"/>
        <v>1035.8066336151169</v>
      </c>
      <c r="N125" s="22"/>
      <c r="O125" s="25">
        <f t="shared" ref="O125:W125" si="17">O120*1.05</f>
        <v>44.245109782689035</v>
      </c>
      <c r="P125" s="25">
        <f t="shared" si="17"/>
        <v>54.894885154113382</v>
      </c>
      <c r="Q125" s="25">
        <f t="shared" si="17"/>
        <v>73.998335945007028</v>
      </c>
      <c r="R125" s="25">
        <f t="shared" si="17"/>
        <v>40.636257881218121</v>
      </c>
      <c r="S125" s="25">
        <f t="shared" si="17"/>
        <v>56.446880654519916</v>
      </c>
      <c r="T125" s="25">
        <f t="shared" si="17"/>
        <v>68.571373032005312</v>
      </c>
      <c r="U125" s="25">
        <f t="shared" si="17"/>
        <v>50.569423968881658</v>
      </c>
      <c r="V125" s="25">
        <f t="shared" si="17"/>
        <v>62.3039516316801</v>
      </c>
      <c r="W125" s="25">
        <f t="shared" si="17"/>
        <v>96.228802027126903</v>
      </c>
      <c r="X125" s="22"/>
      <c r="AA125" s="26">
        <f t="shared" si="4"/>
        <v>0.28795268712720767</v>
      </c>
      <c r="AB125" s="22"/>
    </row>
    <row r="126" spans="1:28" x14ac:dyDescent="0.25">
      <c r="A126" s="21">
        <v>-0.01</v>
      </c>
      <c r="B126" s="18" t="s">
        <v>190</v>
      </c>
      <c r="C126" s="18" t="s">
        <v>197</v>
      </c>
      <c r="D126" s="19" t="s">
        <v>8</v>
      </c>
      <c r="E126" s="25">
        <f>E120/1.01</f>
        <v>449.08465223449241</v>
      </c>
      <c r="F126" s="25">
        <f t="shared" ref="F126:M126" si="18">F120/1.01</f>
        <v>557.17909911329275</v>
      </c>
      <c r="G126" s="25">
        <f t="shared" si="18"/>
        <v>751.07773778869694</v>
      </c>
      <c r="H126" s="25">
        <f t="shared" si="18"/>
        <v>412.45506742618574</v>
      </c>
      <c r="I126" s="25">
        <f t="shared" si="18"/>
        <v>572.93174077228707</v>
      </c>
      <c r="J126" s="25">
        <f t="shared" si="18"/>
        <v>695.99445820265771</v>
      </c>
      <c r="K126" s="25">
        <f t="shared" si="18"/>
        <v>513.27598209845848</v>
      </c>
      <c r="L126" s="25">
        <f t="shared" si="18"/>
        <v>632.38058598500322</v>
      </c>
      <c r="M126" s="25">
        <f t="shared" si="18"/>
        <v>976.71535465829027</v>
      </c>
      <c r="N126" s="22"/>
      <c r="O126" s="25">
        <f t="shared" ref="O126:W126" si="19">O120/1.01</f>
        <v>41.720989894096213</v>
      </c>
      <c r="P126" s="25">
        <f t="shared" si="19"/>
        <v>51.763210894967827</v>
      </c>
      <c r="Q126" s="25">
        <f t="shared" si="19"/>
        <v>69.776837289021245</v>
      </c>
      <c r="R126" s="25">
        <f t="shared" si="19"/>
        <v>38.318017804071779</v>
      </c>
      <c r="S126" s="25">
        <f t="shared" si="19"/>
        <v>53.226667283847156</v>
      </c>
      <c r="T126" s="25">
        <f t="shared" si="19"/>
        <v>64.659474806228488</v>
      </c>
      <c r="U126" s="25">
        <f t="shared" si="19"/>
        <v>47.684511050336312</v>
      </c>
      <c r="V126" s="25">
        <f t="shared" si="19"/>
        <v>58.749600784233941</v>
      </c>
      <c r="W126" s="25">
        <f t="shared" si="19"/>
        <v>90.739087248587367</v>
      </c>
      <c r="X126" s="22"/>
      <c r="AA126" s="26">
        <f t="shared" si="4"/>
        <v>0.27152540040283613</v>
      </c>
      <c r="AB126" s="22"/>
    </row>
    <row r="127" spans="1:28" x14ac:dyDescent="0.25">
      <c r="A127" s="16"/>
      <c r="B127" s="3" t="s">
        <v>198</v>
      </c>
      <c r="C127" s="3" t="s">
        <v>199</v>
      </c>
      <c r="D127" s="11" t="s">
        <v>8</v>
      </c>
      <c r="E127" s="8">
        <v>889.68147572352063</v>
      </c>
      <c r="F127" s="8">
        <v>1134.469468928891</v>
      </c>
      <c r="G127" s="8">
        <v>1426.1232788622574</v>
      </c>
      <c r="H127" s="8">
        <v>801.72357893983087</v>
      </c>
      <c r="I127" s="8">
        <v>922.2261332272501</v>
      </c>
      <c r="J127" s="8">
        <v>1230.3472568393834</v>
      </c>
      <c r="K127" s="8">
        <v>1130.0591460248631</v>
      </c>
      <c r="L127" s="8">
        <v>1223.0162798050719</v>
      </c>
      <c r="M127" s="8">
        <v>1634.5688191427148</v>
      </c>
      <c r="N127" s="22"/>
      <c r="O127" s="8">
        <v>82.653441111686007</v>
      </c>
      <c r="P127" s="8">
        <v>105.39480477197131</v>
      </c>
      <c r="Q127" s="8">
        <v>132.49010984699532</v>
      </c>
      <c r="R127" s="8">
        <v>74.481951606179308</v>
      </c>
      <c r="S127" s="8">
        <v>85.676914125212505</v>
      </c>
      <c r="T127" s="8">
        <v>114.30207025205114</v>
      </c>
      <c r="U127" s="8">
        <v>104.98507570108654</v>
      </c>
      <c r="V127" s="8">
        <v>113.62100574173995</v>
      </c>
      <c r="W127" s="8">
        <v>151.8551766250277</v>
      </c>
      <c r="X127" s="22"/>
      <c r="AA127" s="24">
        <f>O127/$AA$3</f>
        <v>0.53791889285202543</v>
      </c>
      <c r="AB127" s="22"/>
    </row>
    <row r="128" spans="1:28" x14ac:dyDescent="0.25">
      <c r="A128" s="16"/>
      <c r="B128" s="3" t="s">
        <v>200</v>
      </c>
      <c r="C128" s="3" t="s">
        <v>201</v>
      </c>
      <c r="D128" s="11" t="s">
        <v>8</v>
      </c>
      <c r="E128" s="8">
        <v>1776.8153242168075</v>
      </c>
      <c r="F128" s="8">
        <v>2284.4697821979116</v>
      </c>
      <c r="G128" s="8">
        <v>2721.0351150671308</v>
      </c>
      <c r="H128" s="8">
        <v>1561.5775945300845</v>
      </c>
      <c r="I128" s="8">
        <v>2098.6411864743909</v>
      </c>
      <c r="J128" s="8">
        <v>2413.9908766782696</v>
      </c>
      <c r="K128" s="8">
        <v>1441.4861540527099</v>
      </c>
      <c r="L128" s="8">
        <v>1763.3797524614617</v>
      </c>
      <c r="M128" s="8">
        <v>2482.5079315763301</v>
      </c>
      <c r="N128" s="22"/>
      <c r="O128" s="8">
        <v>165.07020183494714</v>
      </c>
      <c r="P128" s="8">
        <v>212.23246045531818</v>
      </c>
      <c r="Q128" s="8">
        <v>252.79037698647349</v>
      </c>
      <c r="R128" s="8">
        <v>145.07412514783056</v>
      </c>
      <c r="S128" s="8">
        <v>194.96855948333209</v>
      </c>
      <c r="T128" s="8">
        <v>224.26526595646391</v>
      </c>
      <c r="U128" s="8">
        <v>133.9173560407273</v>
      </c>
      <c r="V128" s="8">
        <v>163.822006532264</v>
      </c>
      <c r="W128" s="8">
        <v>230.63065684825187</v>
      </c>
      <c r="X128" s="22"/>
      <c r="AA128" s="24">
        <f>O128/$AA$3</f>
        <v>1.0742974402472991</v>
      </c>
      <c r="AB128" s="22"/>
    </row>
    <row r="129" spans="1:28" x14ac:dyDescent="0.25">
      <c r="A129" s="16"/>
      <c r="B129" s="3" t="s">
        <v>202</v>
      </c>
      <c r="C129" s="3" t="s">
        <v>203</v>
      </c>
      <c r="D129" s="11" t="s">
        <v>8</v>
      </c>
      <c r="E129" s="8">
        <v>775.03335156638479</v>
      </c>
      <c r="F129" s="8">
        <v>1050.0586872202884</v>
      </c>
      <c r="G129" s="8">
        <v>1484.9770412729983</v>
      </c>
      <c r="H129" s="8">
        <v>689.8920835405271</v>
      </c>
      <c r="I129" s="8">
        <v>983.19264047737431</v>
      </c>
      <c r="J129" s="8">
        <v>1177.3131526603679</v>
      </c>
      <c r="K129" s="8">
        <v>938.79304326205863</v>
      </c>
      <c r="L129" s="8">
        <v>1105.2009696668324</v>
      </c>
      <c r="M129" s="8">
        <v>1538.5297563401293</v>
      </c>
      <c r="N129" s="22"/>
      <c r="O129" s="8">
        <v>72.002368523172436</v>
      </c>
      <c r="P129" s="8">
        <v>97.552850358489152</v>
      </c>
      <c r="Q129" s="8">
        <v>137.95775879591986</v>
      </c>
      <c r="R129" s="8">
        <v>64.092550262399286</v>
      </c>
      <c r="S129" s="8">
        <v>91.340841895188106</v>
      </c>
      <c r="T129" s="8">
        <v>109.37508084485179</v>
      </c>
      <c r="U129" s="8">
        <v>87.21601790597974</v>
      </c>
      <c r="V129" s="8">
        <v>102.67569434178429</v>
      </c>
      <c r="W129" s="8">
        <v>142.93292833912335</v>
      </c>
      <c r="X129" s="22"/>
      <c r="AA129" s="24">
        <f t="shared" ref="AA129:AA137" si="20">O129/$AA$3</f>
        <v>0.46860038538954885</v>
      </c>
      <c r="AB129" s="22"/>
    </row>
    <row r="130" spans="1:28" x14ac:dyDescent="0.25">
      <c r="A130" s="16"/>
      <c r="B130" s="3" t="s">
        <v>204</v>
      </c>
      <c r="C130" s="3" t="s">
        <v>205</v>
      </c>
      <c r="D130" s="11" t="s">
        <v>8</v>
      </c>
      <c r="E130" s="8">
        <v>1048.590775733466</v>
      </c>
      <c r="F130" s="8">
        <v>1495.5901491795128</v>
      </c>
      <c r="G130" s="8">
        <v>1911.2608453505718</v>
      </c>
      <c r="H130" s="8">
        <v>741.19373446046734</v>
      </c>
      <c r="I130" s="8">
        <v>1057.8186573843857</v>
      </c>
      <c r="J130" s="8">
        <v>1359.4351069119841</v>
      </c>
      <c r="K130" s="8">
        <v>814.14249627051208</v>
      </c>
      <c r="L130" s="8">
        <v>1093.3321979114869</v>
      </c>
      <c r="M130" s="8">
        <v>1553.6275484833416</v>
      </c>
      <c r="N130" s="22"/>
      <c r="O130" s="8">
        <v>97.416478028679123</v>
      </c>
      <c r="P130" s="8">
        <v>138.94374076058835</v>
      </c>
      <c r="Q130" s="8">
        <v>177.56049781949881</v>
      </c>
      <c r="R130" s="8">
        <v>68.858590804937535</v>
      </c>
      <c r="S130" s="8">
        <v>98.273769310370298</v>
      </c>
      <c r="T130" s="8">
        <v>126.29462635819348</v>
      </c>
      <c r="U130" s="8">
        <v>75.635697390790156</v>
      </c>
      <c r="V130" s="8">
        <v>101.57305833764505</v>
      </c>
      <c r="W130" s="8">
        <v>144.33554771232164</v>
      </c>
      <c r="X130" s="22"/>
      <c r="AA130" s="24">
        <f t="shared" si="20"/>
        <v>0.63399857648905344</v>
      </c>
      <c r="AB130" s="22"/>
    </row>
    <row r="131" spans="1:28" x14ac:dyDescent="0.25">
      <c r="A131" s="16"/>
      <c r="B131" s="3" t="s">
        <v>206</v>
      </c>
      <c r="C131" s="3" t="s">
        <v>207</v>
      </c>
      <c r="D131" s="11" t="s">
        <v>8</v>
      </c>
      <c r="E131" s="8">
        <v>1042.1951409746393</v>
      </c>
      <c r="F131" s="8">
        <v>1116.4058376429637</v>
      </c>
      <c r="G131" s="8">
        <v>1188.604349328692</v>
      </c>
      <c r="H131" s="8">
        <v>993.04847339632022</v>
      </c>
      <c r="I131" s="8">
        <v>1028.5983197414221</v>
      </c>
      <c r="J131" s="8">
        <v>1116.5933078070611</v>
      </c>
      <c r="K131" s="8">
        <v>1015.0962073595227</v>
      </c>
      <c r="L131" s="8">
        <v>1305.4562108403779</v>
      </c>
      <c r="M131" s="8">
        <v>1452.7372725012433</v>
      </c>
      <c r="N131" s="22"/>
      <c r="O131" s="8">
        <v>96.822308952065924</v>
      </c>
      <c r="P131" s="8">
        <v>103.7166521684899</v>
      </c>
      <c r="Q131" s="8">
        <v>110.42405880423533</v>
      </c>
      <c r="R131" s="8">
        <v>92.256471283908638</v>
      </c>
      <c r="S131" s="8">
        <v>95.559133204597529</v>
      </c>
      <c r="T131" s="8">
        <v>103.73406857491314</v>
      </c>
      <c r="U131" s="8">
        <v>94.304756125729909</v>
      </c>
      <c r="V131" s="8">
        <v>121.27986362628428</v>
      </c>
      <c r="W131" s="8">
        <v>134.96261064195431</v>
      </c>
      <c r="X131" s="22"/>
      <c r="AA131" s="24">
        <f t="shared" si="20"/>
        <v>0.6301316501087374</v>
      </c>
      <c r="AB131" s="22"/>
    </row>
    <row r="132" spans="1:28" x14ac:dyDescent="0.25">
      <c r="A132" s="16"/>
      <c r="B132" s="3" t="s">
        <v>208</v>
      </c>
      <c r="C132" s="3" t="s">
        <v>209</v>
      </c>
      <c r="D132" s="11" t="s">
        <v>8</v>
      </c>
      <c r="E132" s="8">
        <v>975.26674490303321</v>
      </c>
      <c r="F132" s="8">
        <v>1416.9142973644953</v>
      </c>
      <c r="G132" s="8">
        <v>1820.1557573346593</v>
      </c>
      <c r="H132" s="8">
        <v>999.22151367478864</v>
      </c>
      <c r="I132" s="8">
        <v>1189.273247140726</v>
      </c>
      <c r="J132" s="8">
        <v>1506.1323311785181</v>
      </c>
      <c r="K132" s="8">
        <v>847.70146096469409</v>
      </c>
      <c r="L132" s="8">
        <v>907.38149477871696</v>
      </c>
      <c r="M132" s="8">
        <v>1178.5739522625558</v>
      </c>
      <c r="N132" s="22"/>
      <c r="O132" s="8">
        <v>90.60450809372459</v>
      </c>
      <c r="P132" s="8">
        <v>131.63457443270011</v>
      </c>
      <c r="Q132" s="8">
        <v>169.09662706038876</v>
      </c>
      <c r="R132" s="8">
        <v>92.829960824894656</v>
      </c>
      <c r="S132" s="8">
        <v>110.4862009387242</v>
      </c>
      <c r="T132" s="8">
        <v>139.92313354645574</v>
      </c>
      <c r="U132" s="8">
        <v>78.75340185896961</v>
      </c>
      <c r="V132" s="8">
        <v>84.297813308448511</v>
      </c>
      <c r="W132" s="8">
        <v>109.49221200753935</v>
      </c>
      <c r="X132" s="22"/>
      <c r="AA132" s="24">
        <f t="shared" si="20"/>
        <v>0.58966542742390282</v>
      </c>
      <c r="AB132" s="22"/>
    </row>
    <row r="133" spans="1:28" x14ac:dyDescent="0.25">
      <c r="A133" s="16"/>
      <c r="B133" s="3" t="s">
        <v>210</v>
      </c>
      <c r="C133" s="3" t="s">
        <v>210</v>
      </c>
      <c r="D133" s="11" t="s">
        <v>8</v>
      </c>
      <c r="E133" s="8">
        <v>1653.9323818995526</v>
      </c>
      <c r="F133" s="8">
        <v>2530.760626553953</v>
      </c>
      <c r="G133" s="8">
        <v>3000.366245648931</v>
      </c>
      <c r="H133" s="8">
        <v>1435.6312779711586</v>
      </c>
      <c r="I133" s="8">
        <v>2243.6836797613128</v>
      </c>
      <c r="J133" s="8">
        <v>2609.2484634510192</v>
      </c>
      <c r="K133" s="8">
        <v>1541.4376628543014</v>
      </c>
      <c r="L133" s="8">
        <v>2040.3617802088513</v>
      </c>
      <c r="M133" s="8">
        <v>2405.6193038289407</v>
      </c>
      <c r="N133" s="22"/>
      <c r="O133" s="8">
        <v>153.65409583117747</v>
      </c>
      <c r="P133" s="8">
        <v>235.11344241998668</v>
      </c>
      <c r="Q133" s="8">
        <v>278.74087700495227</v>
      </c>
      <c r="R133" s="8">
        <v>133.37342468031633</v>
      </c>
      <c r="S133" s="8">
        <v>208.44333838421167</v>
      </c>
      <c r="T133" s="8">
        <v>242.40514173257444</v>
      </c>
      <c r="U133" s="8">
        <v>143.2030794958977</v>
      </c>
      <c r="V133" s="8">
        <v>189.55426953211617</v>
      </c>
      <c r="W133" s="8">
        <v>223.48752771823487</v>
      </c>
      <c r="X133" s="22"/>
      <c r="AA133" s="24">
        <f t="shared" si="20"/>
        <v>1</v>
      </c>
      <c r="AB133" s="22"/>
    </row>
    <row r="134" spans="1:28" x14ac:dyDescent="0.25">
      <c r="A134" s="16"/>
      <c r="B134" s="3" t="s">
        <v>211</v>
      </c>
      <c r="C134" s="3" t="s">
        <v>212</v>
      </c>
      <c r="D134" s="11" t="s">
        <v>8</v>
      </c>
      <c r="E134" s="8">
        <v>680.40642257583295</v>
      </c>
      <c r="F134" s="8">
        <v>1161.1269618498261</v>
      </c>
      <c r="G134" s="8">
        <v>1132.7642059075088</v>
      </c>
      <c r="H134" s="8">
        <v>688.02264674291393</v>
      </c>
      <c r="I134" s="8">
        <v>956.28510287419203</v>
      </c>
      <c r="J134" s="8">
        <v>1019.1874907608156</v>
      </c>
      <c r="K134" s="8">
        <v>822.08332254599702</v>
      </c>
      <c r="L134" s="8">
        <v>1182.5887462158132</v>
      </c>
      <c r="M134" s="8">
        <v>1265.9610693386376</v>
      </c>
      <c r="N134" s="22"/>
      <c r="O134" s="8">
        <v>63.211310693695026</v>
      </c>
      <c r="P134" s="8">
        <v>107.87134674957498</v>
      </c>
      <c r="Q134" s="8">
        <v>105.23638194249391</v>
      </c>
      <c r="R134" s="8">
        <v>63.918875314140003</v>
      </c>
      <c r="S134" s="8">
        <v>88.841070195505949</v>
      </c>
      <c r="T134" s="8">
        <v>94.684845698129948</v>
      </c>
      <c r="U134" s="8">
        <v>76.373418288491393</v>
      </c>
      <c r="V134" s="8">
        <v>109.86519553551629</v>
      </c>
      <c r="W134" s="8">
        <v>117.61067477455836</v>
      </c>
      <c r="X134" s="22"/>
      <c r="AA134" s="24">
        <f t="shared" si="20"/>
        <v>0.41138708572498084</v>
      </c>
      <c r="AB134" s="22"/>
    </row>
    <row r="135" spans="1:28" x14ac:dyDescent="0.25">
      <c r="A135" s="16"/>
      <c r="B135" s="3" t="s">
        <v>213</v>
      </c>
      <c r="C135" s="3" t="s">
        <v>214</v>
      </c>
      <c r="D135" s="11" t="s">
        <v>8</v>
      </c>
      <c r="E135" s="8">
        <v>835.39582815514666</v>
      </c>
      <c r="F135" s="8">
        <v>1257.1376777424166</v>
      </c>
      <c r="G135" s="8">
        <v>1731.7612144604673</v>
      </c>
      <c r="H135" s="8">
        <v>807.84112961710582</v>
      </c>
      <c r="I135" s="8">
        <v>1155.7776893088017</v>
      </c>
      <c r="J135" s="8">
        <v>1511.2864640775731</v>
      </c>
      <c r="K135" s="8">
        <v>719.30217544505217</v>
      </c>
      <c r="L135" s="8">
        <v>906.1576564395823</v>
      </c>
      <c r="M135" s="8">
        <v>1351.6231607458974</v>
      </c>
      <c r="N135" s="22"/>
      <c r="O135" s="8">
        <v>77.610180465111981</v>
      </c>
      <c r="P135" s="8">
        <v>116.79096154279695</v>
      </c>
      <c r="Q135" s="8">
        <v>160.88457213578238</v>
      </c>
      <c r="R135" s="8">
        <v>75.050286036477189</v>
      </c>
      <c r="S135" s="8">
        <v>107.37438711286865</v>
      </c>
      <c r="T135" s="8">
        <v>140.40196426472761</v>
      </c>
      <c r="U135" s="8">
        <v>66.824814972466555</v>
      </c>
      <c r="V135" s="8">
        <v>84.184115931517482</v>
      </c>
      <c r="W135" s="8">
        <v>125.56887871701528</v>
      </c>
      <c r="X135" s="22"/>
      <c r="AA135" s="24">
        <f t="shared" si="20"/>
        <v>0.50509672420567098</v>
      </c>
      <c r="AB135" s="22"/>
    </row>
    <row r="136" spans="1:28" x14ac:dyDescent="0.25">
      <c r="A136" s="16"/>
      <c r="B136" s="3" t="s">
        <v>215</v>
      </c>
      <c r="C136" s="3" t="s">
        <v>216</v>
      </c>
      <c r="D136" s="11" t="s">
        <v>8</v>
      </c>
      <c r="E136" s="8">
        <v>520.38490104425659</v>
      </c>
      <c r="F136" s="8">
        <v>830.9091059174541</v>
      </c>
      <c r="G136" s="8">
        <v>1167.4521193436103</v>
      </c>
      <c r="H136" s="8">
        <v>508.8425519641969</v>
      </c>
      <c r="I136" s="8">
        <v>708.67977722526109</v>
      </c>
      <c r="J136" s="8">
        <v>921.57452610641485</v>
      </c>
      <c r="K136" s="8">
        <v>605.25191248135252</v>
      </c>
      <c r="L136" s="8">
        <v>836.63430532073596</v>
      </c>
      <c r="M136" s="8">
        <v>1155.8849448035803</v>
      </c>
      <c r="N136" s="22"/>
      <c r="O136" s="8">
        <v>48.344945857047819</v>
      </c>
      <c r="P136" s="8">
        <v>77.193353721635006</v>
      </c>
      <c r="Q136" s="8">
        <v>108.45896832729692</v>
      </c>
      <c r="R136" s="8">
        <v>47.272635264986327</v>
      </c>
      <c r="S136" s="8">
        <v>65.837969916475714</v>
      </c>
      <c r="T136" s="8">
        <v>85.616378335427598</v>
      </c>
      <c r="U136" s="8">
        <v>56.229285054327732</v>
      </c>
      <c r="V136" s="8">
        <v>77.725237822455455</v>
      </c>
      <c r="W136" s="8">
        <v>107.38435139330326</v>
      </c>
      <c r="X136" s="22"/>
      <c r="AA136" s="24">
        <f t="shared" si="20"/>
        <v>0.31463493111283725</v>
      </c>
      <c r="AB136" s="22"/>
    </row>
    <row r="137" spans="1:28" x14ac:dyDescent="0.25">
      <c r="A137" s="16"/>
      <c r="B137" s="3" t="s">
        <v>217</v>
      </c>
      <c r="C137" s="3" t="s">
        <v>218</v>
      </c>
      <c r="D137" s="11" t="s">
        <v>8</v>
      </c>
      <c r="E137" s="8">
        <v>612.14130537792141</v>
      </c>
      <c r="F137" s="8">
        <v>768.30720191645946</v>
      </c>
      <c r="G137" s="8">
        <v>986.16239814619598</v>
      </c>
      <c r="H137" s="8">
        <v>558.45171978965686</v>
      </c>
      <c r="I137" s="8">
        <v>699.53923815763301</v>
      </c>
      <c r="J137" s="8">
        <v>863.94799935007461</v>
      </c>
      <c r="K137" s="8">
        <v>474.29589361113875</v>
      </c>
      <c r="L137" s="8">
        <v>571.93005475385382</v>
      </c>
      <c r="M137" s="8">
        <v>851.23458758329184</v>
      </c>
      <c r="N137" s="22"/>
      <c r="O137" s="8">
        <v>56.869325389672177</v>
      </c>
      <c r="P137" s="8">
        <v>71.377493858285902</v>
      </c>
      <c r="Q137" s="8">
        <v>91.616739165496341</v>
      </c>
      <c r="R137" s="8">
        <v>51.88144026244548</v>
      </c>
      <c r="S137" s="8">
        <v>64.988792960261293</v>
      </c>
      <c r="T137" s="8">
        <v>80.26274238178172</v>
      </c>
      <c r="U137" s="8">
        <v>44.063171800022175</v>
      </c>
      <c r="V137" s="8">
        <v>53.133608364901328</v>
      </c>
      <c r="W137" s="8">
        <v>79.081637391436914</v>
      </c>
      <c r="X137" s="22"/>
      <c r="AA137" s="24">
        <f t="shared" si="20"/>
        <v>0.37011265519505271</v>
      </c>
      <c r="AB137" s="22"/>
    </row>
    <row r="138" spans="1:28" x14ac:dyDescent="0.25">
      <c r="A138" s="16"/>
      <c r="B138" s="3" t="s">
        <v>219</v>
      </c>
      <c r="C138" s="3" t="s">
        <v>220</v>
      </c>
      <c r="D138" s="11" t="s">
        <v>6</v>
      </c>
      <c r="E138" s="8">
        <v>1565.342282446544</v>
      </c>
      <c r="F138" s="8">
        <v>2132.8762705121831</v>
      </c>
      <c r="G138" s="8">
        <v>2999.4348184982596</v>
      </c>
      <c r="H138" s="8">
        <v>1449.5932272501243</v>
      </c>
      <c r="I138" s="8">
        <v>1980.3544356041768</v>
      </c>
      <c r="J138" s="8">
        <v>2617.6302187966185</v>
      </c>
      <c r="K138" s="8">
        <v>1738.5111138736945</v>
      </c>
      <c r="L138" s="8">
        <v>2193.4802237692688</v>
      </c>
      <c r="M138" s="8">
        <v>2863.8014768771759</v>
      </c>
      <c r="N138" s="22"/>
      <c r="O138" s="8">
        <v>145.4238732537512</v>
      </c>
      <c r="P138" s="8">
        <v>198.14907698277773</v>
      </c>
      <c r="Q138" s="8">
        <v>278.65434529529159</v>
      </c>
      <c r="R138" s="8">
        <v>134.67052165718087</v>
      </c>
      <c r="S138" s="8">
        <v>183.97945016261363</v>
      </c>
      <c r="T138" s="8">
        <v>243.18382594796361</v>
      </c>
      <c r="U138" s="8">
        <v>161.5116532079237</v>
      </c>
      <c r="V138" s="8">
        <v>203.77932265873309</v>
      </c>
      <c r="W138" s="8">
        <v>266.0536980745066</v>
      </c>
      <c r="X138" s="22"/>
      <c r="Y138" s="24">
        <f t="shared" ref="Y138:Y139" si="21">O138/$Y$3</f>
        <v>1</v>
      </c>
      <c r="AB138" s="22"/>
    </row>
    <row r="139" spans="1:28" x14ac:dyDescent="0.25">
      <c r="A139" s="16"/>
      <c r="B139" s="3" t="s">
        <v>221</v>
      </c>
      <c r="C139" s="3" t="s">
        <v>222</v>
      </c>
      <c r="D139" s="11" t="s">
        <v>6</v>
      </c>
      <c r="E139" s="8">
        <v>945.77247523620099</v>
      </c>
      <c r="F139" s="8">
        <v>1309.8001444057684</v>
      </c>
      <c r="G139" s="8">
        <v>2093.1230985082052</v>
      </c>
      <c r="H139" s="8">
        <v>960.3429413227251</v>
      </c>
      <c r="I139" s="8">
        <v>1289.4044826951765</v>
      </c>
      <c r="J139" s="8">
        <v>1905.6578397314772</v>
      </c>
      <c r="K139" s="8">
        <v>1210.3430370462456</v>
      </c>
      <c r="L139" s="8">
        <v>1474.0886072103433</v>
      </c>
      <c r="M139" s="8">
        <v>2278.7861442068624</v>
      </c>
      <c r="N139" s="22"/>
      <c r="O139" s="8">
        <v>87.864423077278431</v>
      </c>
      <c r="P139" s="8">
        <v>121.68342497597753</v>
      </c>
      <c r="Q139" s="8">
        <v>194.45591650805676</v>
      </c>
      <c r="R139" s="8">
        <v>89.218052655406893</v>
      </c>
      <c r="S139" s="8">
        <v>119.788621419728</v>
      </c>
      <c r="T139" s="8">
        <v>177.03996580031782</v>
      </c>
      <c r="U139" s="8">
        <v>112.4436325439796</v>
      </c>
      <c r="V139" s="8">
        <v>136.94619840250573</v>
      </c>
      <c r="W139" s="8">
        <v>211.7044375046197</v>
      </c>
      <c r="X139" s="22"/>
      <c r="Y139" s="24">
        <f t="shared" si="21"/>
        <v>0.60419531615667499</v>
      </c>
      <c r="AB139" s="22"/>
    </row>
    <row r="140" spans="1:28" x14ac:dyDescent="0.25">
      <c r="A140" s="16"/>
      <c r="B140" s="17"/>
      <c r="C140" s="3"/>
      <c r="D140" s="1"/>
      <c r="F140" s="4"/>
      <c r="G140" s="4"/>
      <c r="H140" s="4"/>
      <c r="I140" s="4"/>
      <c r="J140" s="4"/>
      <c r="K140" s="4"/>
      <c r="L140" s="4"/>
      <c r="M140" s="4"/>
    </row>
    <row r="141" spans="1:28" x14ac:dyDescent="0.25">
      <c r="A141" s="16"/>
      <c r="B141" s="17"/>
      <c r="C141" s="3"/>
      <c r="D141" s="1"/>
      <c r="F141" s="4"/>
      <c r="G141" s="4"/>
      <c r="H141" s="4"/>
      <c r="I141" s="4"/>
      <c r="J141" s="4"/>
      <c r="K141" s="4"/>
      <c r="L141" s="4"/>
      <c r="M141" s="4"/>
    </row>
    <row r="142" spans="1:28" x14ac:dyDescent="0.25">
      <c r="A142" s="16"/>
      <c r="B142" s="17"/>
      <c r="C142" s="3"/>
      <c r="D142" s="1"/>
      <c r="F142" s="4"/>
      <c r="G142" s="4"/>
      <c r="H142" s="4"/>
      <c r="I142" s="4"/>
      <c r="J142" s="4"/>
      <c r="K142" s="4"/>
      <c r="L142" s="4"/>
      <c r="M142" s="4"/>
    </row>
    <row r="143" spans="1:28" x14ac:dyDescent="0.25">
      <c r="A143" s="16"/>
      <c r="B143" s="17"/>
      <c r="C143" s="3"/>
      <c r="D143" s="1"/>
      <c r="F143" s="4"/>
      <c r="G143" s="4"/>
      <c r="H143" s="4"/>
      <c r="I143" s="4"/>
      <c r="J143" s="4"/>
      <c r="K143" s="4"/>
      <c r="L143" s="4"/>
      <c r="M143" s="4"/>
    </row>
    <row r="144" spans="1:28" x14ac:dyDescent="0.25">
      <c r="A144" s="16"/>
      <c r="B144" s="17"/>
      <c r="C144" s="3"/>
      <c r="D144" s="1"/>
      <c r="F144" s="4"/>
      <c r="G144" s="4"/>
      <c r="H144" s="4"/>
      <c r="I144" s="4"/>
      <c r="J144" s="4"/>
      <c r="K144" s="4"/>
      <c r="L144" s="4"/>
      <c r="M144" s="4"/>
    </row>
    <row r="145" spans="1:13" x14ac:dyDescent="0.25">
      <c r="A145" s="16"/>
      <c r="B145" s="17"/>
      <c r="C145" s="3"/>
      <c r="D145" s="1"/>
      <c r="F145" s="4"/>
      <c r="G145" s="4"/>
      <c r="H145" s="4"/>
      <c r="I145" s="4"/>
      <c r="J145" s="4"/>
      <c r="K145" s="4"/>
      <c r="L145" s="4"/>
      <c r="M145" s="4"/>
    </row>
    <row r="146" spans="1:13" x14ac:dyDescent="0.25">
      <c r="A146" s="16"/>
      <c r="B146" s="17"/>
      <c r="C146" s="3"/>
      <c r="D146" s="1"/>
      <c r="F146" s="4"/>
      <c r="G146" s="4"/>
      <c r="H146" s="4"/>
      <c r="I146" s="4"/>
      <c r="J146" s="4"/>
      <c r="K146" s="4"/>
      <c r="L146" s="4"/>
      <c r="M146" s="4"/>
    </row>
    <row r="147" spans="1:13" x14ac:dyDescent="0.25">
      <c r="A147" s="16"/>
      <c r="B147" s="17"/>
      <c r="C147" s="3"/>
      <c r="D147" s="1"/>
      <c r="F147" s="4"/>
      <c r="G147" s="4"/>
      <c r="H147" s="4"/>
      <c r="I147" s="4"/>
      <c r="J147" s="4"/>
      <c r="K147" s="4"/>
      <c r="L147" s="4"/>
      <c r="M147" s="4"/>
    </row>
    <row r="148" spans="1:13" x14ac:dyDescent="0.25">
      <c r="A148" s="16"/>
      <c r="B148" s="17"/>
      <c r="C148" s="3"/>
      <c r="D148" s="1"/>
      <c r="F148" s="4"/>
      <c r="G148" s="4"/>
      <c r="H148" s="4"/>
      <c r="I148" s="4"/>
      <c r="J148" s="4"/>
      <c r="K148" s="4"/>
      <c r="L148" s="4"/>
      <c r="M148" s="4"/>
    </row>
    <row r="149" spans="1:13" x14ac:dyDescent="0.25">
      <c r="A149" s="16"/>
      <c r="B149" s="17"/>
      <c r="C149" s="3"/>
      <c r="D149" s="1"/>
      <c r="F149" s="4"/>
      <c r="G149" s="4"/>
      <c r="H149" s="4"/>
      <c r="I149" s="4"/>
      <c r="J149" s="4"/>
      <c r="K149" s="4"/>
      <c r="L149" s="4"/>
      <c r="M149" s="4"/>
    </row>
    <row r="150" spans="1:13" x14ac:dyDescent="0.25">
      <c r="A150" s="16"/>
      <c r="B150" s="17"/>
      <c r="C150" s="3"/>
      <c r="D150" s="1"/>
      <c r="F150" s="4"/>
      <c r="G150" s="4"/>
      <c r="H150" s="4"/>
      <c r="I150" s="4"/>
      <c r="J150" s="4"/>
      <c r="K150" s="4"/>
      <c r="L150" s="4"/>
      <c r="M150" s="4"/>
    </row>
    <row r="151" spans="1:13" x14ac:dyDescent="0.25">
      <c r="A151" s="16"/>
      <c r="B151" s="17"/>
      <c r="C151" s="3"/>
      <c r="D151" s="1"/>
      <c r="F151" s="4"/>
      <c r="G151" s="4"/>
      <c r="H151" s="4"/>
      <c r="I151" s="4"/>
      <c r="J151" s="4"/>
      <c r="K151" s="4"/>
      <c r="L151" s="4"/>
      <c r="M151" s="4"/>
    </row>
    <row r="152" spans="1:13" x14ac:dyDescent="0.25">
      <c r="A152" s="16"/>
      <c r="B152" s="17"/>
      <c r="C152" s="3"/>
      <c r="D152" s="1"/>
      <c r="F152" s="4"/>
      <c r="G152" s="4"/>
      <c r="H152" s="4"/>
      <c r="I152" s="4"/>
      <c r="J152" s="4"/>
      <c r="K152" s="4"/>
      <c r="L152" s="4"/>
      <c r="M152" s="4"/>
    </row>
    <row r="153" spans="1:13" x14ac:dyDescent="0.25">
      <c r="A153" s="16"/>
      <c r="B153" s="17"/>
      <c r="C153" s="3"/>
      <c r="D153" s="1"/>
      <c r="F153" s="4"/>
      <c r="G153" s="4"/>
      <c r="H153" s="4"/>
      <c r="I153" s="4"/>
      <c r="J153" s="4"/>
      <c r="K153" s="4"/>
      <c r="L153" s="4"/>
      <c r="M153" s="4"/>
    </row>
    <row r="154" spans="1:13" x14ac:dyDescent="0.25">
      <c r="A154" s="16"/>
      <c r="B154" s="17"/>
      <c r="C154" s="3"/>
      <c r="D154" s="1"/>
      <c r="F154" s="4"/>
      <c r="G154" s="4"/>
      <c r="H154" s="4"/>
      <c r="I154" s="4"/>
      <c r="J154" s="4"/>
      <c r="K154" s="4"/>
      <c r="L154" s="4"/>
      <c r="M154" s="4"/>
    </row>
    <row r="155" spans="1:13" x14ac:dyDescent="0.25">
      <c r="A155" s="16"/>
      <c r="B155" s="17"/>
      <c r="C155" s="3"/>
      <c r="D155" s="1"/>
      <c r="F155" s="4"/>
      <c r="G155" s="4"/>
      <c r="H155" s="4"/>
      <c r="I155" s="4"/>
      <c r="J155" s="4"/>
      <c r="K155" s="4"/>
      <c r="L155" s="4"/>
      <c r="M155" s="4"/>
    </row>
    <row r="156" spans="1:13" x14ac:dyDescent="0.25">
      <c r="A156" s="16"/>
      <c r="B156" s="17"/>
      <c r="C156" s="3"/>
      <c r="D156" s="1"/>
      <c r="F156" s="4"/>
      <c r="G156" s="4"/>
      <c r="H156" s="4"/>
      <c r="I156" s="4"/>
      <c r="J156" s="4"/>
      <c r="K156" s="4"/>
      <c r="L156" s="4"/>
      <c r="M156" s="4"/>
    </row>
    <row r="157" spans="1:13" x14ac:dyDescent="0.25">
      <c r="A157" s="16"/>
      <c r="B157" s="17"/>
      <c r="C157" s="3"/>
      <c r="D157" s="1"/>
      <c r="F157" s="4"/>
      <c r="G157" s="4"/>
      <c r="H157" s="4"/>
      <c r="I157" s="4"/>
      <c r="J157" s="4"/>
      <c r="K157" s="4"/>
      <c r="L157" s="4"/>
      <c r="M157" s="4"/>
    </row>
    <row r="158" spans="1:13" x14ac:dyDescent="0.25">
      <c r="A158" s="16"/>
      <c r="B158" s="17"/>
      <c r="C158" s="3"/>
      <c r="D158" s="1"/>
      <c r="F158" s="4"/>
      <c r="G158" s="4"/>
      <c r="H158" s="4"/>
      <c r="I158" s="4"/>
      <c r="J158" s="4"/>
      <c r="K158" s="4"/>
      <c r="L158" s="4"/>
      <c r="M158" s="4"/>
    </row>
    <row r="159" spans="1:13" x14ac:dyDescent="0.25">
      <c r="A159" s="16"/>
      <c r="B159" s="17"/>
      <c r="C159" s="3"/>
      <c r="D159" s="1"/>
      <c r="F159" s="4"/>
      <c r="G159" s="4"/>
      <c r="H159" s="4"/>
      <c r="I159" s="4"/>
      <c r="J159" s="4"/>
      <c r="K159" s="4"/>
      <c r="L159" s="4"/>
      <c r="M159" s="4"/>
    </row>
  </sheetData>
  <autoFilter ref="B4:D139" xr:uid="{B593B8AD-AE04-4543-B232-6D3D3239B900}">
    <sortState xmlns:xlrd2="http://schemas.microsoft.com/office/spreadsheetml/2017/richdata2" ref="B68:D139">
      <sortCondition ref="B4:B139"/>
    </sortState>
  </autoFilter>
  <mergeCells count="9">
    <mergeCell ref="E1:M1"/>
    <mergeCell ref="O1:W1"/>
    <mergeCell ref="Y1:AA1"/>
    <mergeCell ref="E2:G2"/>
    <mergeCell ref="H2:J2"/>
    <mergeCell ref="K2:M2"/>
    <mergeCell ref="O2:Q2"/>
    <mergeCell ref="R2:T2"/>
    <mergeCell ref="U2:W2"/>
  </mergeCells>
  <pageMargins left="0.70866141732283472" right="0.70866141732283472" top="0.74803149606299213" bottom="0.74803149606299213" header="0.31496062992125984" footer="0.31496062992125984"/>
  <pageSetup paperSize="8" scale="70" orientation="landscape" horizontalDpi="1200" verticalDpi="1200" r:id="rId1"/>
  <colBreaks count="4" manualBreakCount="4">
    <brk id="13" max="1048575" man="1"/>
    <brk id="14" max="1048575" man="1"/>
    <brk id="23" max="1048575" man="1"/>
    <brk id="24"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CDAAA-67BC-4A66-A122-EC7C691F1F95}">
  <sheetPr>
    <tabColor rgb="FF7030A0"/>
  </sheetPr>
  <dimension ref="B1:W45"/>
  <sheetViews>
    <sheetView showGridLines="0" view="pageBreakPreview" topLeftCell="A34" zoomScale="70" zoomScaleNormal="50" zoomScaleSheetLayoutView="70" workbookViewId="0">
      <selection activeCell="B48" sqref="B48"/>
    </sheetView>
  </sheetViews>
  <sheetFormatPr defaultColWidth="8" defaultRowHeight="13.5" x14ac:dyDescent="0.25"/>
  <cols>
    <col min="1" max="1" width="3" customWidth="1"/>
    <col min="2" max="2" width="26.58203125" customWidth="1"/>
    <col min="3" max="3" width="18.5" customWidth="1"/>
    <col min="4" max="4" width="8.5" bestFit="1" customWidth="1"/>
    <col min="5" max="5" width="10.08203125" bestFit="1" customWidth="1"/>
    <col min="6" max="6" width="17.5" style="93" bestFit="1" customWidth="1"/>
    <col min="7" max="7" width="13.08203125" bestFit="1" customWidth="1"/>
    <col min="8" max="9" width="7.58203125" customWidth="1"/>
    <col min="10" max="10" width="9" bestFit="1" customWidth="1"/>
    <col min="11" max="11" width="16.5" bestFit="1" customWidth="1"/>
    <col min="12" max="12" width="6.25" customWidth="1"/>
    <col min="13" max="13" width="13.08203125" bestFit="1" customWidth="1"/>
    <col min="14" max="14" width="9" bestFit="1" customWidth="1"/>
    <col min="15" max="15" width="10.08203125" bestFit="1" customWidth="1"/>
    <col min="16" max="16" width="8.5" bestFit="1" customWidth="1"/>
    <col min="17" max="17" width="13.08203125" bestFit="1" customWidth="1"/>
    <col min="18" max="18" width="9" bestFit="1" customWidth="1"/>
    <col min="19" max="19" width="26" bestFit="1" customWidth="1"/>
    <col min="20" max="20" width="13.58203125" hidden="1" customWidth="1"/>
    <col min="21" max="21" width="0" hidden="1" customWidth="1"/>
    <col min="22" max="23" width="13.58203125" hidden="1" customWidth="1"/>
    <col min="24" max="26" width="0" hidden="1" customWidth="1"/>
  </cols>
  <sheetData>
    <row r="1" spans="2:6" x14ac:dyDescent="0.25">
      <c r="B1" s="91" t="s">
        <v>262</v>
      </c>
      <c r="C1" s="91" t="s">
        <v>263</v>
      </c>
      <c r="D1" s="91" t="s">
        <v>348</v>
      </c>
      <c r="F1"/>
    </row>
    <row r="2" spans="2:6" x14ac:dyDescent="0.25">
      <c r="B2" t="s">
        <v>18</v>
      </c>
      <c r="C2" t="s">
        <v>19</v>
      </c>
      <c r="D2" s="92">
        <f>AVERAGEIF(Sheet!B:B,'Table 8 AMERICAS Graph'!B2,Sheet!L:L)</f>
        <v>0.7777074331196373</v>
      </c>
      <c r="F2"/>
    </row>
    <row r="3" spans="2:6" x14ac:dyDescent="0.25">
      <c r="B3" t="s">
        <v>20</v>
      </c>
      <c r="C3" t="s">
        <v>19</v>
      </c>
      <c r="D3" s="92">
        <f>AVERAGEIF(Sheet!B:B,'Table 8 AMERICAS Graph'!B3,Sheet!L:L)</f>
        <v>0.73320630170113743</v>
      </c>
      <c r="F3"/>
    </row>
    <row r="4" spans="2:6" x14ac:dyDescent="0.25">
      <c r="B4" t="s">
        <v>240</v>
      </c>
      <c r="C4" t="s">
        <v>19</v>
      </c>
      <c r="D4" s="92">
        <f>AVERAGEIF(Sheet!B:B,'Table 8 AMERICAS Graph'!B4,Sheet!L:L)</f>
        <v>0.73320630170113743</v>
      </c>
      <c r="F4"/>
    </row>
    <row r="5" spans="2:6" x14ac:dyDescent="0.25">
      <c r="B5" t="s">
        <v>22</v>
      </c>
      <c r="C5" t="s">
        <v>19</v>
      </c>
      <c r="D5" s="92">
        <f>AVERAGEIF(Sheet!B:B,'Table 8 AMERICAS Graph'!B5,Sheet!L:L)</f>
        <v>0.96129580080722443</v>
      </c>
      <c r="F5"/>
    </row>
    <row r="6" spans="2:6" x14ac:dyDescent="0.25">
      <c r="B6" t="s">
        <v>23</v>
      </c>
      <c r="C6" t="s">
        <v>19</v>
      </c>
      <c r="D6" s="92">
        <f>AVERAGEIF(Sheet!B:B,'Table 8 AMERICAS Graph'!B6,Sheet!L:L)</f>
        <v>0.75823927879918251</v>
      </c>
      <c r="F6"/>
    </row>
    <row r="7" spans="2:6" x14ac:dyDescent="0.25">
      <c r="B7" t="s">
        <v>24</v>
      </c>
      <c r="C7" t="s">
        <v>19</v>
      </c>
      <c r="D7" s="92">
        <f>AVERAGEIF(Sheet!B:B,'Table 8 AMERICAS Graph'!B7,Sheet!L:L)</f>
        <v>0.93576957880364964</v>
      </c>
      <c r="F7"/>
    </row>
    <row r="8" spans="2:6" x14ac:dyDescent="0.25">
      <c r="B8" t="s">
        <v>25</v>
      </c>
      <c r="C8" t="s">
        <v>19</v>
      </c>
      <c r="D8" s="92">
        <f>AVERAGEIF(Sheet!B:B,'Table 8 AMERICAS Graph'!B8,Sheet!L:L)</f>
        <v>0.7665413697605532</v>
      </c>
      <c r="F8"/>
    </row>
    <row r="9" spans="2:6" x14ac:dyDescent="0.25">
      <c r="B9" t="s">
        <v>26</v>
      </c>
      <c r="C9" t="s">
        <v>19</v>
      </c>
      <c r="D9" s="92">
        <f>AVERAGEIF(Sheet!B:B,'Table 8 AMERICAS Graph'!B9,Sheet!L:L)</f>
        <v>0.74073152143988741</v>
      </c>
      <c r="F9"/>
    </row>
    <row r="10" spans="2:6" x14ac:dyDescent="0.25">
      <c r="B10" t="s">
        <v>27</v>
      </c>
      <c r="C10" t="s">
        <v>19</v>
      </c>
      <c r="D10" s="92">
        <f>AVERAGEIF(Sheet!B:B,'Table 8 AMERICAS Graph'!B10,Sheet!L:L)</f>
        <v>0.70748908230687102</v>
      </c>
      <c r="F10"/>
    </row>
    <row r="11" spans="2:6" x14ac:dyDescent="0.25">
      <c r="B11" t="s">
        <v>28</v>
      </c>
      <c r="C11" t="s">
        <v>19</v>
      </c>
      <c r="D11" s="92">
        <f>AVERAGEIF(Sheet!B:B,'Table 8 AMERICAS Graph'!B11,Sheet!L:L)</f>
        <v>0.6963074372310154</v>
      </c>
      <c r="F11"/>
    </row>
    <row r="12" spans="2:6" x14ac:dyDescent="0.25">
      <c r="B12" t="s">
        <v>29</v>
      </c>
      <c r="C12" t="s">
        <v>19</v>
      </c>
      <c r="D12" s="92">
        <f>AVERAGEIF(Sheet!B:B,'Table 8 AMERICAS Graph'!B12,Sheet!L:L)</f>
        <v>0.698553788988166</v>
      </c>
      <c r="F12"/>
    </row>
    <row r="13" spans="2:6" x14ac:dyDescent="0.25">
      <c r="B13" t="s">
        <v>30</v>
      </c>
      <c r="C13" t="s">
        <v>19</v>
      </c>
      <c r="D13" s="92">
        <f>AVERAGEIF(Sheet!B:B,'Table 8 AMERICAS Graph'!B13,Sheet!L:L)</f>
        <v>0.74630217420070133</v>
      </c>
      <c r="F13"/>
    </row>
    <row r="14" spans="2:6" x14ac:dyDescent="0.25">
      <c r="B14" t="s">
        <v>32</v>
      </c>
      <c r="C14" t="s">
        <v>19</v>
      </c>
      <c r="D14" s="92">
        <f>AVERAGEIF(Sheet!B:B,'Table 8 AMERICAS Graph'!B14,Sheet!L:L)</f>
        <v>0.78370519335979205</v>
      </c>
      <c r="F14"/>
    </row>
    <row r="15" spans="2:6" x14ac:dyDescent="0.25">
      <c r="B15" t="s">
        <v>33</v>
      </c>
      <c r="C15" t="s">
        <v>19</v>
      </c>
      <c r="D15" s="92">
        <f>AVERAGEIF(Sheet!B:B,'Table 8 AMERICAS Graph'!B15,Sheet!L:L)</f>
        <v>0.6937790277084358</v>
      </c>
      <c r="F15"/>
    </row>
    <row r="16" spans="2:6" x14ac:dyDescent="0.25">
      <c r="B16" t="s">
        <v>34</v>
      </c>
      <c r="C16" t="s">
        <v>19</v>
      </c>
      <c r="D16" s="92">
        <f>AVERAGEIF(Sheet!B:B,'Table 8 AMERICAS Graph'!B16,Sheet!L:L)</f>
        <v>0.73754835831386356</v>
      </c>
      <c r="F16"/>
    </row>
    <row r="17" spans="2:6" x14ac:dyDescent="0.25">
      <c r="B17" t="s">
        <v>35</v>
      </c>
      <c r="C17" t="s">
        <v>19</v>
      </c>
      <c r="D17" s="92">
        <f>AVERAGEIF(Sheet!B:B,'Table 8 AMERICAS Graph'!B17,Sheet!L:L)</f>
        <v>0.77495131468014444</v>
      </c>
      <c r="F17"/>
    </row>
    <row r="18" spans="2:6" x14ac:dyDescent="0.25">
      <c r="B18" t="s">
        <v>36</v>
      </c>
      <c r="C18" t="s">
        <v>19</v>
      </c>
      <c r="D18" s="92">
        <f>AVERAGEIF(Sheet!B:B,'Table 8 AMERICAS Graph'!B18,Sheet!L:L)</f>
        <v>0.91501326277459583</v>
      </c>
      <c r="F18"/>
    </row>
    <row r="19" spans="2:6" x14ac:dyDescent="0.25">
      <c r="B19" t="s">
        <v>37</v>
      </c>
      <c r="C19" t="s">
        <v>19</v>
      </c>
      <c r="D19" s="92">
        <f>AVERAGEIF(Sheet!B:B,'Table 8 AMERICAS Graph'!B19,Sheet!L:L)</f>
        <v>0.71606156115317143</v>
      </c>
      <c r="F19"/>
    </row>
    <row r="20" spans="2:6" x14ac:dyDescent="0.25">
      <c r="B20" t="s">
        <v>38</v>
      </c>
      <c r="C20" t="s">
        <v>19</v>
      </c>
      <c r="D20" s="92">
        <f>AVERAGEIF(Sheet!B:B,'Table 8 AMERICAS Graph'!B20,Sheet!L:L)</f>
        <v>0.84179894641075625</v>
      </c>
      <c r="F20"/>
    </row>
    <row r="21" spans="2:6" x14ac:dyDescent="0.25">
      <c r="B21" t="s">
        <v>39</v>
      </c>
      <c r="C21" t="s">
        <v>19</v>
      </c>
      <c r="D21" s="92">
        <f>AVERAGEIF(Sheet!B:B,'Table 8 AMERICAS Graph'!B21,Sheet!L:L)</f>
        <v>0.71367427470252098</v>
      </c>
      <c r="F21"/>
    </row>
    <row r="22" spans="2:6" x14ac:dyDescent="0.25">
      <c r="B22" t="s">
        <v>40</v>
      </c>
      <c r="C22" t="s">
        <v>19</v>
      </c>
      <c r="D22" s="92">
        <f>AVERAGEIF(Sheet!B:B,'Table 8 AMERICAS Graph'!B22,Sheet!L:L)</f>
        <v>1</v>
      </c>
      <c r="F22"/>
    </row>
    <row r="23" spans="2:6" x14ac:dyDescent="0.25">
      <c r="B23" t="s">
        <v>41</v>
      </c>
      <c r="C23" t="s">
        <v>19</v>
      </c>
      <c r="D23" s="92">
        <f>AVERAGEIF(Sheet!B:B,'Table 8 AMERICAS Graph'!B23,Sheet!L:L)</f>
        <v>0.91899223978318312</v>
      </c>
      <c r="F23"/>
    </row>
    <row r="24" spans="2:6" x14ac:dyDescent="0.25">
      <c r="B24" t="s">
        <v>42</v>
      </c>
      <c r="C24" t="s">
        <v>19</v>
      </c>
      <c r="D24" s="92">
        <f>AVERAGEIF(Sheet!B:B,'Table 8 AMERICAS Graph'!B24,Sheet!L:L)</f>
        <v>0.95400769170896338</v>
      </c>
      <c r="F24"/>
    </row>
    <row r="25" spans="2:6" x14ac:dyDescent="0.25">
      <c r="B25" t="s">
        <v>43</v>
      </c>
      <c r="C25" t="s">
        <v>19</v>
      </c>
      <c r="D25" s="92">
        <f>AVERAGEIF(Sheet!B:B,'Table 8 AMERICAS Graph'!B25,Sheet!L:L)</f>
        <v>0.71685732883361986</v>
      </c>
      <c r="F25"/>
    </row>
    <row r="26" spans="2:6" x14ac:dyDescent="0.25">
      <c r="B26" t="s">
        <v>44</v>
      </c>
      <c r="C26" t="s">
        <v>19</v>
      </c>
      <c r="D26" s="92">
        <f>AVERAGEIF(Sheet!B:B,'Table 8 AMERICAS Graph'!B26,Sheet!L:L)</f>
        <v>0.71764127803504074</v>
      </c>
      <c r="F26"/>
    </row>
    <row r="27" spans="2:6" x14ac:dyDescent="0.25">
      <c r="B27" t="s">
        <v>45</v>
      </c>
      <c r="C27" t="s">
        <v>19</v>
      </c>
      <c r="D27" s="92">
        <f>AVERAGEIF(Sheet!B:B,'Table 8 AMERICAS Graph'!B27,Sheet!L:L)</f>
        <v>0.90614342257768088</v>
      </c>
      <c r="F27"/>
    </row>
    <row r="28" spans="2:6" x14ac:dyDescent="0.25">
      <c r="B28" t="s">
        <v>46</v>
      </c>
      <c r="C28" t="s">
        <v>19</v>
      </c>
      <c r="D28" s="92">
        <f>AVERAGEIF(Sheet!B:B,'Table 8 AMERICAS Graph'!B28,Sheet!L:L)</f>
        <v>0.73436516379143502</v>
      </c>
      <c r="F28"/>
    </row>
    <row r="29" spans="2:6" x14ac:dyDescent="0.25">
      <c r="B29" t="s">
        <v>47</v>
      </c>
      <c r="C29" t="s">
        <v>19</v>
      </c>
      <c r="D29" s="92">
        <f>AVERAGEIF(Sheet!B:B,'Table 8 AMERICAS Graph'!B29,Sheet!L:L)</f>
        <v>0.77758338000650429</v>
      </c>
      <c r="F29"/>
    </row>
    <row r="30" spans="2:6" x14ac:dyDescent="0.25">
      <c r="B30" t="s">
        <v>48</v>
      </c>
      <c r="C30" t="s">
        <v>19</v>
      </c>
      <c r="D30" s="92">
        <f>AVERAGEIF(Sheet!B:B,'Table 8 AMERICAS Graph'!B30,Sheet!L:L)</f>
        <v>0.88875158053353787</v>
      </c>
      <c r="F30"/>
    </row>
    <row r="31" spans="2:6" x14ac:dyDescent="0.25">
      <c r="B31" t="s">
        <v>241</v>
      </c>
      <c r="C31" t="s">
        <v>19</v>
      </c>
      <c r="D31" s="92">
        <f>AVERAGEIF(Sheet!B:B,'Table 8 AMERICAS Graph'!B31,Sheet!L:L)</f>
        <v>0.89983373493808105</v>
      </c>
      <c r="F31"/>
    </row>
    <row r="32" spans="2:6" x14ac:dyDescent="0.25">
      <c r="B32" t="s">
        <v>50</v>
      </c>
      <c r="C32" t="s">
        <v>19</v>
      </c>
      <c r="D32" s="92">
        <f>AVERAGEIF(Sheet!B:B,'Table 8 AMERICAS Graph'!B32,Sheet!L:L)</f>
        <v>0.73341557259313706</v>
      </c>
      <c r="F32"/>
    </row>
    <row r="33" spans="2:6" x14ac:dyDescent="0.25">
      <c r="B33" t="s">
        <v>51</v>
      </c>
      <c r="C33" t="s">
        <v>19</v>
      </c>
      <c r="D33" s="92">
        <f>AVERAGEIF(Sheet!B:B,'Table 8 AMERICAS Graph'!B33,Sheet!L:L)</f>
        <v>0.88636416849726785</v>
      </c>
      <c r="F33"/>
    </row>
    <row r="34" spans="2:6" x14ac:dyDescent="0.25">
      <c r="B34" t="s">
        <v>52</v>
      </c>
      <c r="C34" t="s">
        <v>19</v>
      </c>
      <c r="D34" s="92">
        <f>AVERAGEIF(Sheet!B:B,'Table 8 AMERICAS Graph'!B34,Sheet!L:L)</f>
        <v>0.99684534459910479</v>
      </c>
      <c r="F34"/>
    </row>
    <row r="35" spans="2:6" x14ac:dyDescent="0.25">
      <c r="B35" t="s">
        <v>53</v>
      </c>
      <c r="C35" t="s">
        <v>19</v>
      </c>
      <c r="D35" s="92">
        <f>AVERAGEIF(Sheet!B:B,'Table 8 AMERICAS Graph'!B35,Sheet!L:L)</f>
        <v>0.70853906659426391</v>
      </c>
      <c r="F35"/>
    </row>
    <row r="36" spans="2:6" x14ac:dyDescent="0.25">
      <c r="B36" t="s">
        <v>54</v>
      </c>
      <c r="C36" t="s">
        <v>19</v>
      </c>
      <c r="D36" s="92">
        <f>AVERAGEIF(Sheet!B:B,'Table 8 AMERICAS Graph'!B36,Sheet!L:L)</f>
        <v>0.83752543445288929</v>
      </c>
      <c r="F36"/>
    </row>
    <row r="37" spans="2:6" x14ac:dyDescent="0.25">
      <c r="B37" t="s">
        <v>55</v>
      </c>
      <c r="C37" t="s">
        <v>19</v>
      </c>
      <c r="D37" s="92">
        <f>AVERAGEIF(Sheet!B:B,'Table 8 AMERICAS Graph'!B37,Sheet!L:L)</f>
        <v>0.77127369236690435</v>
      </c>
      <c r="F37"/>
    </row>
    <row r="38" spans="2:6" x14ac:dyDescent="0.25">
      <c r="B38" t="s">
        <v>242</v>
      </c>
      <c r="C38" t="s">
        <v>19</v>
      </c>
      <c r="D38" s="92">
        <f>AVERAGEIF(Sheet!B:B,'Table 8 AMERICAS Graph'!B38,Sheet!L:L)</f>
        <v>0.86986263751922333</v>
      </c>
      <c r="F38"/>
    </row>
    <row r="39" spans="2:6" x14ac:dyDescent="0.25">
      <c r="B39" t="s">
        <v>57</v>
      </c>
      <c r="C39" t="s">
        <v>19</v>
      </c>
      <c r="D39" s="92">
        <f>AVERAGEIF(Sheet!B:B,'Table 8 AMERICAS Graph'!B39,Sheet!L:L)</f>
        <v>0.70738813398893741</v>
      </c>
      <c r="F39"/>
    </row>
    <row r="40" spans="2:6" x14ac:dyDescent="0.25">
      <c r="B40" t="s">
        <v>58</v>
      </c>
      <c r="C40" t="s">
        <v>19</v>
      </c>
      <c r="D40" s="92">
        <f>AVERAGEIF(Sheet!B:B,'Table 8 AMERICAS Graph'!B40,Sheet!L:L)</f>
        <v>0.78152692982623728</v>
      </c>
      <c r="F40"/>
    </row>
    <row r="41" spans="2:6" x14ac:dyDescent="0.25">
      <c r="B41" t="s">
        <v>59</v>
      </c>
      <c r="C41" t="s">
        <v>19</v>
      </c>
      <c r="D41" s="92">
        <f>AVERAGEIF(Sheet!B:B,'Table 8 AMERICAS Graph'!B41,Sheet!L:L)</f>
        <v>0.68214930933487994</v>
      </c>
      <c r="F41"/>
    </row>
    <row r="42" spans="2:6" x14ac:dyDescent="0.25">
      <c r="B42" t="s">
        <v>245</v>
      </c>
      <c r="C42" t="s">
        <v>19</v>
      </c>
      <c r="D42" s="92">
        <f>AVERAGEIF(Sheet!B:B,'Table 8 AMERICAS Graph'!B42,Sheet!L:L)</f>
        <v>0.64034088616425844</v>
      </c>
      <c r="F42"/>
    </row>
    <row r="43" spans="2:6" x14ac:dyDescent="0.25">
      <c r="B43" t="s">
        <v>246</v>
      </c>
      <c r="C43" t="s">
        <v>19</v>
      </c>
      <c r="D43" s="92">
        <f>AVERAGEIF(Sheet!B:B,'Table 8 AMERICAS Graph'!B43,Sheet!L:L)</f>
        <v>0.44568037152891005</v>
      </c>
      <c r="F43"/>
    </row>
    <row r="44" spans="2:6" x14ac:dyDescent="0.25">
      <c r="B44" t="s">
        <v>247</v>
      </c>
      <c r="C44" t="s">
        <v>19</v>
      </c>
      <c r="D44" s="92">
        <f>AVERAGEIF(Sheet!B:B,'Table 8 AMERICAS Graph'!B44,Sheet!L:L)</f>
        <v>0.44568037152891005</v>
      </c>
      <c r="F44"/>
    </row>
    <row r="45" spans="2:6" x14ac:dyDescent="0.25">
      <c r="B45" t="s">
        <v>248</v>
      </c>
      <c r="C45" t="s">
        <v>19</v>
      </c>
      <c r="D45" s="92">
        <f>AVERAGEIF(Sheet!B:B,'Table 8 AMERICAS Graph'!B45,Sheet!L:L)</f>
        <v>0.45336451586561544</v>
      </c>
      <c r="F45"/>
    </row>
  </sheetData>
  <autoFilter ref="B1:D45" xr:uid="{00000000-0009-0000-0000-000008000000}">
    <sortState xmlns:xlrd2="http://schemas.microsoft.com/office/spreadsheetml/2017/richdata2" ref="B2:D45">
      <sortCondition ref="D1:D45"/>
    </sortState>
  </autoFilter>
  <pageMargins left="0.70866141732283472" right="0.70866141732283472" top="0.74803149606299213" bottom="0.74803149606299213" header="0.31496062992125984" footer="0.31496062992125984"/>
  <pageSetup scale="5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c320d65-e13a-43dc-8d78-ca3fe417b7e7">
      <Terms xmlns="http://schemas.microsoft.com/office/infopath/2007/PartnerControls"/>
    </lcf76f155ced4ddcb4097134ff3c332f>
    <TaxCatchAll xmlns="83758eed-3146-498f-bcdb-578752484d6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7D60094923D3D4A91BB243F1CADE885" ma:contentTypeVersion="14" ma:contentTypeDescription="Create a new document." ma:contentTypeScope="" ma:versionID="a74411d44b4e904267d7466e2a799de3">
  <xsd:schema xmlns:xsd="http://www.w3.org/2001/XMLSchema" xmlns:xs="http://www.w3.org/2001/XMLSchema" xmlns:p="http://schemas.microsoft.com/office/2006/metadata/properties" xmlns:ns2="1c320d65-e13a-43dc-8d78-ca3fe417b7e7" xmlns:ns3="83758eed-3146-498f-bcdb-578752484d6a" targetNamespace="http://schemas.microsoft.com/office/2006/metadata/properties" ma:root="true" ma:fieldsID="47eb76924a8b60301a8c1dccc30549f7" ns2:_="" ns3:_="">
    <xsd:import namespace="1c320d65-e13a-43dc-8d78-ca3fe417b7e7"/>
    <xsd:import namespace="83758eed-3146-498f-bcdb-578752484d6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320d65-e13a-43dc-8d78-ca3fe417b7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3758eed-3146-498f-bcdb-578752484d6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48936fe-1996-4ad8-a49e-8271ef20f927}" ma:internalName="TaxCatchAll" ma:showField="CatchAllData" ma:web="83758eed-3146-498f-bcdb-578752484d6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75ED60-8B5D-4C14-939F-8D7137FCDA4C}">
  <ds:schemaRefs>
    <ds:schemaRef ds:uri="http://schemas.microsoft.com/sharepoint/v3/contenttype/forms"/>
  </ds:schemaRefs>
</ds:datastoreItem>
</file>

<file path=customXml/itemProps2.xml><?xml version="1.0" encoding="utf-8"?>
<ds:datastoreItem xmlns:ds="http://schemas.openxmlformats.org/officeDocument/2006/customXml" ds:itemID="{0933FA0D-4988-4C73-ACFA-2B4B7B73066C}">
  <ds:schemaRefs>
    <ds:schemaRef ds:uri="http://schemas.microsoft.com/office/2006/metadata/properties"/>
    <ds:schemaRef ds:uri="http://schemas.microsoft.com/office/infopath/2007/PartnerControls"/>
    <ds:schemaRef ds:uri="1c320d65-e13a-43dc-8d78-ca3fe417b7e7"/>
    <ds:schemaRef ds:uri="83758eed-3146-498f-bcdb-578752484d6a"/>
  </ds:schemaRefs>
</ds:datastoreItem>
</file>

<file path=customXml/itemProps3.xml><?xml version="1.0" encoding="utf-8"?>
<ds:datastoreItem xmlns:ds="http://schemas.openxmlformats.org/officeDocument/2006/customXml" ds:itemID="{704D27C4-DB98-4BF6-AF6F-0072B575DA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320d65-e13a-43dc-8d78-ca3fe417b7e7"/>
    <ds:schemaRef ds:uri="83758eed-3146-498f-bcdb-578752484d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19</vt:i4>
      </vt:variant>
    </vt:vector>
  </HeadingPairs>
  <TitlesOfParts>
    <vt:vector size="37" baseType="lpstr">
      <vt:lpstr>FITOUT</vt:lpstr>
      <vt:lpstr>FURNITURE</vt:lpstr>
      <vt:lpstr>TECH</vt:lpstr>
      <vt:lpstr>Table 1_Activity BYOB Sqm</vt:lpstr>
      <vt:lpstr>Table 1_Activity BYOB SqFt</vt:lpstr>
      <vt:lpstr>Table 2_Team BYOB Sqm</vt:lpstr>
      <vt:lpstr>Table 2_Team BYOB SqFt</vt:lpstr>
      <vt:lpstr>Table 3_Event BYOB Sqm</vt:lpstr>
      <vt:lpstr>Table 3_Event BYOB SqFt</vt:lpstr>
      <vt:lpstr>Table 4_Reinstatement Sqm</vt:lpstr>
      <vt:lpstr>Table 4_Reinstatement Sqft</vt:lpstr>
      <vt:lpstr>Sheet</vt:lpstr>
      <vt:lpstr>Table 5 Global Radar Graph</vt:lpstr>
      <vt:lpstr>Table 6 EMEA Radar Graph</vt:lpstr>
      <vt:lpstr>Table 7 APAC Radar Graph</vt:lpstr>
      <vt:lpstr>Table 8 LATAM Radar Graph</vt:lpstr>
      <vt:lpstr>Build your Budget</vt:lpstr>
      <vt:lpstr>Table 8 AMERICAS Graph</vt:lpstr>
      <vt:lpstr>'Build your Budget'!Print_Area</vt:lpstr>
      <vt:lpstr>FITOUT!Print_Area</vt:lpstr>
      <vt:lpstr>FURNITURE!Print_Area</vt:lpstr>
      <vt:lpstr>'Table 1_Activity BYOB SqFt'!Print_Area</vt:lpstr>
      <vt:lpstr>'Table 1_Activity BYOB Sqm'!Print_Area</vt:lpstr>
      <vt:lpstr>'Table 2_Team BYOB SqFt'!Print_Area</vt:lpstr>
      <vt:lpstr>'Table 2_Team BYOB Sqm'!Print_Area</vt:lpstr>
      <vt:lpstr>'Table 3_Event BYOB SqFt'!Print_Area</vt:lpstr>
      <vt:lpstr>'Table 3_Event BYOB Sqm'!Print_Area</vt:lpstr>
      <vt:lpstr>'Table 4_Reinstatement Sqft'!Print_Area</vt:lpstr>
      <vt:lpstr>'Table 4_Reinstatement Sqm'!Print_Area</vt:lpstr>
      <vt:lpstr>'Table 5 Global Radar Graph'!Print_Area</vt:lpstr>
      <vt:lpstr>'Table 6 EMEA Radar Graph'!Print_Area</vt:lpstr>
      <vt:lpstr>'Table 7 APAC Radar Graph'!Print_Area</vt:lpstr>
      <vt:lpstr>'Table 8 AMERICAS Graph'!Print_Area</vt:lpstr>
      <vt:lpstr>'Table 8 LATAM Radar Graph'!Print_Area</vt:lpstr>
      <vt:lpstr>TECH!Print_Area</vt:lpstr>
      <vt:lpstr>'Table 4_Reinstatement Sqft'!Print_Titles</vt:lpstr>
      <vt:lpstr>'Table 4_Reinstatement Sqm'!Print_Titles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Barrett, Amy @ London SMC</dc:creator>
  <cp:keywords/>
  <dc:description/>
  <cp:lastModifiedBy>Oke, Oluwole @ London</cp:lastModifiedBy>
  <cp:revision/>
  <dcterms:created xsi:type="dcterms:W3CDTF">2021-09-30T11:24:36Z</dcterms:created>
  <dcterms:modified xsi:type="dcterms:W3CDTF">2024-11-26T13:27:17Z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0x01010017D60094923D3D4A91BB243F1CADE885</vt:lpwstr>
  </property>
  <property fmtid="{D5CDD505-2E9C-101B-9397-08002B2CF9AE}" pid="3" name="MediaServiceImageTags">
    <vt:lpwstr/>
  </property>
</Properties>
</file>